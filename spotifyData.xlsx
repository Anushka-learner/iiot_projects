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ka Pandey\Downloads\archive\"/>
    </mc:Choice>
  </mc:AlternateContent>
  <xr:revisionPtr revIDLastSave="0" documentId="13_ncr:1_{3D3D4D6C-746D-4F78-B9CD-12CAC735A8B9}" xr6:coauthVersionLast="47" xr6:coauthVersionMax="47" xr10:uidLastSave="{00000000-0000-0000-0000-000000000000}"/>
  <bookViews>
    <workbookView xWindow="-110" yWindow="-110" windowWidth="19420" windowHeight="10300" activeTab="3" xr2:uid="{04ACEAF9-0587-4415-A7D4-142056C11B60}"/>
  </bookViews>
  <sheets>
    <sheet name="Sheet1" sheetId="2" r:id="rId1"/>
    <sheet name="Sheet2" sheetId="5" r:id="rId2"/>
    <sheet name="Sheet3" sheetId="7" r:id="rId3"/>
    <sheet name="Dashboard" sheetId="9" r:id="rId4"/>
    <sheet name="Sheet4" sheetId="12" r:id="rId5"/>
    <sheet name="spotify-tracks-dataset" sheetId="1" r:id="rId6"/>
  </sheet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W5" i="9"/>
  <c r="P5" i="9"/>
  <c r="I5" i="9"/>
</calcChain>
</file>

<file path=xl/sharedStrings.xml><?xml version="1.0" encoding="utf-8"?>
<sst xmlns="http://schemas.openxmlformats.org/spreadsheetml/2006/main" count="11665" uniqueCount="3259">
  <si>
    <t>track_id</t>
  </si>
  <si>
    <t>artists</t>
  </si>
  <si>
    <t>album_name</t>
  </si>
  <si>
    <t>track_name</t>
  </si>
  <si>
    <t>popularity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</si>
  <si>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</si>
  <si>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</si>
  <si>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</si>
  <si>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</si>
  <si>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</si>
  <si>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</si>
  <si>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</si>
  <si>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</si>
  <si>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</si>
  <si>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</si>
  <si>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</si>
  <si>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</si>
  <si>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</si>
  <si>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</si>
  <si>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track_genre</t>
  </si>
  <si>
    <t>5SuOikwiRyPMVoIQDJUgSV</t>
  </si>
  <si>
    <t>Gen Hoshino</t>
  </si>
  <si>
    <t>Comedy</t>
  </si>
  <si>
    <t>1.01e-06</t>
  </si>
  <si>
    <t>acoustic</t>
  </si>
  <si>
    <t>4qPNDBW1i3p13qLCt0Ki3A</t>
  </si>
  <si>
    <t>Ben Woodward</t>
  </si>
  <si>
    <t>Ghost (Acoustic)</t>
  </si>
  <si>
    <t>Ghost - Acoustic</t>
  </si>
  <si>
    <t>5.56e-06</t>
  </si>
  <si>
    <t>1iJBSr7s7jYXzM8EGcbK5b</t>
  </si>
  <si>
    <t>Ingrid Michaelson;ZAYN</t>
  </si>
  <si>
    <t>To Begin Again</t>
  </si>
  <si>
    <t>6lfxq3CG4xtTiEg7opyCyx</t>
  </si>
  <si>
    <t>Kina Grannis</t>
  </si>
  <si>
    <t>Crazy Rich Asians (Original Motion Picture Soundtrack)</t>
  </si>
  <si>
    <t>Can't Help Falling In Love</t>
  </si>
  <si>
    <t>7.07e-05</t>
  </si>
  <si>
    <t>5vjLSffimiIP26QG5WcN2K</t>
  </si>
  <si>
    <t>Chord Overstreet</t>
  </si>
  <si>
    <t>Hold On</t>
  </si>
  <si>
    <t>01MVOl9KtVTNfFiBU9I7dc</t>
  </si>
  <si>
    <t>Tyrone Wells</t>
  </si>
  <si>
    <t>Days I Will Remember</t>
  </si>
  <si>
    <t>6Vc5wAMmXdKIAM7WUoEb7N</t>
  </si>
  <si>
    <t>A Great Big World;Christina Aguilera</t>
  </si>
  <si>
    <t>Is There Anybody Out There?</t>
  </si>
  <si>
    <t>Say Something</t>
  </si>
  <si>
    <t>2.89e-06</t>
  </si>
  <si>
    <t>1EzrEOXmMH3G43AXT1y7pA</t>
  </si>
  <si>
    <t>Jason Mraz</t>
  </si>
  <si>
    <t>We Sing. We Dance. We Steal Things.</t>
  </si>
  <si>
    <t>I'm Yours</t>
  </si>
  <si>
    <t>0IktbUcnAGrvD03AWnz3Q8</t>
  </si>
  <si>
    <t>Jason Mraz;Colbie Caillat</t>
  </si>
  <si>
    <t>Lucky</t>
  </si>
  <si>
    <t>7k9GuJYLp2AzqokyEdwEw2</t>
  </si>
  <si>
    <t>Ross Copperman</t>
  </si>
  <si>
    <t>Hunger</t>
  </si>
  <si>
    <t>4mzP5mHkRvGxdhdGdAH7EJ</t>
  </si>
  <si>
    <t>Zack Tabudlo</t>
  </si>
  <si>
    <t>Episode</t>
  </si>
  <si>
    <t>Give Me Your Forever</t>
  </si>
  <si>
    <t>5ivF4eQBqJiVL5IAE9jRyl</t>
  </si>
  <si>
    <t>Love Is a Four Letter Word</t>
  </si>
  <si>
    <t>I Won't Give Up</t>
  </si>
  <si>
    <t>4ptDJbJl35d7gQfeNteBwp</t>
  </si>
  <si>
    <t>Dan Berk</t>
  </si>
  <si>
    <t>Solo</t>
  </si>
  <si>
    <t>0X9MxHR1rTkEHDjp95F2OO</t>
  </si>
  <si>
    <t>Anna Hamilton</t>
  </si>
  <si>
    <t>Bad Liar</t>
  </si>
  <si>
    <t>4LbWtBkN82ZRhz9jqzgrb3</t>
  </si>
  <si>
    <t>Chord Overstreet;Deepend</t>
  </si>
  <si>
    <t>Hold On (Remix)</t>
  </si>
  <si>
    <t>Hold On - Remix</t>
  </si>
  <si>
    <t>2.83e-05</t>
  </si>
  <si>
    <t>1KHdq8NK9QxnGjdXb55NiG</t>
  </si>
  <si>
    <t>Landon Pigg</t>
  </si>
  <si>
    <t>The Boy Who Never</t>
  </si>
  <si>
    <t>Falling in Love at a Coffee Shop</t>
  </si>
  <si>
    <t>4.56e-05</t>
  </si>
  <si>
    <t>6xKeQgzfjixSUld14qUezm</t>
  </si>
  <si>
    <t>Andrew Foy;Renee Foy</t>
  </si>
  <si>
    <t>ily (i love you baby)</t>
  </si>
  <si>
    <t>4.03e-06</t>
  </si>
  <si>
    <t>4Yo0igmcoNyat1secaH0OD</t>
  </si>
  <si>
    <t>At My Worst</t>
  </si>
  <si>
    <t>1.17e-05</t>
  </si>
  <si>
    <t>2qLMf6TuEC3ruGJg4SMMN6</t>
  </si>
  <si>
    <t>6CgNoAbFJ4Q4Id4EjtbXlC</t>
  </si>
  <si>
    <t>Boyce Avenue;Bea Miller</t>
  </si>
  <si>
    <t>Cover Sessions, Vol. 4</t>
  </si>
  <si>
    <t>Photograph</t>
  </si>
  <si>
    <t>3S0OXQeoh0w6AY8WQVckRW</t>
  </si>
  <si>
    <t>210JCw2LbYD4YIs8GiZ9iP</t>
  </si>
  <si>
    <t>Boyce Avenue;Jennel Garcia</t>
  </si>
  <si>
    <t>Cover Sessions, Vol. 3</t>
  </si>
  <si>
    <t>Demons</t>
  </si>
  <si>
    <t>5TvE3pk05pyFIGdSY9j4DJ</t>
  </si>
  <si>
    <t>Is There Anybody Out There? - Track by Track Commentary</t>
  </si>
  <si>
    <t>0BUuuEvNa5T4lMaewyiudB</t>
  </si>
  <si>
    <t>Coffee Moment</t>
  </si>
  <si>
    <t>93 Million Miles</t>
  </si>
  <si>
    <t>1.37e-05</t>
  </si>
  <si>
    <t>3Hn3LfhrQOaKihdCibJsTs</t>
  </si>
  <si>
    <t>Human - Best Adult Pop Tunes</t>
  </si>
  <si>
    <t>Unlonely</t>
  </si>
  <si>
    <t>6D33wCKzWtNEgOovgeVJ7r</t>
  </si>
  <si>
    <t>Mellow Adult Pop</t>
  </si>
  <si>
    <t>Bella Luna</t>
  </si>
  <si>
    <t>5IfCZDRXZrqZSm8AwE44PG</t>
  </si>
  <si>
    <t>Holly Jolly Christmas</t>
  </si>
  <si>
    <t>Winter Wonderland</t>
  </si>
  <si>
    <t>0dzKBptH2P5j5a0MifBMwM</t>
  </si>
  <si>
    <t>Feeling Good - Adult Pop Favorites</t>
  </si>
  <si>
    <t>If It Kills Me</t>
  </si>
  <si>
    <t>5QAMZTM5cmLg3fHX9ZbTZi</t>
  </si>
  <si>
    <t>Christmas Time</t>
  </si>
  <si>
    <t>2qESE1ZeWly7I3YjyTXmXh</t>
  </si>
  <si>
    <t>Perfect Christmas Hits</t>
  </si>
  <si>
    <t>3EQV1ZHtHvq9OnVRYIdbg3</t>
  </si>
  <si>
    <t>Merry Christmas</t>
  </si>
  <si>
    <t>3ax0rfGb7exLtl02LL08U9</t>
  </si>
  <si>
    <t>Christmas Music - Holiday Hits</t>
  </si>
  <si>
    <t>1m5LC29RE52Bxy7hxvpOlL</t>
  </si>
  <si>
    <t>Christmas Country Songs 2022</t>
  </si>
  <si>
    <t>All I Want For Christmas Is A Real Good Tan</t>
  </si>
  <si>
    <t>3H36x7buZdQD4687VmFrwY</t>
  </si>
  <si>
    <t>Brandi Carlile;Sam Smith</t>
  </si>
  <si>
    <t>Party of One</t>
  </si>
  <si>
    <t>0xbMRcMFqxJq1Wa7tvWPtn</t>
  </si>
  <si>
    <t>6h061f44HZPj1OXO2nA45d</t>
  </si>
  <si>
    <t>Mellow Bars R'n'B</t>
  </si>
  <si>
    <t>62EwQLDw0dprDzuLwQ0sH1</t>
  </si>
  <si>
    <t>KT Tunstall</t>
  </si>
  <si>
    <t>Chill Christmas Dinner</t>
  </si>
  <si>
    <t>Lonely This Christmas</t>
  </si>
  <si>
    <t>2.56e-05</t>
  </si>
  <si>
    <t>3lvo0I8c2qBJDLZWqExDgC</t>
  </si>
  <si>
    <t>Brandi Carlile</t>
  </si>
  <si>
    <t>rainy day indie</t>
  </si>
  <si>
    <t>Throwing Good After Bad</t>
  </si>
  <si>
    <t>1.58e-05</t>
  </si>
  <si>
    <t>1ae8XfBQ3fDEvmBjFaemGV</t>
  </si>
  <si>
    <t>This Time Tomorrow</t>
  </si>
  <si>
    <t>0adVktNVJXPZfhQe6B1NO5</t>
  </si>
  <si>
    <t>sadsadchristmas</t>
  </si>
  <si>
    <t>6sp6Vx3sv2l5qxPfbQkcyt</t>
  </si>
  <si>
    <t>Eddie Vedder</t>
  </si>
  <si>
    <t>Mega Hits Autumn/Fall 2022</t>
  </si>
  <si>
    <t>The Haves</t>
  </si>
  <si>
    <t>1WFVfVjCtbmdIv7j3Fa9iy</t>
  </si>
  <si>
    <t>When You're Wrong</t>
  </si>
  <si>
    <t>3.37e-06</t>
  </si>
  <si>
    <t>0e5PAxSyZ5DWWVqKANHETz</t>
  </si>
  <si>
    <t>Brandi Carlile;Lucius</t>
  </si>
  <si>
    <t>Country Car Hits</t>
  </si>
  <si>
    <t>You and Me on the Rock</t>
  </si>
  <si>
    <t>1.81e-06</t>
  </si>
  <si>
    <t>1MLr9b1fOybO3MGiLy47Ys</t>
  </si>
  <si>
    <t>Country Road Songs</t>
  </si>
  <si>
    <t>6JGjevTaqr9J1xp7YvYUKF</t>
  </si>
  <si>
    <t>Finest Country</t>
  </si>
  <si>
    <t>Speak Your Mind (From the Netflix Series "We The People")</t>
  </si>
  <si>
    <t>7Af2YlwMZryKOQiRfwMsD2</t>
  </si>
  <si>
    <t>Easy Country</t>
  </si>
  <si>
    <t>3RE5nHIVkC4KcA7snFaTKd</t>
  </si>
  <si>
    <t>Cozy Country</t>
  </si>
  <si>
    <t>0JvkNRyq8Tmot9khpdtN0I</t>
  </si>
  <si>
    <t>Good Times Country</t>
  </si>
  <si>
    <t>27gHtbsHClwimHFtKgFop4</t>
  </si>
  <si>
    <t>Laidback Country</t>
  </si>
  <si>
    <t>1QBNBGeIRRGBnLhdlHbfI8</t>
  </si>
  <si>
    <t>Chillin' It - Mellow Day Country</t>
  </si>
  <si>
    <t>72xTsTouZ5nBmASX8k1XCW</t>
  </si>
  <si>
    <t>Highland Peak</t>
  </si>
  <si>
    <t>Trampoline (Acoustic)</t>
  </si>
  <si>
    <t>Trampoline - Acoustic</t>
  </si>
  <si>
    <t>3ILmwMefYZoQh5Cf5jeuUQ</t>
  </si>
  <si>
    <t>Motohiro Hata</t>
  </si>
  <si>
    <t>Documentary</t>
  </si>
  <si>
    <t>é€æ˜Žã ã£ãŸä¸–ç•Œ</t>
  </si>
  <si>
    <t>2DHDuADAHoUW6n0z80RLQF</t>
  </si>
  <si>
    <t>Andrew Belle</t>
  </si>
  <si>
    <t>Black Bear</t>
  </si>
  <si>
    <t>Pieces</t>
  </si>
  <si>
    <t>5JDcQAztvZTIkrWoZihgvC</t>
  </si>
  <si>
    <t>Ron Pope</t>
  </si>
  <si>
    <t>The Bedroom Demos</t>
  </si>
  <si>
    <t>A Drop in the Ocean</t>
  </si>
  <si>
    <t>2sYFi9xVSZ56WHKSY2fN1K</t>
  </si>
  <si>
    <t>Adam Christopher</t>
  </si>
  <si>
    <t>So Far Away (Acoustic)</t>
  </si>
  <si>
    <t>So Far Away - Acoustic</t>
  </si>
  <si>
    <t>3.44e-05</t>
  </si>
  <si>
    <t>6xJOhSm4SvZwzy3uhWz26O</t>
  </si>
  <si>
    <t>The Enemy</t>
  </si>
  <si>
    <t>7lLKxcNeJtDTWVRKHovLEC</t>
  </si>
  <si>
    <t>Aron Wright</t>
  </si>
  <si>
    <t>Build It Better</t>
  </si>
  <si>
    <t>25UzeaV47eDT44Fovve6xQ</t>
  </si>
  <si>
    <t>Sleepwalking in the Rain</t>
  </si>
  <si>
    <t>4oa14QBfWRDfJy2agySy0L</t>
  </si>
  <si>
    <t>Sara Bareilles</t>
  </si>
  <si>
    <t>Little Voice</t>
  </si>
  <si>
    <t>Gravity</t>
  </si>
  <si>
    <t>2gRKq9rIC5i1zuxp06zJWH</t>
  </si>
  <si>
    <t>What's Left of You</t>
  </si>
  <si>
    <t>08MFgEQeVLF37EyZ7jcwLc</t>
  </si>
  <si>
    <t>Pano</t>
  </si>
  <si>
    <t>6nXIYClvJAfi6ujLiKqEq8</t>
  </si>
  <si>
    <t>The Daylight EP</t>
  </si>
  <si>
    <t>Sky's Still Blue</t>
  </si>
  <si>
    <t>7x4b0UccXSKBWxWmjcrG2T</t>
  </si>
  <si>
    <t>Kurt Cobain</t>
  </si>
  <si>
    <t>Montage Of Heck: The Home Recordings</t>
  </si>
  <si>
    <t>And I Love Her</t>
  </si>
  <si>
    <t>6owKuyHxUqidcAA6fPKSyy</t>
  </si>
  <si>
    <t>We Can't Stop</t>
  </si>
  <si>
    <t>0wbmIfvndFV9VDvuUY1pYN</t>
  </si>
  <si>
    <t>Tim Halperin</t>
  </si>
  <si>
    <t>Covers</t>
  </si>
  <si>
    <t>Always Be My Baby</t>
  </si>
  <si>
    <t>3e5yu9MkIvQx17mm7LF6KY</t>
  </si>
  <si>
    <t>Canyon City</t>
  </si>
  <si>
    <t>Midnight Waves</t>
  </si>
  <si>
    <t>Alone with You</t>
  </si>
  <si>
    <t>6.63e-06</t>
  </si>
  <si>
    <t>6VwAh8Z1d5YKoSWoEaV4db</t>
  </si>
  <si>
    <t>Aaron Espe</t>
  </si>
  <si>
    <t>Making All Things New</t>
  </si>
  <si>
    <t>2D4BSm5Z8Hq5zYbSgJwEOh</t>
  </si>
  <si>
    <t>What's Inside: Songs from Waitress</t>
  </si>
  <si>
    <t>She Used To Be Mine</t>
  </si>
  <si>
    <t>7LwGBxB0h0CVmkOZxYKn0g</t>
  </si>
  <si>
    <t>In My Veins (Feat. Erin Mccarley)</t>
  </si>
  <si>
    <t>In My Veins - Feat. Erin Mccarley</t>
  </si>
  <si>
    <t>4.46e-06</t>
  </si>
  <si>
    <t>0ZwdH0m32I8odedwvspYTh</t>
  </si>
  <si>
    <t>Tyler Ward</t>
  </si>
  <si>
    <t>Under Covers</t>
  </si>
  <si>
    <t>I Don't Wanna Live Forever (Fifty Shades Darker)</t>
  </si>
  <si>
    <t>16dkWKIlBsfYTISCVuDs0w</t>
  </si>
  <si>
    <t>Whatever It Takes</t>
  </si>
  <si>
    <t>A Drop In the Ocean</t>
  </si>
  <si>
    <t>1.14e-06</t>
  </si>
  <si>
    <t>3TwtrR1yNLY1PMPsrGQpOp</t>
  </si>
  <si>
    <t>Five For Fighting</t>
  </si>
  <si>
    <t>America Town</t>
  </si>
  <si>
    <t>Superman (It's Not Easy)</t>
  </si>
  <si>
    <t>3Et4LKZLnXygPYfNdeB3D3</t>
  </si>
  <si>
    <t>Dive Deep</t>
  </si>
  <si>
    <t>When the End Comes</t>
  </si>
  <si>
    <t>2E9viCx0hJKNKNThd2MdGQ</t>
  </si>
  <si>
    <t>Bailey Jehl</t>
  </si>
  <si>
    <t>You're Still The One</t>
  </si>
  <si>
    <t>0Zf1BPkkFAWGtVHeBwHHz4</t>
  </si>
  <si>
    <t>Ingrid Michaelson</t>
  </si>
  <si>
    <t>It Doesn't Have To Make Sense</t>
  </si>
  <si>
    <t>Light Me Up</t>
  </si>
  <si>
    <t>38jy6kRlPt8z1GUS9WXeNh</t>
  </si>
  <si>
    <t>2SkJKMfjpYsNv0KWOxiegX</t>
  </si>
  <si>
    <t>A Great Big World</t>
  </si>
  <si>
    <t>When the Morning Comes</t>
  </si>
  <si>
    <t>Kaleidoscope</t>
  </si>
  <si>
    <t>4qCbMMMuEB56kHd4zPE6GD</t>
  </si>
  <si>
    <t>Eddie Vedder;Nusrat Fateh Ali Khan</t>
  </si>
  <si>
    <t>Eat, Pray, Love</t>
  </si>
  <si>
    <t>The Long Road</t>
  </si>
  <si>
    <t>11TK5KLtLZUdKr1C549bAw</t>
  </si>
  <si>
    <t>Drew Holcomb &amp; The Neighbors</t>
  </si>
  <si>
    <t>Good Light</t>
  </si>
  <si>
    <t>What Would I Do Without You</t>
  </si>
  <si>
    <t>7BXW1QCg56yzEBV8pW8pah</t>
  </si>
  <si>
    <t>Know.</t>
  </si>
  <si>
    <t>Have It All</t>
  </si>
  <si>
    <t>2kMrCPZ0o5gErBPLCRgoli</t>
  </si>
  <si>
    <t>Gabrielle Aplin</t>
  </si>
  <si>
    <t>Heavy Heart</t>
  </si>
  <si>
    <t>5IjTZ1g8KrIuV97N3OQZ0V</t>
  </si>
  <si>
    <t>Break Up Songs</t>
  </si>
  <si>
    <t>The House We Never Built</t>
  </si>
  <si>
    <t>2.72e-06</t>
  </si>
  <si>
    <t>3bHhUEOTIbezeZ856R0BX5</t>
  </si>
  <si>
    <t>Into The Wild (Music For The Motion Picture)</t>
  </si>
  <si>
    <t>Society</t>
  </si>
  <si>
    <t>0wf17wsLRwnnfh241GkeH5</t>
  </si>
  <si>
    <t>u don't deserve me</t>
  </si>
  <si>
    <t>Please Don't Say You Love Me</t>
  </si>
  <si>
    <t>3322ArxAq7wCSZI4fF77Q0</t>
  </si>
  <si>
    <t>4LGF2tDg3878bs0mQPByZ4</t>
  </si>
  <si>
    <t>Guaranteed</t>
  </si>
  <si>
    <t>6Uy6K3KdmUdAfelUp0SeXn</t>
  </si>
  <si>
    <t>The Blessed Unrest</t>
  </si>
  <si>
    <t>Brave</t>
  </si>
  <si>
    <t>2.1e-05</t>
  </si>
  <si>
    <t>2z2JKNU24UEngb4joR9p8f</t>
  </si>
  <si>
    <t>Slow Christmas Songs 2022</t>
  </si>
  <si>
    <t>2nef44o0sjJDKB1ta4S0ub</t>
  </si>
  <si>
    <t>Lonely Christmas 2022</t>
  </si>
  <si>
    <t>0qJGlogD7AyMLAJfQ42aI2</t>
  </si>
  <si>
    <t>Bookmarks</t>
  </si>
  <si>
    <t>Heaven Knows</t>
  </si>
  <si>
    <t>04JS6OitE9VGsIS3S94Osg</t>
  </si>
  <si>
    <t>The Civil Wars</t>
  </si>
  <si>
    <t>I Heard The Bells On Christmas Day</t>
  </si>
  <si>
    <t>9.68e-06</t>
  </si>
  <si>
    <t>5OGpsZeJRZ3t3MZioawcZW</t>
  </si>
  <si>
    <t>Alternative Christmas 2022</t>
  </si>
  <si>
    <t>3Vnes7v746dYzBn0FJTZ1W</t>
  </si>
  <si>
    <t>Fairytale Of New York</t>
  </si>
  <si>
    <t>3.46e-06</t>
  </si>
  <si>
    <t>30cYWLpVdBZVLb1cYdmcTT</t>
  </si>
  <si>
    <t>Acoustic Christmas Campfire</t>
  </si>
  <si>
    <t>7sUqJ51FGSi3n7x4pYjY3v</t>
  </si>
  <si>
    <t>15BFn2VmEtonsXfNL1lUmy</t>
  </si>
  <si>
    <t>0WOFJR54wyTwLB11jcBDb1</t>
  </si>
  <si>
    <t>1uDCw6LVMOmbZ6zRliNcNX</t>
  </si>
  <si>
    <t>7DYsBLdOqz0z14tYWMt2Tn</t>
  </si>
  <si>
    <t>Del gusto de mamÃ¡</t>
  </si>
  <si>
    <t>1.04e-06</t>
  </si>
  <si>
    <t>7cPuE0M35EajWPRO3nRcH8</t>
  </si>
  <si>
    <t>OO's Music Grandi Successi</t>
  </si>
  <si>
    <t>Suddenly I See</t>
  </si>
  <si>
    <t>0U32q8CZRRo7xCzyiaZw5f</t>
  </si>
  <si>
    <t>è¨€ãƒŽè‘‰</t>
  </si>
  <si>
    <t>Rain</t>
  </si>
  <si>
    <t>4kQXMVjoZ9yMibLZq5Aqi5</t>
  </si>
  <si>
    <t>Callum J Wright</t>
  </si>
  <si>
    <t>Somebody Else (Acoustic)</t>
  </si>
  <si>
    <t>Somebody Else - Acoustic</t>
  </si>
  <si>
    <t>3us8sod4dLbM9FiMiPiEY8</t>
  </si>
  <si>
    <t>Black Bear (Hushed)</t>
  </si>
  <si>
    <t>Pieces (Hushed)</t>
  </si>
  <si>
    <t>1PR5pyPiOEEQ02oJYq402x</t>
  </si>
  <si>
    <t>Boyce Avenue;Fifth Harmony</t>
  </si>
  <si>
    <t>Mirrors</t>
  </si>
  <si>
    <t>068qo0w1Ki0cjnFYOUhAm2</t>
  </si>
  <si>
    <t>Boyce Avenue</t>
  </si>
  <si>
    <t>Stand by Me</t>
  </si>
  <si>
    <t>1.03e-05</t>
  </si>
  <si>
    <t>2RFt6ZWQbr9mPhsft9u9eX</t>
  </si>
  <si>
    <t>Gabrielle Aplin;JP Cooper</t>
  </si>
  <si>
    <t>Dear Happy</t>
  </si>
  <si>
    <t>Losing Me</t>
  </si>
  <si>
    <t>59pUIlXjQupbiYwt40uUTi</t>
  </si>
  <si>
    <t>Mone Kamishiraishi</t>
  </si>
  <si>
    <t>chouchou</t>
  </si>
  <si>
    <t>ãªã‚“ã§ã‚‚ãªã„ã‚„ - movie ver.</t>
  </si>
  <si>
    <t>1.4e-05</t>
  </si>
  <si>
    <t>0VhZ5JYfqPojSYeGWnk4dL</t>
  </si>
  <si>
    <t>John Adams</t>
  </si>
  <si>
    <t>Youâ€™re Beautiful (Acoustic)</t>
  </si>
  <si>
    <t>Youâ€™re Beautiful - Acoustic</t>
  </si>
  <si>
    <t>0ltIx8PLjtWoS9zn9PqsZW</t>
  </si>
  <si>
    <t>Kitri</t>
  </si>
  <si>
    <t>Hikare Inochi</t>
  </si>
  <si>
    <t>4.66e-06</t>
  </si>
  <si>
    <t>7ACW42whcdOiUxiNVu7ltx</t>
  </si>
  <si>
    <t>Songs From Nashville</t>
  </si>
  <si>
    <t>How To Lose a Girl</t>
  </si>
  <si>
    <t>4qTHoIp62ngNDpUJwW3hZ7</t>
  </si>
  <si>
    <t>Cover Sessions, Vol. 6</t>
  </si>
  <si>
    <t>Canâ€™t Help Falling in Love</t>
  </si>
  <si>
    <t>1.05e-06</t>
  </si>
  <si>
    <t>4VbDTk82rqWqVgoQC93CkC</t>
  </si>
  <si>
    <t>Dive Deep (Hushed)</t>
  </si>
  <si>
    <t>1pG5nd6gmfbMwUfT5shDQe</t>
  </si>
  <si>
    <t>When the Party's over (Acoustic Piano)</t>
  </si>
  <si>
    <t>4.42e-05</t>
  </si>
  <si>
    <t>2WZyfujzMweFLnozyUJBkW</t>
  </si>
  <si>
    <t>Augustana</t>
  </si>
  <si>
    <t>All The Stars and Boulevards</t>
  </si>
  <si>
    <t>Boston</t>
  </si>
  <si>
    <t>2.08e-05</t>
  </si>
  <si>
    <t>6gijbGNDNNJgT60Aj7UCyc</t>
  </si>
  <si>
    <t>Matthew Perryman Jones</t>
  </si>
  <si>
    <t>Living in the Shadows</t>
  </si>
  <si>
    <t>9.96e-06</t>
  </si>
  <si>
    <t>5pq4v03P5PxMcnCagg4S3Z</t>
  </si>
  <si>
    <t>In Case You Didnâ€™t Know</t>
  </si>
  <si>
    <t>08OjvLnGR3M0HUhcePeMNO</t>
  </si>
  <si>
    <t>death bed (coffee for your head)</t>
  </si>
  <si>
    <t>65VhbQdqvozUntjnlFkFbZ</t>
  </si>
  <si>
    <t>You Are My Sunshine</t>
  </si>
  <si>
    <t>05pKAafT85jeeNhZ6kq7HT</t>
  </si>
  <si>
    <t>3PG6V5yuFfo4APiovOQoRv</t>
  </si>
  <si>
    <t>Ray LaMontagne;Sierra Ferrell</t>
  </si>
  <si>
    <t>I Was Born To Love You</t>
  </si>
  <si>
    <t>6.9e-05</t>
  </si>
  <si>
    <t>5O9R57EozcpLKGQBzadPVy</t>
  </si>
  <si>
    <t>Meg Birch</t>
  </si>
  <si>
    <t>Life Sucks Playlist</t>
  </si>
  <si>
    <t>Only Love Can Hurt Like This</t>
  </si>
  <si>
    <t>6ta5yavnnEfCE4faU0jebM</t>
  </si>
  <si>
    <t>Catherine Feeny</t>
  </si>
  <si>
    <t>Hurricane Glass</t>
  </si>
  <si>
    <t>Mr Blue</t>
  </si>
  <si>
    <t>7BRCa8MPiyuvr2VU3O9W0F</t>
  </si>
  <si>
    <t>Joshua Hyslop</t>
  </si>
  <si>
    <t>Where The Mountain Meets The Valley</t>
  </si>
  <si>
    <t>Do Not Let Me Go</t>
  </si>
  <si>
    <t>5e-05</t>
  </si>
  <si>
    <t>5ZhaKUsY68U0lgREFWfoxg</t>
  </si>
  <si>
    <t>Holding On And Letting Go - Single</t>
  </si>
  <si>
    <t>Holding On And Letting Go</t>
  </si>
  <si>
    <t>4zcMBfbQZvBSHQBGDd6gsN</t>
  </si>
  <si>
    <t>JJ Heller</t>
  </si>
  <si>
    <t>You Already Know</t>
  </si>
  <si>
    <t>7bhHLZxkRekrNPPkEdDTbn</t>
  </si>
  <si>
    <t>Believer (Remix)</t>
  </si>
  <si>
    <t>5rwq6R0Uq0BngM3rdmCeNg</t>
  </si>
  <si>
    <t>Howie Day</t>
  </si>
  <si>
    <t>Stop All the World Now (Special Edition)</t>
  </si>
  <si>
    <t>Collide - Acoustic Version</t>
  </si>
  <si>
    <t>2.95e-05</t>
  </si>
  <si>
    <t>2lxBZVbkiCXC1soks2RXwV</t>
  </si>
  <si>
    <t>Ben Rector</t>
  </si>
  <si>
    <t>Magic</t>
  </si>
  <si>
    <t>Love Like This</t>
  </si>
  <si>
    <t>38YgZVHPWOWsKrsCXz6JyP</t>
  </si>
  <si>
    <t>Matt Nathanson</t>
  </si>
  <si>
    <t>Some Mad Hope</t>
  </si>
  <si>
    <t>Come On Get Higher</t>
  </si>
  <si>
    <t>6XrNrp7UtGgyZcHJ0ckL0w</t>
  </si>
  <si>
    <t>Rachael Yamagata</t>
  </si>
  <si>
    <t>Something In the Rain (Music from the Original TV Series)</t>
  </si>
  <si>
    <t>"Something In the Rain" (Something In the Rain, Pt. 1) [Music from the Original TV Series]</t>
  </si>
  <si>
    <t>1.07e-05</t>
  </si>
  <si>
    <t>72R0X0h8YaxYNpegeoOl0M</t>
  </si>
  <si>
    <t>Parachute</t>
  </si>
  <si>
    <t>The Way It Was</t>
  </si>
  <si>
    <t>Kiss Me Slowly</t>
  </si>
  <si>
    <t>3.53e-05</t>
  </si>
  <si>
    <t>6R6ux6KaKrhAg2EIB2krdU</t>
  </si>
  <si>
    <t>Wide Awake</t>
  </si>
  <si>
    <t>Without You</t>
  </si>
  <si>
    <t>2D9w6sabdMCLSheW5aegwO</t>
  </si>
  <si>
    <t>Waiting for My Rocket to Come (Expanded Edition)</t>
  </si>
  <si>
    <t>Absolutely Zero</t>
  </si>
  <si>
    <t>1Qo3taHLFSQpzLm5Sty7M4</t>
  </si>
  <si>
    <t>Sleep All Day</t>
  </si>
  <si>
    <t>71M4QMn8nrok1KFVXwEEyU</t>
  </si>
  <si>
    <t>You and I Both</t>
  </si>
  <si>
    <t>4lxGVzcUaSF5HW5jtWnShV</t>
  </si>
  <si>
    <t>Long Nights</t>
  </si>
  <si>
    <t>2PIlBukQ6limukVR8Ubb5o</t>
  </si>
  <si>
    <t>English Rain</t>
  </si>
  <si>
    <t>5p9XWUdvbUzmPCukOmwoU3</t>
  </si>
  <si>
    <t>Eye To The Telescope</t>
  </si>
  <si>
    <t>1uSuY2qLCbx1QB7oPUVhFG</t>
  </si>
  <si>
    <t>Who Needs Shelter</t>
  </si>
  <si>
    <t>2.21e-06</t>
  </si>
  <si>
    <t>6twvFrIoIINH8UW8EB8OnU</t>
  </si>
  <si>
    <t>No Stopping Us</t>
  </si>
  <si>
    <t>3.23e-05</t>
  </si>
  <si>
    <t>2pelUnMKr07JjJpilj9Yew</t>
  </si>
  <si>
    <t>I'll Do Anything</t>
  </si>
  <si>
    <t>7d0bJhpp0mCYyMXaMgWyMS</t>
  </si>
  <si>
    <t>I Dream of You: CALM</t>
  </si>
  <si>
    <t>Make You Feel My Love</t>
  </si>
  <si>
    <t>3.23e-06</t>
  </si>
  <si>
    <t>73CbJykoV6WapWGfTeRzTl</t>
  </si>
  <si>
    <t>The Remedy (I Won't Worry)</t>
  </si>
  <si>
    <t>3ixLIO5BsTmic0Pp27FaPY</t>
  </si>
  <si>
    <t>Too Much Food</t>
  </si>
  <si>
    <t>5ZetMq21bMQN5oo4TtdOxu</t>
  </si>
  <si>
    <t>The Boy's Gone</t>
  </si>
  <si>
    <t>73oHkllHIT8fdbzpxiXW40</t>
  </si>
  <si>
    <t>On Love, in Sadness</t>
  </si>
  <si>
    <t>4MihgVRpD82EZoT61GW63w</t>
  </si>
  <si>
    <t>Curbside Prophet</t>
  </si>
  <si>
    <t>1BECZPXBXzobsfmlzj0g3I</t>
  </si>
  <si>
    <t>Tonight, Not Again - Live</t>
  </si>
  <si>
    <t>14vExHBkh1prEAN94wZug8</t>
  </si>
  <si>
    <t>Tonight, Not Again</t>
  </si>
  <si>
    <t>1.06e-05</t>
  </si>
  <si>
    <t>0fzCtVM9D5UEwiLqcY8Ouq</t>
  </si>
  <si>
    <t>Hard Sun</t>
  </si>
  <si>
    <t>6IF2P93LkyW4GqDQu1yS7H</t>
  </si>
  <si>
    <t>Susie Suh;Robot Koch</t>
  </si>
  <si>
    <t>Here with Me</t>
  </si>
  <si>
    <t>34dnNAUoIPcwnK0RtVMBWZ</t>
  </si>
  <si>
    <t>Tyler Ward;Lindsey Stirling;Kina Grannis</t>
  </si>
  <si>
    <t>Tyler Ward Covers, Vol. 5</t>
  </si>
  <si>
    <t>The Scientist</t>
  </si>
  <si>
    <t>5aDpULK8MbJmHl42kR5KNI</t>
  </si>
  <si>
    <t>Stop All The World Now</t>
  </si>
  <si>
    <t>Collide</t>
  </si>
  <si>
    <t>5.35e-05</t>
  </si>
  <si>
    <t>1fI1TMpz7FVkpoYBhmiywp</t>
  </si>
  <si>
    <t>Eden Elf;Ren Avel</t>
  </si>
  <si>
    <t>get better</t>
  </si>
  <si>
    <t>2.26e-05</t>
  </si>
  <si>
    <t>23Mcmg5O8rBKAOzxvrTjnD</t>
  </si>
  <si>
    <t>Sympathy</t>
  </si>
  <si>
    <t>0gVbkmFqq5fIkXtJJ3UTfM</t>
  </si>
  <si>
    <t>Boyce Avenue;Rachel Grae</t>
  </si>
  <si>
    <t>Let It Go</t>
  </si>
  <si>
    <t>00DuOxungwHwVUX2m37P0P</t>
  </si>
  <si>
    <t>What You Need</t>
  </si>
  <si>
    <t>2lFlveK1y13WWp3vnQtrr3</t>
  </si>
  <si>
    <t>The Battle for Everything</t>
  </si>
  <si>
    <t>100 Years</t>
  </si>
  <si>
    <t>2.17e-05</t>
  </si>
  <si>
    <t>2WD93lsfJonaKtrQtpLB2R</t>
  </si>
  <si>
    <t>Nightshade</t>
  </si>
  <si>
    <t>You're the Sea</t>
  </si>
  <si>
    <t>7njTGO45SkaBTNu35t2Yq0</t>
  </si>
  <si>
    <t>One Spring Night (Original Television Soundtrack), Pt. 1</t>
  </si>
  <si>
    <t>No Direction</t>
  </si>
  <si>
    <t>6ivkBaxvclVhwZDE2uwldj</t>
  </si>
  <si>
    <t>Cary Brothers</t>
  </si>
  <si>
    <t>Under Control</t>
  </si>
  <si>
    <t>Belong</t>
  </si>
  <si>
    <t>6Cvti10W0AzmzG9D1tpuKp</t>
  </si>
  <si>
    <t>The Mayries</t>
  </si>
  <si>
    <t>As It Was</t>
  </si>
  <si>
    <t>03yc0G2OoH1Eeyu7Piy8fK</t>
  </si>
  <si>
    <t>5RO0MNa5hBKIM4OcjygadU</t>
  </si>
  <si>
    <t>Joseph Sullinger</t>
  </si>
  <si>
    <t>Chi Mai</t>
  </si>
  <si>
    <t>78TKtlSLWK8pZAKKW3MyQL</t>
  </si>
  <si>
    <t>3.49e-06</t>
  </si>
  <si>
    <t>1esE8j1nVyzEQ5rVhYXoJT</t>
  </si>
  <si>
    <t>Had It All</t>
  </si>
  <si>
    <t>68Yc9ylRZZPtsuVgtrxcDj</t>
  </si>
  <si>
    <t>Zack Tabudlo;Yonnyboii</t>
  </si>
  <si>
    <t>Take Me Back</t>
  </si>
  <si>
    <t>Take Me Back ft. Yonnyboii</t>
  </si>
  <si>
    <t>3tjjCCdXSdaVEo4q4y071G</t>
  </si>
  <si>
    <t>Tobey Rosen</t>
  </si>
  <si>
    <t>Whole Again (Acoustic Version)</t>
  </si>
  <si>
    <t>Whole Again - Acoustic Version</t>
  </si>
  <si>
    <t>3tob5ofeuvFKKSbOTldenC</t>
  </si>
  <si>
    <t>Overpass Graffiti</t>
  </si>
  <si>
    <t>4E6cwWJWZw2zWf7VFbH7wf</t>
  </si>
  <si>
    <t>Love Song</t>
  </si>
  <si>
    <t>3uAdZpIbMTtVXitHVibLMV</t>
  </si>
  <si>
    <t>Let Her Go</t>
  </si>
  <si>
    <t>2LC523tbEPFpc1pnikbt5b</t>
  </si>
  <si>
    <t>Aqualung</t>
  </si>
  <si>
    <t>Still Life</t>
  </si>
  <si>
    <t>Brighter Than Sunshine</t>
  </si>
  <si>
    <t>3ISLwA96mtx13Wx7K1PPPk</t>
  </si>
  <si>
    <t>Tyler Ward;Karis;Ray Lorraine</t>
  </si>
  <si>
    <t>Love Story</t>
  </si>
  <si>
    <t>7Ca2CkwSqHyr3eCh8IRdjz</t>
  </si>
  <si>
    <t>AgustÃ­n AmigÃ³;Nylonwings</t>
  </si>
  <si>
    <t>Mujer con Abanico</t>
  </si>
  <si>
    <t>6ql0ffq6Jvyh9OKqrJCMaP</t>
  </si>
  <si>
    <t>Amy Stroup</t>
  </si>
  <si>
    <t>In the Shadows</t>
  </si>
  <si>
    <t>1EyvonxK8OGHRV4WDRdArc</t>
  </si>
  <si>
    <t>Boyce Avenue;Connie Talbot</t>
  </si>
  <si>
    <t>Can You Feel the Love Tonight</t>
  </si>
  <si>
    <t>2.24e-06</t>
  </si>
  <si>
    <t>0EKBV6GybPtALXUgWqWrym</t>
  </si>
  <si>
    <t>The Story</t>
  </si>
  <si>
    <t>3.78e-06</t>
  </si>
  <si>
    <t>41A82PidFKhGX5hm1WoaDs</t>
  </si>
  <si>
    <t>Better</t>
  </si>
  <si>
    <t>5oV8bZaShr2d01FFMHBUPq</t>
  </si>
  <si>
    <t>Iris</t>
  </si>
  <si>
    <t>5nMRpGfqQ0tb1TMbqBVK2J</t>
  </si>
  <si>
    <t>#Acoustic</t>
  </si>
  <si>
    <t>Rockabye - Acoustic Version</t>
  </si>
  <si>
    <t>04qDUASuSfVp6fktfsxVej</t>
  </si>
  <si>
    <t>Caleb Santos;Viva Music Publishing Inc.</t>
  </si>
  <si>
    <t>I Need You More Today</t>
  </si>
  <si>
    <t>3g61xRaqII8q1wlQDzv550</t>
  </si>
  <si>
    <t>Beautiful Soul</t>
  </si>
  <si>
    <t>3dglCYsVMjPbDlU2CC9Vq7</t>
  </si>
  <si>
    <t>Let's See What The Night Can Do</t>
  </si>
  <si>
    <t>2f4jlGvGi3ZDGogXys5FUp</t>
  </si>
  <si>
    <t>La La La (Something In the Rain, Pt. 2) [Music from the Original TV Series]</t>
  </si>
  <si>
    <t>3NCg46FWgnANZc9HQHQOQR</t>
  </si>
  <si>
    <t>Forever And Always</t>
  </si>
  <si>
    <t>0muntSMuAZzcwYBBMZj6sf</t>
  </si>
  <si>
    <t>Priscilla Ahn</t>
  </si>
  <si>
    <t>When Marnie Was There Song Album - Just Know That I Love You.</t>
  </si>
  <si>
    <t>Fine On The Outside</t>
  </si>
  <si>
    <t>4bXoVtbp6fN8FaSQvGQB41</t>
  </si>
  <si>
    <t>Tree House Tapes</t>
  </si>
  <si>
    <t>Tortured Soul</t>
  </si>
  <si>
    <t>2.26e-06</t>
  </si>
  <si>
    <t>3FRARAKLpHw3er9ZaTwaHO</t>
  </si>
  <si>
    <t>I Believe in You</t>
  </si>
  <si>
    <t>1.2e-05</t>
  </si>
  <si>
    <t>2Dzhwe90lhHXVU6lk7Nx0H</t>
  </si>
  <si>
    <t>Jon Bryant</t>
  </si>
  <si>
    <t>Cult Classic</t>
  </si>
  <si>
    <t>At Home</t>
  </si>
  <si>
    <t>12niARgkwxGsklcEwh6GlG</t>
  </si>
  <si>
    <t>Donovan Woods</t>
  </si>
  <si>
    <t>Hard Settle, Ain't Troubled</t>
  </si>
  <si>
    <t>Portland, Maine</t>
  </si>
  <si>
    <t>0v0pc1lIt5p6EBX7pnfOGF</t>
  </si>
  <si>
    <t>Holding On and Letting Go LP</t>
  </si>
  <si>
    <t>Holding On and Letting Go</t>
  </si>
  <si>
    <t>5wQci5VCUjdbKnRD61XYwu</t>
  </si>
  <si>
    <t>In Deepest Blue (Bonus Track Version)</t>
  </si>
  <si>
    <t>The Flood</t>
  </si>
  <si>
    <t>0HQnJee8ShSDu2AYwibxst</t>
  </si>
  <si>
    <t>Angelina Cruz</t>
  </si>
  <si>
    <t>Hanggang Kailan (Umuwi Ka Na Baby)</t>
  </si>
  <si>
    <t>9.95e-06</t>
  </si>
  <si>
    <t>4VoJCUgNmnqG2qF0peDBkw</t>
  </si>
  <si>
    <t>Stephen Speaks</t>
  </si>
  <si>
    <t>No More Doubt</t>
  </si>
  <si>
    <t>Out of My League</t>
  </si>
  <si>
    <t>7xLhousIHDxoGgeJNhO4Ye</t>
  </si>
  <si>
    <t>1.58e-06</t>
  </si>
  <si>
    <t>1bhpBRCLsVg3p7BWARbaDS</t>
  </si>
  <si>
    <t>Rise</t>
  </si>
  <si>
    <t>6NSlOEEtWlqvEFrjQsry77</t>
  </si>
  <si>
    <t>The Weepies;Deb Talan;Steve Tannen</t>
  </si>
  <si>
    <t>Say I Am You</t>
  </si>
  <si>
    <t>World Spins Madly On</t>
  </si>
  <si>
    <t>4.32e-05</t>
  </si>
  <si>
    <t>1HqVCK9h4LiJ61aRrrKTAt</t>
  </si>
  <si>
    <t>Freddie King</t>
  </si>
  <si>
    <t>Thanksgiving Party</t>
  </si>
  <si>
    <t>Stumble</t>
  </si>
  <si>
    <t>0wP19iM8ULJyV0r0LFDsDv</t>
  </si>
  <si>
    <t>Taj Mahal</t>
  </si>
  <si>
    <t>Supa Chill</t>
  </si>
  <si>
    <t>Paradise</t>
  </si>
  <si>
    <t>27Fq4XyOkogdGLcfsVdjFb</t>
  </si>
  <si>
    <t>Keb' Mo';Gerald Albright</t>
  </si>
  <si>
    <t>Un tecito y a mimir</t>
  </si>
  <si>
    <t>Moonlight, Mistletoe &amp; You</t>
  </si>
  <si>
    <t>45jGOHwYKgsRYbAJ8DR61d</t>
  </si>
  <si>
    <t>é’ã®å…‰æ™¯</t>
  </si>
  <si>
    <t>ã²ã¾ã‚ã‚Šã®ç´„æŸ</t>
  </si>
  <si>
    <t>4iObEYRE4FLm0D90gmZFef</t>
  </si>
  <si>
    <t>Thomas Daniel</t>
  </si>
  <si>
    <t>Since U Been Gone</t>
  </si>
  <si>
    <t>Since U Been Gone - Acoustic Version</t>
  </si>
  <si>
    <t>3akr0ZrJxLMBLIFeNNKffW</t>
  </si>
  <si>
    <t>Masayoshi Yamazaki</t>
  </si>
  <si>
    <t>One more time,One more chance</t>
  </si>
  <si>
    <t>7BRwh1bemr9rFMDeTbcy5S</t>
  </si>
  <si>
    <t>Creep</t>
  </si>
  <si>
    <t>3rzRo91l4htQvMXhsiECAX</t>
  </si>
  <si>
    <t>Todd Carey;Ariza;Chuck Leavell</t>
  </si>
  <si>
    <t>Higher Love</t>
  </si>
  <si>
    <t>2.8e-06</t>
  </si>
  <si>
    <t>0v1vufjir4OE4iRckLMoLd</t>
  </si>
  <si>
    <t>YUZU</t>
  </si>
  <si>
    <t>Shinsekai</t>
  </si>
  <si>
    <t>Hyouriittai</t>
  </si>
  <si>
    <t>4vAnqYqm1DOo5IDVcxORX3</t>
  </si>
  <si>
    <t>How Long Will I Love You</t>
  </si>
  <si>
    <t>2X5AFygz5SDYlXagyPw8kX</t>
  </si>
  <si>
    <t>Binibini</t>
  </si>
  <si>
    <t>1.54e-06</t>
  </si>
  <si>
    <t>13GvSZgg9LOs3M9uGbWsPE</t>
  </si>
  <si>
    <t>You Were Supposed to Be Different</t>
  </si>
  <si>
    <t>8.48e-05</t>
  </si>
  <si>
    <t>4cR4nao0hqqBtklQmGVqbe</t>
  </si>
  <si>
    <t>Thinking out Loud</t>
  </si>
  <si>
    <t>4x7AdVDV9IFWp8pg4LMz90</t>
  </si>
  <si>
    <t>Jonah Baker</t>
  </si>
  <si>
    <t>Perfect / Style</t>
  </si>
  <si>
    <t>5eNYumDY5PCXtKKJ0SWg2r</t>
  </si>
  <si>
    <t>Barton Hollow</t>
  </si>
  <si>
    <t>Poison &amp; Wine</t>
  </si>
  <si>
    <t>7.3e-05</t>
  </si>
  <si>
    <t>6dwkFmLUz6hx2CZG2EqLol</t>
  </si>
  <si>
    <t>7aohwSiTDju51QmC54AUba</t>
  </si>
  <si>
    <t>Be OK</t>
  </si>
  <si>
    <t>You And I</t>
  </si>
  <si>
    <t>7g3ryXLtXExZ0OFCj17Ae1</t>
  </si>
  <si>
    <t>Zack Tabudlo;Billkin</t>
  </si>
  <si>
    <t>Give Me Your Forever (ft. Billkin)</t>
  </si>
  <si>
    <t>5MrgVJzR1du1gz8XWe4m28</t>
  </si>
  <si>
    <t>Coffee Shop</t>
  </si>
  <si>
    <t>5auMzVHFr5Zfw6IbKarZ56</t>
  </si>
  <si>
    <t>Anna Nalick</t>
  </si>
  <si>
    <t>Wreck of the Day</t>
  </si>
  <si>
    <t>Breathe (2 AM)</t>
  </si>
  <si>
    <t>63bmIgH9sS6sX5Sc7MetGq</t>
  </si>
  <si>
    <t>Habang Buhay</t>
  </si>
  <si>
    <t>3ZjSJv88euP3CdvTg07dZL</t>
  </si>
  <si>
    <t>14BMBNRzv24eG6OKoIgPfP</t>
  </si>
  <si>
    <t>Bulletproof</t>
  </si>
  <si>
    <t>5pEmeoMUW38w1oU3kPelvR</t>
  </si>
  <si>
    <t>Spectrum</t>
  </si>
  <si>
    <t>2h3VsZVKQeT0yLNQtCIRjn</t>
  </si>
  <si>
    <t>Girls Like You (Acoustic Version)</t>
  </si>
  <si>
    <t>Girls Like You - Acoustic Version</t>
  </si>
  <si>
    <t>1dcNEEtODRVZEevQ20Cgmy</t>
  </si>
  <si>
    <t>Nangangamba</t>
  </si>
  <si>
    <t>6huS9u0BDfeQHq0lObNLPl</t>
  </si>
  <si>
    <t>Us The Duo</t>
  </si>
  <si>
    <t>Better Together</t>
  </si>
  <si>
    <t>14NiShC5b46yQxBN1mu9VJ</t>
  </si>
  <si>
    <t>Heartbreak Anniversary</t>
  </si>
  <si>
    <t>3DyhwZyBFedvnt68fMi6vf</t>
  </si>
  <si>
    <t>One More Time Around</t>
  </si>
  <si>
    <t>6kRZfOZSuoi0Htg6gROKDz</t>
  </si>
  <si>
    <t>æµæ˜ŸèŠ±åœ’éŸ³æ¨‚å°ˆè¼¯</t>
  </si>
  <si>
    <t>1.74e-06</t>
  </si>
  <si>
    <t>5e9DrLUUZraUE7mmniufjn</t>
  </si>
  <si>
    <t>Heart Canâ€™t Lose</t>
  </si>
  <si>
    <t>2z3HKlpENvfz1Am2MNF2pL</t>
  </si>
  <si>
    <t>Donovan Woods;Tenille Townes</t>
  </si>
  <si>
    <t>The Other Way</t>
  </si>
  <si>
    <t>I Ain't Ever Loved No One - Acoustic</t>
  </si>
  <si>
    <t>33JX2be3eKVhl5xk8YQhVc</t>
  </si>
  <si>
    <t>Ray LaMontagne</t>
  </si>
  <si>
    <t>Till The Sun Turns Black</t>
  </si>
  <si>
    <t>Empty</t>
  </si>
  <si>
    <t>29Ns3avs48iQhNQgrHMEkm</t>
  </si>
  <si>
    <t>Megan Davies</t>
  </si>
  <si>
    <t>See You Again, Love Me Like You Do, Sugar (Acoustic Mashup)</t>
  </si>
  <si>
    <t>See You Again, Love Me Like You Do, Sugar - Acoustic Mashup</t>
  </si>
  <si>
    <t>2XDxQ3VzovLzh60zgOaNEi</t>
  </si>
  <si>
    <t>The Reason</t>
  </si>
  <si>
    <t>0J4sK2VO75cRSVoj0FokQn</t>
  </si>
  <si>
    <t>Refuge</t>
  </si>
  <si>
    <t>Fix You</t>
  </si>
  <si>
    <t>2.37e-05</t>
  </si>
  <si>
    <t>7bpR5j22mNID1pXwgRcZP1</t>
  </si>
  <si>
    <t>Hand to Hold</t>
  </si>
  <si>
    <t>7.97e-06</t>
  </si>
  <si>
    <t>1U1GtaJeYwGsPgqV9Me5bb</t>
  </si>
  <si>
    <t>Trouble</t>
  </si>
  <si>
    <t>Hold You in My Arms</t>
  </si>
  <si>
    <t>34p2uL1CvmaHn3uLfOKt8d</t>
  </si>
  <si>
    <t>Public Record</t>
  </si>
  <si>
    <t>One Last Dance</t>
  </si>
  <si>
    <t>2EKxmYmUdAVXlaHCnnW13o</t>
  </si>
  <si>
    <t>Boyce Avenue;Megan Nicole</t>
  </si>
  <si>
    <t>Cover Sessions, Vol. 2</t>
  </si>
  <si>
    <t>Heaven</t>
  </si>
  <si>
    <t>1jkBuvWI9IGEz9thXiKOlP</t>
  </si>
  <si>
    <t>The Spark - Bonus Track</t>
  </si>
  <si>
    <t>7K36drJq6lInkW6Kkojucp</t>
  </si>
  <si>
    <t>Medicine</t>
  </si>
  <si>
    <t>American Beauty</t>
  </si>
  <si>
    <t>4PuUa8e5s7P3Zv1IdCGIsa</t>
  </si>
  <si>
    <t>Part Of The Light</t>
  </si>
  <si>
    <t>Such A Simple Thing</t>
  </si>
  <si>
    <t>72SPsHheqN6J3sI520jT9E</t>
  </si>
  <si>
    <t>Amos Lee</t>
  </si>
  <si>
    <t>Colors</t>
  </si>
  <si>
    <t>52J3WARiRHMtXbFXUWrVgu</t>
  </si>
  <si>
    <t>Someone You Loved</t>
  </si>
  <si>
    <t>03VNgdCL9t8aPyvwZecglI</t>
  </si>
  <si>
    <t>Jason Mraz;Meghan Trainor</t>
  </si>
  <si>
    <t>More Than Friends (feat. Meghan Trainor)</t>
  </si>
  <si>
    <t>3M6NL7PxIDZ3ArfPrBUTUP</t>
  </si>
  <si>
    <t>Days N Daze</t>
  </si>
  <si>
    <t>Show Me the Blueprints.</t>
  </si>
  <si>
    <t>Flurry Rush</t>
  </si>
  <si>
    <t>7jJH8F3PHlNvxfqEAAfFDl</t>
  </si>
  <si>
    <t>I Choose You</t>
  </si>
  <si>
    <t>6JNEDSev5Tp5VQR04SEBfV</t>
  </si>
  <si>
    <t>Mindy Gledhill</t>
  </si>
  <si>
    <t>Anchor</t>
  </si>
  <si>
    <t>I Do Adore</t>
  </si>
  <si>
    <t>1gRa1tyGV1GY60QgU5DkQH</t>
  </si>
  <si>
    <t>Dave Barnes</t>
  </si>
  <si>
    <t>Christmas Faves 2022</t>
  </si>
  <si>
    <t>I'll Be Home For Christmas</t>
  </si>
  <si>
    <t>5DUAKXpyv3nL50PnAQbPS0</t>
  </si>
  <si>
    <t>Get Dead</t>
  </si>
  <si>
    <t>Tall Cans &amp; Loose Ends</t>
  </si>
  <si>
    <t>Fuck You</t>
  </si>
  <si>
    <t>6OCsvPU6P84wJ0erggCRv4</t>
  </si>
  <si>
    <t>Albert King</t>
  </si>
  <si>
    <t>pov: you have a holly jolly christmas</t>
  </si>
  <si>
    <t>Christmas Comes But Once A Year</t>
  </si>
  <si>
    <t>5.5e-05</t>
  </si>
  <si>
    <t>7qJtNgmUyzy3R86vJwk9Wp</t>
  </si>
  <si>
    <t>pov: you rock around the christmas tree</t>
  </si>
  <si>
    <t>6hy5eqMQ36KAChR1ZZ05zc</t>
  </si>
  <si>
    <t>If I Ain't Got You (Acoustic)</t>
  </si>
  <si>
    <t>If I Ain't Got You - Acoustic</t>
  </si>
  <si>
    <t>4Gcx0DkgBVticyPDpezwg5</t>
  </si>
  <si>
    <t>Believe (Acoustic)</t>
  </si>
  <si>
    <t>Believe - Acoustic</t>
  </si>
  <si>
    <t>0fUB9bwvKLRpOB18YZHz5N</t>
  </si>
  <si>
    <t>Iris (Acoustic)</t>
  </si>
  <si>
    <t>Iris - Acoustic</t>
  </si>
  <si>
    <t>0I0l2Oo5zjpCEphpDJL0Pm</t>
  </si>
  <si>
    <t>Rain - Long Ver.</t>
  </si>
  <si>
    <t>6.86e-05</t>
  </si>
  <si>
    <t>4v0RBzYNzTknP6d0zN2VQb</t>
  </si>
  <si>
    <t>Aoi Teshima</t>
  </si>
  <si>
    <t>Cheek to Cheek~I Love Cinemas~</t>
  </si>
  <si>
    <t>C'est si bon</t>
  </si>
  <si>
    <t>1FQH1FxPwwIj9aKyPBDf9b</t>
  </si>
  <si>
    <t>Baby (Acoustic Version)</t>
  </si>
  <si>
    <t>4YgEwanzISFU4xa27saTux</t>
  </si>
  <si>
    <t>Land</t>
  </si>
  <si>
    <t>Reason</t>
  </si>
  <si>
    <t>7pKMoXeiCv40wbrjII06VO</t>
  </si>
  <si>
    <t>Boyce Avenue;Emma Heesters</t>
  </si>
  <si>
    <t>I Like Me Better</t>
  </si>
  <si>
    <t>5MYPzdIWgx3pMLRGlq2fVq</t>
  </si>
  <si>
    <t>Asan Ka Na Ba</t>
  </si>
  <si>
    <t>2Qw1KFrJ1q6qHXxWGh51kC</t>
  </si>
  <si>
    <t>A Thousand Years</t>
  </si>
  <si>
    <t>66V40iz2mphPbYvuJVj13i</t>
  </si>
  <si>
    <t>drivers license</t>
  </si>
  <si>
    <t>4Bo6FwC7Oe9zywSZc6q7hO</t>
  </si>
  <si>
    <t>YES!</t>
  </si>
  <si>
    <t>Love Someone</t>
  </si>
  <si>
    <t>6Xbi3gOwMal0Ds3ETvBBwe</t>
  </si>
  <si>
    <t>Jae Hall</t>
  </si>
  <si>
    <t>The Winner Takes It All (Acoustic)</t>
  </si>
  <si>
    <t>The Winner Takes It All - Acoustic</t>
  </si>
  <si>
    <t>4.3e-06</t>
  </si>
  <si>
    <t>6QXolVfFVjUHPp5TVzsjIF</t>
  </si>
  <si>
    <t>Only Time</t>
  </si>
  <si>
    <t>1.24e-05</t>
  </si>
  <si>
    <t>71ehTADpxs85ULrZgSEKCy</t>
  </si>
  <si>
    <t>A Fine Frenzy</t>
  </si>
  <si>
    <t>One Cell In The Sea</t>
  </si>
  <si>
    <t>Almost Lover</t>
  </si>
  <si>
    <t>4zYkSXrfgJyrNkNv3mTiIZ</t>
  </si>
  <si>
    <t>Roses &amp; Frey</t>
  </si>
  <si>
    <t>Dance Monkey</t>
  </si>
  <si>
    <t>1nFJAKHt0jgzVogbNJT3Zz</t>
  </si>
  <si>
    <t>Ocean</t>
  </si>
  <si>
    <t>1RZkqIEM5aV000fKgz9J46</t>
  </si>
  <si>
    <t>Dream a Little Dream of Me</t>
  </si>
  <si>
    <t>0n3E6m57nDZJDyUHllaMDp</t>
  </si>
  <si>
    <t>Back For Good</t>
  </si>
  <si>
    <t>2gBYjMXW65daBB1elr68JK</t>
  </si>
  <si>
    <t>OK</t>
  </si>
  <si>
    <t>3.95e-05</t>
  </si>
  <si>
    <t>1FF6TogE9ELY71XnLPoEv6</t>
  </si>
  <si>
    <t>Just The Two Of Us</t>
  </si>
  <si>
    <t>6G8xunNOicxhPPq9sG2raG</t>
  </si>
  <si>
    <t>Hey There Delilah</t>
  </si>
  <si>
    <t>6LsHKNorX6fPBNcGxU1jQZ</t>
  </si>
  <si>
    <t>Arcade</t>
  </si>
  <si>
    <t>1uxm47Qn1JhUWZHQfcY6w1</t>
  </si>
  <si>
    <t>Yellow</t>
  </si>
  <si>
    <t>2nBrIzKacrNdIxs90FlsT1</t>
  </si>
  <si>
    <t>Wake Me Up</t>
  </si>
  <si>
    <t>5mdjfBsyzl78NQI4sI4IzR</t>
  </si>
  <si>
    <t>Aidan Hawken</t>
  </si>
  <si>
    <t>Walking Blind (feat. Carina Round)</t>
  </si>
  <si>
    <t>Walking Blind</t>
  </si>
  <si>
    <t>7mQmu0JSoEyYU763IJXhIA</t>
  </si>
  <si>
    <t>Headphones</t>
  </si>
  <si>
    <t>2.08e-06</t>
  </si>
  <si>
    <t>08feveJTNL1OMLSrdoHQ6Q</t>
  </si>
  <si>
    <t>The Rescues</t>
  </si>
  <si>
    <t>Teenage Dream</t>
  </si>
  <si>
    <t>4ngv7whSPSAwD8ZP3zMHsd</t>
  </si>
  <si>
    <t>Ivan &amp; Alyosha</t>
  </si>
  <si>
    <t>The Worth Of The Wait</t>
  </si>
  <si>
    <t>8.93e-05</t>
  </si>
  <si>
    <t>24UxG3p1Ghtc5ejJtGBoeL</t>
  </si>
  <si>
    <t>Can't Help Falling In Love (Piano Version)</t>
  </si>
  <si>
    <t>Can't Help Falling In Love - Piano Version</t>
  </si>
  <si>
    <t>4yRlTvPVfEyhXfp6GZurq9</t>
  </si>
  <si>
    <t>Austin Plaine</t>
  </si>
  <si>
    <t>Never Come Back Again</t>
  </si>
  <si>
    <t>3.58e-06</t>
  </si>
  <si>
    <t>5xQTEPjGsLuvwnnvyK3fAA</t>
  </si>
  <si>
    <t>Love You To Death</t>
  </si>
  <si>
    <t>3Mq1SOKwAPYgE0ZtPzvWZZ</t>
  </si>
  <si>
    <t>Plamina</t>
  </si>
  <si>
    <t>Someone You Loved (Acoustic)</t>
  </si>
  <si>
    <t>Someone You Loved - Acoustic</t>
  </si>
  <si>
    <t>38ssTLOvoZyL4CLa4ImDG9</t>
  </si>
  <si>
    <t>Kina Grannis;Imaginary Future</t>
  </si>
  <si>
    <t>What a Wonderful World</t>
  </si>
  <si>
    <t>8.74e-06</t>
  </si>
  <si>
    <t>0njuNwIyB3DoBHC0SFUkOr</t>
  </si>
  <si>
    <t>You Broke Me First</t>
  </si>
  <si>
    <t>5sdliaZjk3rVGuT13UVhxn</t>
  </si>
  <si>
    <t>Echos</t>
  </si>
  <si>
    <t>Long Way Down</t>
  </si>
  <si>
    <t>2Dz5WpEWA0vhnMmEPYiZ2y</t>
  </si>
  <si>
    <t>Losing Sleep</t>
  </si>
  <si>
    <t>She Is Love</t>
  </si>
  <si>
    <t>5w8Cu20Yt1ZNQuVdcafTYC</t>
  </si>
  <si>
    <t>Phillip LaRue</t>
  </si>
  <si>
    <t>The Meaning</t>
  </si>
  <si>
    <t>Marigold</t>
  </si>
  <si>
    <t>1.67e-05</t>
  </si>
  <si>
    <t>1FHCU1rDAeaPsBW9byjJ0Q</t>
  </si>
  <si>
    <t>krissy &amp; ericka</t>
  </si>
  <si>
    <t>Twelve: Fifty One (International Version)</t>
  </si>
  <si>
    <t>0x26yM2rrvtoHGRXXzppx3</t>
  </si>
  <si>
    <t>Takehara Pistol</t>
  </si>
  <si>
    <t>ãƒªãƒ§ã‚¦ãƒ¡ãƒ³ã‚·ã‚¿ã‚™/ã‚µãƒ³ã‚µãƒ¼ãƒ©</t>
  </si>
  <si>
    <t>ã‚µãƒ³ã‚µãƒ¼ãƒ©</t>
  </si>
  <si>
    <t>3.41e-06</t>
  </si>
  <si>
    <t>0Kt5AHOpQAkEsHAuPeB0le</t>
  </si>
  <si>
    <t>Allman Brown;Liz Lawrence</t>
  </si>
  <si>
    <t>1000 Years</t>
  </si>
  <si>
    <t>Sons and Daughters</t>
  </si>
  <si>
    <t>2.14e-06</t>
  </si>
  <si>
    <t>07m8PuXxxv5J4qPEDq6ZkK</t>
  </si>
  <si>
    <t>Brand New</t>
  </si>
  <si>
    <t>1YjMWOorkBaP4MdKkKtp4y</t>
  </si>
  <si>
    <t>Gotta Have You</t>
  </si>
  <si>
    <t>0KF5nzdiqZlxVK68MPITst</t>
  </si>
  <si>
    <t>30,000 Feet</t>
  </si>
  <si>
    <t>1pV4cJaYl9ovK0GcSjH1hy</t>
  </si>
  <si>
    <t>Eddy Tyler</t>
  </si>
  <si>
    <t>Guitar Instrumental Covers</t>
  </si>
  <si>
    <t>2fSIF8CJhoc9CJhF9vJDXp</t>
  </si>
  <si>
    <t>Jolene</t>
  </si>
  <si>
    <t>6J0bdIZElZMymahgVWRE9B</t>
  </si>
  <si>
    <t>No Ceiling</t>
  </si>
  <si>
    <t>5sVyefkGgQeYCgnqr4KslQ</t>
  </si>
  <si>
    <t>Joy Williams</t>
  </si>
  <si>
    <t>Front Porch</t>
  </si>
  <si>
    <t>1MGIxsVtqK2npdPmI8Dj0D</t>
  </si>
  <si>
    <t>Rogue Taxidermy</t>
  </si>
  <si>
    <t>Goodbye Lulu</t>
  </si>
  <si>
    <t>4M4suTUnAYZocl09XEKBZN</t>
  </si>
  <si>
    <t>Cruising</t>
  </si>
  <si>
    <t>Three More Days</t>
  </si>
  <si>
    <t>2C9ePPz58he8jmYEod9pvT</t>
  </si>
  <si>
    <t>Isn't She Lovely (Acoustic)</t>
  </si>
  <si>
    <t>Isn't She Lovely - Acoustic</t>
  </si>
  <si>
    <t>4j0xGuo8Z47wfBiVunT6VR</t>
  </si>
  <si>
    <t>One Spring Night (Original Television Soundtrack), Pt. 4</t>
  </si>
  <si>
    <t>We Could Still Be Happy</t>
  </si>
  <si>
    <t>0JzOJIS7ktLq5Ux6LtYJuW</t>
  </si>
  <si>
    <t>Fix You (Acoustic)</t>
  </si>
  <si>
    <t>Fix You - Acoustic</t>
  </si>
  <si>
    <t>298xJ2nBaWWS0Je5rtlSxT</t>
  </si>
  <si>
    <t>Lusaint</t>
  </si>
  <si>
    <t>I'm Yours (Acoustic)</t>
  </si>
  <si>
    <t>I'm Yours - Acoustic</t>
  </si>
  <si>
    <t>33SH8ZC36EzoRstHbaFE72</t>
  </si>
  <si>
    <t>Boyce Avenue;Sarah Hyland</t>
  </si>
  <si>
    <t>Closer</t>
  </si>
  <si>
    <t>18PrtmAcNMgZNy1edWuXGb</t>
  </si>
  <si>
    <t>Mother's Daughter;Beck Pete</t>
  </si>
  <si>
    <t>A Sky Full of Stars</t>
  </si>
  <si>
    <t>1.38e-05</t>
  </si>
  <si>
    <t>4CU3t2c3TIpmzX44P1VCFi</t>
  </si>
  <si>
    <t>I Don't Believe in Satan</t>
  </si>
  <si>
    <t>0dnRlO7IDzbN9ixVld7hz6</t>
  </si>
  <si>
    <t>The Perishers</t>
  </si>
  <si>
    <t>Let There Be Morning (Bonus Track Version)</t>
  </si>
  <si>
    <t>Pills</t>
  </si>
  <si>
    <t>1XW1lKfocLOAUdp8rUQoNC</t>
  </si>
  <si>
    <t>Tyler Ward;Madysyn</t>
  </si>
  <si>
    <t>he said. she said.</t>
  </si>
  <si>
    <t>Shallow - Acoustic</t>
  </si>
  <si>
    <t>1TZBg0IBHvqfSAlHvVd8eH</t>
  </si>
  <si>
    <t>Watermelon Sugar (Acoustic)</t>
  </si>
  <si>
    <t>Watermelon Sugar - Acoustic</t>
  </si>
  <si>
    <t>5j5OayPyUCnJSK0RynvqgK</t>
  </si>
  <si>
    <t>Matt Johnson;Jaclyn Davies</t>
  </si>
  <si>
    <t>Say You Won't Let Go (Acoustic)</t>
  </si>
  <si>
    <t>Say You Won't Let Go - Acoustic</t>
  </si>
  <si>
    <t>4WtqjjSiGYHORMr6VX3td1</t>
  </si>
  <si>
    <t>0Pi3Ua6fJV1Yx5MGXhfybT</t>
  </si>
  <si>
    <t>Call You Mine (Acoustic Piano)</t>
  </si>
  <si>
    <t>2.75e-06</t>
  </si>
  <si>
    <t>0c99BUd87HQfzgUUQqRyds</t>
  </si>
  <si>
    <t>In the Waiting</t>
  </si>
  <si>
    <t>For Now</t>
  </si>
  <si>
    <t>7JRJOLKHz88pR0YS4pVCao</t>
  </si>
  <si>
    <t>Greg Laswell</t>
  </si>
  <si>
    <t>Three Flights From Alto Nido</t>
  </si>
  <si>
    <t>Sweet Dream</t>
  </si>
  <si>
    <t>0xlyMQ56pZAoGuLCs7GH90</t>
  </si>
  <si>
    <t>Andrew Foy</t>
  </si>
  <si>
    <t>Love Nwantiti</t>
  </si>
  <si>
    <t>5dH4xnErpUOIDrGySWGkfJ</t>
  </si>
  <si>
    <t>Stars Are on Your Side</t>
  </si>
  <si>
    <t>2Sg5gtKvSiRf7TBjI0ObF2</t>
  </si>
  <si>
    <t>Jonah Baker;Sara Phillips</t>
  </si>
  <si>
    <t>We Don't Talk Anymore / Cold (feat. Sara Phillips)</t>
  </si>
  <si>
    <t>2AHZHeLTPuGILKyr4l8uTU</t>
  </si>
  <si>
    <t>Joe Brooks</t>
  </si>
  <si>
    <t>Constellation Me</t>
  </si>
  <si>
    <t>Superman</t>
  </si>
  <si>
    <t>3JKLrIrHpbHtDU1oeYtbYD</t>
  </si>
  <si>
    <t>Cover Sessions, Vol. 5</t>
  </si>
  <si>
    <t>Chasing Cars</t>
  </si>
  <si>
    <t>2CsHDQ1WFLQBBpIEuLcL3z</t>
  </si>
  <si>
    <t>Calm Me Down</t>
  </si>
  <si>
    <t>24Gm1mIhO28NmgT17S95JE</t>
  </si>
  <si>
    <t>Masaharu Fukuyama</t>
  </si>
  <si>
    <t>KISSã—ã¦</t>
  </si>
  <si>
    <t>6j9kSGlYLZdZ9sZkY9DjzY</t>
  </si>
  <si>
    <t>Zack Tabudlo;James TW</t>
  </si>
  <si>
    <t>Binibini (Last Day On Earth)</t>
  </si>
  <si>
    <t>Binibini (Last Day On Earth) (feat. James TW)</t>
  </si>
  <si>
    <t>2UJy2HHo4afrQbI5FizxLM</t>
  </si>
  <si>
    <t>Ciaran Lavery</t>
  </si>
  <si>
    <t>Kosher</t>
  </si>
  <si>
    <t>Left for America</t>
  </si>
  <si>
    <t>7HSk4yGZxfjOkHyOvZrBQZ</t>
  </si>
  <si>
    <t>John Frusciante</t>
  </si>
  <si>
    <t>To Record Only Water For Ten Days (U.S. Version)</t>
  </si>
  <si>
    <t>Ramparts</t>
  </si>
  <si>
    <t>2Jhx81CSHw8xWwBqRM2mZR</t>
  </si>
  <si>
    <t>Hold On (Acoustic)</t>
  </si>
  <si>
    <t>Hold On - Acoustic</t>
  </si>
  <si>
    <t>5.34e-06</t>
  </si>
  <si>
    <t>5P6ZBMWS66FVo6deJaDdHy</t>
  </si>
  <si>
    <t>Dust to Dust</t>
  </si>
  <si>
    <t>5SgFX13gtlQfsNUpoPshwD</t>
  </si>
  <si>
    <t>Good night</t>
  </si>
  <si>
    <t>1.51e-06</t>
  </si>
  <si>
    <t>7vu53hQrIoH7UGeh6qcct1</t>
  </si>
  <si>
    <t>As You Are</t>
  </si>
  <si>
    <t>1.75e-06</t>
  </si>
  <si>
    <t>55RMhrPQYA6vLu5YMgXxFD</t>
  </si>
  <si>
    <t>2KsdoMZsL2ajnjjYUWm1ZT</t>
  </si>
  <si>
    <t>Sara Farell</t>
  </si>
  <si>
    <t>#Covers</t>
  </si>
  <si>
    <t>It Aint Me</t>
  </si>
  <si>
    <t>2fPb58e6f8KxejYDCaARwS</t>
  </si>
  <si>
    <t>4NxUuupOGPquDhy1yFIZK3</t>
  </si>
  <si>
    <t>Ingrid Michaelson;AJR</t>
  </si>
  <si>
    <t>The Lotto</t>
  </si>
  <si>
    <t>0avtLG17MT8kDf9xc67Niv</t>
  </si>
  <si>
    <t>Rodrigo y Gabriela</t>
  </si>
  <si>
    <t>Rodrigo Y Gabriela</t>
  </si>
  <si>
    <t>Tamacun</t>
  </si>
  <si>
    <t>6jI7y83WjuyBne9b3IvdSs</t>
  </si>
  <si>
    <t>The Ladder</t>
  </si>
  <si>
    <t>Make It Without You</t>
  </si>
  <si>
    <t>0ngtyvPUKR4YTtkVKvZP02</t>
  </si>
  <si>
    <t>A Good Day</t>
  </si>
  <si>
    <t>Dream</t>
  </si>
  <si>
    <t>2.96e-05</t>
  </si>
  <si>
    <t>5PoaNLRYLL7rywHSPUOZs8</t>
  </si>
  <si>
    <t>Big Love, Small Moments</t>
  </si>
  <si>
    <t>2.01e-06</t>
  </si>
  <si>
    <t>6DwgZO7AMYelPFwr8WPhpg</t>
  </si>
  <si>
    <t>I Am Not Alone</t>
  </si>
  <si>
    <t>6.17e-05</t>
  </si>
  <si>
    <t>5X3w2MfxgMTZkn2mTPQs0u</t>
  </si>
  <si>
    <t>Stand Your Ground</t>
  </si>
  <si>
    <t>4.59e-06</t>
  </si>
  <si>
    <t>5PCwedwyeLZQ6xAUIKbwos</t>
  </si>
  <si>
    <t>Front Porch Step</t>
  </si>
  <si>
    <t>I Never Loved Before I Found You</t>
  </si>
  <si>
    <t>Perfect Man</t>
  </si>
  <si>
    <t>32kyGOJpEOTFKR9wvPSsxJ</t>
  </si>
  <si>
    <t>It's My Life</t>
  </si>
  <si>
    <t>ã‚ã€‚ã£ã¨ã„ã†é–“ã¯ã‚ã‚‹ã•</t>
  </si>
  <si>
    <t>0ifc4mq2mVNefgQFmtXQpt</t>
  </si>
  <si>
    <t>Eric Hutchinson</t>
  </si>
  <si>
    <t>Pure Fiction</t>
  </si>
  <si>
    <t>Tell The World</t>
  </si>
  <si>
    <t>2gJ3ZOaiWr3jGHwevufOxr</t>
  </si>
  <si>
    <t>Brett Dennen</t>
  </si>
  <si>
    <t>So Much More (Special Edition)</t>
  </si>
  <si>
    <t>Ain't No Reason</t>
  </si>
  <si>
    <t>37jsciEAFxwyjXx0kV6aO6</t>
  </si>
  <si>
    <t>Rail Yard Ghosts</t>
  </si>
  <si>
    <t>Songs from the Lowdown</t>
  </si>
  <si>
    <t>A Month from Now</t>
  </si>
  <si>
    <t>2.75e-05</t>
  </si>
  <si>
    <t>22KbVMZekQbkrHGrubQTpQ</t>
  </si>
  <si>
    <t>What If</t>
  </si>
  <si>
    <t>4RiKD76gS8huCzwWqw0EGC</t>
  </si>
  <si>
    <t>The Bridge City Sinners</t>
  </si>
  <si>
    <t>Bridge City Sinners</t>
  </si>
  <si>
    <t>Pussy Cat</t>
  </si>
  <si>
    <t>3XFhSbm8EdZD6Cjrm1dNJQ</t>
  </si>
  <si>
    <t>Frank Turner</t>
  </si>
  <si>
    <t>Tape Deck Heart (Deluxe Edition)</t>
  </si>
  <si>
    <t>Polaroid Picture</t>
  </si>
  <si>
    <t>4.74e-06</t>
  </si>
  <si>
    <t>3nImoHhXBOqYcdTN8gt9eE</t>
  </si>
  <si>
    <t>Matt Costa</t>
  </si>
  <si>
    <t>I Bet On Flying High</t>
  </si>
  <si>
    <t>0B3g35bVxJ42Y0W0I5WBIU</t>
  </si>
  <si>
    <t>Christmas Vibes But Not Christmas Songs</t>
  </si>
  <si>
    <t>1igSa6QILI1jyE970ZMYW1</t>
  </si>
  <si>
    <t>4AYITlwiumljGdv0NIGR4T</t>
  </si>
  <si>
    <t>Mirrors (Acoustic)</t>
  </si>
  <si>
    <t>Mirrors - Acoustic</t>
  </si>
  <si>
    <t>3YvutLE6lwEyW4WMF5FIi6</t>
  </si>
  <si>
    <t>Aqualung;Kina Grannis</t>
  </si>
  <si>
    <t>10 Futures</t>
  </si>
  <si>
    <t>To the Wonder (feat. Kina Grannis)</t>
  </si>
  <si>
    <t>3geIJghtdmVc7GeJio1xlj</t>
  </si>
  <si>
    <t>Stay - Acoustic</t>
  </si>
  <si>
    <t>1yycinn2WICj4UKGQ9xPjD</t>
  </si>
  <si>
    <t>Ichiko Aoba</t>
  </si>
  <si>
    <t>ãƒžãƒ›ãƒ­ãƒœã‚·ãƒ¤</t>
  </si>
  <si>
    <t>å¤ªé™½ã•ã‚“</t>
  </si>
  <si>
    <t>5Z8O4RFAmjA13jrOYIgyXA</t>
  </si>
  <si>
    <t>Oh What A Love</t>
  </si>
  <si>
    <t>1ABd3bWsG4FCKePjXeVfJG</t>
  </si>
  <si>
    <t>Meiko</t>
  </si>
  <si>
    <t>The Bright Side</t>
  </si>
  <si>
    <t>Leave The Lights On</t>
  </si>
  <si>
    <t>4I18rXWixQBWc8JhTqx6Xn</t>
  </si>
  <si>
    <t>Erin McCarley</t>
  </si>
  <si>
    <t>I Won't Let You Down</t>
  </si>
  <si>
    <t>7.61e-05</t>
  </si>
  <si>
    <t>3IORLAm07yxo4T7B8cRET3</t>
  </si>
  <si>
    <t>Look For The Good</t>
  </si>
  <si>
    <t>Look For The Good (Single Version)</t>
  </si>
  <si>
    <t>4sAX65hbNtEC1lceCdGuMt</t>
  </si>
  <si>
    <t>Isabella Celander</t>
  </si>
  <si>
    <t>Stargazing</t>
  </si>
  <si>
    <t>1.73e-06</t>
  </si>
  <si>
    <t>7vg5fesQdq5I7Z7XGdyJd5</t>
  </si>
  <si>
    <t>6Xrq1dAFgZcSi5HuuHe27i</t>
  </si>
  <si>
    <t>One Spring Night (Original Television Soundtrack), Pt. 3</t>
  </si>
  <si>
    <t>Is It You</t>
  </si>
  <si>
    <t>2TRXV6DoQLjdRrBR6ED6NP</t>
  </si>
  <si>
    <t>Slow Down Time</t>
  </si>
  <si>
    <t>6.73e-05</t>
  </si>
  <si>
    <t>6xXvAzowcCQmoKdDr1oIFJ</t>
  </si>
  <si>
    <t>Amber Leigh Irish</t>
  </si>
  <si>
    <t>Simply Acoustic</t>
  </si>
  <si>
    <t>2002 - Acoustic</t>
  </si>
  <si>
    <t>5L4G3nwKkd4wykW4BV9sVe</t>
  </si>
  <si>
    <t>Jess Penner</t>
  </si>
  <si>
    <t>Love, Love, Love</t>
  </si>
  <si>
    <t>Sweeter</t>
  </si>
  <si>
    <t>0QzY6rP7C8IWMnpEyuQmC6</t>
  </si>
  <si>
    <t>Daniel Robinson</t>
  </si>
  <si>
    <t>Heat Waves (Acoustic)</t>
  </si>
  <si>
    <t>Heat Waves - Acoustic</t>
  </si>
  <si>
    <t>3XdStlaHnq3JrmQDCRqEET</t>
  </si>
  <si>
    <t>Yosui Inoue;Tamio Okuda</t>
  </si>
  <si>
    <t>ã‚·ãƒ§ãƒƒãƒ”ãƒ³ã‚°</t>
  </si>
  <si>
    <t>ã‚¢ã‚¸ã‚¢ã®ç´”çœŸ</t>
  </si>
  <si>
    <t>3.04e-05</t>
  </si>
  <si>
    <t>4h3rI4uxGsbA4LsLt1nB2t</t>
  </si>
  <si>
    <t>Jonah Baker;Celine</t>
  </si>
  <si>
    <t>If the World Was Ending (Acoustic)</t>
  </si>
  <si>
    <t>If the World Was Ending - Acoustic</t>
  </si>
  <si>
    <t>2KhS0LVOw9ralhfbcIi7vL</t>
  </si>
  <si>
    <t>Comes And Goes (In Waves)</t>
  </si>
  <si>
    <t>6fPblqm2OhtEKvaUEQzLzJ</t>
  </si>
  <si>
    <t>æ®‹éŸ¿</t>
  </si>
  <si>
    <t>ãªãŒã‚Œæ˜Ÿ</t>
  </si>
  <si>
    <t>2.77e-05</t>
  </si>
  <si>
    <t>0wFSrH6x1iQOdUljUueAcd</t>
  </si>
  <si>
    <t>Blame Jones</t>
  </si>
  <si>
    <t>Acoustic Versions</t>
  </si>
  <si>
    <t>Dusk Till Dawn - Acoustic</t>
  </si>
  <si>
    <t>1wSZdWFZphxDh6iJhWlIUi</t>
  </si>
  <si>
    <t>Don't Wanna Leave You</t>
  </si>
  <si>
    <t>5ZpSUdy5wL5Hvwsqz6JCAt</t>
  </si>
  <si>
    <t>Passenger Seat</t>
  </si>
  <si>
    <t>3mDvi0k4LuCA7ViLf3Qb3O</t>
  </si>
  <si>
    <t>Matt White</t>
  </si>
  <si>
    <t>Best Days</t>
  </si>
  <si>
    <t>Love</t>
  </si>
  <si>
    <t>5D6xoqZwDoqRO5V9rNgxFO</t>
  </si>
  <si>
    <t>Hallelujah</t>
  </si>
  <si>
    <t>2.22e-06</t>
  </si>
  <si>
    <t>09t3kwndNebf3RV8DZ5pw3</t>
  </si>
  <si>
    <t>Madi Diaz</t>
  </si>
  <si>
    <t>Phantom</t>
  </si>
  <si>
    <t>Ashes</t>
  </si>
  <si>
    <t>3yVSlc3y7YWZPAreTHjH9v</t>
  </si>
  <si>
    <t>æ˜Žæ—¥ã®â˜†SHOW</t>
  </si>
  <si>
    <t>5LHruF9uFyPxGpimaknrU8</t>
  </si>
  <si>
    <t>Love Me Like You Do</t>
  </si>
  <si>
    <t>3SxMBVdL2gxhX5V5dXF9jy</t>
  </si>
  <si>
    <t>Bluebird</t>
  </si>
  <si>
    <t>Lost Sparks</t>
  </si>
  <si>
    <t>9.28e-06</t>
  </si>
  <si>
    <t>6XCPQygbj33s7OUxlbo6bX</t>
  </si>
  <si>
    <t>Tristan Prettyman</t>
  </si>
  <si>
    <t>Back to Home</t>
  </si>
  <si>
    <t>Who We Are</t>
  </si>
  <si>
    <t>4.43e-05</t>
  </si>
  <si>
    <t>0IZJR2XrPdWqHdnpaPixw9</t>
  </si>
  <si>
    <t>SING A SONG</t>
  </si>
  <si>
    <t>Heart (Original Version)</t>
  </si>
  <si>
    <t>3VIbZxc3oo1eAlb7tcRsG1</t>
  </si>
  <si>
    <t>It'll Be Alright</t>
  </si>
  <si>
    <t>2.81e-05</t>
  </si>
  <si>
    <t>3SBzDgdTwHOMSik82ZI6L2</t>
  </si>
  <si>
    <t>Everybody</t>
  </si>
  <si>
    <t>2hSag78vkaBXqpaDF3serw</t>
  </si>
  <si>
    <t>Mark Oblea</t>
  </si>
  <si>
    <t>Kabilugan Ng Buwan</t>
  </si>
  <si>
    <t>3wpZTp7HM8Dv25oExNgCC6</t>
  </si>
  <si>
    <t>Keep Breathing</t>
  </si>
  <si>
    <t>63wsZUhUZLlh1OsyrZq7sz</t>
  </si>
  <si>
    <t>Boyce Avenue;Kina Grannis</t>
  </si>
  <si>
    <t>Fast Car</t>
  </si>
  <si>
    <t>2FSkBDGsqZIxcsnKNgtMLx</t>
  </si>
  <si>
    <t>Just the Way You Are</t>
  </si>
  <si>
    <t>3e5UDAmMzMUM95PqjVHC4L</t>
  </si>
  <si>
    <t>2jcDDdBy1foaBC8X9owMrZ</t>
  </si>
  <si>
    <t>HELLO</t>
  </si>
  <si>
    <t>HELLO (Original Version)</t>
  </si>
  <si>
    <t>7KC4B2R255iYIPVG8S7Eey</t>
  </si>
  <si>
    <t>Hanare Gumi</t>
  </si>
  <si>
    <t>ã ã‚Œãã‹ã‚Œã</t>
  </si>
  <si>
    <t>æŽ¥å»</t>
  </si>
  <si>
    <t>7DUnyslSCb05yeSmGGTJ81</t>
  </si>
  <si>
    <t>Brett Dennen;Benedict Cumberbatch</t>
  </si>
  <si>
    <t>August: Osage County (Original Motion Picture Soundtrack)</t>
  </si>
  <si>
    <t>Can't Keep It Inside</t>
  </si>
  <si>
    <t>3.84e-06</t>
  </si>
  <si>
    <t>2lXGLbSXrSACMa2oelt4TE</t>
  </si>
  <si>
    <t>éŸ³ã‚¿ã‚¤ãƒ </t>
  </si>
  <si>
    <t>æ˜Žæ—¥å¤©æ°—ã«ãªã‚Œ</t>
  </si>
  <si>
    <t>8.36e-05</t>
  </si>
  <si>
    <t>6uZroCk7E7L7RhY7NAvC3Y</t>
  </si>
  <si>
    <t>IT'S ONLY LOVE</t>
  </si>
  <si>
    <t>6ITdND5IQ7lHzjkyJZSt53</t>
  </si>
  <si>
    <t>è™¹/ã²ã¾ã‚ã‚Š/ãã‚ŒãŒã™ã¹ã¦ã•</t>
  </si>
  <si>
    <t>ãã‚ŒãŒã™ã¹ã¦ã•</t>
  </si>
  <si>
    <t>71vcffc4Yfz0pt9AbaL386</t>
  </si>
  <si>
    <t>I Don't Wanna Love Somebody Else</t>
  </si>
  <si>
    <t>1.4e-06</t>
  </si>
  <si>
    <t>7wbSp6u3cGj5GTN0lNxZ4X</t>
  </si>
  <si>
    <t>RENT STRIKE</t>
  </si>
  <si>
    <t>Burn It All!</t>
  </si>
  <si>
    <t>4.28e-06</t>
  </si>
  <si>
    <t>0HL3y3bsKSARBSP0qaImwb</t>
  </si>
  <si>
    <t>Onward (Original Motion Picture Soundtrack)</t>
  </si>
  <si>
    <t>Carried Me With You</t>
  </si>
  <si>
    <t>1yZWcHtL0KMhKadWXG26SG</t>
  </si>
  <si>
    <t>Mischief Brew</t>
  </si>
  <si>
    <t>This Is Not for Children</t>
  </si>
  <si>
    <t>O, Pennsyltucky!</t>
  </si>
  <si>
    <t>4N1PJshrO7sHB468RoZQjL</t>
  </si>
  <si>
    <t>No Man's Land</t>
  </si>
  <si>
    <t>I Believed You, William Blake</t>
  </si>
  <si>
    <t>3NrUMv6TqphWgk2PdDdg4H</t>
  </si>
  <si>
    <t>Dancing with the Curse</t>
  </si>
  <si>
    <t>Pepperspray</t>
  </si>
  <si>
    <t>42mkE3wbofBNickLHgdVlo</t>
  </si>
  <si>
    <t>Stickup</t>
  </si>
  <si>
    <t>3Re0unscFRNOkwwEGtxhCO</t>
  </si>
  <si>
    <t>Grace George</t>
  </si>
  <si>
    <t>Heaven (Acoustic)</t>
  </si>
  <si>
    <t>Heaven - Acoustic</t>
  </si>
  <si>
    <t>4H7MpMZ4p3Cc06B11bcgL7</t>
  </si>
  <si>
    <t>Jack Savoretti</t>
  </si>
  <si>
    <t>Days Gone (Original Soundtrack)</t>
  </si>
  <si>
    <t>Soldier's Eyes</t>
  </si>
  <si>
    <t>8.2e-06</t>
  </si>
  <si>
    <t>7AKxbxzkxm2ERWrd1ggniO</t>
  </si>
  <si>
    <t>Asleep Among Endives</t>
  </si>
  <si>
    <t>6JAXWoK53LV3hYARf4TzzP</t>
  </si>
  <si>
    <t>Symphony</t>
  </si>
  <si>
    <t>Symphony - Acoustic</t>
  </si>
  <si>
    <t>7zCuUs0JXXPIH7GA8tWwii</t>
  </si>
  <si>
    <t>When I Was Your Man</t>
  </si>
  <si>
    <t>5LuSu8fS8PGCH88EDPLYcy</t>
  </si>
  <si>
    <t>Save Your Tears (Acoustic)</t>
  </si>
  <si>
    <t>Save Your Tears - Acoustic</t>
  </si>
  <si>
    <t>1.47e-06</t>
  </si>
  <si>
    <t>4nmjL1mUKOAfAbo9QG9tSE</t>
  </si>
  <si>
    <t>POP VIRUS</t>
  </si>
  <si>
    <t>Koi</t>
  </si>
  <si>
    <t>4A6GiKusHlmrtqCyKAyPg2</t>
  </si>
  <si>
    <t>Richard Walters</t>
  </si>
  <si>
    <t>A.M.</t>
  </si>
  <si>
    <t>July Bones</t>
  </si>
  <si>
    <t>6y4PDihMDJdFRjhunzpJ6s</t>
  </si>
  <si>
    <t>Kaiak;Viktoria Tolstoy</t>
  </si>
  <si>
    <t>Autumn Breeze</t>
  </si>
  <si>
    <t>45SbQo5bq8f0hNdB70IyFC</t>
  </si>
  <si>
    <t>Save Your Tears</t>
  </si>
  <si>
    <t>4l2fpkIEUWv7G9DNp9M2nr</t>
  </si>
  <si>
    <t>Bailey Rushlow</t>
  </si>
  <si>
    <t>You're Still The One (Acoustic)</t>
  </si>
  <si>
    <t>You're Still The One - Acoustic</t>
  </si>
  <si>
    <t>1wflx5YklLYToaIbXkrZSq</t>
  </si>
  <si>
    <t>Somebody Loved</t>
  </si>
  <si>
    <t>0RRZxVYjfY3jWT4XiYAW7k</t>
  </si>
  <si>
    <t>6f9qzNP6elRi8i2NgqGoE5</t>
  </si>
  <si>
    <t>Bohemian Rhapsody (Acoustic)</t>
  </si>
  <si>
    <t>Bohemian Rhapsody - Acoustic</t>
  </si>
  <si>
    <t>1.06e-06</t>
  </si>
  <si>
    <t>39dhIbeOy13KQlVlLM0m8G</t>
  </si>
  <si>
    <t>As It Was (Acoustic)</t>
  </si>
  <si>
    <t>As It Was - Acoustic</t>
  </si>
  <si>
    <t>3m0jiOJfxIqGGsRKMOA2uQ</t>
  </si>
  <si>
    <t>Wish List</t>
  </si>
  <si>
    <t>6.04e-06</t>
  </si>
  <si>
    <t>6IiFTtc2ipIXW5HzwFzOjh</t>
  </si>
  <si>
    <t>Beautiful Disaster</t>
  </si>
  <si>
    <t>4.47e-05</t>
  </si>
  <si>
    <t>2JI53ZVCxMucM68UpCtZ5C</t>
  </si>
  <si>
    <t>Wayne Mack</t>
  </si>
  <si>
    <t>Fake a smile</t>
  </si>
  <si>
    <t>5NqGfELjcdvRIUuhgZJ34W</t>
  </si>
  <si>
    <t>Aimyon</t>
  </si>
  <si>
    <t>Momentary Sixth Sense</t>
  </si>
  <si>
    <t>0Bv0qHGKNiwzDtHzXrjmIn</t>
  </si>
  <si>
    <t>Sungha Jung</t>
  </si>
  <si>
    <t>Irony</t>
  </si>
  <si>
    <t>River Flows In You</t>
  </si>
  <si>
    <t>7z2DKGAsPPdxOwTzMaVYD4</t>
  </si>
  <si>
    <t>Tamio Okuda</t>
  </si>
  <si>
    <t>Bullet Train (Original Motion Picture Soundtrack)</t>
  </si>
  <si>
    <t>Kill Me Pretty</t>
  </si>
  <si>
    <t>2XW4AAjfBQTzp7Oe1tU702</t>
  </si>
  <si>
    <t>No Matter Where You Are</t>
  </si>
  <si>
    <t>7Afr3PKTtlFGHGiXYgnv6P</t>
  </si>
  <si>
    <t>The Walking in Between</t>
  </si>
  <si>
    <t>I Like You</t>
  </si>
  <si>
    <t>3.27e-06</t>
  </si>
  <si>
    <t>5CijCh8uOTWZO9DQpYwAXw</t>
  </si>
  <si>
    <t>The Mess I Made</t>
  </si>
  <si>
    <t>6xAjAocTRpKamQlCy50RRQ</t>
  </si>
  <si>
    <t>Zee Avi</t>
  </si>
  <si>
    <t>Zee Avi's Nightlight</t>
  </si>
  <si>
    <t>0voYwjeuMfvXlF76oesZKu</t>
  </si>
  <si>
    <t>Joshua Radin</t>
  </si>
  <si>
    <t>Here, Right Now</t>
  </si>
  <si>
    <t>6xMm545wcSYbhNFB2Jr2EP</t>
  </si>
  <si>
    <t>Wonderful Tonight</t>
  </si>
  <si>
    <t>1.71e-06</t>
  </si>
  <si>
    <t>7pq5vONxrAy8T773nhkiW3</t>
  </si>
  <si>
    <t>Salvation</t>
  </si>
  <si>
    <t>2dS2710jYUM8gE2V1KC3uG</t>
  </si>
  <si>
    <t>Twenty Something</t>
  </si>
  <si>
    <t>Wilderness</t>
  </si>
  <si>
    <t>2jcdviEbZPIpwM10JBQNYc</t>
  </si>
  <si>
    <t>Calling</t>
  </si>
  <si>
    <t>æ‹äºº (Original Version)</t>
  </si>
  <si>
    <t>6wVxhM5GJiZCro0xPWox6g</t>
  </si>
  <si>
    <t>Bailey Pelkman;Randy Rektor</t>
  </si>
  <si>
    <t>Acoustic Duets</t>
  </si>
  <si>
    <t>I Just Called To Say I Love You</t>
  </si>
  <si>
    <t>7oyFihJppZYPP7o0NfoHnZ</t>
  </si>
  <si>
    <t>Particles</t>
  </si>
  <si>
    <t>Fall on Me</t>
  </si>
  <si>
    <t>2a0WwSvmFdXPTdDMilPA1y</t>
  </si>
  <si>
    <t>Shadows Collide With People</t>
  </si>
  <si>
    <t>Song To Sing When I'm Lonely</t>
  </si>
  <si>
    <t>0vxlqUrmgsiyAWOHaAfnSK</t>
  </si>
  <si>
    <t>Daylight</t>
  </si>
  <si>
    <t>3.79e-06</t>
  </si>
  <si>
    <t>78ylzQxu8Ht3gbFq5hI9Vo</t>
  </si>
  <si>
    <t>Tres Hermanas</t>
  </si>
  <si>
    <t>Have Yourself a Merry Little Christmas</t>
  </si>
  <si>
    <t>2.85e-05</t>
  </si>
  <si>
    <t>1BZnc6VaggPnrQyjem5Dpf</t>
  </si>
  <si>
    <t>Message/ä»Š ã“ã®ã²ã¨ã¨ããŒ é ã„å¤¢ã®ã‚ˆã†ã«</t>
  </si>
  <si>
    <t>Message (Original Version)</t>
  </si>
  <si>
    <t>3.97e-06</t>
  </si>
  <si>
    <t>2K3jLUSLeHrPMA3nKvP1jT</t>
  </si>
  <si>
    <t>Matt Johnson</t>
  </si>
  <si>
    <t>Acoustic Hits, Vol. 3</t>
  </si>
  <si>
    <t>Beautiful In White</t>
  </si>
  <si>
    <t>674WNL7f5Xo8XxtipzB3ao</t>
  </si>
  <si>
    <t>#Acoustic #2</t>
  </si>
  <si>
    <t>Heaven Is a Place on Earth</t>
  </si>
  <si>
    <t>1.6e-06</t>
  </si>
  <si>
    <t>73Nw51XTNstlk3Wu1K26cB</t>
  </si>
  <si>
    <t>Passenger Seat (Acoustic)</t>
  </si>
  <si>
    <t>1.59e-05</t>
  </si>
  <si>
    <t>5OWl1kO0gRlPxmp1wFyIWZ</t>
  </si>
  <si>
    <t>Guaranteed - Humming Version</t>
  </si>
  <si>
    <t>5QjuTblPokfD03fkfHUuVK</t>
  </si>
  <si>
    <t>Dave Van Ronk</t>
  </si>
  <si>
    <t>Folksinger</t>
  </si>
  <si>
    <t>Hang Me, Oh Hang Me</t>
  </si>
  <si>
    <t>1.1e-05</t>
  </si>
  <si>
    <t>2oLaalXlOgiJ70CaI992BA</t>
  </si>
  <si>
    <t>John Frusciante;Josh Klinghoffer</t>
  </si>
  <si>
    <t>A Sphere in the Heart of Silence</t>
  </si>
  <si>
    <t>The Afterglow</t>
  </si>
  <si>
    <t>0rQ146AWbwiDC1DheKXJxm</t>
  </si>
  <si>
    <t>West Coast vs. Wessex</t>
  </si>
  <si>
    <t>Eat the Meek</t>
  </si>
  <si>
    <t>2.45e-05</t>
  </si>
  <si>
    <t>5ZUObJNpVt2l9GogUSfALc</t>
  </si>
  <si>
    <t>The Trouble with Wanting</t>
  </si>
  <si>
    <t>1jyddn36UN4tVsJGtaJfem</t>
  </si>
  <si>
    <t>Gossip In The Grain</t>
  </si>
  <si>
    <t>You Are the Best Thing</t>
  </si>
  <si>
    <t>1.99e-05</t>
  </si>
  <si>
    <t>73JI06Eznb1N22KHpo3HL7</t>
  </si>
  <si>
    <t>Bacchanal 'N' Philadelphia</t>
  </si>
  <si>
    <t>Boycott Me!</t>
  </si>
  <si>
    <t>0YG5wOXVpvNUyPihvr1zsa</t>
  </si>
  <si>
    <t>Days N Daze;Freddie Boatright</t>
  </si>
  <si>
    <t>Crustfall</t>
  </si>
  <si>
    <t>To Risk to Live</t>
  </si>
  <si>
    <t>6.44e-06</t>
  </si>
  <si>
    <t>0wKt65XM5Wit3QH7lZtESU</t>
  </si>
  <si>
    <t>Unholy Hymns</t>
  </si>
  <si>
    <t>The Legend of Olog-hai, Pt. 1</t>
  </si>
  <si>
    <t>6339iq4yAm87arKgnNc922</t>
  </si>
  <si>
    <t>No Christmas For Me</t>
  </si>
  <si>
    <t>6mFsYlDjG2Esy5hXhNy78t</t>
  </si>
  <si>
    <t>This One's for Johnny</t>
  </si>
  <si>
    <t>7c0YUDcJreOv1OoBGf1KdH</t>
  </si>
  <si>
    <t>Graveyard</t>
  </si>
  <si>
    <t>Graveyard - Acoustic</t>
  </si>
  <si>
    <t>3V0NxWbbUTa3BUAnchm11i</t>
  </si>
  <si>
    <t>amuletum bouquet</t>
  </si>
  <si>
    <t>bouquet</t>
  </si>
  <si>
    <t>3c8k1iPo45JM4fKvIfumwh</t>
  </si>
  <si>
    <t>Highlights from Aoi Works II</t>
  </si>
  <si>
    <t>ã“ã“ã‚ã‚’ã“ã‚ã¦</t>
  </si>
  <si>
    <t>5oDDFjWMz0KiMmRzWSFfQ6</t>
  </si>
  <si>
    <t>AcousticTrench</t>
  </si>
  <si>
    <t>5TIXBnwtMYwgC9yc1QjFp7</t>
  </si>
  <si>
    <t>4GiLKZ6Fd3d5UMJMGuzAA0</t>
  </si>
  <si>
    <t>American Wedding</t>
  </si>
  <si>
    <t>Laid</t>
  </si>
  <si>
    <t>6.61e-05</t>
  </si>
  <si>
    <t>6cYx8rBh13laBDAzvD7VrH</t>
  </si>
  <si>
    <t>Lee DeWyze</t>
  </si>
  <si>
    <t>Oil &amp; Water</t>
  </si>
  <si>
    <t>Same For You</t>
  </si>
  <si>
    <t>1jUyxF7NmNXGlZQDVw40O8</t>
  </si>
  <si>
    <t>Clementine Duo</t>
  </si>
  <si>
    <t>2U (Acoustic Version)</t>
  </si>
  <si>
    <t>2U - Acoustic Version</t>
  </si>
  <si>
    <t>4G8wt3fUBpgBjI35TBF2eQ</t>
  </si>
  <si>
    <t>Elephants...Teeth Sinking Into Heart (Standard Version)</t>
  </si>
  <si>
    <t>Duet</t>
  </si>
  <si>
    <t>4eSOx2FzrVXpKmtssY59LB</t>
  </si>
  <si>
    <t>Brandon Chase</t>
  </si>
  <si>
    <t>I'll Say I Do</t>
  </si>
  <si>
    <t>3.6e-06</t>
  </si>
  <si>
    <t>0YhsOegsemgmT7ZHdWheUy</t>
  </si>
  <si>
    <t>Anyone</t>
  </si>
  <si>
    <t>1WSF2SjtfkV8LjTlF8uCZH</t>
  </si>
  <si>
    <t>Start of Time</t>
  </si>
  <si>
    <t>6pTZ8Oy1xGKGCE4saVScoy</t>
  </si>
  <si>
    <t>In The Mood For Love</t>
  </si>
  <si>
    <t>4efRaNW2VgDf3pjbm8y4tr</t>
  </si>
  <si>
    <t>Heat Waves</t>
  </si>
  <si>
    <t>4khjcb6Mpegp1N596VVyf6</t>
  </si>
  <si>
    <t>There She Goes</t>
  </si>
  <si>
    <t>1WiVvolTPvAsVOd64HZi4X</t>
  </si>
  <si>
    <t>Wells</t>
  </si>
  <si>
    <t>1YnLthg0HOs8YTzgN5hVh2</t>
  </si>
  <si>
    <t>God Only Knows</t>
  </si>
  <si>
    <t>0N7UyDRbyHe2L63ilYDcRK</t>
  </si>
  <si>
    <t>Afterglow</t>
  </si>
  <si>
    <t>5EndcDV7pcbLO4jE2GBZwC</t>
  </si>
  <si>
    <t>Montage Of Heck: The Home Recordings (Deluxe Soundtrack)</t>
  </si>
  <si>
    <t>Burn The Rain</t>
  </si>
  <si>
    <t>0MjXRAftpVBuNGYsNV1obJ</t>
  </si>
  <si>
    <t>Just Love</t>
  </si>
  <si>
    <t>Already Mine</t>
  </si>
  <si>
    <t>6.15e-05</t>
  </si>
  <si>
    <t>2O16qeSdWeec3Kte6TKW9p</t>
  </si>
  <si>
    <t>ã‚ªã‚¢ã‚·ã‚¹</t>
  </si>
  <si>
    <t>ãã¿ã¯ã¼ãã®ã¨ã‚‚ã ã¡</t>
  </si>
  <si>
    <t>1W5j84OLhShyEIJEwaLzaU</t>
  </si>
  <si>
    <t>Never Be the Same</t>
  </si>
  <si>
    <t>3KAQ4xe2sR6IiltZw8HSA5</t>
  </si>
  <si>
    <t>Austin Basham</t>
  </si>
  <si>
    <t>You and Me for Now</t>
  </si>
  <si>
    <t>All Is Well</t>
  </si>
  <si>
    <t>60wxK3idlzc3lykP8cYZ2l</t>
  </si>
  <si>
    <t>My Mistake</t>
  </si>
  <si>
    <t>2O7FC4XbIrJ6Ib8bsq0FYC</t>
  </si>
  <si>
    <t>Us</t>
  </si>
  <si>
    <t>Near Or Far</t>
  </si>
  <si>
    <t>1CYBnHYYbOAsuDCGa0zrw0</t>
  </si>
  <si>
    <t>Without a Light</t>
  </si>
  <si>
    <t>1ytsxlw6P6gsCc3RrYweyj</t>
  </si>
  <si>
    <t>Lonely With Me</t>
  </si>
  <si>
    <t>37bc0lXXN8Udi7IPwL58Hn</t>
  </si>
  <si>
    <t>Boyce Avenue;Megan Davies;Jaclyn Davies</t>
  </si>
  <si>
    <t>Time After Time</t>
  </si>
  <si>
    <t>5IGYPdHMSG4PLXDS9LDPJS</t>
  </si>
  <si>
    <t>Eastmountainsouth</t>
  </si>
  <si>
    <t>So Are You To Me</t>
  </si>
  <si>
    <t>9.88e-05</t>
  </si>
  <si>
    <t>53iFMaNUXn6Oj8hUIKSO5a</t>
  </si>
  <si>
    <t>Peter Bradley Adams</t>
  </si>
  <si>
    <t>A Face Like Mine</t>
  </si>
  <si>
    <t>My Arms Were Always Around You</t>
  </si>
  <si>
    <t>68KCwQ2PNKNT17sEx32DEG</t>
  </si>
  <si>
    <t>Dance Me to the End of Love - Bonus</t>
  </si>
  <si>
    <t>2.46e-06</t>
  </si>
  <si>
    <t>27wq82gy6a868oA5HNLRGv</t>
  </si>
  <si>
    <t>Photographs</t>
  </si>
  <si>
    <t>24M6MHeugm1sHHNzCP5eV4</t>
  </si>
  <si>
    <t>Suy Galvez</t>
  </si>
  <si>
    <t>Bossa Best</t>
  </si>
  <si>
    <t>Baby Now That I Found You</t>
  </si>
  <si>
    <t>5DZVpQguB5TGP3MdkN3JSP</t>
  </si>
  <si>
    <t>Right Here Waiting</t>
  </si>
  <si>
    <t>5.33e-06</t>
  </si>
  <si>
    <t>2HUZVffVPXvqnrml0gXggp</t>
  </si>
  <si>
    <t>Howlin' Wolf</t>
  </si>
  <si>
    <t>Moanin' In The Moonlight</t>
  </si>
  <si>
    <t>Smokestack Lightnin'</t>
  </si>
  <si>
    <t>2PTzfXh5Ut3hjRrWGyafz6</t>
  </si>
  <si>
    <t>3.29e-06</t>
  </si>
  <si>
    <t>5MTsZG10E0hTvAkdioyPnw</t>
  </si>
  <si>
    <t>Buddy Guy;Bonnie Raitt</t>
  </si>
  <si>
    <t>Feels Like Rain</t>
  </si>
  <si>
    <t>Feels Like Rain (feat. Bonnie Raitt)</t>
  </si>
  <si>
    <t>2AN3wNGUW0IgzfuurtVEDS</t>
  </si>
  <si>
    <t>Mance Lipscomb</t>
  </si>
  <si>
    <t>The Best of Mance Lipscomb</t>
  </si>
  <si>
    <t>Sugar Babe</t>
  </si>
  <si>
    <t>7jIAttgQTpLDoNtykIQXjH</t>
  </si>
  <si>
    <t>Violent Femmes</t>
  </si>
  <si>
    <t>Blister In The Sun</t>
  </si>
  <si>
    <t>353rT3h7ABEWWBe6Hr7EZD</t>
  </si>
  <si>
    <t>The Oogle Deathmachine</t>
  </si>
  <si>
    <t>Little Blue Pills, Pt. 2</t>
  </si>
  <si>
    <t>0GgFpUEQzr5RuDZC768g0k</t>
  </si>
  <si>
    <t>Drei Rana;Selena Marie</t>
  </si>
  <si>
    <t>Paano Ang Simbang Gabi (Kung 'Di Ka Katabi)</t>
  </si>
  <si>
    <t>Paano Ang Simbang Gabi - Kung 'Di Ka Katabi</t>
  </si>
  <si>
    <t>5hhhrZMKz1NEZM7jRWufbf</t>
  </si>
  <si>
    <t>Bob</t>
  </si>
  <si>
    <t>4zESVuAPxaC9bqQKjiWgH6</t>
  </si>
  <si>
    <t>Harley Poe</t>
  </si>
  <si>
    <t>Have a Great Life.</t>
  </si>
  <si>
    <t>Psycho</t>
  </si>
  <si>
    <t>7EcFRiCKqijYsuA5UbNnQZ</t>
  </si>
  <si>
    <t>Perfect Government</t>
  </si>
  <si>
    <t>6.15e-06</t>
  </si>
  <si>
    <t>4WbTMyywJtvUNhmVKa0oSM</t>
  </si>
  <si>
    <t>The Fear</t>
  </si>
  <si>
    <t>0R7EWhquaAICmyE5MZqt3q</t>
  </si>
  <si>
    <t>The Joy of Music</t>
  </si>
  <si>
    <t>Living My Best Life</t>
  </si>
  <si>
    <t>1.55e-06</t>
  </si>
  <si>
    <t>5u2HaXFymnYNePtwI5bU3t</t>
  </si>
  <si>
    <t>FTHC (Deluxe)</t>
  </si>
  <si>
    <t>Haven't Been Doing So Well</t>
  </si>
  <si>
    <t>79keCNa2NAa4xMInUQCATJ</t>
  </si>
  <si>
    <t>The Legend of Olog-hai, Pt. 2</t>
  </si>
  <si>
    <t>61X73CJcpwGIxgQgKEXbw0</t>
  </si>
  <si>
    <t>In These Silent Days</t>
  </si>
  <si>
    <t>You and Me On The Rock (feat. Lucius)</t>
  </si>
  <si>
    <t>78Vs1Oo42MrcbwB8vQhhsz</t>
  </si>
  <si>
    <t>Glitch</t>
  </si>
  <si>
    <t>4dzurJ1Q1LIr8X7doV3yT0</t>
  </si>
  <si>
    <t>A Thousand Years (Acoustic)</t>
  </si>
  <si>
    <t>A Thousand Years - Acoustic</t>
  </si>
  <si>
    <t>0goA2cYxU9k2XfQHzo6WcP</t>
  </si>
  <si>
    <t>Trevor Hall;Marieme</t>
  </si>
  <si>
    <t>2 Oceans</t>
  </si>
  <si>
    <t>4uCVtXasfPk1Z0JwrwTIzH</t>
  </si>
  <si>
    <t>Golden Hour</t>
  </si>
  <si>
    <t>Golden Hour - Acoustic Piano</t>
  </si>
  <si>
    <t>3HOcPWc2LUUv5te756KfAH</t>
  </si>
  <si>
    <t>Without Me</t>
  </si>
  <si>
    <t>4ISCO9MWDxOuteeVAm2ZWh</t>
  </si>
  <si>
    <t>You &amp; Me (The Wildfire)</t>
  </si>
  <si>
    <t>6YOOCjjIb0pBZXbJjYgUlP</t>
  </si>
  <si>
    <t>Dancing With A Stranger</t>
  </si>
  <si>
    <t>1i7JnFAxC15AuF1dsosbYM</t>
  </si>
  <si>
    <t>Pero</t>
  </si>
  <si>
    <t>7JY9axEOxQbeAN8OzwsOwy</t>
  </si>
  <si>
    <t>Good 4 U (Acoustic)</t>
  </si>
  <si>
    <t>0eyE0L7FbNrXaByFzMXT1C</t>
  </si>
  <si>
    <t>And Then You</t>
  </si>
  <si>
    <t>0MY3K86lZ9HIat4oBi40dh</t>
  </si>
  <si>
    <t>Here With Me (Acoustic)</t>
  </si>
  <si>
    <t>Here With Me - Acoustic</t>
  </si>
  <si>
    <t>16x2V0ZWoXD7Rjo6bSAoEK</t>
  </si>
  <si>
    <t>I'll Be There For You (Friends Theme)</t>
  </si>
  <si>
    <t>0zANeX4R6uWb82gCQAguOD</t>
  </si>
  <si>
    <t>3BztDPhRhfwdwUndTlg45h</t>
  </si>
  <si>
    <t>So Far so Good</t>
  </si>
  <si>
    <t>27hFQQS3cVUmIK3ser5bpu</t>
  </si>
  <si>
    <t>Colin &amp; Caroline</t>
  </si>
  <si>
    <t>More Than Gravity</t>
  </si>
  <si>
    <t>3.93e-05</t>
  </si>
  <si>
    <t>63F2nWghdifkNHVns5GT8W</t>
  </si>
  <si>
    <t>Fade into You</t>
  </si>
  <si>
    <t>76w967eCBrUFBSzef2ExlK</t>
  </si>
  <si>
    <t>æ±äº¬ã«ã‚‚ã‚ã£ãŸã‚“ã  / ç„¡æ•µã®ã‚­ãƒŸ</t>
  </si>
  <si>
    <t>æ±äº¬ã«ã‚‚ã‚ã£ãŸã‚“ã </t>
  </si>
  <si>
    <t>4kXcndvaQEROosxdcbJqzK</t>
  </si>
  <si>
    <t>5å¹´ãƒ¢ãƒŽ</t>
  </si>
  <si>
    <t>ã‚ã®å¤ã‚‚ æµ·ã‚‚ ç©ºã‚‚</t>
  </si>
  <si>
    <t>3.97e-05</t>
  </si>
  <si>
    <t>0lczO04vbk2ZiNvAqzUUQ0</t>
  </si>
  <si>
    <t>21 Guns</t>
  </si>
  <si>
    <t>1.26e-06</t>
  </si>
  <si>
    <t>6Fomnvc3pkLvUQYUkhiQPx</t>
  </si>
  <si>
    <t>Waves</t>
  </si>
  <si>
    <t>6cMzeng5QA8fd2qqiMeIyg</t>
  </si>
  <si>
    <t>Running Up That Hill (A Deal With God) [Acoustic]</t>
  </si>
  <si>
    <t>Running Up That Hill (A Deal With God) - Acoustic</t>
  </si>
  <si>
    <t>4jK6bBO2JbkvvgT7FPj8c5</t>
  </si>
  <si>
    <t>Poison's Gone</t>
  </si>
  <si>
    <t>2jHEySxCzzODFWmPzt084L</t>
  </si>
  <si>
    <t>18 ~eighteen~</t>
  </si>
  <si>
    <t>4XlevPQOF6GkZCS2yWOkNn</t>
  </si>
  <si>
    <t>Build Me Up Buttercup</t>
  </si>
  <si>
    <t>1.03e-06</t>
  </si>
  <si>
    <t>4muAobUpgKTEgqskgNESmC</t>
  </si>
  <si>
    <t>Umbrella - Acoustic Version</t>
  </si>
  <si>
    <t>0OwoAzOM3ULaLoiYpC5axn</t>
  </si>
  <si>
    <t>Home</t>
  </si>
  <si>
    <t>2GbTLMvttdfKoz4YDjZJis</t>
  </si>
  <si>
    <t>The Ghost and the Wall</t>
  </si>
  <si>
    <t>You're My Home</t>
  </si>
  <si>
    <t>5lQBkoXivgiXqKicR2uaTh</t>
  </si>
  <si>
    <t>vs.2013 ~çŸ¥è¦šã¨å¿«æ¥½ã®èžºæ—‹~</t>
  </si>
  <si>
    <t>2GzvzxXnyJ9l3obE4JskC2</t>
  </si>
  <si>
    <t>Ysabelle Cuevas</t>
  </si>
  <si>
    <t>Ysabelle</t>
  </si>
  <si>
    <t>4tK4ARuilOrBzwVQK73E0Y</t>
  </si>
  <si>
    <t>Waiting for My Rocket to Come</t>
  </si>
  <si>
    <t>2E3ObBU2VIrTYOYh8tvi0x</t>
  </si>
  <si>
    <t>Something Stupid</t>
  </si>
  <si>
    <t>3BXMHdrjdF5yjJU4G0Z5HZ</t>
  </si>
  <si>
    <t>Ethan Loukas;Janine TeÃ±oso</t>
  </si>
  <si>
    <t>Hanap-Hanap</t>
  </si>
  <si>
    <t>3x3zdepy3au5Uo81WIA9MG</t>
  </si>
  <si>
    <t>The Will To Death</t>
  </si>
  <si>
    <t>1tPYm2PqXjYL6lM0AfH5aT</t>
  </si>
  <si>
    <t>Boulevard of Broken Dreams (Acoustic)</t>
  </si>
  <si>
    <t>14UvqLsdqw2dsmVkmTYptE</t>
  </si>
  <si>
    <t>The Living Room Sessions Vol. 3</t>
  </si>
  <si>
    <t>6.92e-05</t>
  </si>
  <si>
    <t>3XnDbrxxtA40HPIIRWLgRT</t>
  </si>
  <si>
    <t>Penny and Sparrow</t>
  </si>
  <si>
    <t>Finch</t>
  </si>
  <si>
    <t>Eloise</t>
  </si>
  <si>
    <t>5bC6ONDsL88snGN6QasjZH</t>
  </si>
  <si>
    <t>Sonny Boy Williamson II</t>
  </si>
  <si>
    <t>More Real Folk Blues</t>
  </si>
  <si>
    <t>Help Me</t>
  </si>
  <si>
    <t>2XshyXPcxtwvyFMys4JCqQ</t>
  </si>
  <si>
    <t>Shannon &amp; Keast</t>
  </si>
  <si>
    <t>Acoustic Love</t>
  </si>
  <si>
    <t>Everytime We Touch (Acoustic)</t>
  </si>
  <si>
    <t>56AecW9Anb0CY6HpgWvcg9</t>
  </si>
  <si>
    <t>Let It Be Me</t>
  </si>
  <si>
    <t>2EkGF5wYi3QrxTMMQftm4a</t>
  </si>
  <si>
    <t>Mia Rollo</t>
  </si>
  <si>
    <t>Saktong Akustik</t>
  </si>
  <si>
    <t>Beer</t>
  </si>
  <si>
    <t>6.57e-06</t>
  </si>
  <si>
    <t>6VtoP2sJt5oCmPOQIve2sf</t>
  </si>
  <si>
    <t>Someone Like You</t>
  </si>
  <si>
    <t>7ImaCF0ttRFNoQIErYlRq5</t>
  </si>
  <si>
    <t>You've Got a Friend</t>
  </si>
  <si>
    <t>6.75e-05</t>
  </si>
  <si>
    <t>4ujYTGqbiV5xl97Pqoctq2</t>
  </si>
  <si>
    <t>This Little Light of Mine</t>
  </si>
  <si>
    <t>6B9EuDkJUAm9bO26ZdzBke</t>
  </si>
  <si>
    <t>GOOD LUCK TRACK</t>
  </si>
  <si>
    <t>Amazing Grace</t>
  </si>
  <si>
    <t>2vOFdBs2kss9U0ezRGTG2E</t>
  </si>
  <si>
    <t>Remnants of What People Used to Be</t>
  </si>
  <si>
    <t>1.41e-05</t>
  </si>
  <si>
    <t>6fmrddhzAr0StNzWEzlny5</t>
  </si>
  <si>
    <t>AJJ</t>
  </si>
  <si>
    <t>Christmas Island</t>
  </si>
  <si>
    <t>Linda Ronstadt</t>
  </si>
  <si>
    <t>21HwOODUViTuHpkSYbdcMy</t>
  </si>
  <si>
    <t>SANNA NORTH</t>
  </si>
  <si>
    <t>Chill Out Covers - Chillout Covers - Chill Acoustic - Relaxing Songs - Calming Acoustic Songs</t>
  </si>
  <si>
    <t>Unsteady - Acoustic Covers Versions of Popular Songs</t>
  </si>
  <si>
    <t>0pegFWSUOTiG0sLVEfxtvA</t>
  </si>
  <si>
    <t>Bear Creek</t>
  </si>
  <si>
    <t>Heart's Content</t>
  </si>
  <si>
    <t>3.99e-05</t>
  </si>
  <si>
    <t>34HNaUhhTgO1jvfEuXHFyz</t>
  </si>
  <si>
    <t>The Damned</t>
  </si>
  <si>
    <t>6pRaRbJVkHyQdlW3MGvkgT</t>
  </si>
  <si>
    <t>Pigeon Pit</t>
  </si>
  <si>
    <t>Treehouse</t>
  </si>
  <si>
    <t>Hot Knives</t>
  </si>
  <si>
    <t>2saK0E712wIB3Gf8QLuFYX</t>
  </si>
  <si>
    <t>Nickel Plated</t>
  </si>
  <si>
    <t>1ChZ4mrSLP8HImCY6IyImf</t>
  </si>
  <si>
    <t>Peaches (Acoustic)</t>
  </si>
  <si>
    <t>Peaches - Acoustic</t>
  </si>
  <si>
    <t>1o0yFkUycTAWIIWFOlhDcV</t>
  </si>
  <si>
    <t>You</t>
  </si>
  <si>
    <t>3d8kYb3GqZkiHb6annxKEo</t>
  </si>
  <si>
    <t>Swimmers</t>
  </si>
  <si>
    <t>1HfxPaJggVwFsvOtHbVzMz</t>
  </si>
  <si>
    <t>Kris Allen</t>
  </si>
  <si>
    <t>Live Like We're Dying</t>
  </si>
  <si>
    <t>0Bb9oRoN3suM9iiIwzHtmX</t>
  </si>
  <si>
    <t>LÃºc</t>
  </si>
  <si>
    <t>Somebody That I Used To Know</t>
  </si>
  <si>
    <t>2wdfI1pjsfvviE7WTKGSYM</t>
  </si>
  <si>
    <t>Lost Without You</t>
  </si>
  <si>
    <t>5YRDGgdOshUPA17m7yzY7p</t>
  </si>
  <si>
    <t>HOME</t>
  </si>
  <si>
    <t>One more time, One more chance</t>
  </si>
  <si>
    <t>0KAFjeQ6jpmtKP4CW9m5X6</t>
  </si>
  <si>
    <t>you broke me first</t>
  </si>
  <si>
    <t>203ADb8800e1YSzyrFQUZ9</t>
  </si>
  <si>
    <t>Skylight</t>
  </si>
  <si>
    <t>6xTLXrdNqOTcTUHwPh8Wp1</t>
  </si>
  <si>
    <t>Edy Hafler</t>
  </si>
  <si>
    <t>Game of Thrones</t>
  </si>
  <si>
    <t>7lB0MLvvsfrY6cN6kt4aKC</t>
  </si>
  <si>
    <t>Nothing Like You and I</t>
  </si>
  <si>
    <t>6.52e-05</t>
  </si>
  <si>
    <t>2dMkrhsWFVP2rHZmTEKkeh</t>
  </si>
  <si>
    <t>Mat Kearney</t>
  </si>
  <si>
    <t>CRAZYTALK</t>
  </si>
  <si>
    <t>Wanted Man</t>
  </si>
  <si>
    <t>2GwShNdcJHDLEkGO4L34lF</t>
  </si>
  <si>
    <t>Back To You</t>
  </si>
  <si>
    <t>54sN9ILcN1Udqc6au0Rzdw</t>
  </si>
  <si>
    <t>ä½•åº¦ã§ã‚‚èŠ±ãŒå’²ãã‚ˆã†ã«ç§ã‚’ç”Ÿãã‚ˆã†</t>
  </si>
  <si>
    <t>5mw8Zmzqx3VhxqokFAntGI</t>
  </si>
  <si>
    <t>Scared to Be Lonely</t>
  </si>
  <si>
    <t>4le6DvrwMv2rpyN1SPeL0g</t>
  </si>
  <si>
    <t>Sappy - Early Demo</t>
  </si>
  <si>
    <t>4T8FoNHY3UZSYgOV76ueVU</t>
  </si>
  <si>
    <t>Allman Brown</t>
  </si>
  <si>
    <t>Ancient Light</t>
  </si>
  <si>
    <t>7xO7bS29oAzMcFI0rBj8Fy</t>
  </si>
  <si>
    <t>Sara Farell;Simon Samaeng</t>
  </si>
  <si>
    <t>I Don't Wanna Live Forever (Fifty Shades Darker) - Acoustic Version</t>
  </si>
  <si>
    <t>4z9WDbNAKo2wAfGaMn7yjh</t>
  </si>
  <si>
    <t>Before You Go</t>
  </si>
  <si>
    <t>41XVcLXrmbxiV0mJASJxov</t>
  </si>
  <si>
    <t>Young Love</t>
  </si>
  <si>
    <t>Ships In The Night</t>
  </si>
  <si>
    <t>3.65e-06</t>
  </si>
  <si>
    <t>2ZaYFNn1YQuLSVdHhanr4Q</t>
  </si>
  <si>
    <t>We Were Here</t>
  </si>
  <si>
    <t>Only You</t>
  </si>
  <si>
    <t>1.77e-05</t>
  </si>
  <si>
    <t>4qScDvgzJs0Oo30kFaJIuy</t>
  </si>
  <si>
    <t>Sakura Fujiwara</t>
  </si>
  <si>
    <t>SUPERMARKET</t>
  </si>
  <si>
    <t>Waver</t>
  </si>
  <si>
    <t>5fTJGZ6k0zokfh5KLfe0sm</t>
  </si>
  <si>
    <t>Missing Peace</t>
  </si>
  <si>
    <t>7E1Gs6mg3MOERIWo0sglXL</t>
  </si>
  <si>
    <t>è–åŸŸ</t>
  </si>
  <si>
    <t>6XgmRgd6yQ71afjGLrk0aI</t>
  </si>
  <si>
    <t>Firework</t>
  </si>
  <si>
    <t>1xYMyM7MxFi4OuzDA2op9Q</t>
  </si>
  <si>
    <t>Spotify Singles</t>
  </si>
  <si>
    <t>Such A Simple Thing - Recorded at Sound Stage Studios Nashville</t>
  </si>
  <si>
    <t>3CqV5uSdPvj5Ux3E8Idusc</t>
  </si>
  <si>
    <t>Eddie van der Meer</t>
  </si>
  <si>
    <t>Anime Songs #3</t>
  </si>
  <si>
    <t>Sad Theme (From "One Punch Man")</t>
  </si>
  <si>
    <t>4pcnFf9w7Mxmir5woJoanj</t>
  </si>
  <si>
    <t>Don't Know What I Want</t>
  </si>
  <si>
    <t>2.7e-06</t>
  </si>
  <si>
    <t>2lvcDndxZGuowLA19g4YDv</t>
  </si>
  <si>
    <t>Call Me</t>
  </si>
  <si>
    <t>0yoJHtKTiv9ixa8UFI6tkY</t>
  </si>
  <si>
    <t>3PcIfTefcjfWTK6WFmOLqK</t>
  </si>
  <si>
    <t>I Can't Make You Love Me</t>
  </si>
  <si>
    <t>2.03e-06</t>
  </si>
  <si>
    <t>1RjEDlhTp2iJXWPdLpa8OM</t>
  </si>
  <si>
    <t>Cedar + Gold</t>
  </si>
  <si>
    <t>Say Anything</t>
  </si>
  <si>
    <t>4SXcG6Ti32myNw9GJ9qeDt</t>
  </si>
  <si>
    <t>All We Are</t>
  </si>
  <si>
    <t>1.12e-06</t>
  </si>
  <si>
    <t>06R84YHz9bqaQzEbIWxzsw</t>
  </si>
  <si>
    <t>Ash &amp; Stone</t>
  </si>
  <si>
    <t>Gentle Heart</t>
  </si>
  <si>
    <t>4BguxPKygliNCIkzwWlYxU</t>
  </si>
  <si>
    <t>All My Loving (Original Version)</t>
  </si>
  <si>
    <t>6zz1Lsob8CrgipAoxJys1w</t>
  </si>
  <si>
    <t>COVER ALL HO!</t>
  </si>
  <si>
    <t>ã‚¢ãƒ³ãƒ€ãƒ«ã‚·ã‚¢ã«æ†§ã‚Œã¦</t>
  </si>
  <si>
    <t>2f6RlUydW1yTWhcXqaBhA3</t>
  </si>
  <si>
    <t>æƒ³ -new love new world-</t>
  </si>
  <si>
    <t>6wAT9x3dx1N99gXXvds56Q</t>
  </si>
  <si>
    <t>Drei Rana</t>
  </si>
  <si>
    <t>Last Christmas</t>
  </si>
  <si>
    <t>0c7iF5fSBYxCuwsAv2z4iI</t>
  </si>
  <si>
    <t>Trevor Hall</t>
  </si>
  <si>
    <t>Chapter Of The Forest</t>
  </si>
  <si>
    <t>Green Mountain State</t>
  </si>
  <si>
    <t>2.9e-05</t>
  </si>
  <si>
    <t>44odJaONNr861TeNUYSx3L</t>
  </si>
  <si>
    <t>Maris Racal</t>
  </si>
  <si>
    <t>Ate Sandali</t>
  </si>
  <si>
    <t>Di Papakawalan</t>
  </si>
  <si>
    <t>07CUaE9XAgDQ0B2T4XGrnN</t>
  </si>
  <si>
    <t>Hideaway</t>
  </si>
  <si>
    <t>Can't Go Back Now</t>
  </si>
  <si>
    <t>6ffWQpIQhwtQxhO2HvbyWm</t>
  </si>
  <si>
    <t>ã‚¦ã‚¤ã‚¹ã‚­ãƒ¼ãŒã€ãŠå¥½ãã§ã—ã‚‡</t>
  </si>
  <si>
    <t>1GkwSHR74B5DIgnlarTsa9</t>
  </si>
  <si>
    <t>Ditches</t>
  </si>
  <si>
    <t>0pfG8LwO7hSdHe6hTgc6a6</t>
  </si>
  <si>
    <t>Sounds Like This</t>
  </si>
  <si>
    <t>Outside Villanova</t>
  </si>
  <si>
    <t>3.74e-06</t>
  </si>
  <si>
    <t>2z3PXMMsdQqZ48OdOTBIoZ</t>
  </si>
  <si>
    <t>Apes of the State</t>
  </si>
  <si>
    <t>This City Isn't Big Enough</t>
  </si>
  <si>
    <t>Timeline</t>
  </si>
  <si>
    <t>0XV6QiUZCV5IIeTVojlktV</t>
  </si>
  <si>
    <t>Gail Blanco</t>
  </si>
  <si>
    <t>In Love With Bacharach</t>
  </si>
  <si>
    <t>I'll Never Fall in Love Again</t>
  </si>
  <si>
    <t>4.3e-05</t>
  </si>
  <si>
    <t>03SqUp5aNqCM8EP4WOmUZp</t>
  </si>
  <si>
    <t>Stray Cat Strut</t>
  </si>
  <si>
    <t>02FzDPhxAoCZp6Fz4GzMmL</t>
  </si>
  <si>
    <t>Goodbye Lulu Pt.2</t>
  </si>
  <si>
    <t>6.31e-06</t>
  </si>
  <si>
    <t>3KkgPBPjplbDy4uKcXNZeu</t>
  </si>
  <si>
    <t>Days n Daze of Our Lives</t>
  </si>
  <si>
    <t>5.74e-06</t>
  </si>
  <si>
    <t>5s6ppi6NDeK6FXlX8XCajM</t>
  </si>
  <si>
    <t>8 Track</t>
  </si>
  <si>
    <t>8.77e-05</t>
  </si>
  <si>
    <t>738wQ9tsRLsEVEHnEGm6l1</t>
  </si>
  <si>
    <t>5KOn9dVdz24YDPjt8bfpjt</t>
  </si>
  <si>
    <t>4am</t>
  </si>
  <si>
    <t>5ctBsVOClsptyjkQkBLBn4</t>
  </si>
  <si>
    <t>Adam Christopher;Dan Berk</t>
  </si>
  <si>
    <t>10,000 Hours (Acoustic)</t>
  </si>
  <si>
    <t>10,000 Hours - Acoustic</t>
  </si>
  <si>
    <t>11868tq8nTB9QJKyY3JjB4</t>
  </si>
  <si>
    <t>Yellow - Acoustic</t>
  </si>
  <si>
    <t>5mFrdpvoxokKCWp9uHE1ok</t>
  </si>
  <si>
    <t>No Air</t>
  </si>
  <si>
    <t>0BhmtRzdjNV0bQ5veUOazN</t>
  </si>
  <si>
    <t>Self Help</t>
  </si>
  <si>
    <t>1.28e-06</t>
  </si>
  <si>
    <t>685WYfzmOeDOF4laU8UuOv</t>
  </si>
  <si>
    <t>Blackbird Song</t>
  </si>
  <si>
    <t>2dI0UV4hCGnLaJVja2iosu</t>
  </si>
  <si>
    <t>Easy On Me - Acoustic</t>
  </si>
  <si>
    <t>1abgR6pt8VzZRfiQa0KLlS</t>
  </si>
  <si>
    <t>Chasing Cars (Acoustic)</t>
  </si>
  <si>
    <t>Chasing Cars - Acoustic</t>
  </si>
  <si>
    <t>47Dc6UvkluFZbPnumBlDBH</t>
  </si>
  <si>
    <t>Emilie Mover</t>
  </si>
  <si>
    <t>Can't Take My Eyes Off of You</t>
  </si>
  <si>
    <t>1.13e-05</t>
  </si>
  <si>
    <t>2M1bgJpUPjfKhHLIIfzGtX</t>
  </si>
  <si>
    <t>William Fitzsimmons</t>
  </si>
  <si>
    <t>Acoustic Sessions</t>
  </si>
  <si>
    <t>Fortune - Acoustic</t>
  </si>
  <si>
    <t>1AJRWM34yxnAxhF9TEK0Zj</t>
  </si>
  <si>
    <t>Vivid Color</t>
  </si>
  <si>
    <t>Lot To Learn</t>
  </si>
  <si>
    <t>2xHKGx65VCsJgU83Bvh4j7</t>
  </si>
  <si>
    <t>Apologize</t>
  </si>
  <si>
    <t>5eIF4WZrpcnpEXi2Bu7i2t</t>
  </si>
  <si>
    <t>First &amp; Last</t>
  </si>
  <si>
    <t>6kucNn22HB0qb2ZPa1BrNl</t>
  </si>
  <si>
    <t>Albert Collins</t>
  </si>
  <si>
    <t>Ice Pickin'</t>
  </si>
  <si>
    <t>Cold, Cold Feeling</t>
  </si>
  <si>
    <t>4E73Motq88LCg5Oy42uynU</t>
  </si>
  <si>
    <t>Sweet Love</t>
  </si>
  <si>
    <t>7pxbZ29k1LJXvOdd2e5Bdn</t>
  </si>
  <si>
    <t>Shotgun</t>
  </si>
  <si>
    <t>203WkDdprjHpN37QMBCMyJ</t>
  </si>
  <si>
    <t>HEY!</t>
  </si>
  <si>
    <t>1pIMxRddmCGalHnRbLFkWg</t>
  </si>
  <si>
    <t>3smgLNxWHdmUekrwDXBTfv</t>
  </si>
  <si>
    <t>Trouble Sleeping</t>
  </si>
  <si>
    <t>5uNEaSgkkPw6vLCUh3KsdQ</t>
  </si>
  <si>
    <t>Jon McLaughlin</t>
  </si>
  <si>
    <t>Indiana</t>
  </si>
  <si>
    <t>0UgmLwOrTeOCUNwV07a5AD</t>
  </si>
  <si>
    <t>Kaleidoscope Heart</t>
  </si>
  <si>
    <t>Breathe Again</t>
  </si>
  <si>
    <t>5aGkIyzLVYGuLIHkxpNAFF</t>
  </si>
  <si>
    <t>2NLu5wwfHlB4rGTxDYCRk7</t>
  </si>
  <si>
    <t>Memories</t>
  </si>
  <si>
    <t>1.65e-05</t>
  </si>
  <si>
    <t>4UU97IGHOhBhZjCUgDFUiz</t>
  </si>
  <si>
    <t>Remain</t>
  </si>
  <si>
    <t>Sink Or Swim</t>
  </si>
  <si>
    <t>4aLiEepGWP5LdYDCf7Uhta</t>
  </si>
  <si>
    <t>EJ De Perio</t>
  </si>
  <si>
    <t>Tama Na</t>
  </si>
  <si>
    <t>1CtfA9JkJ5cJQgpO7wEj4V</t>
  </si>
  <si>
    <t>Beyond The Guitar</t>
  </si>
  <si>
    <t>Guitar Covers, Vol. 2</t>
  </si>
  <si>
    <t>He's A Pirate (From "Pirates of the Caribbean")</t>
  </si>
  <si>
    <t>0g5bEa2Kxz18QLp4qotw3z</t>
  </si>
  <si>
    <t>Yosui Inoue</t>
  </si>
  <si>
    <t>é™½æ°´II ã‚»ãƒ³ãƒãƒ¡ãƒ³ã‚¿ãƒ« (Remastered 2018)</t>
  </si>
  <si>
    <t>èƒ½å¤å³¶ã®ç‰‡æƒ³ã„ - Remastered 2018</t>
  </si>
  <si>
    <t>7oGGmUTUwH6EooJGeZBJdj</t>
  </si>
  <si>
    <t>Bitter Heart</t>
  </si>
  <si>
    <t>0wUVwtui3Se9kGUfSD7gaU</t>
  </si>
  <si>
    <t>Hannah's Yard</t>
  </si>
  <si>
    <t>I Want to Know What Love Is (Acoustic)</t>
  </si>
  <si>
    <t>I Want to Know What Love Is - Acoustic</t>
  </si>
  <si>
    <t>6kw6xVfYpwqUwCsIrHHdYl</t>
  </si>
  <si>
    <t>æ—¥ã€…ã®ã‚ã‚</t>
  </si>
  <si>
    <t>ãƒãƒ³ã‚­ãƒ¼ãƒ‘ãƒ³ã‚­ãƒ¼</t>
  </si>
  <si>
    <t>2vfvPpkSwFwsuppSHbLCoR</t>
  </si>
  <si>
    <t>Ordinary Days</t>
  </si>
  <si>
    <t>60S0LkuUyzHzX29KWew1a6</t>
  </si>
  <si>
    <t>Moon River</t>
  </si>
  <si>
    <t>7wF4asYZw8cAHEljYd2Wid</t>
  </si>
  <si>
    <t>Forever Like That</t>
  </si>
  <si>
    <t>1t0zKQvPW6iQPHGnUikbgC</t>
  </si>
  <si>
    <t>Neighbor</t>
  </si>
  <si>
    <t>6.27e-05</t>
  </si>
  <si>
    <t>3InBIgygsMQ90Oc2Izt1mg</t>
  </si>
  <si>
    <t>PEACE OUT</t>
  </si>
  <si>
    <t>ä¸€ç­‰è³ž</t>
  </si>
  <si>
    <t>3NqKDdehfEZ00H4uFghoMr</t>
  </si>
  <si>
    <t>18k8IlS52uxRWObykDUZFG</t>
  </si>
  <si>
    <t>By The Way, I Forgive You</t>
  </si>
  <si>
    <t>The Joke</t>
  </si>
  <si>
    <t>3YalaPTUkyCYanwIf0l4UN</t>
  </si>
  <si>
    <t>Toulumne</t>
  </si>
  <si>
    <t>4ncp2DWzx9EQfaJmOdf45s</t>
  </si>
  <si>
    <t>Vendredi;Son&amp;Dad</t>
  </si>
  <si>
    <t>Just The Two Of Us - Acoustic</t>
  </si>
  <si>
    <t>3k6s9QkAZfENWHO3NhAQOn</t>
  </si>
  <si>
    <t>Chris Cresswell</t>
  </si>
  <si>
    <t>One Week Record</t>
  </si>
  <si>
    <t>Arrythmic Palpitations</t>
  </si>
  <si>
    <t>5.08e-06</t>
  </si>
  <si>
    <t>4l3P7LcxC2GSnUkbvykkMn</t>
  </si>
  <si>
    <t>Chuck Ragan</t>
  </si>
  <si>
    <t>The Blueprint Sessions</t>
  </si>
  <si>
    <t>The Boat</t>
  </si>
  <si>
    <t>3ocm1Cf1Dk1ODrdBdybh82</t>
  </si>
  <si>
    <t>Born Under A Bad Sign (Mono)</t>
  </si>
  <si>
    <t>Born Under A Bad Sign - Mono Mix</t>
  </si>
  <si>
    <t>0pHdVMGxXdDcjmye35j63j</t>
  </si>
  <si>
    <t>Nobody Knows Me At All</t>
  </si>
  <si>
    <t>0ZrFfxDOl9jvgzGljGM8nB</t>
  </si>
  <si>
    <t>Tim Vantol</t>
  </si>
  <si>
    <t>If We Go Down, We Will Go Together!</t>
  </si>
  <si>
    <t>Bitter Morning Taste</t>
  </si>
  <si>
    <t>0WWuB1F1H4dr3Bdoe1vtHs</t>
  </si>
  <si>
    <t>DBS Out</t>
  </si>
  <si>
    <t>1.49e-05</t>
  </si>
  <si>
    <t>7bKWcP3ExUaYeRivBx5KR5</t>
  </si>
  <si>
    <t>Crazy - (Acoustic Mix)</t>
  </si>
  <si>
    <t>4.54e-06</t>
  </si>
  <si>
    <t>4LzdviA9tys39CccjkJubr</t>
  </si>
  <si>
    <t>Dungeon Song</t>
  </si>
  <si>
    <t>5aLPkAwDGpqBaoAvTgbgdD</t>
  </si>
  <si>
    <t>Chad Hates George</t>
  </si>
  <si>
    <t>Can I Sleep On Your Floor??</t>
  </si>
  <si>
    <t>1POSMvQ2TKVN0D7GwOgK0W</t>
  </si>
  <si>
    <t>Positive Songs For Negative People</t>
  </si>
  <si>
    <t>Josephine</t>
  </si>
  <si>
    <t>4.11e-06</t>
  </si>
  <si>
    <t>6ad7bQ48TlqAgebCExUJVe</t>
  </si>
  <si>
    <t>ã„ãã®ã“ã‚Šâ—ã¼ãã‚‰</t>
  </si>
  <si>
    <t>7wiULYwv85WeChygucbpTF</t>
  </si>
  <si>
    <t>Careless Whisper</t>
  </si>
  <si>
    <t>2R1ACTXu88oxUcplmde6kT</t>
  </si>
  <si>
    <t>Look After You</t>
  </si>
  <si>
    <t>69yz6UcfUHCi795treLj3l</t>
  </si>
  <si>
    <t>Acoustic Guitar Collective</t>
  </si>
  <si>
    <t>Golden Covers, Vol. 2</t>
  </si>
  <si>
    <t>Perfect</t>
  </si>
  <si>
    <t>0F78T5bfHQCliaNjBkIYBq</t>
  </si>
  <si>
    <t>When the Party's Over</t>
  </si>
  <si>
    <t>7quFUf8mR7wUxeJip0awxn</t>
  </si>
  <si>
    <t>Sound The Alarm</t>
  </si>
  <si>
    <t>Longest Night</t>
  </si>
  <si>
    <t>3zjr7jirhGwvqGuuJuIxjg</t>
  </si>
  <si>
    <t>6.14e-06</t>
  </si>
  <si>
    <t>1d39v4V4DmrrLiFX4DKHBv</t>
  </si>
  <si>
    <t>Not Nearly Dark</t>
  </si>
  <si>
    <t>Shame</t>
  </si>
  <si>
    <t>4.99e-05</t>
  </si>
  <si>
    <t>3Ebx5xEUEoB6iod7vSak8R</t>
  </si>
  <si>
    <t>2.87e-05</t>
  </si>
  <si>
    <t>70vp3DhQpLrFQapK0BI5Ug</t>
  </si>
  <si>
    <t>Jules Larson</t>
  </si>
  <si>
    <t>Let's Stay Young</t>
  </si>
  <si>
    <t>Running Wild</t>
  </si>
  <si>
    <t>7MlPySldFcJ9R3mSFvGV4y</t>
  </si>
  <si>
    <t>AKIRA</t>
  </si>
  <si>
    <t>å½¼æ–¹ã§</t>
  </si>
  <si>
    <t>4JAVT5eeiKjHrNNxQQrs4J</t>
  </si>
  <si>
    <t>Rosi Golan</t>
  </si>
  <si>
    <t>The Drifter and the Gypsy</t>
  </si>
  <si>
    <t>Hazy (Featuring William Fitzsimmons)</t>
  </si>
  <si>
    <t>6r8OnTtDrhKBIIYgzxrnZ1</t>
  </si>
  <si>
    <t>12qmPGMrOCogibc7qyxT9s</t>
  </si>
  <si>
    <t>I Wanna Be Your Ghost (feat. Ghosts)</t>
  </si>
  <si>
    <t>1K0OGTEEPMRdxFGRt5WYRI</t>
  </si>
  <si>
    <t>ç´„æŸã®ä¸˜</t>
  </si>
  <si>
    <t>6.35e-06</t>
  </si>
  <si>
    <t>4uBwFIBwZcgHNvwNjOqICX</t>
  </si>
  <si>
    <t>Stranger Songs</t>
  </si>
  <si>
    <t>Young And In Love</t>
  </si>
  <si>
    <t>3.34e-06</t>
  </si>
  <si>
    <t>4Akic5cb5RHJrTdQZY7AfX</t>
  </si>
  <si>
    <t>No Plans</t>
  </si>
  <si>
    <t>414FqRxeG518IkFrmzdQjt</t>
  </si>
  <si>
    <t>Easy on Me</t>
  </si>
  <si>
    <t>63m3fusWaHBnB3isFfAlRd</t>
  </si>
  <si>
    <t>Eddie Vedder;Cat Power</t>
  </si>
  <si>
    <t>Ukulele Songs</t>
  </si>
  <si>
    <t>Tonight You Belong To Me</t>
  </si>
  <si>
    <t>5H6Bc7oEWYuKrwb1pUZWhh</t>
  </si>
  <si>
    <t>0RTACXDmdASzBQR1UiSyAZ</t>
  </si>
  <si>
    <t>One Last Breath</t>
  </si>
  <si>
    <t>1.66e-06</t>
  </si>
  <si>
    <t>4qoD4IJbbir3hsAu4IowiG</t>
  </si>
  <si>
    <t>Devil's Backbone</t>
  </si>
  <si>
    <t>35TStN96CwcjFedErjW8Wq</t>
  </si>
  <si>
    <t>Will Moore</t>
  </si>
  <si>
    <t>Classical Guitar Lullabies Volume 1</t>
  </si>
  <si>
    <t>Waltzing Matilda</t>
  </si>
  <si>
    <t>3tInTDUq8wdIMw5ftohmqJ</t>
  </si>
  <si>
    <t>Lights Out</t>
  </si>
  <si>
    <t>Girls Chase Boys</t>
  </si>
  <si>
    <t>1.33e-05</t>
  </si>
  <si>
    <t>6Vn8lTVMjILXQCjZUXS8n4</t>
  </si>
  <si>
    <t>The Woman I Love</t>
  </si>
  <si>
    <t>6.57e-05</t>
  </si>
  <si>
    <t>5hCgm1tDb7ZZKmRtucTTjh</t>
  </si>
  <si>
    <t>C.W. Stoneking</t>
  </si>
  <si>
    <t>Jungle Blues</t>
  </si>
  <si>
    <t>The Love Me or Die</t>
  </si>
  <si>
    <t>2.02e-05</t>
  </si>
  <si>
    <t>1PEpGWRE4Tjsk2qy5teW4p</t>
  </si>
  <si>
    <t>milk tea/ç¾Žã—ãèŠ±</t>
  </si>
  <si>
    <t>ç¾Žã—ãèŠ±</t>
  </si>
  <si>
    <t>02EqvposhJjwrgkQexKIdW</t>
  </si>
  <si>
    <t>Isn't She Lovely</t>
  </si>
  <si>
    <t>3.75e-06</t>
  </si>
  <si>
    <t>68HbD7rEFTlnJy4UWSpySY</t>
  </si>
  <si>
    <t>ä¸–ç•Œä¸­ã®èª°ã‚ˆã‚Šãã£ã¨</t>
  </si>
  <si>
    <t>0qAMjeQFyd1qD0LDiV8gWp</t>
  </si>
  <si>
    <t>Black Horse And The Cherry Tree</t>
  </si>
  <si>
    <t>6b4mWoXrscyajbLOB2qwfG</t>
  </si>
  <si>
    <t>Johnnyswim</t>
  </si>
  <si>
    <t>Georgica Pond</t>
  </si>
  <si>
    <t>Drunks</t>
  </si>
  <si>
    <t>5.52e-05</t>
  </si>
  <si>
    <t>2C3gh14oarzTtv3aY3HJ0m</t>
  </si>
  <si>
    <t>Drew Holcomb;Ellie Holcomb;Drew Holcomb &amp; The Neighbors</t>
  </si>
  <si>
    <t>Coming Home: A Collection of Songs</t>
  </si>
  <si>
    <t>Coming Home</t>
  </si>
  <si>
    <t>2.72e-05</t>
  </si>
  <si>
    <t>2Qj1FilGsXITZbFVmVeoLy</t>
  </si>
  <si>
    <t>Getting Ready... (World)</t>
  </si>
  <si>
    <t>I'm Tore Down</t>
  </si>
  <si>
    <t>4.63e-05</t>
  </si>
  <si>
    <t>2gc1XwdI3kKipqAXTdMcwY</t>
  </si>
  <si>
    <t>Neighbor (Piano Version)</t>
  </si>
  <si>
    <t>1.57e-06</t>
  </si>
  <si>
    <t>35RrDnREM1xxx4YBxDHikm</t>
  </si>
  <si>
    <t>I Will Always Be Yours</t>
  </si>
  <si>
    <t>5bqPeBYkNk9feimSN9N4JY</t>
  </si>
  <si>
    <t>Nine on the Bortle</t>
  </si>
  <si>
    <t>4a7aKxh344UzFEVd0k5lwi</t>
  </si>
  <si>
    <t>England Keep My Bones (Deluxe Edition)</t>
  </si>
  <si>
    <t>Redemption</t>
  </si>
  <si>
    <t>0P0v83waDX4ElzSgmF1cG5</t>
  </si>
  <si>
    <t>Other Side Of The World</t>
  </si>
  <si>
    <t>0NkeEkDFOby5xOZ7BIKVuD</t>
  </si>
  <si>
    <t>Setting Forth</t>
  </si>
  <si>
    <t>348ooLg3LgeDkJVh6zzib8</t>
  </si>
  <si>
    <t>Eulogy</t>
  </si>
  <si>
    <t>4.65e-06</t>
  </si>
  <si>
    <t>2BdXf4OpDOw4AvklnAvcsY</t>
  </si>
  <si>
    <t>Tarnished Ol' Photograph</t>
  </si>
  <si>
    <t>6i1wlqIigKZTvMk0LTh5Id</t>
  </si>
  <si>
    <t>Marc Broussard</t>
  </si>
  <si>
    <t>Carencro</t>
  </si>
  <si>
    <t>Rocksteady</t>
  </si>
  <si>
    <t>1.37e-06</t>
  </si>
  <si>
    <t>5CU7ewecONNlWAJHu04HJQ</t>
  </si>
  <si>
    <t>Come on In</t>
  </si>
  <si>
    <t>31GGw4QarlH4neWIHsFQeq</t>
  </si>
  <si>
    <t>Laugh While You Can</t>
  </si>
  <si>
    <t>4.09e-06</t>
  </si>
  <si>
    <t>3VyInzFUWWHyYw3xCUUz3M</t>
  </si>
  <si>
    <t>Untainted Love</t>
  </si>
  <si>
    <t>6ONQ2wKKkjxIUygJbBe7ph</t>
  </si>
  <si>
    <t>Pinocchio Pariah</t>
  </si>
  <si>
    <t>Whiny Bitch</t>
  </si>
  <si>
    <t>55G6uXo1fyBQ58YL3O2ygf</t>
  </si>
  <si>
    <t>Days N Daze;Juicy Karkass</t>
  </si>
  <si>
    <t>I Wanna See It Burn</t>
  </si>
  <si>
    <t>2Xzh9zjiKhM9YT4AcJxLkQ</t>
  </si>
  <si>
    <t>Mindy Smith</t>
  </si>
  <si>
    <t>Country Holiday</t>
  </si>
  <si>
    <t>I'll Be Home for Christmas</t>
  </si>
  <si>
    <t>1.73e-05</t>
  </si>
  <si>
    <t>4G18Ie2Gm6vVYgzkIiRwFD</t>
  </si>
  <si>
    <t>Happy Country Christmas</t>
  </si>
  <si>
    <t>60Ul9B9xErs1tAikGkBEfL</t>
  </si>
  <si>
    <t>It's Amazing</t>
  </si>
  <si>
    <t>4YimYaA3z1KrrnbBmvE6Af</t>
  </si>
  <si>
    <t>Anya Marina</t>
  </si>
  <si>
    <t>Over You (Deluxe Edition)</t>
  </si>
  <si>
    <t>How Far Does the Dark Go?</t>
  </si>
  <si>
    <t>5.03e-05</t>
  </si>
  <si>
    <t>1fxIiBHyhR3AhYJBHBZTiq</t>
  </si>
  <si>
    <t>THATS WHAT I WANT (Acoustic)</t>
  </si>
  <si>
    <t>7pgxSWFaZqPukb2oes8M5W</t>
  </si>
  <si>
    <t>Dynamite (Acoustic)</t>
  </si>
  <si>
    <t>Dynamite - Acoustic</t>
  </si>
  <si>
    <t>5himtcBG5IetEOAYuB1Lu1</t>
  </si>
  <si>
    <t>SafetySuit</t>
  </si>
  <si>
    <t>Never Stop (Wedding Version)</t>
  </si>
  <si>
    <t>7FNugksLRXsu3Ie96TiWpG</t>
  </si>
  <si>
    <t>Lovers &amp; Fighters</t>
  </si>
  <si>
    <t>You're Mine (The Chase)</t>
  </si>
  <si>
    <t>54gjtcoJgDxt7jpnpwSy0o</t>
  </si>
  <si>
    <t>ãƒ€ãƒ–ãƒ«ãƒ‰ãƒ©ã‚¤ãƒ–</t>
  </si>
  <si>
    <t>ãƒ‘ãƒ©ãƒ¬ãƒ«ãƒ»ãƒ©ãƒ–</t>
  </si>
  <si>
    <t>1snd92ICpwulLUilLfDZFq</t>
  </si>
  <si>
    <t>Boyce Avenue;Hannah Trigwell</t>
  </si>
  <si>
    <t>5moyneo3TMp2wdc0TG8O8U</t>
  </si>
  <si>
    <t>MatinÃ©e</t>
  </si>
  <si>
    <t>So Are We</t>
  </si>
  <si>
    <t>1.44e-05</t>
  </si>
  <si>
    <t>2WQRPsMOrbeqms7JgmmVv3</t>
  </si>
  <si>
    <t>Guitar Covers</t>
  </si>
  <si>
    <t>Shallow</t>
  </si>
  <si>
    <t>1qHiDbTJI7GB62W3BBFigx</t>
  </si>
  <si>
    <t>A Great Big World;Futuristic</t>
  </si>
  <si>
    <t>Hold Each Other (feat. Futuristic)</t>
  </si>
  <si>
    <t>5msvkAkQ8o2GhNxOu3YW5D</t>
  </si>
  <si>
    <t>æ·±å‘¼å¸</t>
  </si>
  <si>
    <t>åˆ¥ã‚Œã®äºˆæ„Ÿ</t>
  </si>
  <si>
    <t>3YllcvA3PW1DUwjckCVjIw</t>
  </si>
  <si>
    <t>MONOVISION</t>
  </si>
  <si>
    <t>6.32e-05</t>
  </si>
  <si>
    <t>2cTaSKEc8OZdF6Tpg2QQsS</t>
  </si>
  <si>
    <t>Heard that there's good pasta</t>
  </si>
  <si>
    <t>Naked Heart</t>
  </si>
  <si>
    <t>1.85e-05</t>
  </si>
  <si>
    <t>1z2fSrYZqrO5tMqzULn9OD</t>
  </si>
  <si>
    <t>The "Hits" | Acoustic</t>
  </si>
  <si>
    <t>5QRt4QovcONoIVzwnlkU7z</t>
  </si>
  <si>
    <t>Kaiak</t>
  </si>
  <si>
    <t>River Love</t>
  </si>
  <si>
    <t>Smell the Coffee</t>
  </si>
  <si>
    <t>4.8e-05</t>
  </si>
  <si>
    <t>7Igc6JB0xPDcn5yRkkVGQX</t>
  </si>
  <si>
    <t>3XfMyT4Xf5LegDhvbrFEjp</t>
  </si>
  <si>
    <t>See You Again</t>
  </si>
  <si>
    <t>3IvEnBPF1egP9y1q3C2Fg4</t>
  </si>
  <si>
    <t>ã‚†ã‚ã®ãªã‹</t>
  </si>
  <si>
    <t>4XBkxG1jC5RBQJt65gma8v</t>
  </si>
  <si>
    <t>Filip Nordin</t>
  </si>
  <si>
    <t>Acustic Covers of Popular Songs</t>
  </si>
  <si>
    <t>More Than You Know - Acoustic Covers of Popular Songs</t>
  </si>
  <si>
    <t>4CpUwb4JSS0YiGZ4pBryTO</t>
  </si>
  <si>
    <t>Nothing Really Matters</t>
  </si>
  <si>
    <t>4fHJwyR7JILiSAbLyXcrKx</t>
  </si>
  <si>
    <t>Don't Wanna Know - Acoustic Version</t>
  </si>
  <si>
    <t>4XBcShO4h4X55x9yMmyKHL</t>
  </si>
  <si>
    <t>Sweetest Thing</t>
  </si>
  <si>
    <t>9.73e-05</t>
  </si>
  <si>
    <t>55fyE9Q754QhXpmcLtmmam</t>
  </si>
  <si>
    <t>Sara Bareilles;John Legend</t>
  </si>
  <si>
    <t>Amidst the Chaos (Bonus Version)</t>
  </si>
  <si>
    <t>A Safe Place to Land (feat. John Legend)</t>
  </si>
  <si>
    <t>20GlDn5GNOkgZUui7Z57k1</t>
  </si>
  <si>
    <t>Your Song</t>
  </si>
  <si>
    <t>6.01e-05</t>
  </si>
  <si>
    <t>4zzi2eD2cEPpQ3a307mPPj</t>
  </si>
  <si>
    <t>Between The Bars (EP)</t>
  </si>
  <si>
    <t>Billie Jean</t>
  </si>
  <si>
    <t>6QYEoTGa0Boucy6htF83tb</t>
  </si>
  <si>
    <t>Melvin Taylor;Lucky Peterson;Titus Williams;Ray "Killer" Allison</t>
  </si>
  <si>
    <t>Plays the Blues for You (feat. Lucky Peterson, Titus Williams, Ray "Killer" Allison) [Blues Power]</t>
  </si>
  <si>
    <t>Cadillac Assembly Line</t>
  </si>
  <si>
    <t>0DCmkHy3eZl8ht8OciCZk8</t>
  </si>
  <si>
    <t>Cover Songs, #1</t>
  </si>
  <si>
    <t>Pirates of the Caribbean Theme</t>
  </si>
  <si>
    <t>3tBS9yN7auzP4PeAEzfGEg</t>
  </si>
  <si>
    <t>youth</t>
  </si>
  <si>
    <t>å…¨ã¦èº«ã«è¦šãˆã®ã‚ã‚‹ç—›ã¿ãŸã‚™ã‚ã†?</t>
  </si>
  <si>
    <t>3NxSIxMnq9tDmQtoyHQqte</t>
  </si>
  <si>
    <t>Luther Allison</t>
  </si>
  <si>
    <t>Serious</t>
  </si>
  <si>
    <t>Life Is A Bitch</t>
  </si>
  <si>
    <t>5ExTzBKfppRaRMl8fIqYBH</t>
  </si>
  <si>
    <t>ROUTE to ROOTS</t>
  </si>
  <si>
    <t>ã‚ªãƒ¼ãƒ«ãƒ‰ãƒ«ãƒ¼ã‚­ãƒ¼ (å†éŒ²)</t>
  </si>
  <si>
    <t>9.13e-06</t>
  </si>
  <si>
    <t>2mKjs6s0Z1imKKb6gOk628</t>
  </si>
  <si>
    <t>6Dm2KfuPBa3eXOgHaT88r4</t>
  </si>
  <si>
    <t>Curtains</t>
  </si>
  <si>
    <t>The Past Recedes</t>
  </si>
  <si>
    <t>2xUM2CBmLcvdldtDtPmrfx</t>
  </si>
  <si>
    <t>Laro Laro Laro</t>
  </si>
  <si>
    <t>25wiOYoBrS6ITwcPGlTSXi</t>
  </si>
  <si>
    <t>Stones</t>
  </si>
  <si>
    <t>5.47e-06</t>
  </si>
  <si>
    <t>7f0PCIJFVw7U5tbuFH4rb0</t>
  </si>
  <si>
    <t>Olly Olly</t>
  </si>
  <si>
    <t>Need You</t>
  </si>
  <si>
    <t>64cc7wgJnZnzADtEqhFwWl</t>
  </si>
  <si>
    <t>We The Heathens</t>
  </si>
  <si>
    <t>Regicide</t>
  </si>
  <si>
    <t>When It's Gone</t>
  </si>
  <si>
    <t>27C0RwdWb6l4j8UGT5LZrR</t>
  </si>
  <si>
    <t>Whole Again</t>
  </si>
  <si>
    <t>Heaven Sent</t>
  </si>
  <si>
    <t>8.29e-05</t>
  </si>
  <si>
    <t>0R3LjmIZg8MiBlf3LdYjcD</t>
  </si>
  <si>
    <t>Love Love Love</t>
  </si>
  <si>
    <t>Too Much Heaven</t>
  </si>
  <si>
    <t>1.71e-05</t>
  </si>
  <si>
    <t>1waSpL77NIcKRni3aDA0kS</t>
  </si>
  <si>
    <t>Ramshackle Glory</t>
  </si>
  <si>
    <t>One Last Big Job</t>
  </si>
  <si>
    <t>Face the Void</t>
  </si>
  <si>
    <t>1.09e-05</t>
  </si>
  <si>
    <t>5Q12oF5TRQL7AQsEY1PZcp</t>
  </si>
  <si>
    <t>IX</t>
  </si>
  <si>
    <t>V: Fair Trade Death March</t>
  </si>
  <si>
    <t>6.24e-05</t>
  </si>
  <si>
    <t>1T7Tqsfkz0Ntbwta2hHebY</t>
  </si>
  <si>
    <t>Fate of a Coward</t>
  </si>
  <si>
    <t>7IdC5YvSg9O1WfRSUtSpNt</t>
  </si>
  <si>
    <t>The Best Of</t>
  </si>
  <si>
    <t>Don't Start Me To Talkin'</t>
  </si>
  <si>
    <t>3NigHcNkAIUpS1cNbiqNl8</t>
  </si>
  <si>
    <t>Angel of Death</t>
  </si>
  <si>
    <t>2uJsLbcAKJWCaYBrVPYxUw</t>
  </si>
  <si>
    <t>Live the Dream</t>
  </si>
  <si>
    <t>Bitter Old Man - Live</t>
  </si>
  <si>
    <t>302k5Cd7lIeZvekkjWcU3k</t>
  </si>
  <si>
    <t>7 Inches of Hell</t>
  </si>
  <si>
    <t>You're a Witch</t>
  </si>
  <si>
    <t>74ooA3upXyi3AUg9Ndz2Ck</t>
  </si>
  <si>
    <t>Non Serviam</t>
  </si>
  <si>
    <t>7BsxlNsLgCMBNZ9CmAcbfv</t>
  </si>
  <si>
    <t>The Gathering</t>
  </si>
  <si>
    <t>1.21e-05</t>
  </si>
  <si>
    <t>1xKzXsdfSXCQNO9cOYQOGL</t>
  </si>
  <si>
    <t>Eric Lumiere</t>
  </si>
  <si>
    <t>7 Years</t>
  </si>
  <si>
    <t>1BEf6XRdlqtUctXYEicKbE</t>
  </si>
  <si>
    <t>Comfort epershand Control</t>
  </si>
  <si>
    <t>6nPSj5qcbkm3w2ch9dljk2</t>
  </si>
  <si>
    <t>0N8Xztr4pBHJ7V0moJWhbO</t>
  </si>
  <si>
    <t>é’æ˜¥ã®ã‚¨ã‚­ã‚µã‚¤ãƒˆãƒ¡ãƒ³ãƒˆ</t>
  </si>
  <si>
    <t>æ„›ã‚’ä¼ãˆãŸã„ã ã¨ã‹</t>
  </si>
  <si>
    <t>1.14e-05</t>
  </si>
  <si>
    <t>3dPpQeLTWjCjEbSevDMQfW</t>
  </si>
  <si>
    <t>FUSHIGI</t>
  </si>
  <si>
    <t>3.71e-06</t>
  </si>
  <si>
    <t>1TRIYxcVJYPki5AX2hZzZT</t>
  </si>
  <si>
    <t>Bad News Is Coming</t>
  </si>
  <si>
    <t>7nixLKx5skJBEKyiqZmdp7</t>
  </si>
  <si>
    <t>Ethan Loukas</t>
  </si>
  <si>
    <t>I Mean Love</t>
  </si>
  <si>
    <t>2I4gO3ZoMLZaCeWMZGOQ7o</t>
  </si>
  <si>
    <t>Miss You</t>
  </si>
  <si>
    <t>Night Bus</t>
  </si>
  <si>
    <t>0x0h9kwGhCv78fMRo8ChhZ</t>
  </si>
  <si>
    <t>Dark Matter</t>
  </si>
  <si>
    <t>2pcuXnZhTirLXsfXGVFTv2</t>
  </si>
  <si>
    <t>Doraemon</t>
  </si>
  <si>
    <t>4.95e-05</t>
  </si>
  <si>
    <t>7ihXMwfP4ZITY2YIsCKJt0</t>
  </si>
  <si>
    <t>Carly Lyman;Jason Lux</t>
  </si>
  <si>
    <t>Landslide</t>
  </si>
  <si>
    <t>3zUMHRZa7wgqtoCsBfBSpt</t>
  </si>
  <si>
    <t>I'd Rather Be With You</t>
  </si>
  <si>
    <t>I'd Rather Be With You [Radio Edit]</t>
  </si>
  <si>
    <t>65P0LJJh9vEa5yR6S2xIZR</t>
  </si>
  <si>
    <t>Leave The Door Open (Acoustic)</t>
  </si>
  <si>
    <t>Leave The Door Open - Acoustic</t>
  </si>
  <si>
    <t>0RHZvKdk4rHKyl2Ijltoub</t>
  </si>
  <si>
    <t>Michelle Featherstone</t>
  </si>
  <si>
    <t>Blue Bike</t>
  </si>
  <si>
    <t>Careful</t>
  </si>
  <si>
    <t>5lZVXDJI3PnnYxBNwNXQgH</t>
  </si>
  <si>
    <t>Use Somebody (Acoustic)</t>
  </si>
  <si>
    <t>Use Somebody - Acoustic</t>
  </si>
  <si>
    <t>0UyEX00PgplVsCcqtl1Rna</t>
  </si>
  <si>
    <t>She Only Lies</t>
  </si>
  <si>
    <t>7e4Pftu2tzDeY0W0690OKQ</t>
  </si>
  <si>
    <t>What About Us (Acoustic)</t>
  </si>
  <si>
    <t>What About Us - Acoustic</t>
  </si>
  <si>
    <t>7.37e-06</t>
  </si>
  <si>
    <t>5Oc0vLGWdEWeCqIU8zyELt</t>
  </si>
  <si>
    <t>Big Mama Thornton</t>
  </si>
  <si>
    <t>Ball n' Chain</t>
  </si>
  <si>
    <t>Hound Dog</t>
  </si>
  <si>
    <t>3.59e-05</t>
  </si>
  <si>
    <t>6wXpQl6LNBzDhalmed8Lm5</t>
  </si>
  <si>
    <t>Turn To Stone</t>
  </si>
  <si>
    <t>7.63e-05</t>
  </si>
  <si>
    <t>3xtxmdwm84x0ZDvSOxQels</t>
  </si>
  <si>
    <t>Drawn by the Wind (Arr. for Guitar)</t>
  </si>
  <si>
    <t>7aZBQsoO9BqmgB9WRLFeqv</t>
  </si>
  <si>
    <t>Neulore</t>
  </si>
  <si>
    <t>Animal Evolve</t>
  </si>
  <si>
    <t>Don't Shy From The Light</t>
  </si>
  <si>
    <t>1m3Lsbhkn6yL8apzsCiukd</t>
  </si>
  <si>
    <t>Memories (Acoustic)</t>
  </si>
  <si>
    <t>5hP86UPfveDTuRSUC5FH89</t>
  </si>
  <si>
    <t>Nathan Angelo</t>
  </si>
  <si>
    <t>A Matter of Time</t>
  </si>
  <si>
    <t>Sheâ€™s The Song</t>
  </si>
  <si>
    <t>1OoBG6B9674Y1xJLfdl7Vg</t>
  </si>
  <si>
    <t>Andrew Ripp</t>
  </si>
  <si>
    <t>Simple</t>
  </si>
  <si>
    <t>When You Fall in Love</t>
  </si>
  <si>
    <t>26TzE0IIiuqPKLaWfcsj4C</t>
  </si>
  <si>
    <t>Now That's What I Call Music 2012-13</t>
  </si>
  <si>
    <t>I Wonâ€™t Give Up</t>
  </si>
  <si>
    <t>4OaLdPqqqrtfLPFqSna89W</t>
  </si>
  <si>
    <t>Suitcase</t>
  </si>
  <si>
    <t>0JN6DXOZ08IwQhEBZJ3MFd</t>
  </si>
  <si>
    <t>Covers - Chill Covers Of Popular Songs</t>
  </si>
  <si>
    <t>Stitches</t>
  </si>
  <si>
    <t>3kYLpeRglpJLQkCsbp7p4j</t>
  </si>
  <si>
    <t>I 'll Play the Blues for You</t>
  </si>
  <si>
    <t>0iAkkPHwTkS1nC2vbcw3Ms</t>
  </si>
  <si>
    <t>ã‚ã®æ­Œ-2-</t>
  </si>
  <si>
    <t>PRIDE</t>
  </si>
  <si>
    <t>0sE9ZTxMxYneIUAEHN4Tg7</t>
  </si>
  <si>
    <t>The Power of Love</t>
  </si>
  <si>
    <t>2.47e-05</t>
  </si>
  <si>
    <t>37pK088xTo1ZpR3y23wsFk</t>
  </si>
  <si>
    <t>Arms Of A Woman</t>
  </si>
  <si>
    <t>6P82NfCXl3lLcUNSYEmq1u</t>
  </si>
  <si>
    <t>Without People</t>
  </si>
  <si>
    <t>Seeing Other People</t>
  </si>
  <si>
    <t>2e-05</t>
  </si>
  <si>
    <t>3VA8T3rNy5V24AXxNK5u9E</t>
  </si>
  <si>
    <t>King of Anything</t>
  </si>
  <si>
    <t>71nADpZkwmhx8tnnPKXHMP</t>
  </si>
  <si>
    <t>Covers Culture;Acoustic Covers Culture;Lounge Covers Culture Of Popular Songs</t>
  </si>
  <si>
    <t>Lost Cause - Acoustic Covers Versions of Popular Songs</t>
  </si>
  <si>
    <t>5SUNx81BHso0IIFE04M4KW</t>
  </si>
  <si>
    <t>Keisha White</t>
  </si>
  <si>
    <t>The Weakness In Me</t>
  </si>
  <si>
    <t>The Weakness in Me</t>
  </si>
  <si>
    <t>7AtnW6HeSUsPpA9D59PJyx</t>
  </si>
  <si>
    <t>Honey</t>
  </si>
  <si>
    <t>1.42e-06</t>
  </si>
  <si>
    <t>0VDhK4DIjbsAHo1GDe9VfM</t>
  </si>
  <si>
    <t>A Million Miles Away</t>
  </si>
  <si>
    <t>I Like to Be With Me When I'm With You</t>
  </si>
  <si>
    <t>2.37e-06</t>
  </si>
  <si>
    <t>2bjfXe8SOsCl17b29eGLvg</t>
  </si>
  <si>
    <t>No More - Live</t>
  </si>
  <si>
    <t>3lawK0CXk8hJ1yZnhNMx7u</t>
  </si>
  <si>
    <t>Beans on Toast</t>
  </si>
  <si>
    <t>The Inevitable Train Wreck</t>
  </si>
  <si>
    <t>On &amp; On</t>
  </si>
  <si>
    <t>7saOSM2fUxclPXFAFJQACk</t>
  </si>
  <si>
    <t>Diamonds</t>
  </si>
  <si>
    <t>A Million Years</t>
  </si>
  <si>
    <t>8.66e-06</t>
  </si>
  <si>
    <t>6e2lt5O6aOUGQ8BWSo0gNr</t>
  </si>
  <si>
    <t>End Of The Road</t>
  </si>
  <si>
    <t>2koSOTOngqtiLrTpLoiZtQ</t>
  </si>
  <si>
    <t>Not Half Bad</t>
  </si>
  <si>
    <t>Good People</t>
  </si>
  <si>
    <t>It Really Sucked, Actually</t>
  </si>
  <si>
    <t>1cADd4hbtfYDFesyH8i1eB</t>
  </si>
  <si>
    <t>The Work</t>
  </si>
  <si>
    <t>1.88e-05</t>
  </si>
  <si>
    <t>0C4m2ViRBc1rCfsU8wFMKT</t>
  </si>
  <si>
    <t>Trenchfoot</t>
  </si>
  <si>
    <t>1o95Vc19sHgVwk20YwNPvR</t>
  </si>
  <si>
    <t>Only God Can Judge Me and More</t>
  </si>
  <si>
    <t>Unicron</t>
  </si>
  <si>
    <t>4VG8zYHXRHQ8AJLpUc4kMO</t>
  </si>
  <si>
    <t>We Can Do Anything</t>
  </si>
  <si>
    <t>Issues</t>
  </si>
  <si>
    <t>4psC6LXiY2vMsYAuYETR1C</t>
  </si>
  <si>
    <t>Darkest Heart</t>
  </si>
  <si>
    <t>7dNEbiLeXtUZeJzNnbetEH</t>
  </si>
  <si>
    <t>Defiance, Ohio</t>
  </si>
  <si>
    <t>The Great Depression</t>
  </si>
  <si>
    <t>Letter Home</t>
  </si>
  <si>
    <t>3XYi7KXhUG4kDaz34o3F1g</t>
  </si>
  <si>
    <t>NORMANDY;Lynn Miller</t>
  </si>
  <si>
    <t>Control</t>
  </si>
  <si>
    <t>7.77e-05</t>
  </si>
  <si>
    <t>6D16aFALxgo3b5Hw7Na1Fw</t>
  </si>
  <si>
    <t>Songs We Recorded for Splits</t>
  </si>
  <si>
    <t>Fall Out</t>
  </si>
  <si>
    <t>3.2e-05</t>
  </si>
  <si>
    <t>1NByMwpOZY69Mmy4l7jYRF</t>
  </si>
  <si>
    <t>1Cu8QneXq0Hq1HJqkZDPbN</t>
  </si>
  <si>
    <t>1R8uexh18C6rWgBiUsZr6L</t>
  </si>
  <si>
    <t>Roll Me Through the Gates of Hell - Acoustic Version</t>
  </si>
  <si>
    <t>7rIBp3U5Igzn44l7Z7mOtE</t>
  </si>
  <si>
    <t>YELLOW DANCER</t>
  </si>
  <si>
    <t>SUN</t>
  </si>
  <si>
    <t>09IZGpkbdHfJS4g33j6ALr</t>
  </si>
  <si>
    <t>Parker Jenkins</t>
  </si>
  <si>
    <t>Sweet but Psycho</t>
  </si>
  <si>
    <t>Sweet but Psycho - Acoustic</t>
  </si>
  <si>
    <t>5vk20vCA4C23pXxFhtbBTx</t>
  </si>
  <si>
    <t>Sunset &amp; Highland</t>
  </si>
  <si>
    <t>I'm the One (Acoustic)</t>
  </si>
  <si>
    <t>I'm the One - Acoustic</t>
  </si>
  <si>
    <t>3SqVMOupg0AX9xTWqP9PSD</t>
  </si>
  <si>
    <t>3nBmy2hAqIDmMOD0VZGB7I</t>
  </si>
  <si>
    <t>Horizons</t>
  </si>
  <si>
    <t>Lost</t>
  </si>
  <si>
    <t>35L0y18MvVAEvx7hFW8Tyy</t>
  </si>
  <si>
    <t>Shikao Suga</t>
  </si>
  <si>
    <t>é»„é‡‘ã®æœˆ</t>
  </si>
  <si>
    <t>1.57e-05</t>
  </si>
  <si>
    <t>0roPf0bwAsBDZv1bR15m15</t>
  </si>
  <si>
    <t>It Would Be You</t>
  </si>
  <si>
    <t>6.07e-06</t>
  </si>
  <si>
    <t>05QEiRtbs57De7NxgUNOHp</t>
  </si>
  <si>
    <t>Guus Dielissen</t>
  </si>
  <si>
    <t>As It Was (Acoustic Instrumental)</t>
  </si>
  <si>
    <t>As It Was - Acoustic Instrumental</t>
  </si>
  <si>
    <t>6bbAFA4CZyeOMxEvDImvCh</t>
  </si>
  <si>
    <t>Sweet Child O' Mine (Acoustic)</t>
  </si>
  <si>
    <t>Sweet Child O' Mine - Acoustic</t>
  </si>
  <si>
    <t>2.25e-05</t>
  </si>
  <si>
    <t>2R6CGc2eQJjuVEbH1eUZjq</t>
  </si>
  <si>
    <t>Beyond The Sea</t>
  </si>
  <si>
    <t>4XqFl2hYwxBSVWhCG2oPUA</t>
  </si>
  <si>
    <t>Have I Told You Lately That I Love You (Acoustic)</t>
  </si>
  <si>
    <t>Have I Told You Lately That I Love You - Acoustic</t>
  </si>
  <si>
    <t>1t3koreZmmgvTYvxATwqfz</t>
  </si>
  <si>
    <t>The Soul</t>
  </si>
  <si>
    <t>Pilots</t>
  </si>
  <si>
    <t>1.46e-06</t>
  </si>
  <si>
    <t>55M1KsnBgjl2eRrPfMP6vy</t>
  </si>
  <si>
    <t>Naotaro Moriyama</t>
  </si>
  <si>
    <t>ã•ãã‚‰ (äºŒã€‡ä¸€ä¹)</t>
  </si>
  <si>
    <t>ã•ãã‚‰ - äºŒã€‡ä¸€ä¹</t>
  </si>
  <si>
    <t>1.16e-06</t>
  </si>
  <si>
    <t>7AWKPOhCIHxetMXujii1KT</t>
  </si>
  <si>
    <t>Homeland</t>
  </si>
  <si>
    <t>0NHPxGWfcBbCHBrFm3yaix</t>
  </si>
  <si>
    <t>Covers &amp; Co-writes</t>
  </si>
  <si>
    <t>The Hardest Thing</t>
  </si>
  <si>
    <t>10a6GUpyRLdfadUPRL5wBg</t>
  </si>
  <si>
    <t>Postcards &amp; Polaroids;Sad Boy</t>
  </si>
  <si>
    <t>Covers EP</t>
  </si>
  <si>
    <t>Supermarket Flowers</t>
  </si>
  <si>
    <t>2xkMeEvHnRhj2URvART1yE</t>
  </si>
  <si>
    <t>Yu Takahashi</t>
  </si>
  <si>
    <t>BREAK MY SILENCE</t>
  </si>
  <si>
    <t>é™½ã¯ã¾ãŸæ˜‡ã‚‹</t>
  </si>
  <si>
    <t>6FfGUAfmwW2ifxnit0hE4K</t>
  </si>
  <si>
    <t>Unkle Bob</t>
  </si>
  <si>
    <t>Sugar and Spite</t>
  </si>
  <si>
    <t>Swans</t>
  </si>
  <si>
    <t>373ovGYBDvfPLo1NNRNMYE</t>
  </si>
  <si>
    <t>The Cameron Collective</t>
  </si>
  <si>
    <t>What If We Rewrite The Stars</t>
  </si>
  <si>
    <t>The Greatest Showman - Rewrite The Stars (Acoustic)</t>
  </si>
  <si>
    <t>4FytmtwjnW4GdycPb4TwF0</t>
  </si>
  <si>
    <t>2fboUv3gU9L4njbhBdigid</t>
  </si>
  <si>
    <t>A Million Dreams (Acoustic)</t>
  </si>
  <si>
    <t>A Million Dreams - Acoustic</t>
  </si>
  <si>
    <t>2mHWjrN4rIL8vbWt0Od9Ux</t>
  </si>
  <si>
    <t>Falling into your eyes Record</t>
  </si>
  <si>
    <t>59eluCMn0XbOWqeWQ91FTM</t>
  </si>
  <si>
    <t>å›ã¯ãƒ­ãƒƒã‚¯ã‚’è´ã‹ãªã„</t>
  </si>
  <si>
    <t>1emx944EiuTphS9qv5mslc</t>
  </si>
  <si>
    <t>Tears In Heaven</t>
  </si>
  <si>
    <t>7IjL4IoQZMk1dOI4MH1T0i</t>
  </si>
  <si>
    <t>Paperweight by Joshua Radin and Schuyler Fisk</t>
  </si>
  <si>
    <t>2YGu3QpHqj5AHtS8RzFQdW</t>
  </si>
  <si>
    <t>Meant to Be</t>
  </si>
  <si>
    <t>7A7IsQQPGxlfHiDDl2Kct7</t>
  </si>
  <si>
    <t>Kurei</t>
  </si>
  <si>
    <t>Paasa</t>
  </si>
  <si>
    <t>4HQr9UGqkHPzboqLb9J8pJ</t>
  </si>
  <si>
    <t>Up Until Now</t>
  </si>
  <si>
    <t>No Matter Where You Are - Wedding Version</t>
  </si>
  <si>
    <t>4Fc7BhMBjIVDnGQG8L6ayi</t>
  </si>
  <si>
    <t>ã‚ã„ã®ã‚</t>
  </si>
  <si>
    <t>å¤§å®‰</t>
  </si>
  <si>
    <t>6AMuHsxzvWdB9tMeJXKT2s</t>
  </si>
  <si>
    <t>Mush Acoustic Love Hits, Vol. 4</t>
  </si>
  <si>
    <t>Now We're Starting Over Again</t>
  </si>
  <si>
    <t>3N7r0W54tqzfdQOwyHamSi</t>
  </si>
  <si>
    <t>In the Morning</t>
  </si>
  <si>
    <t>4KMXlzvtC8xjLseDqDjpeU</t>
  </si>
  <si>
    <t>Little Walter</t>
  </si>
  <si>
    <t>The Essential Little Walter</t>
  </si>
  <si>
    <t>My Babe</t>
  </si>
  <si>
    <t>7qANzA00oGRCWhpHgbVzkO</t>
  </si>
  <si>
    <t>Matt Pless</t>
  </si>
  <si>
    <t>Catch Me If You Can</t>
  </si>
  <si>
    <t>What a Time to Be Alive</t>
  </si>
  <si>
    <t>03czT1nVZDRv2JlpY2GxON</t>
  </si>
  <si>
    <t>Leavetaking</t>
  </si>
  <si>
    <t>The Longer I Run</t>
  </si>
  <si>
    <t>0IS3KnXzXuUj4ss4nhU8hA</t>
  </si>
  <si>
    <t>You're Not Sorry - Acoustic Covers Versions of Popular Songs</t>
  </si>
  <si>
    <t>1SPZoobx8PZYoZP9xBXl6P</t>
  </si>
  <si>
    <t>Jay Filson</t>
  </si>
  <si>
    <t>Don't Think Twice, It's All Right (Acoustic)</t>
  </si>
  <si>
    <t>Don't Think Twice, It's All Right - Acoustic</t>
  </si>
  <si>
    <t>2txxvcL02iH16w7f9lVKcV</t>
  </si>
  <si>
    <t>Is There Something</t>
  </si>
  <si>
    <t>395XDt5vt8DKguJDjGtYLU</t>
  </si>
  <si>
    <t>Living in the Moment</t>
  </si>
  <si>
    <t>4A9E08l34BkPsCDAmOpHxb</t>
  </si>
  <si>
    <t>76kBXoobhmMlzN5mS1CD3b</t>
  </si>
  <si>
    <t>Ward Off the Vultures</t>
  </si>
  <si>
    <t>Torches Are Calling</t>
  </si>
  <si>
    <t>2J3MdVrlrZ46M4ylHhmNVH</t>
  </si>
  <si>
    <t>Close to You</t>
  </si>
  <si>
    <t>8.59e-05</t>
  </si>
  <si>
    <t>7AZAGSn2B1APKe2XBbzB2G</t>
  </si>
  <si>
    <t>Far Behind</t>
  </si>
  <si>
    <t>9.32e-06</t>
  </si>
  <si>
    <t>7fMxaup9mYP470sT9I71Od</t>
  </si>
  <si>
    <t>Ankle Grease</t>
  </si>
  <si>
    <t>Straight to the Bottom: Back to the Bottom</t>
  </si>
  <si>
    <t>Protest Songs</t>
  </si>
  <si>
    <t>1wMG2dMCgh1Bn6d0XkOnHo</t>
  </si>
  <si>
    <t>The Bible 2</t>
  </si>
  <si>
    <t>White Worms</t>
  </si>
  <si>
    <t>1k1jxdrfofuDZmAuLtyq6m</t>
  </si>
  <si>
    <t>Miranda</t>
  </si>
  <si>
    <t>6.55e-06</t>
  </si>
  <si>
    <t>4ckCgKE0aIy4TNSGdm36QT</t>
  </si>
  <si>
    <t>The Second Three Years</t>
  </si>
  <si>
    <t>Linoleum</t>
  </si>
  <si>
    <t>28lU91CRfUdWJEY7KbhZBL</t>
  </si>
  <si>
    <t>What We Want, What We Get</t>
  </si>
  <si>
    <t>God Gave Me You</t>
  </si>
  <si>
    <t>1.75e-05</t>
  </si>
  <si>
    <t>5Jx83G7IadblXTyvMMo7Uu</t>
  </si>
  <si>
    <t>Perfectly Dysfunctional</t>
  </si>
  <si>
    <t>7n8U8nb1U1yafqgqlZirnf</t>
  </si>
  <si>
    <t>Pipe Dream</t>
  </si>
  <si>
    <t>Internet Song</t>
  </si>
  <si>
    <t>8.14e-06</t>
  </si>
  <si>
    <t>1VtzCELaY7snxB5vNXbAGg</t>
  </si>
  <si>
    <t>Bad News</t>
  </si>
  <si>
    <t>Welcome to Hell</t>
  </si>
  <si>
    <t>2.71e-06</t>
  </si>
  <si>
    <t>6hDBkm6B8HF9B4oATW28YN</t>
  </si>
  <si>
    <t>Pop Virus</t>
  </si>
  <si>
    <t>5fomS2mZjvxxJ2iVH3fosc</t>
  </si>
  <si>
    <t>John Elliott</t>
  </si>
  <si>
    <t>All Too Well (Jake's Version)</t>
  </si>
  <si>
    <t>All Too Well - Jake's Version</t>
  </si>
  <si>
    <t>6.09e-05</t>
  </si>
  <si>
    <t>5MZYOtR8fcaZoWzweBNdMm</t>
  </si>
  <si>
    <t>Brandon Chase;Taylor Manns</t>
  </si>
  <si>
    <t>Dilemma</t>
  </si>
  <si>
    <t>4tqsFRjUHZ89bMEOAk3lUl</t>
  </si>
  <si>
    <t>1nnEOnBgHPVpAAZIkFknzv</t>
  </si>
  <si>
    <t>Zak Manley</t>
  </si>
  <si>
    <t>Kiss Me</t>
  </si>
  <si>
    <t>68ngc4vLwImhAeWHmXKcEI</t>
  </si>
  <si>
    <t>69LsOTlcKFAlH2QDkEEhmO</t>
  </si>
  <si>
    <t>Searching for the Same Thing</t>
  </si>
  <si>
    <t>White</t>
  </si>
  <si>
    <t>1hnSI4JaTQybQXqvzQX3nl</t>
  </si>
  <si>
    <t>Linn Brikell</t>
  </si>
  <si>
    <t>All Falls Down</t>
  </si>
  <si>
    <t>6iIylwvWuTqFRhvXMn09KF</t>
  </si>
  <si>
    <t>This Is Love</t>
  </si>
  <si>
    <t>5hVKGw1OXBCEZgRWFUilk7</t>
  </si>
  <si>
    <t>Still Falling For You - Acoustic</t>
  </si>
  <si>
    <t>2VVWWwQ3FiWnmbukTb6Kd3</t>
  </si>
  <si>
    <t>I Will Wait</t>
  </si>
  <si>
    <t>2hVaNGGvdvvzRPCK9BUZmA</t>
  </si>
  <si>
    <t>Rosie Thomas;The Shins;Sufjan Stevens;Josh Ottum</t>
  </si>
  <si>
    <t>3ih1UH1MuhzVl33wlibBII</t>
  </si>
  <si>
    <t>Celestial Conscience</t>
  </si>
  <si>
    <t>Jocelyn Flores (Acoustic Guitar)</t>
  </si>
  <si>
    <t>Jocelyn Flores - Acoustic Guitar</t>
  </si>
  <si>
    <t>55KKAV2VnlggBrVS0J666s</t>
  </si>
  <si>
    <t>Use Somebody (Acoustic Version)</t>
  </si>
  <si>
    <t>Use Somebody - Acoustic Version</t>
  </si>
  <si>
    <t>2vLHinYk689HDnLkrsCZGF</t>
  </si>
  <si>
    <t>Erato;Charlotte Almgren</t>
  </si>
  <si>
    <t>As Long as You Love Me</t>
  </si>
  <si>
    <t>6oz8T0xhXzkEVxyelC3Hc3</t>
  </si>
  <si>
    <t>Lead Balloon</t>
  </si>
  <si>
    <t>Can't Go Back</t>
  </si>
  <si>
    <t>2.3e-05</t>
  </si>
  <si>
    <t>5JYT9U8oafWV5JtTa7hG09</t>
  </si>
  <si>
    <t>Caj Morgan</t>
  </si>
  <si>
    <t>The Nights - Acoustic</t>
  </si>
  <si>
    <t>6RQVpAbblcgqgHeywYi79v</t>
  </si>
  <si>
    <t>æœˆã²ã¨ã—ãšã</t>
  </si>
  <si>
    <t>25fcj6d2W1l8DQL11Czdzb</t>
  </si>
  <si>
    <t>Party of One (feat. Sam Smith)</t>
  </si>
  <si>
    <t>3TnFkFik1REVmx8V58n6Uu</t>
  </si>
  <si>
    <t>HUMAN</t>
  </si>
  <si>
    <t>æ‹ã®é­”åŠ›</t>
  </si>
  <si>
    <t>6.68e-06</t>
  </si>
  <si>
    <t>4zaBf1Dkn1gr7QcRxAWSSg</t>
  </si>
  <si>
    <t>Take Me Home</t>
  </si>
  <si>
    <t>2.6e-05</t>
  </si>
  <si>
    <t>1iAevgb0bInqyeE85Z6Ra3</t>
  </si>
  <si>
    <t>ãƒ‰ã‚µå›žã‚Šæ•°ãˆæ­Œ</t>
  </si>
  <si>
    <t>6szDk6GLuxosArjs48QzFq</t>
  </si>
  <si>
    <t>Kazuyoshi Saito</t>
  </si>
  <si>
    <t>ç´”é¢¨</t>
  </si>
  <si>
    <t>2OcZ7956nCJ1OJ6oyNDLtf</t>
  </si>
  <si>
    <t>Boyce Avenue;Tyler Ward</t>
  </si>
  <si>
    <t>8.35e-06</t>
  </si>
  <si>
    <t>57BoKvyN8KbOYkncKzQiD4</t>
  </si>
  <si>
    <t>Truth</t>
  </si>
  <si>
    <t>0MWxVd7Hk952psJoL249TT</t>
  </si>
  <si>
    <t>Evergreen</t>
  </si>
  <si>
    <t>Jericho</t>
  </si>
  <si>
    <t>2vP0JcTiuYnzrBy45ACKBz</t>
  </si>
  <si>
    <t>7pv5juhfq1kco6wioikGHt</t>
  </si>
  <si>
    <t>Earthling</t>
  </si>
  <si>
    <t>Invincible</t>
  </si>
  <si>
    <t>3.52e-06</t>
  </si>
  <si>
    <t>2OTAulJdNdYoFQG2oqXtSB</t>
  </si>
  <si>
    <t>Brendan James</t>
  </si>
  <si>
    <t>The Howl</t>
  </si>
  <si>
    <t>Yellow Lines</t>
  </si>
  <si>
    <t>1.23e-06</t>
  </si>
  <si>
    <t>7xVLM4xNhJo57V5RoinJji</t>
  </si>
  <si>
    <t>Art of Acoustic: Soft Instrumental Covers &amp; Classical Guitar</t>
  </si>
  <si>
    <t>6N8T4RHu7ZerB1dQoZaX6q</t>
  </si>
  <si>
    <t>No More</t>
  </si>
  <si>
    <t>7j02rdE5RVtNcNMuLGY5SS</t>
  </si>
  <si>
    <t>Spoonful</t>
  </si>
  <si>
    <t>1.39e-05</t>
  </si>
  <si>
    <t>7qLJmyRxLZCf1ifZlJ2gMZ</t>
  </si>
  <si>
    <t>Over</t>
  </si>
  <si>
    <t>8.19e-05</t>
  </si>
  <si>
    <t>3D1PuFi2U8lmtdWRZcCz1f</t>
  </si>
  <si>
    <t>Good Luck Everybody</t>
  </si>
  <si>
    <t>Body Terror Song</t>
  </si>
  <si>
    <t>0uHjs4zpo52qiFeBpdrXYs</t>
  </si>
  <si>
    <t>VI: Don't Let Love Bog You Down</t>
  </si>
  <si>
    <t>5HhcXgRU7kYszL7OQZtNlc</t>
  </si>
  <si>
    <t>A Johnnyswim Christmas</t>
  </si>
  <si>
    <t>What Are You Doing New Years Eve</t>
  </si>
  <si>
    <t>2Z8oSkHTEJedqb1rsgpLih</t>
  </si>
  <si>
    <t>Covers Culture</t>
  </si>
  <si>
    <t>Chill Vibes - Just Chill &amp; Relax - Relaxing Covers Songs - Chill Pop Music Hits - Chill Music - Chill Songs - Chilled - Chill Out Pop - Chillout Music - Best Chill Songs - Acoustic Chill</t>
  </si>
  <si>
    <t>SOS - Acoustic Covers Versions</t>
  </si>
  <si>
    <t>17O2PjGN9JjxHweAvjjSa2</t>
  </si>
  <si>
    <t>100 Greatest Christmas Songs Ever (Top Xmas Pop Hits)</t>
  </si>
  <si>
    <t>2.48e-05</t>
  </si>
  <si>
    <t>1lw2doNDEtF7vZUp966kSN</t>
  </si>
  <si>
    <t>Night Gaunts / Days N Daze Split</t>
  </si>
  <si>
    <t>Mosquitoes</t>
  </si>
  <si>
    <t>1Q6A7Uy4vXDfcnigKgwPZp</t>
  </si>
  <si>
    <t>Calibretto 13</t>
  </si>
  <si>
    <t>Enter The Danger Brigade</t>
  </si>
  <si>
    <t>High 5</t>
  </si>
  <si>
    <t>0WSGIwIEqpfe3jGJ5fZsHr</t>
  </si>
  <si>
    <t>Don't Wanna Be Without Ya</t>
  </si>
  <si>
    <t>6HRfUOW2Il3284ktPdxoGx</t>
  </si>
  <si>
    <t>Of Ballots and Barricades - Live</t>
  </si>
  <si>
    <t>55phpQC9GSHQ7fAagLh4I7</t>
  </si>
  <si>
    <t>Dirty Little Rag</t>
  </si>
  <si>
    <t>5ZZDntOE2nYjjq7Uh2mZcJ</t>
  </si>
  <si>
    <t>Laura Jane Grace</t>
  </si>
  <si>
    <t>At War With The Silverfish</t>
  </si>
  <si>
    <t>Day Old Coffee</t>
  </si>
  <si>
    <t>0T3LR3C4dUD11wdgLm0Xoz</t>
  </si>
  <si>
    <t>Feather River Canyon Blues</t>
  </si>
  <si>
    <t>Clawfoot</t>
  </si>
  <si>
    <t>7HYrjmGBdvzLYgt1gIY5Zn</t>
  </si>
  <si>
    <t>Peach</t>
  </si>
  <si>
    <t>0xOIqJadsikka2so1zhghO</t>
  </si>
  <si>
    <t>Horrorful</t>
  </si>
  <si>
    <t>Alone in the Dark Mansion of Madness</t>
  </si>
  <si>
    <t>3R11aqnxH9nlrxyAPV3A3Q</t>
  </si>
  <si>
    <t>Buddy Guy;Derek Trucks</t>
  </si>
  <si>
    <t>Skin Deep Deluxe Version</t>
  </si>
  <si>
    <t>Skin Deep (feat. Derek Trucks)</t>
  </si>
  <si>
    <t>4ysmODoF5WXlBlGkyWfu7J</t>
  </si>
  <si>
    <t>We Shall Not Overcome</t>
  </si>
  <si>
    <t>4uPvXmXGjYOOqhbRMmS9XU</t>
  </si>
  <si>
    <t>Grace Petrie</t>
  </si>
  <si>
    <t>Queer As Folk</t>
  </si>
  <si>
    <t>Northbound</t>
  </si>
  <si>
    <t>7sGEiBshBJXKRnvyIq3LUB</t>
  </si>
  <si>
    <t>Sombody else - Acoustic</t>
  </si>
  <si>
    <t>5Pk2JQFKZyFnA9e7BAQQQm</t>
  </si>
  <si>
    <t>Stuck with U (Acoustic)</t>
  </si>
  <si>
    <t>Stuck with U - Acoustic</t>
  </si>
  <si>
    <t>0P2HFqXUhqvdZ2bS8doDjR</t>
  </si>
  <si>
    <t>Havana - Acoustic</t>
  </si>
  <si>
    <t>3h8uWt8HNyDNubPSEBgTPG</t>
  </si>
  <si>
    <t>Yakap</t>
  </si>
  <si>
    <t>0v1yN5C75um5Wx2WPtFl6k</t>
  </si>
  <si>
    <t>Sunflower</t>
  </si>
  <si>
    <t>56twDecxsQon61crfEXrA5</t>
  </si>
  <si>
    <t>Hollywood's Bleeding</t>
  </si>
  <si>
    <t>1SesKQRY9HNlqbOtCGYWMa</t>
  </si>
  <si>
    <t>Salty Snacks</t>
  </si>
  <si>
    <t>5uY2Vs2sviMqznPxW8f5xz</t>
  </si>
  <si>
    <t>Between the Stars</t>
  </si>
  <si>
    <t>05b6SX5DjBpvd5rYIxmwOz</t>
  </si>
  <si>
    <t>To Whom It May Concern</t>
  </si>
  <si>
    <t>2TDVIt8rGuXEN6IvMIy5iW</t>
  </si>
  <si>
    <t>Issues - Acoustic</t>
  </si>
  <si>
    <t>2N7NctlF0wAl57q68v5MOi</t>
  </si>
  <si>
    <t>E</t>
  </si>
  <si>
    <t>èŠ±ã«ãªã‚‹</t>
  </si>
  <si>
    <t>5.53e-06</t>
  </si>
  <si>
    <t>4s3G9Ifc1dp8xEksZxNe8P</t>
  </si>
  <si>
    <t>Devon or Las Vegas</t>
  </si>
  <si>
    <t>Unconditional</t>
  </si>
  <si>
    <t>7lr1Qj5i2emYCPqUiIyFcz</t>
  </si>
  <si>
    <t>Moth To A Flame (Acoustic Instrumental)</t>
  </si>
  <si>
    <t>Moth To A Flame - Acoustic Instrumental</t>
  </si>
  <si>
    <t>3mlAmyipgcFX5F3EXllJh2</t>
  </si>
  <si>
    <t>Bleeding Love</t>
  </si>
  <si>
    <t>0imuQm7CnK74UdorFpC2Eg</t>
  </si>
  <si>
    <t>Light</t>
  </si>
  <si>
    <t>4vNGuGIIzh6soeBTw8hjfq</t>
  </si>
  <si>
    <t>Boyce Avenue;Alex Goot</t>
  </si>
  <si>
    <t>A Thousand Miles</t>
  </si>
  <si>
    <t>3.48e-06</t>
  </si>
  <si>
    <t>6rm0bIbAE0ZfPXNeuIV4DR</t>
  </si>
  <si>
    <t>Michael Logen</t>
  </si>
  <si>
    <t>Darkness Within</t>
  </si>
  <si>
    <t>5tn4ViAVQvGNRvzFIzOnGm</t>
  </si>
  <si>
    <t>Ice Seguerra</t>
  </si>
  <si>
    <t>Ikaw Lamang</t>
  </si>
  <si>
    <t>4.18e-05</t>
  </si>
  <si>
    <t>4eZP0Tyh1p06Nk1aHOzNrt</t>
  </si>
  <si>
    <t>Ingrid Michaelson;A Great Big World</t>
  </si>
  <si>
    <t>Over You</t>
  </si>
  <si>
    <t>0D1Kp0dQ6ZSbeI5n14XHTp</t>
  </si>
  <si>
    <t>The Space Between Us (Original Motion Picture Soundtrack)</t>
  </si>
  <si>
    <t>Stay Right Where You Are</t>
  </si>
  <si>
    <t>2.69e-06</t>
  </si>
  <si>
    <t>6apacvSkVWWtCxc68FBsZV</t>
  </si>
  <si>
    <t>(I Just) Died In Your Arms [Acoustic]</t>
  </si>
  <si>
    <t>(I Just) Died In Your Arms - Acoustic</t>
  </si>
  <si>
    <t>36ccrof5DFicLrejE4hEye</t>
  </si>
  <si>
    <t>Jimmy Rogers</t>
  </si>
  <si>
    <t>Chicago Bound</t>
  </si>
  <si>
    <t>Walking By Myself</t>
  </si>
  <si>
    <t>5Hnfk1EuhqQuh7QhcnikR1</t>
  </si>
  <si>
    <t>åŒ–èº«</t>
  </si>
  <si>
    <t>6pOD6dUoAMDmvuMePmfOKG</t>
  </si>
  <si>
    <t>Todd Carey</t>
  </si>
  <si>
    <t>Future Throwback</t>
  </si>
  <si>
    <t>Nintendo</t>
  </si>
  <si>
    <t>2V2mEnBBn4HsDRNxuVJvwP</t>
  </si>
  <si>
    <t>2.23e-06</t>
  </si>
  <si>
    <t>4WzQEkUYTBzo0DRnJfYPls</t>
  </si>
  <si>
    <t>We'll Make It Through</t>
  </si>
  <si>
    <t>0ZFq3raMFdXllZJoTbBRnQ</t>
  </si>
  <si>
    <t>Steve Pulvers</t>
  </si>
  <si>
    <t>Acoustic Lullaby</t>
  </si>
  <si>
    <t>Untainted Innocence</t>
  </si>
  <si>
    <t>5Z01kGFWQcQA3XBRxjAzAJ</t>
  </si>
  <si>
    <t>Andrew Foy;Renee Foy;Stephan Baulig</t>
  </si>
  <si>
    <t>Afterglow (Stephan Baulig Remix)</t>
  </si>
  <si>
    <t>Afterglow - Stephan Baulig Remix</t>
  </si>
  <si>
    <t>2.41e-06</t>
  </si>
  <si>
    <t>5whKev8bxFJ0vl0KfLANyS</t>
  </si>
  <si>
    <t>To the Wind</t>
  </si>
  <si>
    <t>5quIK3oXwunG35RI8HSQDi</t>
  </si>
  <si>
    <t>When I'm With You</t>
  </si>
  <si>
    <t>What Love Really Means</t>
  </si>
  <si>
    <t>1.44e-06</t>
  </si>
  <si>
    <t>7LHhGBjIBj7kNYLHYH9rMx</t>
  </si>
  <si>
    <t>PEOPLE GET READY</t>
  </si>
  <si>
    <t>4UXZoNGOQ42aV5uXCkLuYm</t>
  </si>
  <si>
    <t>Rory Block</t>
  </si>
  <si>
    <t>I've Got A Rock In My Sock</t>
  </si>
  <si>
    <t>Lovin' Whiskey</t>
  </si>
  <si>
    <t>0jJqIi0uMG8IhGlLx7U85J</t>
  </si>
  <si>
    <t>Already Home</t>
  </si>
  <si>
    <t>43WuM1pfzxEB4rPr9PL5xb</t>
  </si>
  <si>
    <t>JOHNNYSWIM</t>
  </si>
  <si>
    <t>Big Time</t>
  </si>
  <si>
    <t>3pgXwvxj2qqTOfsUxxQ8nE</t>
  </si>
  <si>
    <t>Bobbylene</t>
  </si>
  <si>
    <t>Study Music - MÃºsica Para Estudiar - Study Session - Study Acoustic Music - Study Relaxing Music</t>
  </si>
  <si>
    <t>Canada</t>
  </si>
  <si>
    <t>3Ec6uapAsdc0MY8pDFcsg4</t>
  </si>
  <si>
    <t>Meet Me in the Shade</t>
  </si>
  <si>
    <t>4.54e-05</t>
  </si>
  <si>
    <t>5kTmg9n7FZ7xv8SZVFhX8P</t>
  </si>
  <si>
    <t>I Am So Mad at You</t>
  </si>
  <si>
    <t>7.99e-05</t>
  </si>
  <si>
    <t>38qIDDupYe8XIvMrRynpEt</t>
  </si>
  <si>
    <t>Joey Cape</t>
  </si>
  <si>
    <t>Acoustic</t>
  </si>
  <si>
    <t>Wind in Your Sails</t>
  </si>
  <si>
    <t>25R9Ax7cdjWx0EDr2HAKoA</t>
  </si>
  <si>
    <t>Deathlessness</t>
  </si>
  <si>
    <t>2o1RtJhMTPDW6A3SzNptli</t>
  </si>
  <si>
    <t>Split EP</t>
  </si>
  <si>
    <t>Little Blue Pills, Pt..3</t>
  </si>
  <si>
    <t>2.46e-05</t>
  </si>
  <si>
    <t>1Whxt3lFm3WZ5RjayHMucO</t>
  </si>
  <si>
    <t>Son&amp;Dad;Filip Nordin</t>
  </si>
  <si>
    <t>Drag Me Down</t>
  </si>
  <si>
    <t>5KcGMnoxVuAUexDFoOHROL</t>
  </si>
  <si>
    <t>None Exempt</t>
  </si>
  <si>
    <t>7dE07ULna9h2PituTjrinM</t>
  </si>
  <si>
    <t>Cannon's Jug Stompers</t>
  </si>
  <si>
    <t>The Best Of Cannon's Jug Stompers</t>
  </si>
  <si>
    <t>Going To Germany</t>
  </si>
  <si>
    <t>2BWIhAOGhnA7hR6YvXCPsC</t>
  </si>
  <si>
    <t>Rivers</t>
  </si>
  <si>
    <t>2Qa3MDbhbTsRVZfw9HjwBJ</t>
  </si>
  <si>
    <t>Vendredi;ELLE</t>
  </si>
  <si>
    <t>Chill Music - Chill Songs - Chill Vibes - Acoustic Chill - Chillout Lounge</t>
  </si>
  <si>
    <t>5epYcmFhgMsZcyKk8A2Qi5</t>
  </si>
  <si>
    <t>Fry, Bacon, Fry (Die Pigs!)</t>
  </si>
  <si>
    <t>3ZoefygM1VYbvEYXXRNAY2</t>
  </si>
  <si>
    <t>Add It Up (1981-1993)</t>
  </si>
  <si>
    <t>Dance, Motherfucker, Dance!</t>
  </si>
  <si>
    <t>5rBVF19fMatEF6AstKKIR7</t>
  </si>
  <si>
    <t>Marc Broussard;J.J. Grey</t>
  </si>
  <si>
    <t>S.O.S. 2: Save Our Soul: Soul on a Mission</t>
  </si>
  <si>
    <t>In the Midnight Hour (feat. J.J. Grey)</t>
  </si>
  <si>
    <t>8.32e-05</t>
  </si>
  <si>
    <t>1DxwWEVXzZB2IqGxI6GYRK</t>
  </si>
  <si>
    <t>Vendredi;Chrissy Dave</t>
  </si>
  <si>
    <t>Seven Nation Army - Acoustic Covers Versions of Popular Songs</t>
  </si>
  <si>
    <t>3Z9P9XOLlISMK0MooS8gsN</t>
  </si>
  <si>
    <t>Honesty Lives Elsewhere</t>
  </si>
  <si>
    <t>She's a Problem</t>
  </si>
  <si>
    <t>1NKiIuSbv88ecRlB6noXzz</t>
  </si>
  <si>
    <t>Mood (Acoustic)</t>
  </si>
  <si>
    <t>Mood - Acoustic</t>
  </si>
  <si>
    <t>28WClWvliFajAplluwtX2J</t>
  </si>
  <si>
    <t>Long Drive</t>
  </si>
  <si>
    <t>3.34e-05</t>
  </si>
  <si>
    <t>0W85Yolr3l72QZsk9UrkqP</t>
  </si>
  <si>
    <t>4FhNTUIDPVH8yb9TjHeAmu</t>
  </si>
  <si>
    <t>Pink Sky Moon</t>
  </si>
  <si>
    <t>1.56e-06</t>
  </si>
  <si>
    <t>7qHPp1beQupJUzwRyVtoyy</t>
  </si>
  <si>
    <t>1fQeGoPKxnT2dLbEjs6jsm</t>
  </si>
  <si>
    <t>We Don't Talk Anymore</t>
  </si>
  <si>
    <t>5IuV0YqQfVkzRQmvoDClV1</t>
  </si>
  <si>
    <t>J-Que Beenz</t>
  </si>
  <si>
    <t>Beautiful Girls</t>
  </si>
  <si>
    <t>6wSooKrykEc9YTRyIYXF49</t>
  </si>
  <si>
    <t>Something Beautiful</t>
  </si>
  <si>
    <t>32gazF6n0vQfcaLLCE3Cp3</t>
  </si>
  <si>
    <t>4.26e-06</t>
  </si>
  <si>
    <t>6VJcMjtcbFGAwZxqW28C8Q</t>
  </si>
  <si>
    <t>Roberto Diana;Muniesa</t>
  </si>
  <si>
    <t>Muniesa</t>
  </si>
  <si>
    <t>Cortes de AragoÌn</t>
  </si>
  <si>
    <t>6hVkpZkfQV82W6e31Xye37</t>
  </si>
  <si>
    <t>Bootstraps</t>
  </si>
  <si>
    <t>Demo Love</t>
  </si>
  <si>
    <t>Whenever You're Around</t>
  </si>
  <si>
    <t>1Llvr4v5Y0rZtm494ak7oh</t>
  </si>
  <si>
    <t>The One That Got Away</t>
  </si>
  <si>
    <t>1iQ1BpOGF1Umd3lpTV4OPO</t>
  </si>
  <si>
    <t>With or Without You</t>
  </si>
  <si>
    <t>1.91e-06</t>
  </si>
  <si>
    <t>0tu4zWxyFV1Djbf4hLY3xP</t>
  </si>
  <si>
    <t>æ·±å¤œé«˜é€Ÿ -ç”Ÿãã¦ã¦ã‚ˆã‹ã£ãŸã®é›†ã„-</t>
  </si>
  <si>
    <t>æ·±å¤œé«˜é€Ÿ</t>
  </si>
  <si>
    <t>2.82e-06</t>
  </si>
  <si>
    <t>1yTJXe80RThFvGTGDSgNpt</t>
  </si>
  <si>
    <t>She's The Song (Acoustic)</t>
  </si>
  <si>
    <t>She's The Song - Acoustic</t>
  </si>
  <si>
    <t>4QVZZAO7LDFjsbWemhTN5y</t>
  </si>
  <si>
    <t>ç”Ÿãã¦ã‚‹ã“ã¨ãŒè¾›ã„ãªã‚‰</t>
  </si>
  <si>
    <t>3.32e-05</t>
  </si>
  <si>
    <t>0VPneSXkOP27R8Cf7v8HSN</t>
  </si>
  <si>
    <t>My Heart</t>
  </si>
  <si>
    <t>5PusZRYXN29yDQOzDMzSJK</t>
  </si>
  <si>
    <t>LION</t>
  </si>
  <si>
    <t>ã‚¢ã‚¯ã‚»ã‚¹</t>
  </si>
  <si>
    <t>2.9e-06</t>
  </si>
  <si>
    <t>5rRDCbF97rcJW0ES9RhPhC</t>
  </si>
  <si>
    <t>Graham Colton</t>
  </si>
  <si>
    <t>Life's What You Make It</t>
  </si>
  <si>
    <t>1.13e-06</t>
  </si>
  <si>
    <t>53yCbC8zjcNQi5534UDoWL</t>
  </si>
  <si>
    <t>Acoustic Guitar Covers, Vol. 3</t>
  </si>
  <si>
    <t>Memories (Instrumental Guitar)</t>
  </si>
  <si>
    <t>5Jac5r26r1HkpH9Xv5zt7A</t>
  </si>
  <si>
    <t>Penny and Sparrow;Stephanie Briggs</t>
  </si>
  <si>
    <t>Tenboom</t>
  </si>
  <si>
    <t>Duet (feat. Stephanie Briggs)</t>
  </si>
  <si>
    <t>8.54e-05</t>
  </si>
  <si>
    <t>7KqahQEtWTG2xPKE4Kriad</t>
  </si>
  <si>
    <t>ä¼è¨€</t>
  </si>
  <si>
    <t>è¿½æ†¶ã®é›¨ã®ä¸­ (Original Version)</t>
  </si>
  <si>
    <t>2WihaIEZnX9dNRinCebwUj</t>
  </si>
  <si>
    <t>0Stf1ND7zaL3TEo8kZgld1</t>
  </si>
  <si>
    <t>I Want It That Way - Acoustic Covers of Popular Songs</t>
  </si>
  <si>
    <t>08HbvgCt7APoTp6Vmk7ho1</t>
  </si>
  <si>
    <t>å¸°ã£ã¦ã‹ã‚‰ã€æ­Œã„ãŸããªã£ã¦ã‚‚ã„ã„ã‚ˆã†ã«ã¨æ€ã£ãŸã®ã ã€‚</t>
  </si>
  <si>
    <t>æ˜Žæ—¥ã¸ã‚†ã‘</t>
  </si>
  <si>
    <t>4uBcAJZmH3LkH2rCDe8LgC</t>
  </si>
  <si>
    <t>æ‹›å¾…çŠ¶ã®ãªã„ã‚·ãƒ§ãƒ¼</t>
  </si>
  <si>
    <t>é’ç©ºã€ã²ã¨ã‚Šãã‚Š - Remastered 2018</t>
  </si>
  <si>
    <t>0k3eft3oFkqIJdBFuHFHGW</t>
  </si>
  <si>
    <t>PLAY</t>
  </si>
  <si>
    <t>Someday</t>
  </si>
  <si>
    <t>6c6xJgk6Z7WElX8tRUdjZk</t>
  </si>
  <si>
    <t>Correatown</t>
  </si>
  <si>
    <t>Spark. Burn. Fade.</t>
  </si>
  <si>
    <t>All The World (I Tell Myself)</t>
  </si>
  <si>
    <t>05hCHpkRbY9srvsP1Ld5IJ</t>
  </si>
  <si>
    <t>Cried Like A Baby</t>
  </si>
  <si>
    <t>7ccurrFI92e3hBtU02WgTL</t>
  </si>
  <si>
    <t>Good Feeling</t>
  </si>
  <si>
    <t>6VScORohpeHSfdLkPUZuZX</t>
  </si>
  <si>
    <t>è¸Šã‚‹äººãŸã¡</t>
  </si>
  <si>
    <t>0dLh6jkNSm0HnmEdjXghIA</t>
  </si>
  <si>
    <t>Aberola</t>
  </si>
  <si>
    <t>Si Te Vas</t>
  </si>
  <si>
    <t>2zfmrdj03N55KX9epHrTg7</t>
  </si>
  <si>
    <t>So Help Me God</t>
  </si>
  <si>
    <t>7.69e-05</t>
  </si>
  <si>
    <t>3eocijVoKZ340ZIkvsatUc</t>
  </si>
  <si>
    <t>She/Her/hers</t>
  </si>
  <si>
    <t>To-Do Lists (Color Coded)</t>
  </si>
  <si>
    <t>1dRIpmF4spf1WCruaM59pN</t>
  </si>
  <si>
    <t>ç¥žç„¡æœˆã«ã‹ã“ã¾ã‚Œã¦ - Remastered 2018</t>
  </si>
  <si>
    <t>3giWuQaBIkGG8OcMiWfPMM</t>
  </si>
  <si>
    <t>4xN6o0Y195FTgzQvmnuMNw</t>
  </si>
  <si>
    <t>Make It Easy On Yourself</t>
  </si>
  <si>
    <t>75i8nGJoT6Q2znZNNhUmk3</t>
  </si>
  <si>
    <t>Hollow Man</t>
  </si>
  <si>
    <t>0J2YKkFn2l1LTpZC7UaNrd</t>
  </si>
  <si>
    <t>Corporate Hearts</t>
  </si>
  <si>
    <t>The Shreds</t>
  </si>
  <si>
    <t>Waves of Panic</t>
  </si>
  <si>
    <t>7JuocCvYUBbC0X1bZj6guM</t>
  </si>
  <si>
    <t>1VdQTD2rFIYWpFngckkmSS</t>
  </si>
  <si>
    <t>Dan Andriano in the Emergency Room</t>
  </si>
  <si>
    <t>Of Peace, Quiet and Monsters</t>
  </si>
  <si>
    <t>Of Peace, Quiet And Monsters</t>
  </si>
  <si>
    <t>5WhHTK5wyuY14tiHWuoH4G</t>
  </si>
  <si>
    <t>Little Life</t>
  </si>
  <si>
    <t>2FYSLfTFri5Gbccm44lXA3</t>
  </si>
  <si>
    <t>Hallowed Ground</t>
  </si>
  <si>
    <t>Black Girls</t>
  </si>
  <si>
    <t>73Zqgqez3FbGjeGRhSkw0O</t>
  </si>
  <si>
    <t>Kick Your Lawyer in the Face</t>
  </si>
  <si>
    <t>5Bfdu7gVB7njCCCQHC0kkI</t>
  </si>
  <si>
    <t>Fast Track</t>
  </si>
  <si>
    <t>1epXnhFfFToKeugQWBCsQg</t>
  </si>
  <si>
    <t>Wretched. Filthy. Ugly.</t>
  </si>
  <si>
    <t>Maria</t>
  </si>
  <si>
    <t>7.57e-06</t>
  </si>
  <si>
    <t>5aBpIqXfktr9SSwyAi8Hlj</t>
  </si>
  <si>
    <t>The Essential Taj Mahal</t>
  </si>
  <si>
    <t>Corinna - From "The Natch'l Blues"</t>
  </si>
  <si>
    <t>2.54e-05</t>
  </si>
  <si>
    <t>1ZD2MlKRTYKI8oewOt28mc</t>
  </si>
  <si>
    <t>Tall Cans</t>
  </si>
  <si>
    <t>9.78e-05</t>
  </si>
  <si>
    <t>3zVMv0mxjnJRw2BX5ryCqT</t>
  </si>
  <si>
    <t>Covering Ground</t>
  </si>
  <si>
    <t>You Get What You Give</t>
  </si>
  <si>
    <t>5ieA3sRjDvak7oTrbrR6mV</t>
  </si>
  <si>
    <t>Songbook</t>
  </si>
  <si>
    <t>Four Simple Words</t>
  </si>
  <si>
    <t>4pR4oQJULf7FDB54TleMyH</t>
  </si>
  <si>
    <t>Limoblaze;Lecrae;Happi</t>
  </si>
  <si>
    <t>Jireh (My Provider)</t>
  </si>
  <si>
    <t>afrobeat</t>
  </si>
  <si>
    <t>4Ds4bq6aqOSAp1T7DikOi4</t>
  </si>
  <si>
    <t>Criolo</t>
  </si>
  <si>
    <t>Ainda HÃ¡ Tempo</t>
  </si>
  <si>
    <t>7nYbKsvhM88mHCmFsAIQVp</t>
  </si>
  <si>
    <t>Fellini</t>
  </si>
  <si>
    <t>7gVNP7rI9UBZndge0ulKfL</t>
  </si>
  <si>
    <t>NÃ³ na Orelha</t>
  </si>
  <si>
    <t>Lion Man</t>
  </si>
  <si>
    <t>1hLvWelTny8vttEEZIXVjw</t>
  </si>
  <si>
    <t>Espiral de IlusÃ£o</t>
  </si>
  <si>
    <t>660JNfrBV1K41iYGOh7ClC</t>
  </si>
  <si>
    <t>Sobre Viver</t>
  </si>
  <si>
    <t>YemanjÃ¡ Chegou</t>
  </si>
  <si>
    <t>0tsjEf663ZNWGlIqY2c0Ms</t>
  </si>
  <si>
    <t>Criolo;Rael</t>
  </si>
  <si>
    <t>TÃ´ Pra Ver</t>
  </si>
  <si>
    <t>1Vc0GbabaIukvQZeQTrNQc</t>
  </si>
  <si>
    <t>BaianaSystem</t>
  </si>
  <si>
    <t>Terapia</t>
  </si>
  <si>
    <t>1bBO92RtVTlJlfxuVaLek8</t>
  </si>
  <si>
    <t>Plastilina Mosh</t>
  </si>
  <si>
    <t>Hola Chicuelos</t>
  </si>
  <si>
    <t>AlÃ³</t>
  </si>
  <si>
    <t>00LmM2QLGpfb5NC7PC7qqZ</t>
  </si>
  <si>
    <t>Vasilhame</t>
  </si>
  <si>
    <t>1.86e-06</t>
  </si>
  <si>
    <t>0pY5jjQucjJg3pqAbHhGkW</t>
  </si>
  <si>
    <t>Sucrilhos</t>
  </si>
  <si>
    <t>3ARDVYRmYJx1FrvR9Zlwp2</t>
  </si>
  <si>
    <t>Chuva Ãcida</t>
  </si>
  <si>
    <t>0J4hFHpfCAlJOdrtcm04vz</t>
  </si>
  <si>
    <t>Breaco</t>
  </si>
  <si>
    <t>3BGxXQJWeLAEcwNKRFUxYA</t>
  </si>
  <si>
    <t>BaianaSystem;BNegÃ£o</t>
  </si>
  <si>
    <t>ATO 1: Navio Pirata</t>
  </si>
  <si>
    <t>Reza Forte</t>
  </si>
  <si>
    <t>7cAxwshLN1yidrBlDePrYW</t>
  </si>
  <si>
    <t>Ã‰ o Teste</t>
  </si>
  <si>
    <t>0VSuq0KNSy1nOBO47e1bCN</t>
  </si>
  <si>
    <t>Criolo;MC Hariel;Liniker;Maria Vilani;Jaques Morelenbaum</t>
  </si>
  <si>
    <t>Pequenina</t>
  </si>
  <si>
    <t>0fAmpdONIYsxiP27CwnzLJ</t>
  </si>
  <si>
    <t>Jorge Drexler;SebastiÃ¡n Prada</t>
  </si>
  <si>
    <t>Milonga de Ojos Dorados (Alfredo Zitarrosa) [Live on Pardelion Music]</t>
  </si>
  <si>
    <t>Milonga de Ojos Dorados (Alfredo Zitarrosa) - Live on Pardelion Music</t>
  </si>
  <si>
    <t>1SV0orNlJMONEKfQ9QEUrh</t>
  </si>
  <si>
    <t>AtÃ© Me Emocionei</t>
  </si>
  <si>
    <t>3KYbhVPCxYHIeZg8Zy07ay</t>
  </si>
  <si>
    <t>Criolo;Emicida;Mano Brown</t>
  </si>
  <si>
    <t>Criolo E Emicida Ao Vivo (Live)</t>
  </si>
  <si>
    <t>Vida Loka I - Live</t>
  </si>
  <si>
    <t>1YuVO6AipAn5U1VoG1RBGN</t>
  </si>
  <si>
    <t>DemorÃ´</t>
  </si>
  <si>
    <t>3j0d73FhRaRKlasGXXKZMu</t>
  </si>
  <si>
    <t>BaianaSystem;Liz Reis</t>
  </si>
  <si>
    <t>OXEAXEEXU</t>
  </si>
  <si>
    <t>Guerra Batalha</t>
  </si>
  <si>
    <t>1.11e-06</t>
  </si>
  <si>
    <t>0mW4qfi2vus7qErr9jAeFJ</t>
  </si>
  <si>
    <t>Duas Cidades</t>
  </si>
  <si>
    <t>3hhC43A13GnvLnvhSXemhN</t>
  </si>
  <si>
    <t>MariÃ´</t>
  </si>
  <si>
    <t>4dr8LN0s4WhnLLTzfsZkj5</t>
  </si>
  <si>
    <t>Criolo;Emicida;Evandro FiÃ³ti</t>
  </si>
  <si>
    <t>SÃ³ Mais Uma Noite - Live</t>
  </si>
  <si>
    <t>098WwIoAtjDQwcpuEHAlrr</t>
  </si>
  <si>
    <t>Pretos Ganhando Dinheiro Incomoda Demais</t>
  </si>
  <si>
    <t>4.65e-05</t>
  </si>
  <si>
    <t>3AJ0MFDt4OSknQ5D9Jlo4l</t>
  </si>
  <si>
    <t>Samba Sambei</t>
  </si>
  <si>
    <t>02HQGyk9aGfleS1epTFtnJ</t>
  </si>
  <si>
    <t>JuanafÃ©</t>
  </si>
  <si>
    <t>La Makinita</t>
  </si>
  <si>
    <t>39tI78Hw9SxwaHh32EZW5o</t>
  </si>
  <si>
    <t>Criolo;Milton Nascimento</t>
  </si>
  <si>
    <t>Me Corte na Boca do CÃ©u a Morte NÃ£o Pede PerdÃ£o</t>
  </si>
  <si>
    <t>5.18e-05</t>
  </si>
  <si>
    <t>633yLLOTvQTEdvDD4XVnsw</t>
  </si>
  <si>
    <t>Menino Mimado</t>
  </si>
  <si>
    <t>31RfYWiC3WcExsZtqDMvdS</t>
  </si>
  <si>
    <t>Aprendendo a Sobreviver</t>
  </si>
  <si>
    <t>3EYGVS7euI1GTiYkKBOSfk</t>
  </si>
  <si>
    <t>Tengo Luquita</t>
  </si>
  <si>
    <t>5Xv3XHAt8gkT6hVDXZGcuG</t>
  </si>
  <si>
    <t>Viva Tim Maia</t>
  </si>
  <si>
    <t>Primavera (Vai Chuva)</t>
  </si>
  <si>
    <t>2e1FJPgVRQZFT53QKUR7BD</t>
  </si>
  <si>
    <t>Criolo;Emicida</t>
  </si>
  <si>
    <t>A Cada Vento - Live</t>
  </si>
  <si>
    <t>2anpZSamsEnNY7v1ScOkhJ</t>
  </si>
  <si>
    <t>Samuca e a Selva</t>
  </si>
  <si>
    <t>Madurar</t>
  </si>
  <si>
    <t>Detergente</t>
  </si>
  <si>
    <t>0gKBYJ8xmhWjpBzlPPKUoj</t>
  </si>
  <si>
    <t>Nas Ãguas</t>
  </si>
  <si>
    <t>8.56e-06</t>
  </si>
  <si>
    <t>3A4Y4uYIIt7VoSugv1OELL</t>
  </si>
  <si>
    <t>Convoque Seu Buda</t>
  </si>
  <si>
    <t>Plano de Voo</t>
  </si>
  <si>
    <t>6gUUERbRME9MKaAMIAa1I3</t>
  </si>
  <si>
    <t>Chiquitita</t>
  </si>
  <si>
    <t>5XJMVJoq9otQBf2lMbxagJ</t>
  </si>
  <si>
    <t>FreguÃªs da Meia Noite</t>
  </si>
  <si>
    <t>1NF3eG2IpxKzR3jqMdR60O</t>
  </si>
  <si>
    <t>Hora da DecisÃ£o</t>
  </si>
  <si>
    <t>2zQt5C0AIv27RhfJCRZdZ4</t>
  </si>
  <si>
    <t>Jah Jah Revolta, Pt. 2</t>
  </si>
  <si>
    <t>4kSYNMfWnruGsc9knR15xV</t>
  </si>
  <si>
    <t>Dia da CaÃ§a</t>
  </si>
  <si>
    <t>0d23nai9JamDpc48xhyeRt</t>
  </si>
  <si>
    <t>Fio de Pumo (PadÃª OnÃ£)</t>
  </si>
  <si>
    <t>6nFxTIa7abSSk8GzZFO1zB</t>
  </si>
  <si>
    <t>Pegue Pra Ela</t>
  </si>
  <si>
    <t>2CTzBqhD3xitdqHzEaGoiz</t>
  </si>
  <si>
    <t>Filha do Maneco</t>
  </si>
  <si>
    <t>3.81e-06</t>
  </si>
  <si>
    <t>7oSCgig81QrE0hr6weiwgc</t>
  </si>
  <si>
    <t>Cria de Favela</t>
  </si>
  <si>
    <t>7.13e-05</t>
  </si>
  <si>
    <t>0Hr2RaY7XnE0Qj7ljHGfMw</t>
  </si>
  <si>
    <t>Boca Fofa</t>
  </si>
  <si>
    <t>4BKI37hGrod94ofXtVycYL</t>
  </si>
  <si>
    <t>CalÃ§ada</t>
  </si>
  <si>
    <t>6F4zAdEznwkmn8MHJtcjtT</t>
  </si>
  <si>
    <t>Zica Vai LÃ¡ - Live</t>
  </si>
  <si>
    <t>7bLMLwx6gJrCXoppD2YqOu</t>
  </si>
  <si>
    <t>Subirusdoistiozin - Live</t>
  </si>
  <si>
    <t>4.35e-05</t>
  </si>
  <si>
    <t>5uCb2bQ9HcCY3c7kLq4Iur</t>
  </si>
  <si>
    <t>Jackie Mittoo</t>
  </si>
  <si>
    <t>The Keyboard King at Studio One</t>
  </si>
  <si>
    <t>Darker Shade of Black</t>
  </si>
  <si>
    <t>7cPCyF7ABaT1Te3LUA5jzE</t>
  </si>
  <si>
    <t>Pompi</t>
  </si>
  <si>
    <t>Ahetuk</t>
  </si>
  <si>
    <t>Meghar Jolonga</t>
  </si>
  <si>
    <t>2Y3x5VcEAxLNmVHxQOE0jB</t>
  </si>
  <si>
    <t>Menahan Street Band</t>
  </si>
  <si>
    <t>The Exciting Sounds of Menahan Street Band</t>
  </si>
  <si>
    <t>Queens Highway</t>
  </si>
  <si>
    <t>7BEjw8UVIjhXw26bWkFHQA</t>
  </si>
  <si>
    <t>EtÃ©rea</t>
  </si>
  <si>
    <t>6ET453QCZCnhN7cb5zZoqf</t>
  </si>
  <si>
    <t>CabeÃ§a de Papel</t>
  </si>
  <si>
    <t>31p1i3XDY9W8ORcDXmA17Q</t>
  </si>
  <si>
    <t>InvisÃ­vel</t>
  </si>
  <si>
    <t>3vo1FajskK841e2gcxHpqB</t>
  </si>
  <si>
    <t>Los PiraÃ±as</t>
  </si>
  <si>
    <t>Toma Tu JabÃ³n Kapax</t>
  </si>
  <si>
    <t>Lambada de OceanÃ­a, Ãfrica y AmÃ©rica</t>
  </si>
  <si>
    <t>3Nb27pwwcFmJhP6INhri4z</t>
  </si>
  <si>
    <t>BaianaSystem;Orquestra AfrosinfÃ´nica</t>
  </si>
  <si>
    <t>Fogo (VersÃ£o Estendida)</t>
  </si>
  <si>
    <t>0seSNElilcmQH2T0gY5zyY</t>
  </si>
  <si>
    <t>BaianaSystem;Makavelli;Jaymitta</t>
  </si>
  <si>
    <t>Nauliza</t>
  </si>
  <si>
    <t>3ayGhSSsgy1PyvJi6Np0CH</t>
  </si>
  <si>
    <t>Jorge Drexler</t>
  </si>
  <si>
    <t>MediterrÃ¡neo</t>
  </si>
  <si>
    <t>5.19e-06</t>
  </si>
  <si>
    <t>0afpxm7xkeXwj7KYzmS5Uc</t>
  </si>
  <si>
    <t>Me DÃª Motivo</t>
  </si>
  <si>
    <t>3qdalnFVTJdRheIRZyuNmP</t>
  </si>
  <si>
    <t>BaianaSystem;Buguinha Dub;Curumin;Edgar</t>
  </si>
  <si>
    <t>Futuro Dub</t>
  </si>
  <si>
    <t>Sonar (Adubado)</t>
  </si>
  <si>
    <t>6SdaB4qWrwFG5goKg3NbVj</t>
  </si>
  <si>
    <t>Forasteiro</t>
  </si>
  <si>
    <t>3dCA1AG1JPlF848jihvVsE</t>
  </si>
  <si>
    <t>Oxidados</t>
  </si>
  <si>
    <t>7t6UycwC3vvVtTvbhdNSY9</t>
  </si>
  <si>
    <t>Ã€ BeÃ§a</t>
  </si>
  <si>
    <t>1.28e-05</t>
  </si>
  <si>
    <t>0YM62MzsqtMsbCS0E89bvx</t>
  </si>
  <si>
    <t>Los Amigos Invisibles</t>
  </si>
  <si>
    <t>Commercial</t>
  </si>
  <si>
    <t>SueÃ±o ErÃ³tico</t>
  </si>
  <si>
    <t>6iqj4S2j6HZOAxyE1i5OXs</t>
  </si>
  <si>
    <t>Jorge Drexler;Gal Costa</t>
  </si>
  <si>
    <t>Nenhuma Dor</t>
  </si>
  <si>
    <t>Negro Amor (It's All Over Now, Baby Clue)</t>
  </si>
  <si>
    <t>3HPfcQxliHRPkDZPFHH0JE</t>
  </si>
  <si>
    <t>Povo Guerreiro</t>
  </si>
  <si>
    <t>0VjyKaDsZ29g00cvIywo5t</t>
  </si>
  <si>
    <t>O Futuro NÃ£o Demora</t>
  </si>
  <si>
    <t>Navio</t>
  </si>
  <si>
    <t>7zMJ0Pgmv9Jcx1skiTp3RV</t>
  </si>
  <si>
    <t>No Sapatinho</t>
  </si>
  <si>
    <t>2GMlGVZ3Co8CkDm1RiPFRw</t>
  </si>
  <si>
    <t>MetÃ¡ MetÃ¡</t>
  </si>
  <si>
    <t>MetaL MetaL</t>
  </si>
  <si>
    <t>SÃ£o Jorge</t>
  </si>
  <si>
    <t>1aAhNjAqKqUFQ93uesAytf</t>
  </si>
  <si>
    <t>BaianaSystem;CÃ¡ssia Eller</t>
  </si>
  <si>
    <t>O Segundo Sol</t>
  </si>
  <si>
    <t>3169PUGpN64JNpAhR5PW4Y</t>
  </si>
  <si>
    <t>Super Pop Venezuela</t>
  </si>
  <si>
    <t>Amar Es Algo MÃ¡s</t>
  </si>
  <si>
    <t>2MwJYrmAqLPOxd3pSLNdYb</t>
  </si>
  <si>
    <t>BaianaSystem;Samba de Lata de TijuaÃ§Ãº</t>
  </si>
  <si>
    <t>Redoma</t>
  </si>
  <si>
    <t>4.61e-05</t>
  </si>
  <si>
    <t>0s76fxVvT3GOz0sEU64v4j</t>
  </si>
  <si>
    <t>Viva (MelÃ´ Dos Vileiros) - Live</t>
  </si>
  <si>
    <t>2abpx1FO9dhMg16Q59iWL4</t>
  </si>
  <si>
    <t>Samba Sambei (Dub Mix)</t>
  </si>
  <si>
    <t>16qGlEtbDQW4IFcRsIjmwm</t>
  </si>
  <si>
    <t>BaianaSystem;VANDAL</t>
  </si>
  <si>
    <t>CertoPeloCertoh</t>
  </si>
  <si>
    <t>5vilhku7KUCbRlog1d0lBy</t>
  </si>
  <si>
    <t>Mandrill</t>
  </si>
  <si>
    <t>Just Outside Of Town</t>
  </si>
  <si>
    <t>Fat City Strut</t>
  </si>
  <si>
    <t>177aS2QdvkU2reVZoXBw1G</t>
  </si>
  <si>
    <t>Samuca e a Selva;Luedji Luna</t>
  </si>
  <si>
    <t>Tudo Que Move Ã‰ Sagrado</t>
  </si>
  <si>
    <t>FÃ© Cega, Faca Amolada</t>
  </si>
  <si>
    <t>0YLkH00Doh7W1IEEo9BA71</t>
  </si>
  <si>
    <t>La Bala</t>
  </si>
  <si>
    <t>31P1OdwMwFh8b6kGjdLUZV</t>
  </si>
  <si>
    <t>Chocolate</t>
  </si>
  <si>
    <t>3.91e-05</t>
  </si>
  <si>
    <t>5K0z3idLxEFY0tv82NeMPe</t>
  </si>
  <si>
    <t>MariÃ´ - Live</t>
  </si>
  <si>
    <t>8.57e-06</t>
  </si>
  <si>
    <t>2SPPB8Wi85U3cn6ptXLsR4</t>
  </si>
  <si>
    <t>DemorÃ´ - Live</t>
  </si>
  <si>
    <t>4YUWeLwUwRMzuxW5H4ASYp</t>
  </si>
  <si>
    <t>BaianaSystem;As Ganhadeiras de ItapuÃ£</t>
  </si>
  <si>
    <t>Panela</t>
  </si>
  <si>
    <t>06yiYlbdcanbh4GJEFyhEj</t>
  </si>
  <si>
    <t>0uWCzZzI1A2yxreko4iEib</t>
  </si>
  <si>
    <t>Tasty + B Sides</t>
  </si>
  <si>
    <t>Human Disco Ball</t>
  </si>
  <si>
    <t>6LcDgsJUPj70eb0NONh5q6</t>
  </si>
  <si>
    <t>Bala na Agulha</t>
  </si>
  <si>
    <t>6UV8gki3IIkVNP9jlxScM6</t>
  </si>
  <si>
    <t>La Jardinera</t>
  </si>
  <si>
    <t>6M0dUj7G1BBsFRUZVGFyma</t>
  </si>
  <si>
    <t>Hugh Masekela</t>
  </si>
  <si>
    <t>Africa Rising Vol.3</t>
  </si>
  <si>
    <t>Makoti</t>
  </si>
  <si>
    <t>3nixiIoAj9SFIiNPxgUDH8</t>
  </si>
  <si>
    <t>Africa Rising Vol.4</t>
  </si>
  <si>
    <t>Nontsokolo</t>
  </si>
  <si>
    <t>3U8py45D86LbBF6jZtaxMH</t>
  </si>
  <si>
    <t>Manu Dibango</t>
  </si>
  <si>
    <t>Afrodance Anthems</t>
  </si>
  <si>
    <t>Soul Makossa</t>
  </si>
  <si>
    <t>19Oj8jiVAn3qRr0DhlLU1j</t>
  </si>
  <si>
    <t>Triunfo - Live</t>
  </si>
  <si>
    <t>0UZ3juSCFsN6lINBadUZNZ</t>
  </si>
  <si>
    <t>Grajauex - Live</t>
  </si>
  <si>
    <t>4Z02tygBhQ3PZXKvwAl44s</t>
  </si>
  <si>
    <t>Africa Rising Vol.1</t>
  </si>
  <si>
    <t>District Six - Live</t>
  </si>
  <si>
    <t>1Yxukx85EzhKgZpzbNywQv</t>
  </si>
  <si>
    <t>NÃ£o Existe Amor Em SP - Live</t>
  </si>
  <si>
    <t>54OvaGEkwX2FnqIMS05S82</t>
  </si>
  <si>
    <t>Women Of The Sun</t>
  </si>
  <si>
    <t>3xfUu8alkwuMg8UBht9TtW</t>
  </si>
  <si>
    <t>BogotÃ¡ - Live</t>
  </si>
  <si>
    <t>3MZm4t1kRJ2e5JyaYQpjrF</t>
  </si>
  <si>
    <t>Black Organ</t>
  </si>
  <si>
    <t>33NVGT7agcN1ems0OLUlCX</t>
  </si>
  <si>
    <t>Best Afrodance Tunes</t>
  </si>
  <si>
    <t>Dikalo - Remix 97</t>
  </si>
  <si>
    <t>1AMkh8OSTuP6CcAvP59xL7</t>
  </si>
  <si>
    <t>14XaLZBDGnMY4313d4G51A</t>
  </si>
  <si>
    <t>Ernest Ranglin</t>
  </si>
  <si>
    <t>Stop That Train</t>
  </si>
  <si>
    <t>1q8NdCAQ9QUjpYiqzdd3mv</t>
  </si>
  <si>
    <t>Calle 13</t>
  </si>
  <si>
    <t>Calle 13 (Explicit Version)</t>
  </si>
  <si>
    <t>AtrÃ©vete-Te-Te</t>
  </si>
  <si>
    <t>Grand Total</t>
  </si>
  <si>
    <t>Count of track_id</t>
  </si>
  <si>
    <t>Row Labels</t>
  </si>
  <si>
    <t>Sum of popularity</t>
  </si>
  <si>
    <t>Average of popularity</t>
  </si>
  <si>
    <t>FALSE</t>
  </si>
  <si>
    <t>TRUE</t>
  </si>
  <si>
    <r>
      <rPr>
        <b/>
        <sz val="26"/>
        <color theme="6" tint="-0.249977111117893"/>
        <rFont val="Times New Roman"/>
        <family val="1"/>
      </rPr>
      <t>Spotify</t>
    </r>
    <r>
      <rPr>
        <b/>
        <sz val="26"/>
        <color theme="2" tint="-0.89999084444715716"/>
        <rFont val="Times New Roman"/>
        <family val="1"/>
      </rPr>
      <t xml:space="preserve">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</si>
</sst>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6" tint="-0.249977111117893"/>
      <name val="Times New Roman"/>
      <family val="1"/>
    </font>
    <font>
      <sz val="11"/>
      <color theme="3" tint="0.749992370372631"/>
      <name val="Aptos Narrow"/>
      <family val="2"/>
      <scheme val="minor"/>
    </font>
    <font>
      <b/>
      <sz val="26"/>
      <color theme="2" tint="-9.9978637043366805E-2"/>
      <name val="Times New Roman"/>
      <family val="1"/>
    </font>
    <font>
      <b/>
      <sz val="26"/>
      <color theme="2" tint="-0.89999084444715716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quotePrefix="1"/>
    <xf numFmtId="20" fontId="0" fillId="0" borderId="0" xfId="0" applyNumberFormat="1"/>
    <xf numFmtId="16" fontId="0" fillId="0" borderId="0" xfId="0" applyNumberFormat="1"/>
    <xf numFmtId="11" fontId="0" fillId="0" borderId="0" xfId="0" applyNumberFormat="1"/>
    <xf numFmtId="9" fontId="0" fillId="0" borderId="0" xfId="0" applyNumberFormat="1"/>
    <xf numFmtId="15" fontId="0" fillId="0" borderId="0" xfId="0" applyNumberFormat="1"/>
    <xf numFmtId="18" fontId="0" fillId="0" borderId="0" xfId="0" applyNumberFormat="1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3" xfId="0" applyFont="1" applyFill="1" applyBorder="1"/>
    <xf numFmtId="0" fontId="0" fillId="34" borderId="14" xfId="0" applyFont="1" applyFill="1" applyBorder="1"/>
    <xf numFmtId="0" fontId="0" fillId="34" borderId="15" xfId="0" applyFont="1" applyFill="1" applyBorder="1"/>
    <xf numFmtId="0" fontId="0" fillId="35" borderId="13" xfId="0" applyFont="1" applyFill="1" applyBorder="1"/>
    <xf numFmtId="0" fontId="0" fillId="35" borderId="14" xfId="0" applyFont="1" applyFill="1" applyBorder="1"/>
    <xf numFmtId="0" fontId="0" fillId="35" borderId="15" xfId="0" applyFont="1" applyFill="1" applyBorder="1"/>
    <xf numFmtId="0" fontId="0" fillId="34" borderId="16" xfId="0" applyFont="1" applyFill="1" applyBorder="1"/>
    <xf numFmtId="0" fontId="0" fillId="34" borderId="17" xfId="0" applyFont="1" applyFill="1" applyBorder="1"/>
    <xf numFmtId="0" fontId="0" fillId="34" borderId="18" xfId="0" applyFont="1" applyFill="1" applyBorder="1"/>
    <xf numFmtId="0" fontId="0" fillId="0" borderId="0" xfId="0" applyAlignment="1">
      <alignment vertical="center"/>
    </xf>
    <xf numFmtId="0" fontId="0" fillId="0" borderId="0" xfId="0" applyNumberFormat="1"/>
    <xf numFmtId="0" fontId="0" fillId="36" borderId="0" xfId="0" applyFill="1" applyAlignment="1">
      <alignment horizontal="center"/>
    </xf>
    <xf numFmtId="0" fontId="20" fillId="37" borderId="0" xfId="0" applyFont="1" applyFill="1" applyAlignment="1">
      <alignment horizontal="center" vertical="center"/>
    </xf>
    <xf numFmtId="0" fontId="0" fillId="38" borderId="0" xfId="0" applyFill="1" applyAlignment="1">
      <alignment horizontal="center"/>
    </xf>
    <xf numFmtId="0" fontId="19" fillId="38" borderId="0" xfId="0" applyFont="1" applyFill="1" applyAlignment="1">
      <alignment horizontal="center" vertical="center"/>
    </xf>
    <xf numFmtId="0" fontId="0" fillId="38" borderId="0" xfId="0" applyFon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4" borderId="14" xfId="0" quotePrefix="1" applyFont="1" applyFill="1" applyBorder="1"/>
    <xf numFmtId="0" fontId="0" fillId="35" borderId="14" xfId="0" quotePrefix="1" applyFont="1" applyFill="1" applyBorder="1"/>
    <xf numFmtId="20" fontId="0" fillId="34" borderId="14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[spotifyData.xlsx]Sheet1!PivotTable1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Songs by Genre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2"/>
                <c:pt idx="0">
                  <c:v>acoustic</c:v>
                </c:pt>
                <c:pt idx="1">
                  <c:v>afrobeat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1000</c:v>
                </c:pt>
                <c:pt idx="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B-41EE-999A-861710AA4AF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564072"/>
        <c:axId val="770555432"/>
      </c:barChart>
      <c:catAx>
        <c:axId val="770564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55432"/>
        <c:crosses val="autoZero"/>
        <c:auto val="1"/>
        <c:lblAlgn val="ctr"/>
        <c:lblOffset val="100"/>
        <c:noMultiLvlLbl val="0"/>
      </c:catAx>
      <c:valAx>
        <c:axId val="77055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Songs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6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[spotifyData.xlsx]Sheet2!PivotTable4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Popularity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acoustic</c:v>
                </c:pt>
                <c:pt idx="1">
                  <c:v>afrobeat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42483</c:v>
                </c:pt>
                <c:pt idx="1">
                  <c:v>3576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2-44F0-85C9-71A1A56CD7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5232560"/>
        <c:axId val="785230400"/>
      </c:barChart>
      <c:catAx>
        <c:axId val="785232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0400"/>
        <c:crosses val="autoZero"/>
        <c:auto val="1"/>
        <c:lblAlgn val="ctr"/>
        <c:lblOffset val="100"/>
        <c:noMultiLvlLbl val="0"/>
      </c:catAx>
      <c:valAx>
        <c:axId val="78523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[spotifyData.xlsx]Sheet3!PivotTable6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Popular Songs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Pano</c:v>
                </c:pt>
                <c:pt idx="1">
                  <c:v>AtrÃ©vete-Te-Te</c:v>
                </c:pt>
                <c:pt idx="2">
                  <c:v>Love Song</c:v>
                </c:pt>
                <c:pt idx="3">
                  <c:v>Asan Ka Na Ba</c:v>
                </c:pt>
                <c:pt idx="4">
                  <c:v>Comedy</c:v>
                </c:pt>
                <c:pt idx="5">
                  <c:v>I'm Yours</c:v>
                </c:pt>
                <c:pt idx="6">
                  <c:v>Blister In The Sun</c:v>
                </c:pt>
                <c:pt idx="7">
                  <c:v>Come On Get Higher</c:v>
                </c:pt>
                <c:pt idx="8">
                  <c:v>Lucky</c:v>
                </c:pt>
                <c:pt idx="9">
                  <c:v>Nangangamba</c:v>
                </c:pt>
                <c:pt idx="10">
                  <c:v>Superman (It's Not Easy)</c:v>
                </c:pt>
                <c:pt idx="11">
                  <c:v>Brave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75</c:v>
                </c:pt>
                <c:pt idx="1">
                  <c:v>75</c:v>
                </c:pt>
                <c:pt idx="2">
                  <c:v>73</c:v>
                </c:pt>
                <c:pt idx="3">
                  <c:v>73</c:v>
                </c:pt>
                <c:pt idx="4">
                  <c:v>73</c:v>
                </c:pt>
                <c:pt idx="5">
                  <c:v>71.666666666666671</c:v>
                </c:pt>
                <c:pt idx="6">
                  <c:v>71</c:v>
                </c:pt>
                <c:pt idx="7">
                  <c:v>71</c:v>
                </c:pt>
                <c:pt idx="8">
                  <c:v>71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E-4E13-A6F8-0A9984237A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7365848"/>
        <c:axId val="577365488"/>
      </c:lineChart>
      <c:catAx>
        <c:axId val="577365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Song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65488"/>
        <c:crosses val="autoZero"/>
        <c:auto val="1"/>
        <c:lblAlgn val="ctr"/>
        <c:lblOffset val="100"/>
        <c:noMultiLvlLbl val="0"/>
      </c:catAx>
      <c:valAx>
        <c:axId val="5773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Popularity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6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Songs by Genre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2"/>
                <c:pt idx="0">
                  <c:v>acoustic</c:v>
                </c:pt>
                <c:pt idx="1">
                  <c:v>afrobeat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1000</c:v>
                </c:pt>
                <c:pt idx="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4-4EF3-94DF-340679B11C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564072"/>
        <c:axId val="770555432"/>
      </c:barChart>
      <c:catAx>
        <c:axId val="770564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55432"/>
        <c:crosses val="autoZero"/>
        <c:auto val="1"/>
        <c:lblAlgn val="ctr"/>
        <c:lblOffset val="100"/>
        <c:noMultiLvlLbl val="0"/>
      </c:catAx>
      <c:valAx>
        <c:axId val="77055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Songs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6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[spotifyData.xlsx]Sheet2!PivotTable4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Popularity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Sheet2!$A$4:$A$6</c:f>
              <c:strCache>
                <c:ptCount val="2"/>
                <c:pt idx="0">
                  <c:v>acoustic</c:v>
                </c:pt>
                <c:pt idx="1">
                  <c:v>afrobeat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42483</c:v>
                </c:pt>
                <c:pt idx="1">
                  <c:v>3576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E-4A8D-9323-63A72CA950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5232560"/>
        <c:axId val="785230400"/>
      </c:barChart>
      <c:catAx>
        <c:axId val="785232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0400"/>
        <c:crosses val="autoZero"/>
        <c:auto val="1"/>
        <c:lblAlgn val="ctr"/>
        <c:lblOffset val="100"/>
        <c:noMultiLvlLbl val="0"/>
      </c:catAx>
      <c:valAx>
        <c:axId val="78523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Popularity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[spotifyData.xlsx]Sheet3!PivotTable6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Popular Songs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Pano</c:v>
                </c:pt>
                <c:pt idx="1">
                  <c:v>AtrÃ©vete-Te-Te</c:v>
                </c:pt>
                <c:pt idx="2">
                  <c:v>Love Song</c:v>
                </c:pt>
                <c:pt idx="3">
                  <c:v>Asan Ka Na Ba</c:v>
                </c:pt>
                <c:pt idx="4">
                  <c:v>Comedy</c:v>
                </c:pt>
                <c:pt idx="5">
                  <c:v>I'm Yours</c:v>
                </c:pt>
                <c:pt idx="6">
                  <c:v>Blister In The Sun</c:v>
                </c:pt>
                <c:pt idx="7">
                  <c:v>Come On Get Higher</c:v>
                </c:pt>
                <c:pt idx="8">
                  <c:v>Lucky</c:v>
                </c:pt>
                <c:pt idx="9">
                  <c:v>Nangangamba</c:v>
                </c:pt>
                <c:pt idx="10">
                  <c:v>Superman (It's Not Easy)</c:v>
                </c:pt>
                <c:pt idx="11">
                  <c:v>Brave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75</c:v>
                </c:pt>
                <c:pt idx="1">
                  <c:v>75</c:v>
                </c:pt>
                <c:pt idx="2">
                  <c:v>73</c:v>
                </c:pt>
                <c:pt idx="3">
                  <c:v>73</c:v>
                </c:pt>
                <c:pt idx="4">
                  <c:v>73</c:v>
                </c:pt>
                <c:pt idx="5">
                  <c:v>71.666666666666671</c:v>
                </c:pt>
                <c:pt idx="6">
                  <c:v>71</c:v>
                </c:pt>
                <c:pt idx="7">
                  <c:v>71</c:v>
                </c:pt>
                <c:pt idx="8">
                  <c:v>71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D-46C6-A97A-D438E3E08C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7365848"/>
        <c:axId val="577365488"/>
      </c:lineChart>
      <c:catAx>
        <c:axId val="577365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Song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65488"/>
        <c:crosses val="autoZero"/>
        <c:auto val="1"/>
        <c:lblAlgn val="ctr"/>
        <c:lblOffset val="100"/>
        <c:noMultiLvlLbl val="0"/>
      </c:catAx>
      <c:valAx>
        <c:axId val="5773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Popularity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6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[spotifyData.xlsx]Sheet4!PivotTable1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Explicit vs Non-Explicit Songs</a:t>
            </a:r>
          </a:p>
        </c:rich>
      </c:tx>
      <c:layout>
        <c:manualLayout>
          <c:xMode val="edge"/>
          <c:yMode val="edge"/>
          <c:x val="0.16765452205025638"/>
          <c:y val="0.13586496070390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79-42AB-B999-FF0C0B2141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79-42AB-B999-FF0C0B2141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1048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79-42AB-B999-FF0C0B2141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[spotifyData.xlsx]Sheet4!PivotTable1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Explicit vs Non-Explicit Songs</a:t>
            </a:r>
          </a:p>
        </c:rich>
      </c:tx>
      <c:layout>
        <c:manualLayout>
          <c:xMode val="edge"/>
          <c:yMode val="edge"/>
          <c:x val="0.16765452205025638"/>
          <c:y val="0.13586496070390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EB-47C6-BAA8-F60580AE91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EB-47C6-BAA8-F60580AE91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1048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EB-47C6-BAA8-F60580AE91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21</xdr:row>
      <xdr:rowOff>0</xdr:rowOff>
    </xdr:from>
    <xdr:to>
      <xdr:col>9</xdr:col>
      <xdr:colOff>199165</xdr:colOff>
      <xdr:row>37</xdr:row>
      <xdr:rowOff>137088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C59C57-F9AC-4B83-9962-9DEE66058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0.0646</cdr:x>
      <cdr:y>0.0751</cdr:y>
    </cdr:from>
    <cdr:to>
      <cdr:x>0.16291</cdr:x>
      <cdr:y>0.1762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DBC60B5-F5C5-70AA-C534-4346219AAAB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16594" y="202463"/>
          <a:ext cx="938353" cy="27257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2</xdr:row>
      <xdr:rowOff>120650</xdr:rowOff>
    </xdr:from>
    <xdr:to>
      <xdr:col>15</xdr:col>
      <xdr:colOff>295289</xdr:colOff>
      <xdr:row>19</xdr:row>
      <xdr:rowOff>19370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2EC40F5-3949-4F2A-A22B-3C8F83198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18</xdr:col>
      <xdr:colOff>353278</xdr:colOff>
      <xdr:row>22</xdr:row>
      <xdr:rowOff>125768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257F47B-968A-43E9-8020-A1E7090A4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330177</xdr:colOff>
      <xdr:row>9</xdr:row>
      <xdr:rowOff>66842</xdr:rowOff>
    </xdr:from>
    <xdr:to>
      <xdr:col>16</xdr:col>
      <xdr:colOff>133685</xdr:colOff>
      <xdr:row>26</xdr:row>
      <xdr:rowOff>66843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7A94F-2841-191E-EB16-E3D345CCF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203407</xdr:colOff>
      <xdr:row>9</xdr:row>
      <xdr:rowOff>66841</xdr:rowOff>
    </xdr:from>
    <xdr:to>
      <xdr:col>29</xdr:col>
      <xdr:colOff>317500</xdr:colOff>
      <xdr:row>26</xdr:row>
      <xdr:rowOff>83553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6529290-B1C1-4295-517C-D3C2B5078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327983</xdr:colOff>
      <xdr:row>26</xdr:row>
      <xdr:rowOff>153851</xdr:rowOff>
    </xdr:from>
    <xdr:to>
      <xdr:col>16</xdr:col>
      <xdr:colOff>133684</xdr:colOff>
      <xdr:row>46</xdr:row>
      <xdr:rowOff>50133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E54B460-2242-D338-B9A6-066A8B452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222183</xdr:colOff>
      <xdr:row>26</xdr:row>
      <xdr:rowOff>165581</xdr:rowOff>
    </xdr:from>
    <xdr:to>
      <xdr:col>29</xdr:col>
      <xdr:colOff>384343</xdr:colOff>
      <xdr:row>46</xdr:row>
      <xdr:rowOff>83554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71A16FB-B13C-9B17-1A74-7D7188B82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421453</xdr:colOff>
      <xdr:row>4</xdr:row>
      <xdr:rowOff>31498</xdr:rowOff>
    </xdr:from>
    <xdr:to>
      <xdr:col>7</xdr:col>
      <xdr:colOff>410763</xdr:colOff>
      <xdr:row>7</xdr:row>
      <xdr:rowOff>125572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2135D8E-3303-5E93-0813-4145937F054C}"/>
            </a:ext>
          </a:extLst>
        </xdr:cNvPr>
        <xdr:cNvSpPr/>
      </xdr:nvSpPr>
      <xdr:spPr>
        <a:xfrm>
          <a:off x="1034556" y="775981"/>
          <a:ext cx="3667931" cy="65243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Total Song</a:t>
          </a:r>
        </a:p>
        <a:p>
          <a:pPr algn="ctr"/>
          <a:r>
            <a:rPr lang="en-US" sz="1600" b="1"/>
            <a:t>1102</a:t>
          </a:r>
        </a:p>
      </xdr:txBody>
    </xdr:sp>
    <xdr:clientData/>
  </xdr:twoCellAnchor>
  <xdr:twoCellAnchor>
    <xdr:from>
      <xdr:col>8</xdr:col>
      <xdr:colOff>597643</xdr:colOff>
      <xdr:row>4</xdr:row>
      <xdr:rowOff>34584</xdr:rowOff>
    </xdr:from>
    <xdr:to>
      <xdr:col>14</xdr:col>
      <xdr:colOff>586953</xdr:colOff>
      <xdr:row>7</xdr:row>
      <xdr:rowOff>128658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5208A10-6770-4214-8BF4-AE079BDFD63D}"/>
            </a:ext>
          </a:extLst>
        </xdr:cNvPr>
        <xdr:cNvSpPr/>
      </xdr:nvSpPr>
      <xdr:spPr>
        <a:xfrm>
          <a:off x="5540346" y="789719"/>
          <a:ext cx="3696337" cy="6604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Unique</a:t>
          </a:r>
          <a:r>
            <a:rPr lang="en-US" sz="1600" b="1" baseline="0"/>
            <a:t> Artists</a:t>
          </a:r>
          <a:endParaRPr lang="en-US" sz="1600" b="1"/>
        </a:p>
        <a:p>
          <a:pPr algn="ctr"/>
          <a:r>
            <a:rPr lang="en-US" sz="1600" b="1"/>
            <a:t>367</a:t>
          </a:r>
        </a:p>
      </xdr:txBody>
    </xdr:sp>
    <xdr:clientData/>
  </xdr:twoCellAnchor>
  <xdr:twoCellAnchor>
    <xdr:from>
      <xdr:col>16</xdr:col>
      <xdr:colOff>128528</xdr:colOff>
      <xdr:row>4</xdr:row>
      <xdr:rowOff>18419</xdr:rowOff>
    </xdr:from>
    <xdr:to>
      <xdr:col>22</xdr:col>
      <xdr:colOff>117838</xdr:colOff>
      <xdr:row>7</xdr:row>
      <xdr:rowOff>112493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4E2B71-DD33-4E55-9C77-A15E1CDDEFFD}"/>
            </a:ext>
          </a:extLst>
        </xdr:cNvPr>
        <xdr:cNvSpPr/>
      </xdr:nvSpPr>
      <xdr:spPr>
        <a:xfrm>
          <a:off x="10013933" y="773554"/>
          <a:ext cx="3696337" cy="6604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Avg</a:t>
          </a:r>
          <a:r>
            <a:rPr lang="en-US" sz="1600" b="1" baseline="0"/>
            <a:t> Popularity</a:t>
          </a:r>
          <a:endParaRPr lang="en-US" sz="1600" b="1"/>
        </a:p>
        <a:p>
          <a:pPr algn="ctr"/>
          <a:r>
            <a:rPr lang="en-US" sz="1600" b="1"/>
            <a:t>41.83378747</a:t>
          </a:r>
        </a:p>
      </xdr:txBody>
    </xdr:sp>
    <xdr:clientData/>
  </xdr:twoCellAnchor>
  <xdr:twoCellAnchor>
    <xdr:from>
      <xdr:col>23</xdr:col>
      <xdr:colOff>182729</xdr:colOff>
      <xdr:row>4</xdr:row>
      <xdr:rowOff>45465</xdr:rowOff>
    </xdr:from>
    <xdr:to>
      <xdr:col>29</xdr:col>
      <xdr:colOff>172039</xdr:colOff>
      <xdr:row>7</xdr:row>
      <xdr:rowOff>132102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2DE58F1-234F-4D56-B480-AA3CC7C36E02}"/>
            </a:ext>
          </a:extLst>
        </xdr:cNvPr>
        <xdr:cNvSpPr/>
      </xdr:nvSpPr>
      <xdr:spPr>
        <a:xfrm>
          <a:off x="14284108" y="789948"/>
          <a:ext cx="3667931" cy="6449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Avg</a:t>
          </a:r>
          <a:r>
            <a:rPr lang="en-US" sz="1600" b="1" baseline="0"/>
            <a:t> Danceability</a:t>
          </a:r>
          <a:endParaRPr lang="en-US" sz="1600" b="1"/>
        </a:p>
        <a:p>
          <a:pPr algn="ctr"/>
          <a:r>
            <a:rPr lang="en-US" sz="1600" b="1"/>
            <a:t>0.560119891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0.0646</cdr:x>
      <cdr:y>0.0751</cdr:y>
    </cdr:from>
    <cdr:to>
      <cdr:x>0.16291</cdr:x>
      <cdr:y>0.1762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3DBC60B5-F5C5-70AA-C534-4346219AAAB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16594" y="202463"/>
          <a:ext cx="938353" cy="272575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0</xdr:row>
      <xdr:rowOff>38100</xdr:rowOff>
    </xdr:from>
    <xdr:to>
      <xdr:col>16</xdr:col>
      <xdr:colOff>419556</xdr:colOff>
      <xdr:row>19</xdr:row>
      <xdr:rowOff>1409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423E81B-5A82-4E3B-AA7F-DEB185E6A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ka Pandey" refreshedDate="46283.795421527779" createdVersion="8" refreshedVersion="8" minRefreshableVersion="3" recordCount="1101" xr:uid="{D375C403-C462-4C12-9B0F-8E283B0484DD}">
  <cacheSource type="worksheet">
    <worksheetSource name="Table1"/>
  </cacheSource>
  <cacheFields count="20">
    <cacheField name="track_id" numFmtId="0">
      <sharedItems count="1101">
        <s v="5SuOikwiRyPMVoIQDJUgSV"/>
        <s v="4qPNDBW1i3p13qLCt0Ki3A"/>
        <s v="1iJBSr7s7jYXzM8EGcbK5b"/>
        <s v="6lfxq3CG4xtTiEg7opyCyx"/>
        <s v="5vjLSffimiIP26QG5WcN2K"/>
        <s v="01MVOl9KtVTNfFiBU9I7dc"/>
        <s v="6Vc5wAMmXdKIAM7WUoEb7N"/>
        <s v="1EzrEOXmMH3G43AXT1y7pA"/>
        <s v="0IktbUcnAGrvD03AWnz3Q8"/>
        <s v="7k9GuJYLp2AzqokyEdwEw2"/>
        <s v="4mzP5mHkRvGxdhdGdAH7EJ"/>
        <s v="5ivF4eQBqJiVL5IAE9jRyl"/>
        <s v="4ptDJbJl35d7gQfeNteBwp"/>
        <s v="0X9MxHR1rTkEHDjp95F2OO"/>
        <s v="4LbWtBkN82ZRhz9jqzgrb3"/>
        <s v="1KHdq8NK9QxnGjdXb55NiG"/>
        <s v="6xKeQgzfjixSUld14qUezm"/>
        <s v="4Yo0igmcoNyat1secaH0OD"/>
        <s v="2qLMf6TuEC3ruGJg4SMMN6"/>
        <s v="6CgNoAbFJ4Q4Id4EjtbXlC"/>
        <s v="3S0OXQeoh0w6AY8WQVckRW"/>
        <s v="210JCw2LbYD4YIs8GiZ9iP"/>
        <s v="5TvE3pk05pyFIGdSY9j4DJ"/>
        <s v="0BUuuEvNa5T4lMaewyiudB"/>
        <s v="3Hn3LfhrQOaKihdCibJsTs"/>
        <s v="6D33wCKzWtNEgOovgeVJ7r"/>
        <s v="5IfCZDRXZrqZSm8AwE44PG"/>
        <s v="0dzKBptH2P5j5a0MifBMwM"/>
        <s v="5QAMZTM5cmLg3fHX9ZbTZi"/>
        <s v="2qESE1ZeWly7I3YjyTXmXh"/>
        <s v="3EQV1ZHtHvq9OnVRYIdbg3"/>
        <s v="3ax0rfGb7exLtl02LL08U9"/>
        <s v="1m5LC29RE52Bxy7hxvpOlL"/>
        <s v="3H36x7buZdQD4687VmFrwY"/>
        <s v="0xbMRcMFqxJq1Wa7tvWPtn"/>
        <s v="6h061f44HZPj1OXO2nA45d"/>
        <s v="62EwQLDw0dprDzuLwQ0sH1"/>
        <s v="3lvo0I8c2qBJDLZWqExDgC"/>
        <s v="1ae8XfBQ3fDEvmBjFaemGV"/>
        <s v="0adVktNVJXPZfhQe6B1NO5"/>
        <s v="6sp6Vx3sv2l5qxPfbQkcyt"/>
        <s v="1WFVfVjCtbmdIv7j3Fa9iy"/>
        <s v="0e5PAxSyZ5DWWVqKANHETz"/>
        <s v="1MLr9b1fOybO3MGiLy47Ys"/>
        <s v="6JGjevTaqr9J1xp7YvYUKF"/>
        <s v="7Af2YlwMZryKOQiRfwMsD2"/>
        <s v="3RE5nHIVkC4KcA7snFaTKd"/>
        <s v="0JvkNRyq8Tmot9khpdtN0I"/>
        <s v="27gHtbsHClwimHFtKgFop4"/>
        <s v="1QBNBGeIRRGBnLhdlHbfI8"/>
        <s v="72xTsTouZ5nBmASX8k1XCW"/>
        <s v="3ILmwMefYZoQh5Cf5jeuUQ"/>
        <s v="2DHDuADAHoUW6n0z80RLQF"/>
        <s v="5JDcQAztvZTIkrWoZihgvC"/>
        <s v="2sYFi9xVSZ56WHKSY2fN1K"/>
        <s v="6xJOhSm4SvZwzy3uhWz26O"/>
        <s v="7lLKxcNeJtDTWVRKHovLEC"/>
        <s v="25UzeaV47eDT44Fovve6xQ"/>
        <s v="4oa14QBfWRDfJy2agySy0L"/>
        <s v="2gRKq9rIC5i1zuxp06zJWH"/>
        <s v="08MFgEQeVLF37EyZ7jcwLc"/>
        <s v="6nXIYClvJAfi6ujLiKqEq8"/>
        <s v="7x4b0UccXSKBWxWmjcrG2T"/>
        <s v="6owKuyHxUqidcAA6fPKSyy"/>
        <s v="0wbmIfvndFV9VDvuUY1pYN"/>
        <s v="3e5yu9MkIvQx17mm7LF6KY"/>
        <s v="6VwAh8Z1d5YKoSWoEaV4db"/>
        <s v="2D4BSm5Z8Hq5zYbSgJwEOh"/>
        <s v="7LwGBxB0h0CVmkOZxYKn0g"/>
        <s v="0ZwdH0m32I8odedwvspYTh"/>
        <s v="16dkWKIlBsfYTISCVuDs0w"/>
        <s v="3TwtrR1yNLY1PMPsrGQpOp"/>
        <s v="3Et4LKZLnXygPYfNdeB3D3"/>
        <s v="2E9viCx0hJKNKNThd2MdGQ"/>
        <s v="0Zf1BPkkFAWGtVHeBwHHz4"/>
        <s v="38jy6kRlPt8z1GUS9WXeNh"/>
        <s v="2SkJKMfjpYsNv0KWOxiegX"/>
        <s v="4qCbMMMuEB56kHd4zPE6GD"/>
        <s v="11TK5KLtLZUdKr1C549bAw"/>
        <s v="7BXW1QCg56yzEBV8pW8pah"/>
        <s v="2kMrCPZ0o5gErBPLCRgoli"/>
        <s v="5IjTZ1g8KrIuV97N3OQZ0V"/>
        <s v="3bHhUEOTIbezeZ856R0BX5"/>
        <s v="0wf17wsLRwnnfh241GkeH5"/>
        <s v="3322ArxAq7wCSZI4fF77Q0"/>
        <s v="4LGF2tDg3878bs0mQPByZ4"/>
        <s v="6Uy6K3KdmUdAfelUp0SeXn"/>
        <s v="2z2JKNU24UEngb4joR9p8f"/>
        <s v="2nef44o0sjJDKB1ta4S0ub"/>
        <s v="0qJGlogD7AyMLAJfQ42aI2"/>
        <s v="04JS6OitE9VGsIS3S94Osg"/>
        <s v="5OGpsZeJRZ3t3MZioawcZW"/>
        <s v="3Vnes7v746dYzBn0FJTZ1W"/>
        <s v="30cYWLpVdBZVLb1cYdmcTT"/>
        <s v="7sUqJ51FGSi3n7x4pYjY3v"/>
        <s v="15BFn2VmEtonsXfNL1lUmy"/>
        <s v="0WOFJR54wyTwLB11jcBDb1"/>
        <s v="1uDCw6LVMOmbZ6zRliNcNX"/>
        <s v="7DYsBLdOqz0z14tYWMt2Tn"/>
        <s v="7cPuE0M35EajWPRO3nRcH8"/>
        <s v="0U32q8CZRRo7xCzyiaZw5f"/>
        <s v="4kQXMVjoZ9yMibLZq5Aqi5"/>
        <s v="3us8sod4dLbM9FiMiPiEY8"/>
        <s v="1PR5pyPiOEEQ02oJYq402x"/>
        <s v="068qo0w1Ki0cjnFYOUhAm2"/>
        <s v="2RFt6ZWQbr9mPhsft9u9eX"/>
        <s v="59pUIlXjQupbiYwt40uUTi"/>
        <s v="0VhZ5JYfqPojSYeGWnk4dL"/>
        <s v="0ltIx8PLjtWoS9zn9PqsZW"/>
        <s v="7ACW42whcdOiUxiNVu7ltx"/>
        <s v="4qTHoIp62ngNDpUJwW3hZ7"/>
        <s v="4VbDTk82rqWqVgoQC93CkC"/>
        <s v="1pG5nd6gmfbMwUfT5shDQe"/>
        <s v="2WZyfujzMweFLnozyUJBkW"/>
        <s v="6gijbGNDNNJgT60Aj7UCyc"/>
        <s v="5pq4v03P5PxMcnCagg4S3Z"/>
        <s v="08OjvLnGR3M0HUhcePeMNO"/>
        <s v="65VhbQdqvozUntjnlFkFbZ"/>
        <s v="05pKAafT85jeeNhZ6kq7HT"/>
        <s v="3PG6V5yuFfo4APiovOQoRv"/>
        <s v="5O9R57EozcpLKGQBzadPVy"/>
        <s v="6ta5yavnnEfCE4faU0jebM"/>
        <s v="7BRCa8MPiyuvr2VU3O9W0F"/>
        <s v="5ZhaKUsY68U0lgREFWfoxg"/>
        <s v="4zcMBfbQZvBSHQBGDd6gsN"/>
        <s v="7bhHLZxkRekrNPPkEdDTbn"/>
        <s v="5rwq6R0Uq0BngM3rdmCeNg"/>
        <s v="2lxBZVbkiCXC1soks2RXwV"/>
        <s v="38YgZVHPWOWsKrsCXz6JyP"/>
        <s v="6XrNrp7UtGgyZcHJ0ckL0w"/>
        <s v="72R0X0h8YaxYNpegeoOl0M"/>
        <s v="6R6ux6KaKrhAg2EIB2krdU"/>
        <s v="2D9w6sabdMCLSheW5aegwO"/>
        <s v="1Qo3taHLFSQpzLm5Sty7M4"/>
        <s v="71M4QMn8nrok1KFVXwEEyU"/>
        <s v="4lxGVzcUaSF5HW5jtWnShV"/>
        <s v="2PIlBukQ6limukVR8Ubb5o"/>
        <s v="5p9XWUdvbUzmPCukOmwoU3"/>
        <s v="1uSuY2qLCbx1QB7oPUVhFG"/>
        <s v="6twvFrIoIINH8UW8EB8OnU"/>
        <s v="2pelUnMKr07JjJpilj9Yew"/>
        <s v="7d0bJhpp0mCYyMXaMgWyMS"/>
        <s v="73CbJykoV6WapWGfTeRzTl"/>
        <s v="3ixLIO5BsTmic0Pp27FaPY"/>
        <s v="5ZetMq21bMQN5oo4TtdOxu"/>
        <s v="73oHkllHIT8fdbzpxiXW40"/>
        <s v="4MihgVRpD82EZoT61GW63w"/>
        <s v="1BECZPXBXzobsfmlzj0g3I"/>
        <s v="14vExHBkh1prEAN94wZug8"/>
        <s v="0fzCtVM9D5UEwiLqcY8Ouq"/>
        <s v="6IF2P93LkyW4GqDQu1yS7H"/>
        <s v="34dnNAUoIPcwnK0RtVMBWZ"/>
        <s v="5aDpULK8MbJmHl42kR5KNI"/>
        <s v="1fI1TMpz7FVkpoYBhmiywp"/>
        <s v="23Mcmg5O8rBKAOzxvrTjnD"/>
        <s v="0gVbkmFqq5fIkXtJJ3UTfM"/>
        <s v="00DuOxungwHwVUX2m37P0P"/>
        <s v="2lFlveK1y13WWp3vnQtrr3"/>
        <s v="2WD93lsfJonaKtrQtpLB2R"/>
        <s v="7njTGO45SkaBTNu35t2Yq0"/>
        <s v="6ivkBaxvclVhwZDE2uwldj"/>
        <s v="6Cvti10W0AzmzG9D1tpuKp"/>
        <s v="03yc0G2OoH1Eeyu7Piy8fK"/>
        <s v="5RO0MNa5hBKIM4OcjygadU"/>
        <s v="78TKtlSLWK8pZAKKW3MyQL"/>
        <s v="1esE8j1nVyzEQ5rVhYXoJT"/>
        <s v="68Yc9ylRZZPtsuVgtrxcDj"/>
        <s v="3tjjCCdXSdaVEo4q4y071G"/>
        <s v="3tob5ofeuvFKKSbOTldenC"/>
        <s v="4E6cwWJWZw2zWf7VFbH7wf"/>
        <s v="3uAdZpIbMTtVXitHVibLMV"/>
        <s v="2LC523tbEPFpc1pnikbt5b"/>
        <s v="3ISLwA96mtx13Wx7K1PPPk"/>
        <s v="7Ca2CkwSqHyr3eCh8IRdjz"/>
        <s v="6ql0ffq6Jvyh9OKqrJCMaP"/>
        <s v="1EyvonxK8OGHRV4WDRdArc"/>
        <s v="0EKBV6GybPtALXUgWqWrym"/>
        <s v="41A82PidFKhGX5hm1WoaDs"/>
        <s v="5oV8bZaShr2d01FFMHBUPq"/>
        <s v="5nMRpGfqQ0tb1TMbqBVK2J"/>
        <s v="04qDUASuSfVp6fktfsxVej"/>
        <s v="3g61xRaqII8q1wlQDzv550"/>
        <s v="3dglCYsVMjPbDlU2CC9Vq7"/>
        <s v="2f4jlGvGi3ZDGogXys5FUp"/>
        <s v="3NCg46FWgnANZc9HQHQOQR"/>
        <s v="0muntSMuAZzcwYBBMZj6sf"/>
        <s v="4bXoVtbp6fN8FaSQvGQB41"/>
        <s v="3FRARAKLpHw3er9ZaTwaHO"/>
        <s v="2Dzhwe90lhHXVU6lk7Nx0H"/>
        <s v="12niARgkwxGsklcEwh6GlG"/>
        <s v="0v0pc1lIt5p6EBX7pnfOGF"/>
        <s v="5wQci5VCUjdbKnRD61XYwu"/>
        <s v="0HQnJee8ShSDu2AYwibxst"/>
        <s v="4VoJCUgNmnqG2qF0peDBkw"/>
        <s v="7xLhousIHDxoGgeJNhO4Ye"/>
        <s v="1bhpBRCLsVg3p7BWARbaDS"/>
        <s v="6NSlOEEtWlqvEFrjQsry77"/>
        <s v="1HqVCK9h4LiJ61aRrrKTAt"/>
        <s v="0wP19iM8ULJyV0r0LFDsDv"/>
        <s v="27Fq4XyOkogdGLcfsVdjFb"/>
        <s v="45jGOHwYKgsRYbAJ8DR61d"/>
        <s v="4iObEYRE4FLm0D90gmZFef"/>
        <s v="3akr0ZrJxLMBLIFeNNKffW"/>
        <s v="7BRwh1bemr9rFMDeTbcy5S"/>
        <s v="3rzRo91l4htQvMXhsiECAX"/>
        <s v="0v1vufjir4OE4iRckLMoLd"/>
        <s v="4vAnqYqm1DOo5IDVcxORX3"/>
        <s v="2X5AFygz5SDYlXagyPw8kX"/>
        <s v="13GvSZgg9LOs3M9uGbWsPE"/>
        <s v="4cR4nao0hqqBtklQmGVqbe"/>
        <s v="4x7AdVDV9IFWp8pg4LMz90"/>
        <s v="5eNYumDY5PCXtKKJ0SWg2r"/>
        <s v="6dwkFmLUz6hx2CZG2EqLol"/>
        <s v="7aohwSiTDju51QmC54AUba"/>
        <s v="7g3ryXLtXExZ0OFCj17Ae1"/>
        <s v="5MrgVJzR1du1gz8XWe4m28"/>
        <s v="5auMzVHFr5Zfw6IbKarZ56"/>
        <s v="63bmIgH9sS6sX5Sc7MetGq"/>
        <s v="3ZjSJv88euP3CdvTg07dZL"/>
        <s v="14BMBNRzv24eG6OKoIgPfP"/>
        <s v="5pEmeoMUW38w1oU3kPelvR"/>
        <s v="2h3VsZVKQeT0yLNQtCIRjn"/>
        <s v="1dcNEEtODRVZEevQ20Cgmy"/>
        <s v="6huS9u0BDfeQHq0lObNLPl"/>
        <s v="14NiShC5b46yQxBN1mu9VJ"/>
        <s v="3DyhwZyBFedvnt68fMi6vf"/>
        <s v="6kRZfOZSuoi0Htg6gROKDz"/>
        <s v="5e9DrLUUZraUE7mmniufjn"/>
        <s v="2z3HKlpENvfz1Am2MNF2pL"/>
        <s v="33JX2be3eKVhl5xk8YQhVc"/>
        <s v="29Ns3avs48iQhNQgrHMEkm"/>
        <s v="2XDxQ3VzovLzh60zgOaNEi"/>
        <s v="0J4sK2VO75cRSVoj0FokQn"/>
        <s v="7bpR5j22mNID1pXwgRcZP1"/>
        <s v="1U1GtaJeYwGsPgqV9Me5bb"/>
        <s v="34p2uL1CvmaHn3uLfOKt8d"/>
        <s v="2EKxmYmUdAVXlaHCnnW13o"/>
        <s v="1jkBuvWI9IGEz9thXiKOlP"/>
        <s v="7K36drJq6lInkW6Kkojucp"/>
        <s v="4PuUa8e5s7P3Zv1IdCGIsa"/>
        <s v="72SPsHheqN6J3sI520jT9E"/>
        <s v="52J3WARiRHMtXbFXUWrVgu"/>
        <s v="03VNgdCL9t8aPyvwZecglI"/>
        <s v="3M6NL7PxIDZ3ArfPrBUTUP"/>
        <s v="7jJH8F3PHlNvxfqEAAfFDl"/>
        <s v="6JNEDSev5Tp5VQR04SEBfV"/>
        <s v="1gRa1tyGV1GY60QgU5DkQH"/>
        <s v="5DUAKXpyv3nL50PnAQbPS0"/>
        <s v="6OCsvPU6P84wJ0erggCRv4"/>
        <s v="7qJtNgmUyzy3R86vJwk9Wp"/>
        <s v="6hy5eqMQ36KAChR1ZZ05zc"/>
        <s v="4Gcx0DkgBVticyPDpezwg5"/>
        <s v="0fUB9bwvKLRpOB18YZHz5N"/>
        <s v="0I0l2Oo5zjpCEphpDJL0Pm"/>
        <s v="4v0RBzYNzTknP6d0zN2VQb"/>
        <s v="1FQH1FxPwwIj9aKyPBDf9b"/>
        <s v="4YgEwanzISFU4xa27saTux"/>
        <s v="7pKMoXeiCv40wbrjII06VO"/>
        <s v="5MYPzdIWgx3pMLRGlq2fVq"/>
        <s v="2Qw1KFrJ1q6qHXxWGh51kC"/>
        <s v="66V40iz2mphPbYvuJVj13i"/>
        <s v="4Bo6FwC7Oe9zywSZc6q7hO"/>
        <s v="6Xbi3gOwMal0Ds3ETvBBwe"/>
        <s v="6QXolVfFVjUHPp5TVzsjIF"/>
        <s v="71ehTADpxs85ULrZgSEKCy"/>
        <s v="4zYkSXrfgJyrNkNv3mTiIZ"/>
        <s v="1nFJAKHt0jgzVogbNJT3Zz"/>
        <s v="1RZkqIEM5aV000fKgz9J46"/>
        <s v="0n3E6m57nDZJDyUHllaMDp"/>
        <s v="2gBYjMXW65daBB1elr68JK"/>
        <s v="1FF6TogE9ELY71XnLPoEv6"/>
        <s v="6G8xunNOicxhPPq9sG2raG"/>
        <s v="6LsHKNorX6fPBNcGxU1jQZ"/>
        <s v="1uxm47Qn1JhUWZHQfcY6w1"/>
        <s v="2nBrIzKacrNdIxs90FlsT1"/>
        <s v="5mdjfBsyzl78NQI4sI4IzR"/>
        <s v="7mQmu0JSoEyYU763IJXhIA"/>
        <s v="08feveJTNL1OMLSrdoHQ6Q"/>
        <s v="4ngv7whSPSAwD8ZP3zMHsd"/>
        <s v="24UxG3p1Ghtc5ejJtGBoeL"/>
        <s v="4yRlTvPVfEyhXfp6GZurq9"/>
        <s v="5xQTEPjGsLuvwnnvyK3fAA"/>
        <s v="3Mq1SOKwAPYgE0ZtPzvWZZ"/>
        <s v="38ssTLOvoZyL4CLa4ImDG9"/>
        <s v="0njuNwIyB3DoBHC0SFUkOr"/>
        <s v="5sdliaZjk3rVGuT13UVhxn"/>
        <s v="2Dz5WpEWA0vhnMmEPYiZ2y"/>
        <s v="5w8Cu20Yt1ZNQuVdcafTYC"/>
        <s v="1FHCU1rDAeaPsBW9byjJ0Q"/>
        <s v="0x26yM2rrvtoHGRXXzppx3"/>
        <s v="0Kt5AHOpQAkEsHAuPeB0le"/>
        <s v="07m8PuXxxv5J4qPEDq6ZkK"/>
        <s v="1YjMWOorkBaP4MdKkKtp4y"/>
        <s v="0KF5nzdiqZlxVK68MPITst"/>
        <s v="1pV4cJaYl9ovK0GcSjH1hy"/>
        <s v="2fSIF8CJhoc9CJhF9vJDXp"/>
        <s v="6J0bdIZElZMymahgVWRE9B"/>
        <s v="5sVyefkGgQeYCgnqr4KslQ"/>
        <s v="1MGIxsVtqK2npdPmI8Dj0D"/>
        <s v="4M4suTUnAYZocl09XEKBZN"/>
        <s v="2C9ePPz58he8jmYEod9pvT"/>
        <s v="4j0xGuo8Z47wfBiVunT6VR"/>
        <s v="0JzOJIS7ktLq5Ux6LtYJuW"/>
        <s v="298xJ2nBaWWS0Je5rtlSxT"/>
        <s v="33SH8ZC36EzoRstHbaFE72"/>
        <s v="18PrtmAcNMgZNy1edWuXGb"/>
        <s v="4CU3t2c3TIpmzX44P1VCFi"/>
        <s v="0dnRlO7IDzbN9ixVld7hz6"/>
        <s v="1XW1lKfocLOAUdp8rUQoNC"/>
        <s v="1TZBg0IBHvqfSAlHvVd8eH"/>
        <s v="5j5OayPyUCnJSK0RynvqgK"/>
        <s v="4WtqjjSiGYHORMr6VX3td1"/>
        <s v="0Pi3Ua6fJV1Yx5MGXhfybT"/>
        <s v="0c99BUd87HQfzgUUQqRyds"/>
        <s v="7JRJOLKHz88pR0YS4pVCao"/>
        <s v="0xlyMQ56pZAoGuLCs7GH90"/>
        <s v="5dH4xnErpUOIDrGySWGkfJ"/>
        <s v="2Sg5gtKvSiRf7TBjI0ObF2"/>
        <s v="2AHZHeLTPuGILKyr4l8uTU"/>
        <s v="3JKLrIrHpbHtDU1oeYtbYD"/>
        <s v="2CsHDQ1WFLQBBpIEuLcL3z"/>
        <s v="24Gm1mIhO28NmgT17S95JE"/>
        <s v="6j9kSGlYLZdZ9sZkY9DjzY"/>
        <s v="2UJy2HHo4afrQbI5FizxLM"/>
        <s v="7HSk4yGZxfjOkHyOvZrBQZ"/>
        <s v="2Jhx81CSHw8xWwBqRM2mZR"/>
        <s v="5P6ZBMWS66FVo6deJaDdHy"/>
        <s v="5SgFX13gtlQfsNUpoPshwD"/>
        <s v="7vu53hQrIoH7UGeh6qcct1"/>
        <s v="55RMhrPQYA6vLu5YMgXxFD"/>
        <s v="2KsdoMZsL2ajnjjYUWm1ZT"/>
        <s v="2fPb58e6f8KxejYDCaARwS"/>
        <s v="4NxUuupOGPquDhy1yFIZK3"/>
        <s v="0avtLG17MT8kDf9xc67Niv"/>
        <s v="6jI7y83WjuyBne9b3IvdSs"/>
        <s v="0ngtyvPUKR4YTtkVKvZP02"/>
        <s v="5PoaNLRYLL7rywHSPUOZs8"/>
        <s v="6DwgZO7AMYelPFwr8WPhpg"/>
        <s v="5X3w2MfxgMTZkn2mTPQs0u"/>
        <s v="5PCwedwyeLZQ6xAUIKbwos"/>
        <s v="32kyGOJpEOTFKR9wvPSsxJ"/>
        <s v="0ifc4mq2mVNefgQFmtXQpt"/>
        <s v="2gJ3ZOaiWr3jGHwevufOxr"/>
        <s v="37jsciEAFxwyjXx0kV6aO6"/>
        <s v="22KbVMZekQbkrHGrubQTpQ"/>
        <s v="4RiKD76gS8huCzwWqw0EGC"/>
        <s v="3XFhSbm8EdZD6Cjrm1dNJQ"/>
        <s v="3nImoHhXBOqYcdTN8gt9eE"/>
        <s v="0B3g35bVxJ42Y0W0I5WBIU"/>
        <s v="1igSa6QILI1jyE970ZMYW1"/>
        <s v="4AYITlwiumljGdv0NIGR4T"/>
        <s v="3YvutLE6lwEyW4WMF5FIi6"/>
        <s v="3geIJghtdmVc7GeJio1xlj"/>
        <s v="1yycinn2WICj4UKGQ9xPjD"/>
        <s v="5Z8O4RFAmjA13jrOYIgyXA"/>
        <s v="1ABd3bWsG4FCKePjXeVfJG"/>
        <s v="4I18rXWixQBWc8JhTqx6Xn"/>
        <s v="3IORLAm07yxo4T7B8cRET3"/>
        <s v="4sAX65hbNtEC1lceCdGuMt"/>
        <s v="7vg5fesQdq5I7Z7XGdyJd5"/>
        <s v="6Xrq1dAFgZcSi5HuuHe27i"/>
        <s v="2TRXV6DoQLjdRrBR6ED6NP"/>
        <s v="6xXvAzowcCQmoKdDr1oIFJ"/>
        <s v="5L4G3nwKkd4wykW4BV9sVe"/>
        <s v="0QzY6rP7C8IWMnpEyuQmC6"/>
        <s v="3XdStlaHnq3JrmQDCRqEET"/>
        <s v="4h3rI4uxGsbA4LsLt1nB2t"/>
        <s v="2KhS0LVOw9ralhfbcIi7vL"/>
        <s v="6fPblqm2OhtEKvaUEQzLzJ"/>
        <s v="0wFSrH6x1iQOdUljUueAcd"/>
        <s v="1wSZdWFZphxDh6iJhWlIUi"/>
        <s v="5ZpSUdy5wL5Hvwsqz6JCAt"/>
        <s v="3mDvi0k4LuCA7ViLf3Qb3O"/>
        <s v="5D6xoqZwDoqRO5V9rNgxFO"/>
        <s v="09t3kwndNebf3RV8DZ5pw3"/>
        <s v="3yVSlc3y7YWZPAreTHjH9v"/>
        <s v="5LHruF9uFyPxGpimaknrU8"/>
        <s v="3SxMBVdL2gxhX5V5dXF9jy"/>
        <s v="6XCPQygbj33s7OUxlbo6bX"/>
        <s v="0IZJR2XrPdWqHdnpaPixw9"/>
        <s v="3VIbZxc3oo1eAlb7tcRsG1"/>
        <s v="3SBzDgdTwHOMSik82ZI6L2"/>
        <s v="2hSag78vkaBXqpaDF3serw"/>
        <s v="3wpZTp7HM8Dv25oExNgCC6"/>
        <s v="63wsZUhUZLlh1OsyrZq7sz"/>
        <s v="2FSkBDGsqZIxcsnKNgtMLx"/>
        <s v="3e5UDAmMzMUM95PqjVHC4L"/>
        <s v="2jcDDdBy1foaBC8X9owMrZ"/>
        <s v="7KC4B2R255iYIPVG8S7Eey"/>
        <s v="7DUnyslSCb05yeSmGGTJ81"/>
        <s v="2lXGLbSXrSACMa2oelt4TE"/>
        <s v="6uZroCk7E7L7RhY7NAvC3Y"/>
        <s v="6ITdND5IQ7lHzjkyJZSt53"/>
        <s v="71vcffc4Yfz0pt9AbaL386"/>
        <s v="7wbSp6u3cGj5GTN0lNxZ4X"/>
        <s v="0HL3y3bsKSARBSP0qaImwb"/>
        <s v="1yZWcHtL0KMhKadWXG26SG"/>
        <s v="4N1PJshrO7sHB468RoZQjL"/>
        <s v="3NrUMv6TqphWgk2PdDdg4H"/>
        <s v="42mkE3wbofBNickLHgdVlo"/>
        <s v="3Re0unscFRNOkwwEGtxhCO"/>
        <s v="4H7MpMZ4p3Cc06B11bcgL7"/>
        <s v="7AKxbxzkxm2ERWrd1ggniO"/>
        <s v="6JAXWoK53LV3hYARf4TzzP"/>
        <s v="7zCuUs0JXXPIH7GA8tWwii"/>
        <s v="5LuSu8fS8PGCH88EDPLYcy"/>
        <s v="4nmjL1mUKOAfAbo9QG9tSE"/>
        <s v="4A6GiKusHlmrtqCyKAyPg2"/>
        <s v="6y4PDihMDJdFRjhunzpJ6s"/>
        <s v="45SbQo5bq8f0hNdB70IyFC"/>
        <s v="4l2fpkIEUWv7G9DNp9M2nr"/>
        <s v="1wflx5YklLYToaIbXkrZSq"/>
        <s v="0RRZxVYjfY3jWT4XiYAW7k"/>
        <s v="6f9qzNP6elRi8i2NgqGoE5"/>
        <s v="39dhIbeOy13KQlVlLM0m8G"/>
        <s v="3m0jiOJfxIqGGsRKMOA2uQ"/>
        <s v="6IiFTtc2ipIXW5HzwFzOjh"/>
        <s v="2JI53ZVCxMucM68UpCtZ5C"/>
        <s v="5NqGfELjcdvRIUuhgZJ34W"/>
        <s v="0Bv0qHGKNiwzDtHzXrjmIn"/>
        <s v="7z2DKGAsPPdxOwTzMaVYD4"/>
        <s v="2XW4AAjfBQTzp7Oe1tU702"/>
        <s v="7Afr3PKTtlFGHGiXYgnv6P"/>
        <s v="5CijCh8uOTWZO9DQpYwAXw"/>
        <s v="6xAjAocTRpKamQlCy50RRQ"/>
        <s v="0voYwjeuMfvXlF76oesZKu"/>
        <s v="6xMm545wcSYbhNFB2Jr2EP"/>
        <s v="7pq5vONxrAy8T773nhkiW3"/>
        <s v="2dS2710jYUM8gE2V1KC3uG"/>
        <s v="2jcdviEbZPIpwM10JBQNYc"/>
        <s v="6wVxhM5GJiZCro0xPWox6g"/>
        <s v="7oyFihJppZYPP7o0NfoHnZ"/>
        <s v="2a0WwSvmFdXPTdDMilPA1y"/>
        <s v="0vxlqUrmgsiyAWOHaAfnSK"/>
        <s v="78ylzQxu8Ht3gbFq5hI9Vo"/>
        <s v="1BZnc6VaggPnrQyjem5Dpf"/>
        <s v="2K3jLUSLeHrPMA3nKvP1jT"/>
        <s v="674WNL7f5Xo8XxtipzB3ao"/>
        <s v="73Nw51XTNstlk3Wu1K26cB"/>
        <s v="5OWl1kO0gRlPxmp1wFyIWZ"/>
        <s v="5QjuTblPokfD03fkfHUuVK"/>
        <s v="2oLaalXlOgiJ70CaI992BA"/>
        <s v="0rQ146AWbwiDC1DheKXJxm"/>
        <s v="5ZUObJNpVt2l9GogUSfALc"/>
        <s v="1jyddn36UN4tVsJGtaJfem"/>
        <s v="73JI06Eznb1N22KHpo3HL7"/>
        <s v="0YG5wOXVpvNUyPihvr1zsa"/>
        <s v="0wKt65XM5Wit3QH7lZtESU"/>
        <s v="6339iq4yAm87arKgnNc922"/>
        <s v="6mFsYlDjG2Esy5hXhNy78t"/>
        <s v="7c0YUDcJreOv1OoBGf1KdH"/>
        <s v="3V0NxWbbUTa3BUAnchm11i"/>
        <s v="3c8k1iPo45JM4fKvIfumwh"/>
        <s v="5oDDFjWMz0KiMmRzWSFfQ6"/>
        <s v="5TIXBnwtMYwgC9yc1QjFp7"/>
        <s v="4GiLKZ6Fd3d5UMJMGuzAA0"/>
        <s v="6cYx8rBh13laBDAzvD7VrH"/>
        <s v="1jUyxF7NmNXGlZQDVw40O8"/>
        <s v="4G8wt3fUBpgBjI35TBF2eQ"/>
        <s v="4eSOx2FzrVXpKmtssY59LB"/>
        <s v="0YhsOegsemgmT7ZHdWheUy"/>
        <s v="1WSF2SjtfkV8LjTlF8uCZH"/>
        <s v="6pTZ8Oy1xGKGCE4saVScoy"/>
        <s v="4efRaNW2VgDf3pjbm8y4tr"/>
        <s v="4khjcb6Mpegp1N596VVyf6"/>
        <s v="1WiVvolTPvAsVOd64HZi4X"/>
        <s v="1YnLthg0HOs8YTzgN5hVh2"/>
        <s v="0N7UyDRbyHe2L63ilYDcRK"/>
        <s v="5EndcDV7pcbLO4jE2GBZwC"/>
        <s v="0MjXRAftpVBuNGYsNV1obJ"/>
        <s v="2O16qeSdWeec3Kte6TKW9p"/>
        <s v="1W5j84OLhShyEIJEwaLzaU"/>
        <s v="3KAQ4xe2sR6IiltZw8HSA5"/>
        <s v="60wxK3idlzc3lykP8cYZ2l"/>
        <s v="2O7FC4XbIrJ6Ib8bsq0FYC"/>
        <s v="1CYBnHYYbOAsuDCGa0zrw0"/>
        <s v="1ytsxlw6P6gsCc3RrYweyj"/>
        <s v="37bc0lXXN8Udi7IPwL58Hn"/>
        <s v="5IGYPdHMSG4PLXDS9LDPJS"/>
        <s v="53iFMaNUXn6Oj8hUIKSO5a"/>
        <s v="68KCwQ2PNKNT17sEx32DEG"/>
        <s v="27wq82gy6a868oA5HNLRGv"/>
        <s v="24M6MHeugm1sHHNzCP5eV4"/>
        <s v="5DZVpQguB5TGP3MdkN3JSP"/>
        <s v="2HUZVffVPXvqnrml0gXggp"/>
        <s v="2PTzfXh5Ut3hjRrWGyafz6"/>
        <s v="5MTsZG10E0hTvAkdioyPnw"/>
        <s v="2AN3wNGUW0IgzfuurtVEDS"/>
        <s v="7jIAttgQTpLDoNtykIQXjH"/>
        <s v="353rT3h7ABEWWBe6Hr7EZD"/>
        <s v="0GgFpUEQzr5RuDZC768g0k"/>
        <s v="5hhhrZMKz1NEZM7jRWufbf"/>
        <s v="4zESVuAPxaC9bqQKjiWgH6"/>
        <s v="7EcFRiCKqijYsuA5UbNnQZ"/>
        <s v="4WbTMyywJtvUNhmVKa0oSM"/>
        <s v="0R7EWhquaAICmyE5MZqt3q"/>
        <s v="5u2HaXFymnYNePtwI5bU3t"/>
        <s v="79keCNa2NAa4xMInUQCATJ"/>
        <s v="61X73CJcpwGIxgQgKEXbw0"/>
        <s v="78Vs1Oo42MrcbwB8vQhhsz"/>
        <s v="4dzurJ1Q1LIr8X7doV3yT0"/>
        <s v="0goA2cYxU9k2XfQHzo6WcP"/>
        <s v="4uCVtXasfPk1Z0JwrwTIzH"/>
        <s v="3HOcPWc2LUUv5te756KfAH"/>
        <s v="4ISCO9MWDxOuteeVAm2ZWh"/>
        <s v="6YOOCjjIb0pBZXbJjYgUlP"/>
        <s v="1i7JnFAxC15AuF1dsosbYM"/>
        <s v="7JY9axEOxQbeAN8OzwsOwy"/>
        <s v="0eyE0L7FbNrXaByFzMXT1C"/>
        <s v="0MY3K86lZ9HIat4oBi40dh"/>
        <s v="16x2V0ZWoXD7Rjo6bSAoEK"/>
        <s v="0zANeX4R6uWb82gCQAguOD"/>
        <s v="3BztDPhRhfwdwUndTlg45h"/>
        <s v="27hFQQS3cVUmIK3ser5bpu"/>
        <s v="63F2nWghdifkNHVns5GT8W"/>
        <s v="76w967eCBrUFBSzef2ExlK"/>
        <s v="4kXcndvaQEROosxdcbJqzK"/>
        <s v="0lczO04vbk2ZiNvAqzUUQ0"/>
        <s v="6Fomnvc3pkLvUQYUkhiQPx"/>
        <s v="6cMzeng5QA8fd2qqiMeIyg"/>
        <s v="4jK6bBO2JbkvvgT7FPj8c5"/>
        <s v="2jHEySxCzzODFWmPzt084L"/>
        <s v="4XlevPQOF6GkZCS2yWOkNn"/>
        <s v="4muAobUpgKTEgqskgNESmC"/>
        <s v="0OwoAzOM3ULaLoiYpC5axn"/>
        <s v="2GbTLMvttdfKoz4YDjZJis"/>
        <s v="5lQBkoXivgiXqKicR2uaTh"/>
        <s v="2GzvzxXnyJ9l3obE4JskC2"/>
        <s v="4tK4ARuilOrBzwVQK73E0Y"/>
        <s v="2E3ObBU2VIrTYOYh8tvi0x"/>
        <s v="3BXMHdrjdF5yjJU4G0Z5HZ"/>
        <s v="3x3zdepy3au5Uo81WIA9MG"/>
        <s v="1tPYm2PqXjYL6lM0AfH5aT"/>
        <s v="14UvqLsdqw2dsmVkmTYptE"/>
        <s v="3XnDbrxxtA40HPIIRWLgRT"/>
        <s v="5bC6ONDsL88snGN6QasjZH"/>
        <s v="2XshyXPcxtwvyFMys4JCqQ"/>
        <s v="56AecW9Anb0CY6HpgWvcg9"/>
        <s v="2EkGF5wYi3QrxTMMQftm4a"/>
        <s v="6VtoP2sJt5oCmPOQIve2sf"/>
        <s v="7ImaCF0ttRFNoQIErYlRq5"/>
        <s v="4ujYTGqbiV5xl97Pqoctq2"/>
        <s v="6B9EuDkJUAm9bO26ZdzBke"/>
        <s v="2vOFdBs2kss9U0ezRGTG2E"/>
        <s v="6fmrddhzAr0StNzWEzlny5"/>
        <s v="21HwOODUViTuHpkSYbdcMy"/>
        <s v="0pegFWSUOTiG0sLVEfxtvA"/>
        <s v="34HNaUhhTgO1jvfEuXHFyz"/>
        <s v="6pRaRbJVkHyQdlW3MGvkgT"/>
        <s v="2saK0E712wIB3Gf8QLuFYX"/>
        <s v="1ChZ4mrSLP8HImCY6IyImf"/>
        <s v="1o0yFkUycTAWIIWFOlhDcV"/>
        <s v="3d8kYb3GqZkiHb6annxKEo"/>
        <s v="1HfxPaJggVwFsvOtHbVzMz"/>
        <s v="0Bb9oRoN3suM9iiIwzHtmX"/>
        <s v="2wdfI1pjsfvviE7WTKGSYM"/>
        <s v="5YRDGgdOshUPA17m7yzY7p"/>
        <s v="0KAFjeQ6jpmtKP4CW9m5X6"/>
        <s v="203ADb8800e1YSzyrFQUZ9"/>
        <s v="6xTLXrdNqOTcTUHwPh8Wp1"/>
        <s v="7lB0MLvvsfrY6cN6kt4aKC"/>
        <s v="2dMkrhsWFVP2rHZmTEKkeh"/>
        <s v="2GwShNdcJHDLEkGO4L34lF"/>
        <s v="54sN9ILcN1Udqc6au0Rzdw"/>
        <s v="5mw8Zmzqx3VhxqokFAntGI"/>
        <s v="4le6DvrwMv2rpyN1SPeL0g"/>
        <s v="4T8FoNHY3UZSYgOV76ueVU"/>
        <s v="7xO7bS29oAzMcFI0rBj8Fy"/>
        <s v="4z9WDbNAKo2wAfGaMn7yjh"/>
        <s v="41XVcLXrmbxiV0mJASJxov"/>
        <s v="2ZaYFNn1YQuLSVdHhanr4Q"/>
        <s v="4qScDvgzJs0Oo30kFaJIuy"/>
        <s v="5fTJGZ6k0zokfh5KLfe0sm"/>
        <s v="7E1Gs6mg3MOERIWo0sglXL"/>
        <s v="6XgmRgd6yQ71afjGLrk0aI"/>
        <s v="1xYMyM7MxFi4OuzDA2op9Q"/>
        <s v="3CqV5uSdPvj5Ux3E8Idusc"/>
        <s v="4pcnFf9w7Mxmir5woJoanj"/>
        <s v="2lvcDndxZGuowLA19g4YDv"/>
        <s v="0yoJHtKTiv9ixa8UFI6tkY"/>
        <s v="3PcIfTefcjfWTK6WFmOLqK"/>
        <s v="1RjEDlhTp2iJXWPdLpa8OM"/>
        <s v="4SXcG6Ti32myNw9GJ9qeDt"/>
        <s v="06R84YHz9bqaQzEbIWxzsw"/>
        <s v="4BguxPKygliNCIkzwWlYxU"/>
        <s v="6zz1Lsob8CrgipAoxJys1w"/>
        <s v="2f6RlUydW1yTWhcXqaBhA3"/>
        <s v="6wAT9x3dx1N99gXXvds56Q"/>
        <s v="0c7iF5fSBYxCuwsAv2z4iI"/>
        <s v="44odJaONNr861TeNUYSx3L"/>
        <s v="07CUaE9XAgDQ0B2T4XGrnN"/>
        <s v="6ffWQpIQhwtQxhO2HvbyWm"/>
        <s v="1GkwSHR74B5DIgnlarTsa9"/>
        <s v="0pfG8LwO7hSdHe6hTgc6a6"/>
        <s v="2z3PXMMsdQqZ48OdOTBIoZ"/>
        <s v="0XV6QiUZCV5IIeTVojlktV"/>
        <s v="03SqUp5aNqCM8EP4WOmUZp"/>
        <s v="02FzDPhxAoCZp6Fz4GzMmL"/>
        <s v="3KkgPBPjplbDy4uKcXNZeu"/>
        <s v="5s6ppi6NDeK6FXlX8XCajM"/>
        <s v="738wQ9tsRLsEVEHnEGm6l1"/>
        <s v="5KOn9dVdz24YDPjt8bfpjt"/>
        <s v="5ctBsVOClsptyjkQkBLBn4"/>
        <s v="11868tq8nTB9QJKyY3JjB4"/>
        <s v="5mFrdpvoxokKCWp9uHE1ok"/>
        <s v="0BhmtRzdjNV0bQ5veUOazN"/>
        <s v="685WYfzmOeDOF4laU8UuOv"/>
        <s v="2dI0UV4hCGnLaJVja2iosu"/>
        <s v="1abgR6pt8VzZRfiQa0KLlS"/>
        <s v="47Dc6UvkluFZbPnumBlDBH"/>
        <s v="2M1bgJpUPjfKhHLIIfzGtX"/>
        <s v="1AJRWM34yxnAxhF9TEK0Zj"/>
        <s v="2xHKGx65VCsJgU83Bvh4j7"/>
        <s v="5eIF4WZrpcnpEXi2Bu7i2t"/>
        <s v="6kucNn22HB0qb2ZPa1BrNl"/>
        <s v="4E73Motq88LCg5Oy42uynU"/>
        <s v="7pxbZ29k1LJXvOdd2e5Bdn"/>
        <s v="203WkDdprjHpN37QMBCMyJ"/>
        <s v="1pIMxRddmCGalHnRbLFkWg"/>
        <s v="3smgLNxWHdmUekrwDXBTfv"/>
        <s v="5uNEaSgkkPw6vLCUh3KsdQ"/>
        <s v="0UgmLwOrTeOCUNwV07a5AD"/>
        <s v="5aGkIyzLVYGuLIHkxpNAFF"/>
        <s v="2NLu5wwfHlB4rGTxDYCRk7"/>
        <s v="4UU97IGHOhBhZjCUgDFUiz"/>
        <s v="4aLiEepGWP5LdYDCf7Uhta"/>
        <s v="1CtfA9JkJ5cJQgpO7wEj4V"/>
        <s v="0g5bEa2Kxz18QLp4qotw3z"/>
        <s v="7oGGmUTUwH6EooJGeZBJdj"/>
        <s v="0wUVwtui3Se9kGUfSD7gaU"/>
        <s v="6kw6xVfYpwqUwCsIrHHdYl"/>
        <s v="2vfvPpkSwFwsuppSHbLCoR"/>
        <s v="60S0LkuUyzHzX29KWew1a6"/>
        <s v="7wF4asYZw8cAHEljYd2Wid"/>
        <s v="1t0zKQvPW6iQPHGnUikbgC"/>
        <s v="3InBIgygsMQ90Oc2Izt1mg"/>
        <s v="3NqKDdehfEZ00H4uFghoMr"/>
        <s v="18k8IlS52uxRWObykDUZFG"/>
        <s v="3YalaPTUkyCYanwIf0l4UN"/>
        <s v="4ncp2DWzx9EQfaJmOdf45s"/>
        <s v="3k6s9QkAZfENWHO3NhAQOn"/>
        <s v="4l3P7LcxC2GSnUkbvykkMn"/>
        <s v="3ocm1Cf1Dk1ODrdBdybh82"/>
        <s v="0pHdVMGxXdDcjmye35j63j"/>
        <s v="0ZrFfxDOl9jvgzGljGM8nB"/>
        <s v="0WWuB1F1H4dr3Bdoe1vtHs"/>
        <s v="7bKWcP3ExUaYeRivBx5KR5"/>
        <s v="4LzdviA9tys39CccjkJubr"/>
        <s v="5aLPkAwDGpqBaoAvTgbgdD"/>
        <s v="1POSMvQ2TKVN0D7GwOgK0W"/>
        <s v="6ad7bQ48TlqAgebCExUJVe"/>
        <s v="7wiULYwv85WeChygucbpTF"/>
        <s v="2R1ACTXu88oxUcplmde6kT"/>
        <s v="69yz6UcfUHCi795treLj3l"/>
        <s v="0F78T5bfHQCliaNjBkIYBq"/>
        <s v="7quFUf8mR7wUxeJip0awxn"/>
        <s v="3zjr7jirhGwvqGuuJuIxjg"/>
        <s v="1d39v4V4DmrrLiFX4DKHBv"/>
        <s v="3Ebx5xEUEoB6iod7vSak8R"/>
        <s v="70vp3DhQpLrFQapK0BI5Ug"/>
        <s v="7MlPySldFcJ9R3mSFvGV4y"/>
        <s v="4JAVT5eeiKjHrNNxQQrs4J"/>
        <s v="6r8OnTtDrhKBIIYgzxrnZ1"/>
        <s v="12qmPGMrOCogibc7qyxT9s"/>
        <s v="1K0OGTEEPMRdxFGRt5WYRI"/>
        <s v="4uBwFIBwZcgHNvwNjOqICX"/>
        <s v="4Akic5cb5RHJrTdQZY7AfX"/>
        <s v="414FqRxeG518IkFrmzdQjt"/>
        <s v="63m3fusWaHBnB3isFfAlRd"/>
        <s v="5H6Bc7oEWYuKrwb1pUZWhh"/>
        <s v="0RTACXDmdASzBQR1UiSyAZ"/>
        <s v="4qoD4IJbbir3hsAu4IowiG"/>
        <s v="35TStN96CwcjFedErjW8Wq"/>
        <s v="3tInTDUq8wdIMw5ftohmqJ"/>
        <s v="6Vn8lTVMjILXQCjZUXS8n4"/>
        <s v="5hCgm1tDb7ZZKmRtucTTjh"/>
        <s v="1PEpGWRE4Tjsk2qy5teW4p"/>
        <s v="02EqvposhJjwrgkQexKIdW"/>
        <s v="68HbD7rEFTlnJy4UWSpySY"/>
        <s v="0qAMjeQFyd1qD0LDiV8gWp"/>
        <s v="6b4mWoXrscyajbLOB2qwfG"/>
        <s v="2C3gh14oarzTtv3aY3HJ0m"/>
        <s v="2Qj1FilGsXITZbFVmVeoLy"/>
        <s v="2gc1XwdI3kKipqAXTdMcwY"/>
        <s v="35RrDnREM1xxx4YBxDHikm"/>
        <s v="5bqPeBYkNk9feimSN9N4JY"/>
        <s v="4a7aKxh344UzFEVd0k5lwi"/>
        <s v="0P0v83waDX4ElzSgmF1cG5"/>
        <s v="0NkeEkDFOby5xOZ7BIKVuD"/>
        <s v="348ooLg3LgeDkJVh6zzib8"/>
        <s v="2BdXf4OpDOw4AvklnAvcsY"/>
        <s v="6i1wlqIigKZTvMk0LTh5Id"/>
        <s v="5CU7ewecONNlWAJHu04HJQ"/>
        <s v="31GGw4QarlH4neWIHsFQeq"/>
        <s v="3VyInzFUWWHyYw3xCUUz3M"/>
        <s v="6ONQ2wKKkjxIUygJbBe7ph"/>
        <s v="55G6uXo1fyBQ58YL3O2ygf"/>
        <s v="2Xzh9zjiKhM9YT4AcJxLkQ"/>
        <s v="4G18Ie2Gm6vVYgzkIiRwFD"/>
        <s v="60Ul9B9xErs1tAikGkBEfL"/>
        <s v="4YimYaA3z1KrrnbBmvE6Af"/>
        <s v="1fxIiBHyhR3AhYJBHBZTiq"/>
        <s v="7pgxSWFaZqPukb2oes8M5W"/>
        <s v="5himtcBG5IetEOAYuB1Lu1"/>
        <s v="7FNugksLRXsu3Ie96TiWpG"/>
        <s v="54gjtcoJgDxt7jpnpwSy0o"/>
        <s v="1snd92ICpwulLUilLfDZFq"/>
        <s v="5moyneo3TMp2wdc0TG8O8U"/>
        <s v="2WQRPsMOrbeqms7JgmmVv3"/>
        <s v="1qHiDbTJI7GB62W3BBFigx"/>
        <s v="5msvkAkQ8o2GhNxOu3YW5D"/>
        <s v="3YllcvA3PW1DUwjckCVjIw"/>
        <s v="2cTaSKEc8OZdF6Tpg2QQsS"/>
        <s v="1z2fSrYZqrO5tMqzULn9OD"/>
        <s v="5QRt4QovcONoIVzwnlkU7z"/>
        <s v="7Igc6JB0xPDcn5yRkkVGQX"/>
        <s v="3XfMyT4Xf5LegDhvbrFEjp"/>
        <s v="3IvEnBPF1egP9y1q3C2Fg4"/>
        <s v="4XBkxG1jC5RBQJt65gma8v"/>
        <s v="4CpUwb4JSS0YiGZ4pBryTO"/>
        <s v="4fHJwyR7JILiSAbLyXcrKx"/>
        <s v="4XBcShO4h4X55x9yMmyKHL"/>
        <s v="55fyE9Q754QhXpmcLtmmam"/>
        <s v="20GlDn5GNOkgZUui7Z57k1"/>
        <s v="4zzi2eD2cEPpQ3a307mPPj"/>
        <s v="6QYEoTGa0Boucy6htF83tb"/>
        <s v="0DCmkHy3eZl8ht8OciCZk8"/>
        <s v="3tBS9yN7auzP4PeAEzfGEg"/>
        <s v="3NxSIxMnq9tDmQtoyHQqte"/>
        <s v="5ExTzBKfppRaRMl8fIqYBH"/>
        <s v="2mKjs6s0Z1imKKb6gOk628"/>
        <s v="6Dm2KfuPBa3eXOgHaT88r4"/>
        <s v="2xUM2CBmLcvdldtDtPmrfx"/>
        <s v="25wiOYoBrS6ITwcPGlTSXi"/>
        <s v="7f0PCIJFVw7U5tbuFH4rb0"/>
        <s v="64cc7wgJnZnzADtEqhFwWl"/>
        <s v="27C0RwdWb6l4j8UGT5LZrR"/>
        <s v="0R3LjmIZg8MiBlf3LdYjcD"/>
        <s v="1waSpL77NIcKRni3aDA0kS"/>
        <s v="5Q12oF5TRQL7AQsEY1PZcp"/>
        <s v="1T7Tqsfkz0Ntbwta2hHebY"/>
        <s v="7IdC5YvSg9O1WfRSUtSpNt"/>
        <s v="3NigHcNkAIUpS1cNbiqNl8"/>
        <s v="2uJsLbcAKJWCaYBrVPYxUw"/>
        <s v="302k5Cd7lIeZvekkjWcU3k"/>
        <s v="74ooA3upXyi3AUg9Ndz2Ck"/>
        <s v="7BsxlNsLgCMBNZ9CmAcbfv"/>
        <s v="1xKzXsdfSXCQNO9cOYQOGL"/>
        <s v="1BEf6XRdlqtUctXYEicKbE"/>
        <s v="6nPSj5qcbkm3w2ch9dljk2"/>
        <s v="0N8Xztr4pBHJ7V0moJWhbO"/>
        <s v="3dPpQeLTWjCjEbSevDMQfW"/>
        <s v="1TRIYxcVJYPki5AX2hZzZT"/>
        <s v="7nixLKx5skJBEKyiqZmdp7"/>
        <s v="2I4gO3ZoMLZaCeWMZGOQ7o"/>
        <s v="0x0h9kwGhCv78fMRo8ChhZ"/>
        <s v="2pcuXnZhTirLXsfXGVFTv2"/>
        <s v="7ihXMwfP4ZITY2YIsCKJt0"/>
        <s v="3zUMHRZa7wgqtoCsBfBSpt"/>
        <s v="65P0LJJh9vEa5yR6S2xIZR"/>
        <s v="0RHZvKdk4rHKyl2Ijltoub"/>
        <s v="5lZVXDJI3PnnYxBNwNXQgH"/>
        <s v="0UyEX00PgplVsCcqtl1Rna"/>
        <s v="7e4Pftu2tzDeY0W0690OKQ"/>
        <s v="5Oc0vLGWdEWeCqIU8zyELt"/>
        <s v="6wXpQl6LNBzDhalmed8Lm5"/>
        <s v="3xtxmdwm84x0ZDvSOxQels"/>
        <s v="7aZBQsoO9BqmgB9WRLFeqv"/>
        <s v="1m3Lsbhkn6yL8apzsCiukd"/>
        <s v="5hP86UPfveDTuRSUC5FH89"/>
        <s v="1OoBG6B9674Y1xJLfdl7Vg"/>
        <s v="26TzE0IIiuqPKLaWfcsj4C"/>
        <s v="4OaLdPqqqrtfLPFqSna89W"/>
        <s v="0JN6DXOZ08IwQhEBZJ3MFd"/>
        <s v="3kYLpeRglpJLQkCsbp7p4j"/>
        <s v="0iAkkPHwTkS1nC2vbcw3Ms"/>
        <s v="0sE9ZTxMxYneIUAEHN4Tg7"/>
        <s v="37pK088xTo1ZpR3y23wsFk"/>
        <s v="6P82NfCXl3lLcUNSYEmq1u"/>
        <s v="3VA8T3rNy5V24AXxNK5u9E"/>
        <s v="71nADpZkwmhx8tnnPKXHMP"/>
        <s v="5SUNx81BHso0IIFE04M4KW"/>
        <s v="7AtnW6HeSUsPpA9D59PJyx"/>
        <s v="0VDhK4DIjbsAHo1GDe9VfM"/>
        <s v="2bjfXe8SOsCl17b29eGLvg"/>
        <s v="3lawK0CXk8hJ1yZnhNMx7u"/>
        <s v="7saOSM2fUxclPXFAFJQACk"/>
        <s v="6e2lt5O6aOUGQ8BWSo0gNr"/>
        <s v="2koSOTOngqtiLrTpLoiZtQ"/>
        <s v="1cADd4hbtfYDFesyH8i1eB"/>
        <s v="0C4m2ViRBc1rCfsU8wFMKT"/>
        <s v="1o95Vc19sHgVwk20YwNPvR"/>
        <s v="4VG8zYHXRHQ8AJLpUc4kMO"/>
        <s v="4psC6LXiY2vMsYAuYETR1C"/>
        <s v="7dNEbiLeXtUZeJzNnbetEH"/>
        <s v="3XYi7KXhUG4kDaz34o3F1g"/>
        <s v="6D16aFALxgo3b5Hw7Na1Fw"/>
        <s v="1NByMwpOZY69Mmy4l7jYRF"/>
        <s v="1Cu8QneXq0Hq1HJqkZDPbN"/>
        <s v="1R8uexh18C6rWgBiUsZr6L"/>
        <s v="7rIBp3U5Igzn44l7Z7mOtE"/>
        <s v="09IZGpkbdHfJS4g33j6ALr"/>
        <s v="5vk20vCA4C23pXxFhtbBTx"/>
        <s v="3SqVMOupg0AX9xTWqP9PSD"/>
        <s v="3nBmy2hAqIDmMOD0VZGB7I"/>
        <s v="35L0y18MvVAEvx7hFW8Tyy"/>
        <s v="0roPf0bwAsBDZv1bR15m15"/>
        <s v="05QEiRtbs57De7NxgUNOHp"/>
        <s v="6bbAFA4CZyeOMxEvDImvCh"/>
        <s v="2R6CGc2eQJjuVEbH1eUZjq"/>
        <s v="4XqFl2hYwxBSVWhCG2oPUA"/>
        <s v="1t3koreZmmgvTYvxATwqfz"/>
        <s v="55M1KsnBgjl2eRrPfMP6vy"/>
        <s v="7AWKPOhCIHxetMXujii1KT"/>
        <s v="0NHPxGWfcBbCHBrFm3yaix"/>
        <s v="10a6GUpyRLdfadUPRL5wBg"/>
        <s v="2xkMeEvHnRhj2URvART1yE"/>
        <s v="6FfGUAfmwW2ifxnit0hE4K"/>
        <s v="373ovGYBDvfPLo1NNRNMYE"/>
        <s v="4FytmtwjnW4GdycPb4TwF0"/>
        <s v="2fboUv3gU9L4njbhBdigid"/>
        <s v="2mHWjrN4rIL8vbWt0Od9Ux"/>
        <s v="59eluCMn0XbOWqeWQ91FTM"/>
        <s v="1emx944EiuTphS9qv5mslc"/>
        <s v="7IjL4IoQZMk1dOI4MH1T0i"/>
        <s v="2YGu3QpHqj5AHtS8RzFQdW"/>
        <s v="7A7IsQQPGxlfHiDDl2Kct7"/>
        <s v="4HQr9UGqkHPzboqLb9J8pJ"/>
        <s v="4Fc7BhMBjIVDnGQG8L6ayi"/>
        <s v="6AMuHsxzvWdB9tMeJXKT2s"/>
        <s v="3N7r0W54tqzfdQOwyHamSi"/>
        <s v="4KMXlzvtC8xjLseDqDjpeU"/>
        <s v="7qANzA00oGRCWhpHgbVzkO"/>
        <s v="03czT1nVZDRv2JlpY2GxON"/>
        <s v="0IS3KnXzXuUj4ss4nhU8hA"/>
        <s v="1SPZoobx8PZYoZP9xBXl6P"/>
        <s v="2txxvcL02iH16w7f9lVKcV"/>
        <s v="395XDt5vt8DKguJDjGtYLU"/>
        <s v="4A9E08l34BkPsCDAmOpHxb"/>
        <s v="76kBXoobhmMlzN5mS1CD3b"/>
        <s v="2J3MdVrlrZ46M4ylHhmNVH"/>
        <s v="7AZAGSn2B1APKe2XBbzB2G"/>
        <s v="7fMxaup9mYP470sT9I71Od"/>
        <s v="1wMG2dMCgh1Bn6d0XkOnHo"/>
        <s v="1k1jxdrfofuDZmAuLtyq6m"/>
        <s v="4ckCgKE0aIy4TNSGdm36QT"/>
        <s v="28lU91CRfUdWJEY7KbhZBL"/>
        <s v="5Jx83G7IadblXTyvMMo7Uu"/>
        <s v="7n8U8nb1U1yafqgqlZirnf"/>
        <s v="1VtzCELaY7snxB5vNXbAGg"/>
        <s v="6hDBkm6B8HF9B4oATW28YN"/>
        <s v="5fomS2mZjvxxJ2iVH3fosc"/>
        <s v="5MZYOtR8fcaZoWzweBNdMm"/>
        <s v="4tqsFRjUHZ89bMEOAk3lUl"/>
        <s v="1nnEOnBgHPVpAAZIkFknzv"/>
        <s v="68ngc4vLwImhAeWHmXKcEI"/>
        <s v="69LsOTlcKFAlH2QDkEEhmO"/>
        <s v="1hnSI4JaTQybQXqvzQX3nl"/>
        <s v="6iIylwvWuTqFRhvXMn09KF"/>
        <s v="5hVKGw1OXBCEZgRWFUilk7"/>
        <s v="2VVWWwQ3FiWnmbukTb6Kd3"/>
        <s v="2hVaNGGvdvvzRPCK9BUZmA"/>
        <s v="3ih1UH1MuhzVl33wlibBII"/>
        <s v="55KKAV2VnlggBrVS0J666s"/>
        <s v="2vLHinYk689HDnLkrsCZGF"/>
        <s v="6oz8T0xhXzkEVxyelC3Hc3"/>
        <s v="5JYT9U8oafWV5JtTa7hG09"/>
        <s v="6RQVpAbblcgqgHeywYi79v"/>
        <s v="25fcj6d2W1l8DQL11Czdzb"/>
        <s v="3TnFkFik1REVmx8V58n6Uu"/>
        <s v="4zaBf1Dkn1gr7QcRxAWSSg"/>
        <s v="1iAevgb0bInqyeE85Z6Ra3"/>
        <s v="6szDk6GLuxosArjs48QzFq"/>
        <s v="2OcZ7956nCJ1OJ6oyNDLtf"/>
        <s v="57BoKvyN8KbOYkncKzQiD4"/>
        <s v="0MWxVd7Hk952psJoL249TT"/>
        <s v="2vP0JcTiuYnzrBy45ACKBz"/>
        <s v="7pv5juhfq1kco6wioikGHt"/>
        <s v="2OTAulJdNdYoFQG2oqXtSB"/>
        <s v="7xVLM4xNhJo57V5RoinJji"/>
        <s v="6N8T4RHu7ZerB1dQoZaX6q"/>
        <s v="7j02rdE5RVtNcNMuLGY5SS"/>
        <s v="7qLJmyRxLZCf1ifZlJ2gMZ"/>
        <s v="3D1PuFi2U8lmtdWRZcCz1f"/>
        <s v="0uHjs4zpo52qiFeBpdrXYs"/>
        <s v="5HhcXgRU7kYszL7OQZtNlc"/>
        <s v="2Z8oSkHTEJedqb1rsgpLih"/>
        <s v="17O2PjGN9JjxHweAvjjSa2"/>
        <s v="1lw2doNDEtF7vZUp966kSN"/>
        <s v="1Q6A7Uy4vXDfcnigKgwPZp"/>
        <s v="0WSGIwIEqpfe3jGJ5fZsHr"/>
        <s v="6HRfUOW2Il3284ktPdxoGx"/>
        <s v="55phpQC9GSHQ7fAagLh4I7"/>
        <s v="5ZZDntOE2nYjjq7Uh2mZcJ"/>
        <s v="0T3LR3C4dUD11wdgLm0Xoz"/>
        <s v="7HYrjmGBdvzLYgt1gIY5Zn"/>
        <s v="0xOIqJadsikka2so1zhghO"/>
        <s v="3R11aqnxH9nlrxyAPV3A3Q"/>
        <s v="4ysmODoF5WXlBlGkyWfu7J"/>
        <s v="4uPvXmXGjYOOqhbRMmS9XU"/>
        <s v="7sGEiBshBJXKRnvyIq3LUB"/>
        <s v="5Pk2JQFKZyFnA9e7BAQQQm"/>
        <s v="0P2HFqXUhqvdZ2bS8doDjR"/>
        <s v="3h8uWt8HNyDNubPSEBgTPG"/>
        <s v="0v1yN5C75um5Wx2WPtFl6k"/>
        <s v="56twDecxsQon61crfEXrA5"/>
        <s v="1SesKQRY9HNlqbOtCGYWMa"/>
        <s v="5uY2Vs2sviMqznPxW8f5xz"/>
        <s v="05b6SX5DjBpvd5rYIxmwOz"/>
        <s v="2TDVIt8rGuXEN6IvMIy5iW"/>
        <s v="2N7NctlF0wAl57q68v5MOi"/>
        <s v="4s3G9Ifc1dp8xEksZxNe8P"/>
        <s v="7lr1Qj5i2emYCPqUiIyFcz"/>
        <s v="3mlAmyipgcFX5F3EXllJh2"/>
        <s v="0imuQm7CnK74UdorFpC2Eg"/>
        <s v="4vNGuGIIzh6soeBTw8hjfq"/>
        <s v="6rm0bIbAE0ZfPXNeuIV4DR"/>
        <s v="5tn4ViAVQvGNRvzFIzOnGm"/>
        <s v="4eZP0Tyh1p06Nk1aHOzNrt"/>
        <s v="0D1Kp0dQ6ZSbeI5n14XHTp"/>
        <s v="6apacvSkVWWtCxc68FBsZV"/>
        <s v="36ccrof5DFicLrejE4hEye"/>
        <s v="5Hnfk1EuhqQuh7QhcnikR1"/>
        <s v="6pOD6dUoAMDmvuMePmfOKG"/>
        <s v="2V2mEnBBn4HsDRNxuVJvwP"/>
        <s v="4WzQEkUYTBzo0DRnJfYPls"/>
        <s v="0ZFq3raMFdXllZJoTbBRnQ"/>
        <s v="5Z01kGFWQcQA3XBRxjAzAJ"/>
        <s v="5whKev8bxFJ0vl0KfLANyS"/>
        <s v="5quIK3oXwunG35RI8HSQDi"/>
        <s v="7LHhGBjIBj7kNYLHYH9rMx"/>
        <s v="4UXZoNGOQ42aV5uXCkLuYm"/>
        <s v="0jJqIi0uMG8IhGlLx7U85J"/>
        <s v="43WuM1pfzxEB4rPr9PL5xb"/>
        <s v="3pgXwvxj2qqTOfsUxxQ8nE"/>
        <s v="3Ec6uapAsdc0MY8pDFcsg4"/>
        <s v="5kTmg9n7FZ7xv8SZVFhX8P"/>
        <s v="38qIDDupYe8XIvMrRynpEt"/>
        <s v="25R9Ax7cdjWx0EDr2HAKoA"/>
        <s v="2o1RtJhMTPDW6A3SzNptli"/>
        <s v="1Whxt3lFm3WZ5RjayHMucO"/>
        <s v="5KcGMnoxVuAUexDFoOHROL"/>
        <s v="7dE07ULna9h2PituTjrinM"/>
        <s v="2BWIhAOGhnA7hR6YvXCPsC"/>
        <s v="2Qa3MDbhbTsRVZfw9HjwBJ"/>
        <s v="5epYcmFhgMsZcyKk8A2Qi5"/>
        <s v="3ZoefygM1VYbvEYXXRNAY2"/>
        <s v="5rBVF19fMatEF6AstKKIR7"/>
        <s v="1DxwWEVXzZB2IqGxI6GYRK"/>
        <s v="3Z9P9XOLlISMK0MooS8gsN"/>
        <s v="1NKiIuSbv88ecRlB6noXzz"/>
        <s v="28WClWvliFajAplluwtX2J"/>
        <s v="0W85Yolr3l72QZsk9UrkqP"/>
        <s v="4FhNTUIDPVH8yb9TjHeAmu"/>
        <s v="7qHPp1beQupJUzwRyVtoyy"/>
        <s v="1fQeGoPKxnT2dLbEjs6jsm"/>
        <s v="5IuV0YqQfVkzRQmvoDClV1"/>
        <s v="6wSooKrykEc9YTRyIYXF49"/>
        <s v="32gazF6n0vQfcaLLCE3Cp3"/>
        <s v="6VJcMjtcbFGAwZxqW28C8Q"/>
        <s v="6hVkpZkfQV82W6e31Xye37"/>
        <s v="1Llvr4v5Y0rZtm494ak7oh"/>
        <s v="1iQ1BpOGF1Umd3lpTV4OPO"/>
        <s v="0tu4zWxyFV1Djbf4hLY3xP"/>
        <s v="1yTJXe80RThFvGTGDSgNpt"/>
        <s v="4QVZZAO7LDFjsbWemhTN5y"/>
        <s v="0VPneSXkOP27R8Cf7v8HSN"/>
        <s v="5PusZRYXN29yDQOzDMzSJK"/>
        <s v="5rRDCbF97rcJW0ES9RhPhC"/>
        <s v="53yCbC8zjcNQi5534UDoWL"/>
        <s v="5Jac5r26r1HkpH9Xv5zt7A"/>
        <s v="7KqahQEtWTG2xPKE4Kriad"/>
        <s v="2WihaIEZnX9dNRinCebwUj"/>
        <s v="0Stf1ND7zaL3TEo8kZgld1"/>
        <s v="08HbvgCt7APoTp6Vmk7ho1"/>
        <s v="4uBcAJZmH3LkH2rCDe8LgC"/>
        <s v="0k3eft3oFkqIJdBFuHFHGW"/>
        <s v="6c6xJgk6Z7WElX8tRUdjZk"/>
        <s v="05hCHpkRbY9srvsP1Ld5IJ"/>
        <s v="7ccurrFI92e3hBtU02WgTL"/>
        <s v="6VScORohpeHSfdLkPUZuZX"/>
        <s v="0dLh6jkNSm0HnmEdjXghIA"/>
        <s v="2zfmrdj03N55KX9epHrTg7"/>
        <s v="3eocijVoKZ340ZIkvsatUc"/>
        <s v="1dRIpmF4spf1WCruaM59pN"/>
        <s v="3giWuQaBIkGG8OcMiWfPMM"/>
        <s v="4xN6o0Y195FTgzQvmnuMNw"/>
        <s v="75i8nGJoT6Q2znZNNhUmk3"/>
        <s v="0J2YKkFn2l1LTpZC7UaNrd"/>
        <s v="7JuocCvYUBbC0X1bZj6guM"/>
        <s v="1VdQTD2rFIYWpFngckkmSS"/>
        <s v="5WhHTK5wyuY14tiHWuoH4G"/>
        <s v="2FYSLfTFri5Gbccm44lXA3"/>
        <s v="73Zqgqez3FbGjeGRhSkw0O"/>
        <s v="5Bfdu7gVB7njCCCQHC0kkI"/>
        <s v="1epXnhFfFToKeugQWBCsQg"/>
        <s v="5aBpIqXfktr9SSwyAi8Hlj"/>
        <s v="1ZD2MlKRTYKI8oewOt28mc"/>
        <s v="3zVMv0mxjnJRw2BX5ryCqT"/>
        <s v="5ieA3sRjDvak7oTrbrR6mV"/>
        <s v="4pR4oQJULf7FDB54TleMyH"/>
        <s v="4Ds4bq6aqOSAp1T7DikOi4"/>
        <s v="7nYbKsvhM88mHCmFsAIQVp"/>
        <s v="7gVNP7rI9UBZndge0ulKfL"/>
        <s v="1hLvWelTny8vttEEZIXVjw"/>
        <s v="660JNfrBV1K41iYGOh7ClC"/>
        <s v="0tsjEf663ZNWGlIqY2c0Ms"/>
        <s v="1Vc0GbabaIukvQZeQTrNQc"/>
        <s v="1bBO92RtVTlJlfxuVaLek8"/>
        <s v="00LmM2QLGpfb5NC7PC7qqZ"/>
        <s v="0pY5jjQucjJg3pqAbHhGkW"/>
        <s v="3ARDVYRmYJx1FrvR9Zlwp2"/>
        <s v="0J4hFHpfCAlJOdrtcm04vz"/>
        <s v="3BGxXQJWeLAEcwNKRFUxYA"/>
        <s v="7cAxwshLN1yidrBlDePrYW"/>
        <s v="0VSuq0KNSy1nOBO47e1bCN"/>
        <s v="0fAmpdONIYsxiP27CwnzLJ"/>
        <s v="1SV0orNlJMONEKfQ9QEUrh"/>
        <s v="3KYbhVPCxYHIeZg8Zy07ay"/>
        <s v="1YuVO6AipAn5U1VoG1RBGN"/>
        <s v="3j0d73FhRaRKlasGXXKZMu"/>
        <s v="0mW4qfi2vus7qErr9jAeFJ"/>
        <s v="3hhC43A13GnvLnvhSXemhN"/>
        <s v="4dr8LN0s4WhnLLTzfsZkj5"/>
        <s v="098WwIoAtjDQwcpuEHAlrr"/>
        <s v="3AJ0MFDt4OSknQ5D9Jlo4l"/>
        <s v="02HQGyk9aGfleS1epTFtnJ"/>
        <s v="39tI78Hw9SxwaHh32EZW5o"/>
        <s v="633yLLOTvQTEdvDD4XVnsw"/>
        <s v="31RfYWiC3WcExsZtqDMvdS"/>
        <s v="3EYGVS7euI1GTiYkKBOSfk"/>
        <s v="5Xv3XHAt8gkT6hVDXZGcuG"/>
        <s v="2e1FJPgVRQZFT53QKUR7BD"/>
        <s v="2anpZSamsEnNY7v1ScOkhJ"/>
        <s v="0gKBYJ8xmhWjpBzlPPKUoj"/>
        <s v="3A4Y4uYIIt7VoSugv1OELL"/>
        <s v="6gUUERbRME9MKaAMIAa1I3"/>
        <s v="5XJMVJoq9otQBf2lMbxagJ"/>
        <s v="1NF3eG2IpxKzR3jqMdR60O"/>
        <s v="2zQt5C0AIv27RhfJCRZdZ4"/>
        <s v="4kSYNMfWnruGsc9knR15xV"/>
        <s v="0d23nai9JamDpc48xhyeRt"/>
        <s v="6nFxTIa7abSSk8GzZFO1zB"/>
        <s v="2CTzBqhD3xitdqHzEaGoiz"/>
        <s v="7oSCgig81QrE0hr6weiwgc"/>
        <s v="0Hr2RaY7XnE0Qj7ljHGfMw"/>
        <s v="4BKI37hGrod94ofXtVycYL"/>
        <s v="6F4zAdEznwkmn8MHJtcjtT"/>
        <s v="7bLMLwx6gJrCXoppD2YqOu"/>
        <s v="5uCb2bQ9HcCY3c7kLq4Iur"/>
        <s v="7cPCyF7ABaT1Te3LUA5jzE"/>
        <s v="2Y3x5VcEAxLNmVHxQOE0jB"/>
        <s v="7BEjw8UVIjhXw26bWkFHQA"/>
        <s v="6ET453QCZCnhN7cb5zZoqf"/>
        <s v="31p1i3XDY9W8ORcDXmA17Q"/>
        <s v="3vo1FajskK841e2gcxHpqB"/>
        <s v="3Nb27pwwcFmJhP6INhri4z"/>
        <s v="0seSNElilcmQH2T0gY5zyY"/>
        <s v="3ayGhSSsgy1PyvJi6Np0CH"/>
        <s v="0afpxm7xkeXwj7KYzmS5Uc"/>
        <s v="3qdalnFVTJdRheIRZyuNmP"/>
        <s v="6SdaB4qWrwFG5goKg3NbVj"/>
        <s v="3dCA1AG1JPlF848jihvVsE"/>
        <s v="7t6UycwC3vvVtTvbhdNSY9"/>
        <s v="0YM62MzsqtMsbCS0E89bvx"/>
        <s v="6iqj4S2j6HZOAxyE1i5OXs"/>
        <s v="3HPfcQxliHRPkDZPFHH0JE"/>
        <s v="0VjyKaDsZ29g00cvIywo5t"/>
        <s v="7zMJ0Pgmv9Jcx1skiTp3RV"/>
        <s v="2GMlGVZ3Co8CkDm1RiPFRw"/>
        <s v="1aAhNjAqKqUFQ93uesAytf"/>
        <s v="3169PUGpN64JNpAhR5PW4Y"/>
        <s v="2MwJYrmAqLPOxd3pSLNdYb"/>
        <s v="0s76fxVvT3GOz0sEU64v4j"/>
        <s v="2abpx1FO9dhMg16Q59iWL4"/>
        <s v="16qGlEtbDQW4IFcRsIjmwm"/>
        <s v="5vilhku7KUCbRlog1d0lBy"/>
        <s v="177aS2QdvkU2reVZoXBw1G"/>
        <s v="0YLkH00Doh7W1IEEo9BA71"/>
        <s v="31P1OdwMwFh8b6kGjdLUZV"/>
        <s v="5K0z3idLxEFY0tv82NeMPe"/>
        <s v="2SPPB8Wi85U3cn6ptXLsR4"/>
        <s v="4YUWeLwUwRMzuxW5H4ASYp"/>
        <s v="06yiYlbdcanbh4GJEFyhEj"/>
        <s v="0uWCzZzI1A2yxreko4iEib"/>
        <s v="6LcDgsJUPj70eb0NONh5q6"/>
        <s v="6UV8gki3IIkVNP9jlxScM6"/>
        <s v="6M0dUj7G1BBsFRUZVGFyma"/>
        <s v="3nixiIoAj9SFIiNPxgUDH8"/>
        <s v="3U8py45D86LbBF6jZtaxMH"/>
        <s v="19Oj8jiVAn3qRr0DhlLU1j"/>
        <s v="0UZ3juSCFsN6lINBadUZNZ"/>
        <s v="4Z02tygBhQ3PZXKvwAl44s"/>
        <s v="1Yxukx85EzhKgZpzbNywQv"/>
        <s v="54OvaGEkwX2FnqIMS05S82"/>
        <s v="3xfUu8alkwuMg8UBht9TtW"/>
        <s v="3MZm4t1kRJ2e5JyaYQpjrF"/>
        <s v="33NVGT7agcN1ems0OLUlCX"/>
        <s v="1AMkh8OSTuP6CcAvP59xL7"/>
        <s v="14XaLZBDGnMY4313d4G51A"/>
        <s v="1q8NdCAQ9QUjpYiqzdd3mv"/>
      </sharedItems>
    </cacheField>
    <cacheField name="artists" numFmtId="0">
      <sharedItems/>
    </cacheField>
    <cacheField name="album_name" numFmtId="0">
      <sharedItems containsMixedTypes="1" containsNumber="1" containsInteger="1" minValue="0" maxValue="0"/>
    </cacheField>
    <cacheField name="track_name" numFmtId="0">
      <sharedItems containsDate="1" containsMixedTypes="1" minDate="1899-12-30T12:51:00" maxDate="1900-01-04T10:53:04" count="1005">
        <s v="Comedy"/>
        <s v="Ghost - Acoustic"/>
        <s v="To Begin Again"/>
        <s v="Can't Help Falling In Love"/>
        <s v="Hold On"/>
        <s v="Days I Will Remember"/>
        <s v="Say Something"/>
        <s v="I'm Yours"/>
        <s v="Lucky"/>
        <s v="Hunger"/>
        <s v="Give Me Your Forever"/>
        <s v="I Won't Give Up"/>
        <s v="Solo"/>
        <s v="Bad Liar"/>
        <s v="Hold On - Remix"/>
        <s v="Falling in Love at a Coffee Shop"/>
        <s v="ily (i love you baby)"/>
        <s v="At My Worst"/>
        <s v="Photograph"/>
        <s v="Demons"/>
        <s v="93 Million Miles"/>
        <s v="Unlonely"/>
        <s v="Bella Luna"/>
        <s v="Winter Wonderland"/>
        <s v="If It Kills Me"/>
        <s v="All I Want For Christmas Is A Real Good Tan"/>
        <s v="Party of One"/>
        <s v="Lonely This Christmas"/>
        <s v="Throwing Good After Bad"/>
        <s v="This Time Tomorrow"/>
        <s v="The Haves"/>
        <s v="When You're Wrong"/>
        <s v="You and Me on the Rock"/>
        <s v="Speak Your Mind (From the Netflix Series &quot;We The People&quot;)"/>
        <s v="Trampoline - Acoustic"/>
        <s v="é€æ˜Žã ã£ãŸä¸–ç•Œ"/>
        <s v="Pieces"/>
        <s v="A Drop in the Ocean"/>
        <s v="So Far Away - Acoustic"/>
        <s v="The Enemy"/>
        <s v="Build It Better"/>
        <s v="Sleepwalking in the Rain"/>
        <s v="Gravity"/>
        <s v="What's Left of You"/>
        <s v="Pano"/>
        <s v="Sky's Still Blue"/>
        <s v="And I Love Her"/>
        <s v="We Can't Stop"/>
        <s v="Always Be My Baby"/>
        <s v="Alone with You"/>
        <s v="Making All Things New"/>
        <s v="She Used To Be Mine"/>
        <s v="In My Veins - Feat. Erin Mccarley"/>
        <s v="I Don't Wanna Live Forever (Fifty Shades Darker)"/>
        <s v="Superman (It's Not Easy)"/>
        <s v="When the End Comes"/>
        <s v="You're Still The One"/>
        <s v="Light Me Up"/>
        <s v="Kaleidoscope"/>
        <s v="The Long Road"/>
        <s v="What Would I Do Without You"/>
        <s v="Have It All"/>
        <s v="Heavy Heart"/>
        <s v="The House We Never Built"/>
        <s v="Society"/>
        <s v="Please Don't Say You Love Me"/>
        <s v="Guaranteed"/>
        <s v="Brave"/>
        <s v="Heaven Knows"/>
        <s v="I Heard The Bells On Christmas Day"/>
        <s v="Fairytale Of New York"/>
        <s v="Suddenly I See"/>
        <s v="Rain"/>
        <s v="Somebody Else - Acoustic"/>
        <s v="Pieces (Hushed)"/>
        <s v="Mirrors"/>
        <s v="Stand by Me"/>
        <s v="Losing Me"/>
        <s v="ãªã‚“ã§ã‚‚ãªã„ã‚„ - movie ver."/>
        <s v="Youâ€™re Beautiful - Acoustic"/>
        <s v="Hikare Inochi"/>
        <s v="How To Lose a Girl"/>
        <s v="Canâ€™t Help Falling in Love"/>
        <s v="Dive Deep (Hushed)"/>
        <s v="When the Party's over (Acoustic Piano)"/>
        <s v="Boston"/>
        <s v="Living in the Shadows"/>
        <s v="In Case You Didnâ€™t Know"/>
        <s v="death bed (coffee for your head)"/>
        <s v="You Are My Sunshine"/>
        <s v="I Was Born To Love You"/>
        <s v="Only Love Can Hurt Like This"/>
        <s v="Mr Blue"/>
        <s v="Do Not Let Me Go"/>
        <s v="Holding On And Letting Go"/>
        <s v="You Already Know"/>
        <s v="Believer (Remix)"/>
        <s v="Collide - Acoustic Version"/>
        <s v="Love Like This"/>
        <s v="Come On Get Higher"/>
        <s v="&quot;Something In the Rain&quot; (Something In the Rain, Pt. 1) [Music from the Original TV Series]"/>
        <s v="Kiss Me Slowly"/>
        <s v="Without You"/>
        <s v="Absolutely Zero"/>
        <s v="Sleep All Day"/>
        <s v="You and I Both"/>
        <s v="Long Nights"/>
        <s v="Who Needs Shelter"/>
        <s v="No Stopping Us"/>
        <s v="I'll Do Anything"/>
        <s v="Make You Feel My Love"/>
        <s v="The Remedy (I Won't Worry)"/>
        <s v="Too Much Food"/>
        <s v="The Boy's Gone"/>
        <s v="On Love, in Sadness"/>
        <s v="Curbside Prophet"/>
        <s v="Tonight, Not Again - Live"/>
        <s v="Tonight, Not Again"/>
        <s v="Hard Sun"/>
        <s v="Here with Me"/>
        <s v="The Scientist"/>
        <s v="Collide"/>
        <s v="get better"/>
        <s v="Sympathy"/>
        <s v="Let It Go"/>
        <s v="What You Need"/>
        <s v="100 Years"/>
        <s v="You're the Sea"/>
        <s v="No Direction"/>
        <s v="Belong"/>
        <s v="As It Was"/>
        <s v="Chi Mai"/>
        <s v="Had It All"/>
        <s v="Take Me Back ft. Yonnyboii"/>
        <s v="Whole Again - Acoustic Version"/>
        <s v="Overpass Graffiti"/>
        <s v="Love Song"/>
        <s v="Let Her Go"/>
        <s v="Brighter Than Sunshine"/>
        <s v="Love Story"/>
        <s v="Mujer con Abanico"/>
        <s v="In the Shadows"/>
        <s v="Can You Feel the Love Tonight"/>
        <s v="The Story"/>
        <s v="Better"/>
        <s v="Iris"/>
        <s v="Rockabye - Acoustic Version"/>
        <s v="I Need You More Today"/>
        <s v="Beautiful Soul"/>
        <s v="Let's See What The Night Can Do"/>
        <s v="La La La (Something In the Rain, Pt. 2) [Music from the Original TV Series]"/>
        <s v="Forever And Always"/>
        <s v="Fine On The Outside"/>
        <s v="Tortured Soul"/>
        <s v="I Believe in You"/>
        <s v="At Home"/>
        <s v="Portland, Maine"/>
        <s v="The Flood"/>
        <s v="Hanggang Kailan (Umuwi Ka Na Baby)"/>
        <s v="Out of My League"/>
        <s v="Rise"/>
        <s v="World Spins Madly On"/>
        <s v="Stumble"/>
        <s v="Paradise"/>
        <s v="Moonlight, Mistletoe &amp; You"/>
        <s v="ã²ã¾ã‚ã‚Šã®ç´„æŸ"/>
        <s v="Since U Been Gone - Acoustic Version"/>
        <s v="One more time,One more chance"/>
        <s v="Creep"/>
        <s v="Higher Love"/>
        <s v="Hyouriittai"/>
        <s v="How Long Will I Love You"/>
        <s v="Binibini"/>
        <s v="You Were Supposed to Be Different"/>
        <s v="Thinking out Loud"/>
        <s v="Perfect / Style"/>
        <s v="Poison &amp; Wine"/>
        <s v="You And I"/>
        <s v="Give Me Your Forever (ft. Billkin)"/>
        <s v="Breathe (2 AM)"/>
        <s v="Habang Buhay"/>
        <s v="Bulletproof"/>
        <s v="Spectrum"/>
        <s v="Girls Like You - Acoustic Version"/>
        <s v="Nangangamba"/>
        <s v="Better Together"/>
        <s v="Heartbreak Anniversary"/>
        <s v="One More Time Around"/>
        <s v="Heart Canâ€™t Lose"/>
        <s v="I Ain't Ever Loved No One - Acoustic"/>
        <s v="Empty"/>
        <s v="See You Again, Love Me Like You Do, Sugar - Acoustic Mashup"/>
        <s v="The Reason"/>
        <s v="Fix You"/>
        <s v="Hand to Hold"/>
        <s v="Hold You in My Arms"/>
        <s v="One Last Dance"/>
        <s v="Heaven"/>
        <s v="The Spark - Bonus Track"/>
        <s v="American Beauty"/>
        <s v="Such A Simple Thing"/>
        <s v="Colors"/>
        <s v="Someone You Loved"/>
        <s v="More Than Friends (feat. Meghan Trainor)"/>
        <s v="Flurry Rush"/>
        <s v="I Choose You"/>
        <s v="I Do Adore"/>
        <s v="I'll Be Home For Christmas"/>
        <s v="Fuck You"/>
        <s v="Christmas Comes But Once A Year"/>
        <s v="If I Ain't Got You - Acoustic"/>
        <s v="Believe - Acoustic"/>
        <s v="Iris - Acoustic"/>
        <s v="Rain - Long Ver."/>
        <s v="C'est si bon"/>
        <s v="Baby (Acoustic Version)"/>
        <s v="Reason"/>
        <s v="I Like Me Better"/>
        <s v="Asan Ka Na Ba"/>
        <s v="A Thousand Years"/>
        <s v="drivers license"/>
        <s v="Love Someone"/>
        <s v="The Winner Takes It All - Acoustic"/>
        <s v="Only Time"/>
        <s v="Almost Lover"/>
        <s v="Dance Monkey"/>
        <s v="Ocean"/>
        <s v="Dream a Little Dream of Me"/>
        <s v="Back For Good"/>
        <s v="OK"/>
        <s v="Just The Two Of Us"/>
        <s v="Hey There Delilah"/>
        <s v="Arcade"/>
        <s v="Yellow"/>
        <s v="Wake Me Up"/>
        <s v="Walking Blind"/>
        <s v="Headphones"/>
        <s v="Teenage Dream"/>
        <s v="The Worth Of The Wait"/>
        <s v="Can't Help Falling In Love - Piano Version"/>
        <s v="Never Come Back Again"/>
        <s v="Love You To Death"/>
        <s v="Someone You Loved - Acoustic"/>
        <s v="What a Wonderful World"/>
        <s v="You Broke Me First"/>
        <s v="Long Way Down"/>
        <s v="She Is Love"/>
        <s v="Marigold"/>
        <d v="1899-12-30T12:51:00"/>
        <s v="ã‚µãƒ³ã‚µãƒ¼ãƒ©"/>
        <s v="Sons and Daughters"/>
        <s v="Brand New"/>
        <s v="Gotta Have You"/>
        <s v="30,000 Feet"/>
        <s v="Jolene"/>
        <s v="No Ceiling"/>
        <s v="Front Porch"/>
        <s v="Goodbye Lulu"/>
        <s v="Three More Days"/>
        <s v="Isn't She Lovely - Acoustic"/>
        <s v="We Could Still Be Happy"/>
        <s v="Fix You - Acoustic"/>
        <s v="I'm Yours - Acoustic"/>
        <s v="Closer"/>
        <s v="A Sky Full of Stars"/>
        <s v="I Don't Believe in Satan"/>
        <s v="Pills"/>
        <s v="Shallow - Acoustic"/>
        <s v="Watermelon Sugar - Acoustic"/>
        <s v="Say You Won't Let Go - Acoustic"/>
        <s v="Call You Mine (Acoustic Piano)"/>
        <s v="For Now"/>
        <s v="Sweet Dream"/>
        <s v="Love Nwantiti"/>
        <s v="Stars Are on Your Side"/>
        <s v="We Don't Talk Anymore / Cold (feat. Sara Phillips)"/>
        <s v="Superman"/>
        <s v="Chasing Cars"/>
        <s v="Calm Me Down"/>
        <s v="KISSã—ã¦"/>
        <s v="Binibini (Last Day On Earth) (feat. James TW)"/>
        <s v="Left for America"/>
        <s v="Ramparts"/>
        <s v="Hold On - Acoustic"/>
        <s v="Dust to Dust"/>
        <s v="Good night"/>
        <s v="As You Are"/>
        <s v="It Aint Me"/>
        <s v="The Lotto"/>
        <s v="Tamacun"/>
        <s v="Make It Without You"/>
        <s v="Dream"/>
        <s v="Big Love, Small Moments"/>
        <s v="I Am Not Alone"/>
        <s v="Stand Your Ground"/>
        <s v="Perfect Man"/>
        <s v="ã‚ã€‚ã£ã¨ã„ã†é–“ã¯ã‚ã‚‹ã•"/>
        <s v="Tell The World"/>
        <s v="Ain't No Reason"/>
        <s v="A Month from Now"/>
        <s v="What If"/>
        <s v="Pussy Cat"/>
        <s v="Polaroid Picture"/>
        <s v="I Bet On Flying High"/>
        <s v="Mirrors - Acoustic"/>
        <s v="To the Wonder (feat. Kina Grannis)"/>
        <s v="Stay - Acoustic"/>
        <s v="å¤ªé™½ã•ã‚“"/>
        <s v="Oh What A Love"/>
        <s v="Leave The Lights On"/>
        <s v="I Won't Let You Down"/>
        <s v="Look For The Good (Single Version)"/>
        <s v="Stargazing"/>
        <s v="Is It You"/>
        <s v="Slow Down Time"/>
        <s v="2002 - Acoustic"/>
        <s v="Sweeter"/>
        <s v="Heat Waves - Acoustic"/>
        <s v="ã‚¢ã‚¸ã‚¢ã®ç´”çœŸ"/>
        <s v="If the World Was Ending - Acoustic"/>
        <s v="Comes And Goes (In Waves)"/>
        <s v="ãªãŒã‚Œæ˜Ÿ"/>
        <s v="Dusk Till Dawn - Acoustic"/>
        <s v="Don't Wanna Leave You"/>
        <s v="Passenger Seat"/>
        <s v="Love"/>
        <s v="Hallelujah"/>
        <s v="Ashes"/>
        <s v="æ˜Žæ—¥ã®â˜†SHOW"/>
        <s v="Love Me Like You Do"/>
        <s v="Lost Sparks"/>
        <s v="Who We Are"/>
        <s v="Heart (Original Version)"/>
        <s v="It'll Be Alright"/>
        <s v="Everybody"/>
        <s v="Kabilugan Ng Buwan"/>
        <s v="Keep Breathing"/>
        <s v="Fast Car"/>
        <s v="Just the Way You Are"/>
        <s v="The Ladder"/>
        <s v="HELLO (Original Version)"/>
        <s v="æŽ¥å»"/>
        <s v="Can't Keep It Inside"/>
        <s v="æ˜Žæ—¥å¤©æ°—ã«ãªã‚Œ"/>
        <s v="IT'S ONLY LOVE"/>
        <s v="ãã‚ŒãŒã™ã¹ã¦ã•"/>
        <s v="I Don't Wanna Love Somebody Else"/>
        <s v="Burn It All!"/>
        <s v="Carried Me With You"/>
        <s v="O, Pennsyltucky!"/>
        <s v="I Believed You, William Blake"/>
        <s v="Pepperspray"/>
        <s v="Stickup"/>
        <s v="Heaven - Acoustic"/>
        <s v="Soldier's Eyes"/>
        <s v="Asleep Among Endives"/>
        <s v="Symphony - Acoustic"/>
        <s v="When I Was Your Man"/>
        <s v="Save Your Tears - Acoustic"/>
        <s v="Koi"/>
        <s v="July Bones"/>
        <s v="Autumn Breeze"/>
        <s v="Save Your Tears"/>
        <s v="You're Still The One - Acoustic"/>
        <s v="Somebody Loved"/>
        <s v="Bohemian Rhapsody - Acoustic"/>
        <s v="As It Was - Acoustic"/>
        <s v="Wish List"/>
        <s v="Beautiful Disaster"/>
        <s v="Fake a smile"/>
        <s v="River Flows In You"/>
        <s v="Kill Me Pretty"/>
        <s v="No Matter Where You Are"/>
        <s v="I Like You"/>
        <s v="The Mess I Made"/>
        <s v="Here, Right Now"/>
        <s v="Wonderful Tonight"/>
        <s v="Salvation"/>
        <s v="Wilderness"/>
        <s v="æ‹äºº (Original Version)"/>
        <s v="I Just Called To Say I Love You"/>
        <s v="Fall on Me"/>
        <s v="Song To Sing When I'm Lonely"/>
        <s v="Have Yourself a Merry Little Christmas"/>
        <s v="Message (Original Version)"/>
        <s v="Beautiful In White"/>
        <s v="Heaven Is a Place on Earth"/>
        <s v="Passenger Seat (Acoustic)"/>
        <s v="Guaranteed - Humming Version"/>
        <s v="Hang Me, Oh Hang Me"/>
        <s v="The Afterglow"/>
        <s v="Eat the Meek"/>
        <s v="The Trouble with Wanting"/>
        <s v="You Are the Best Thing"/>
        <s v="Boycott Me!"/>
        <s v="To Risk to Live"/>
        <s v="The Legend of Olog-hai, Pt. 1"/>
        <s v="No Christmas For Me"/>
        <s v="This One's for Johnny"/>
        <s v="Graveyard - Acoustic"/>
        <s v="bouquet"/>
        <s v="ã“ã“ã‚ã‚’ã“ã‚ã¦"/>
        <s v="Laid"/>
        <s v="Same For You"/>
        <s v="2U - Acoustic Version"/>
        <s v="Duet"/>
        <s v="I'll Say I Do"/>
        <s v="Anyone"/>
        <s v="Start of Time"/>
        <s v="Heat Waves"/>
        <s v="There She Goes"/>
        <s v="Wells"/>
        <s v="God Only Knows"/>
        <s v="Afterglow"/>
        <s v="Burn The Rain"/>
        <s v="Already Mine"/>
        <s v="ãã¿ã¯ã¼ãã®ã¨ã‚‚ã ã¡"/>
        <s v="Never Be the Same"/>
        <s v="All Is Well"/>
        <s v="My Mistake"/>
        <s v="Near Or Far"/>
        <s v="Without a Light"/>
        <s v="Lonely With Me"/>
        <s v="Time After Time"/>
        <s v="So Are You To Me"/>
        <s v="My Arms Were Always Around You"/>
        <s v="Dance Me to the End of Love - Bonus"/>
        <s v="Photographs"/>
        <s v="Baby Now That I Found You"/>
        <s v="Right Here Waiting"/>
        <s v="Smokestack Lightnin'"/>
        <s v="Feels Like Rain (feat. Bonnie Raitt)"/>
        <s v="Sugar Babe"/>
        <s v="Blister In The Sun"/>
        <s v="Little Blue Pills, Pt. 2"/>
        <s v="Paano Ang Simbang Gabi - Kung 'Di Ka Katabi"/>
        <s v="Bob"/>
        <s v="Psycho"/>
        <s v="Perfect Government"/>
        <s v="The Fear"/>
        <s v="Living My Best Life"/>
        <s v="Haven't Been Doing So Well"/>
        <s v="The Legend of Olog-hai, Pt. 2"/>
        <s v="You and Me On The Rock (feat. Lucius)"/>
        <s v="Glitch"/>
        <s v="A Thousand Years - Acoustic"/>
        <s v="2 Oceans"/>
        <s v="Golden Hour - Acoustic Piano"/>
        <s v="Without Me"/>
        <s v="You &amp; Me (The Wildfire)"/>
        <s v="Dancing With A Stranger"/>
        <s v="Pero"/>
        <s v="Good 4 U (Acoustic)"/>
        <s v="And Then You"/>
        <s v="Here With Me - Acoustic"/>
        <s v="I'll Be There For You (Friends Theme)"/>
        <s v="So Far so Good"/>
        <s v="More Than Gravity"/>
        <s v="Fade into You"/>
        <s v="æ±äº¬ã«ã‚‚ã‚ã£ãŸã‚“ã "/>
        <s v="ã‚ã®å¤ã‚‚ æµ·ã‚‚ ç©ºã‚‚"/>
        <s v="21 Guns"/>
        <s v="Waves"/>
        <s v="Running Up That Hill (A Deal With God) - Acoustic"/>
        <s v="Poison's Gone"/>
        <s v="18 ~eighteen~"/>
        <s v="Build Me Up Buttercup"/>
        <s v="Umbrella - Acoustic Version"/>
        <s v="Home"/>
        <s v="You're My Home"/>
        <s v="vs.2013 ~çŸ¥è¦šã¨å¿«æ¥½ã®èžºæ—‹~"/>
        <s v="Something Stupid"/>
        <s v="Hanap-Hanap"/>
        <s v="The Will To Death"/>
        <s v="Boulevard of Broken Dreams (Acoustic)"/>
        <s v="Eloise"/>
        <s v="Help Me"/>
        <s v="Everytime We Touch (Acoustic)"/>
        <s v="Let It Be Me"/>
        <s v="Beer"/>
        <s v="Someone Like You"/>
        <s v="You've Got a Friend"/>
        <s v="This Little Light of Mine"/>
        <s v="Amazing Grace"/>
        <s v="Remnants of What People Used to Be"/>
        <s v="Linda Ronstadt"/>
        <s v="Unsteady - Acoustic Covers Versions of Popular Songs"/>
        <s v="Heart's Content"/>
        <s v="The Damned"/>
        <s v="Hot Knives"/>
        <s v="Nickel Plated"/>
        <s v="Peaches - Acoustic"/>
        <s v="You"/>
        <s v="Swimmers"/>
        <s v="Live Like We're Dying"/>
        <s v="Somebody That I Used To Know"/>
        <s v="Lost Without You"/>
        <s v="One more time, One more chance"/>
        <s v="Skylight"/>
        <s v="Game of Thrones"/>
        <s v="Nothing Like You and I"/>
        <s v="Wanted Man"/>
        <s v="Back To You"/>
        <s v="ä½•åº¦ã§ã‚‚èŠ±ãŒå’²ãã‚ˆã†ã«ç§ã‚’ç”Ÿãã‚ˆã†"/>
        <s v="Scared to Be Lonely"/>
        <s v="Sappy - Early Demo"/>
        <s v="Ancient Light"/>
        <s v="I Don't Wanna Live Forever (Fifty Shades Darker) - Acoustic Version"/>
        <s v="Before You Go"/>
        <s v="Ships In The Night"/>
        <s v="Only You"/>
        <s v="Waver"/>
        <s v="Missing Peace"/>
        <s v="è–åŸŸ"/>
        <s v="Firework"/>
        <s v="Such A Simple Thing - Recorded at Sound Stage Studios Nashville"/>
        <s v="Sad Theme (From &quot;One Punch Man&quot;)"/>
        <s v="Don't Know What I Want"/>
        <s v="Call Me"/>
        <b v="1"/>
        <s v="I Can't Make You Love Me"/>
        <s v="Say Anything"/>
        <s v="All We Are"/>
        <s v="Gentle Heart"/>
        <s v="All My Loving (Original Version)"/>
        <s v="ã‚¢ãƒ³ãƒ€ãƒ«ã‚·ã‚¢ã«æ†§ã‚Œã¦"/>
        <s v="æƒ³ -new love new world-"/>
        <s v="Last Christmas"/>
        <s v="Green Mountain State"/>
        <s v="Di Papakawalan"/>
        <s v="Can't Go Back Now"/>
        <s v="ã‚¦ã‚¤ã‚¹ã‚­ãƒ¼ãŒã€ãŠå¥½ãã§ã—ã‚‡"/>
        <s v="Ditches"/>
        <s v="Outside Villanova"/>
        <s v="Timeline"/>
        <s v="I'll Never Fall in Love Again"/>
        <s v="Stray Cat Strut"/>
        <s v="Goodbye Lulu Pt.2"/>
        <s v="Days n Daze of Our Lives"/>
        <s v="8 Track"/>
        <s v="4am"/>
        <s v="10,000 Hours - Acoustic"/>
        <s v="Yellow - Acoustic"/>
        <s v="No Air"/>
        <s v="Self Help"/>
        <s v="Blackbird Song"/>
        <s v="Easy On Me - Acoustic"/>
        <s v="Chasing Cars - Acoustic"/>
        <s v="Can't Take My Eyes Off of You"/>
        <s v="Fortune - Acoustic"/>
        <s v="Lot To Learn"/>
        <s v="Apologize"/>
        <s v="First &amp; Last"/>
        <s v="Cold, Cold Feeling"/>
        <s v="Sweet Love"/>
        <s v="Shotgun"/>
        <s v="HEY!"/>
        <s v="Trouble Sleeping"/>
        <s v="Breathe Again"/>
        <s v="Trouble"/>
        <s v="Memories"/>
        <s v="Sink Or Swim"/>
        <s v="Tama Na"/>
        <s v="He's A Pirate (From &quot;Pirates of the Caribbean&quot;)"/>
        <s v="èƒ½å¤å³¶ã®ç‰‡æƒ³ã„ - Remastered 2018"/>
        <s v="Bitter Heart"/>
        <s v="I Want to Know What Love Is - Acoustic"/>
        <s v="ãƒãƒ³ã‚­ãƒ¼ãƒ‘ãƒ³ã‚­ãƒ¼"/>
        <s v="Ordinary Days"/>
        <s v="Moon River"/>
        <s v="Forever Like That"/>
        <s v="Neighbor"/>
        <s v="ä¸€ç­‰è³ž"/>
        <s v="éŸ³ã‚¿ã‚¤ãƒ "/>
        <s v="The Joke"/>
        <s v="Toulumne"/>
        <s v="Just The Two Of Us - Acoustic"/>
        <s v="Arrythmic Palpitations"/>
        <s v="The Boat"/>
        <s v="Born Under A Bad Sign - Mono Mix"/>
        <s v="Nobody Knows Me At All"/>
        <s v="Bitter Morning Taste"/>
        <s v="DBS Out"/>
        <s v="Crazy - (Acoustic Mix)"/>
        <s v="Dungeon Song"/>
        <s v="Can I Sleep On Your Floor??"/>
        <s v="Josephine"/>
        <s v="ã„ãã®ã“ã‚Šâ—ã¼ãã‚‰"/>
        <s v="Careless Whisper"/>
        <s v="Look After You"/>
        <s v="Perfect"/>
        <s v="When the Party's Over"/>
        <s v="Longest Night"/>
        <s v="Shame"/>
        <s v="Running Wild"/>
        <s v="å½¼æ–¹ã§"/>
        <s v="Hazy (Featuring William Fitzsimmons)"/>
        <s v="I Wanna Be Your Ghost (feat. Ghosts)"/>
        <s v="ç´„æŸã®ä¸˜"/>
        <s v="Young And In Love"/>
        <s v="No Plans"/>
        <s v="Easy on Me"/>
        <s v="Tonight You Belong To Me"/>
        <s v="One Last Breath"/>
        <s v="Devil's Backbone"/>
        <s v="Waltzing Matilda"/>
        <s v="Girls Chase Boys"/>
        <s v="The Woman I Love"/>
        <s v="The Love Me or Die"/>
        <s v="ç¾Žã—ãèŠ±"/>
        <s v="Isn't She Lovely"/>
        <s v="ä¸–ç•Œä¸­ã®èª°ã‚ˆã‚Šãã£ã¨"/>
        <s v="Black Horse And The Cherry Tree"/>
        <s v="Drunks"/>
        <s v="Coming Home"/>
        <s v="I'm Tore Down"/>
        <s v="Neighbor (Piano Version)"/>
        <s v="I Will Always Be Yours"/>
        <s v="Nine on the Bortle"/>
        <s v="Redemption"/>
        <s v="Other Side Of The World"/>
        <s v="Setting Forth"/>
        <s v="Eulogy"/>
        <s v="Tarnished Ol' Photograph"/>
        <s v="Rocksteady"/>
        <s v="Come on In"/>
        <s v="Laugh While You Can"/>
        <s v="Untainted Love"/>
        <s v="Whiny Bitch"/>
        <s v="I Wanna See It Burn"/>
        <s v="It's Amazing"/>
        <s v="How Far Does the Dark Go?"/>
        <s v="THATS WHAT I WANT (Acoustic)"/>
        <s v="Dynamite - Acoustic"/>
        <s v="Never Stop (Wedding Version)"/>
        <s v="You're Mine (The Chase)"/>
        <s v="ãƒ‘ãƒ©ãƒ¬ãƒ«ãƒ»ãƒ©ãƒ–"/>
        <s v="So Are We"/>
        <s v="Shallow"/>
        <s v="Hold Each Other (feat. Futuristic)"/>
        <s v="åˆ¥ã‚Œã®äºˆæ„Ÿ"/>
        <s v="Naked Heart"/>
        <s v="Smell the Coffee"/>
        <s v="See You Again"/>
        <s v="ã‚†ã‚ã®ãªã‹"/>
        <s v="More Than You Know - Acoustic Covers of Popular Songs"/>
        <s v="Nothing Really Matters"/>
        <s v="Don't Wanna Know - Acoustic Version"/>
        <s v="Sweetest Thing"/>
        <s v="A Safe Place to Land (feat. John Legend)"/>
        <s v="Your Song"/>
        <s v="Billie Jean"/>
        <s v="Cadillac Assembly Line"/>
        <s v="Pirates of the Caribbean Theme"/>
        <s v="å…¨ã¦èº«ã«è¦šãˆã®ã‚ã‚‹ç—›ã¿ãŸã‚™ã‚ã†?"/>
        <s v="Life Is A Bitch"/>
        <s v="ã‚ªãƒ¼ãƒ«ãƒ‰ãƒ«ãƒ¼ã‚­ãƒ¼ (å†éŒ²)"/>
        <s v="The Past Recedes"/>
        <s v="Laro Laro Laro"/>
        <s v="Stones"/>
        <s v="Need You"/>
        <s v="When It's Gone"/>
        <s v="Heaven Sent"/>
        <s v="Too Much Heaven"/>
        <s v="Face the Void"/>
        <s v="V: Fair Trade Death March"/>
        <s v="Fate of a Coward"/>
        <s v="Don't Start Me To Talkin'"/>
        <s v="Angel of Death"/>
        <s v="Bitter Old Man - Live"/>
        <s v="You're a Witch"/>
        <s v="Non Serviam"/>
        <s v="The Gathering"/>
        <s v="7 Years"/>
        <s v="Comfort epershand Control"/>
        <s v="æ„›ã‚’ä¼ãˆãŸã„ã ã¨ã‹"/>
        <s v="FUSHIGI"/>
        <s v="Bad News Is Coming"/>
        <s v="I Mean Love"/>
        <s v="Night Bus"/>
        <s v="Dark Matter"/>
        <s v="Doraemon"/>
        <s v="Landslide"/>
        <s v="I'd Rather Be With You [Radio Edit]"/>
        <s v="Leave The Door Open - Acoustic"/>
        <s v="Careful"/>
        <s v="Use Somebody - Acoustic"/>
        <s v="She Only Lies"/>
        <s v="What About Us - Acoustic"/>
        <s v="Hound Dog"/>
        <s v="Turn To Stone"/>
        <s v="Drawn by the Wind (Arr. for Guitar)"/>
        <s v="Don't Shy From The Light"/>
        <s v="Memories (Acoustic)"/>
        <s v="Sheâ€™s The Song"/>
        <s v="When You Fall in Love"/>
        <s v="I Wonâ€™t Give Up"/>
        <s v="Suitcase"/>
        <s v="Stitches"/>
        <s v="I 'll Play the Blues for You"/>
        <s v="PRIDE"/>
        <s v="The Power of Love"/>
        <s v="Arms Of A Woman"/>
        <s v="Seeing Other People"/>
        <s v="King of Anything"/>
        <s v="Lost Cause - Acoustic Covers Versions of Popular Songs"/>
        <s v="The Weakness in Me"/>
        <s v="Honey"/>
        <s v="I Like to Be With Me When I'm With You"/>
        <s v="No More - Live"/>
        <s v="On &amp; On"/>
        <s v="A Million Years"/>
        <s v="End Of The Road"/>
        <s v="It Really Sucked, Actually"/>
        <s v="The Work"/>
        <s v="Trenchfoot"/>
        <s v="Unicron"/>
        <s v="Issues"/>
        <s v="Darkest Heart"/>
        <s v="Letter Home"/>
        <s v="Control"/>
        <s v="Fall Out"/>
        <s v="Roll Me Through the Gates of Hell - Acoustic Version"/>
        <s v="SUN"/>
        <s v="Sweet but Psycho - Acoustic"/>
        <s v="I'm the One - Acoustic"/>
        <s v="Magic"/>
        <s v="Lost"/>
        <s v="é»„é‡‘ã®æœˆ"/>
        <s v="It Would Be You"/>
        <s v="As It Was - Acoustic Instrumental"/>
        <s v="Sweet Child O' Mine - Acoustic"/>
        <s v="Beyond The Sea"/>
        <s v="Have I Told You Lately That I Love You - Acoustic"/>
        <s v="Pilots"/>
        <s v="ã•ãã‚‰ - äºŒã€‡ä¸€ä¹"/>
        <s v="Homeland"/>
        <s v="The Hardest Thing"/>
        <s v="Supermarket Flowers"/>
        <s v="é™½ã¯ã¾ãŸæ˜‡ã‚‹"/>
        <s v="Swans"/>
        <s v="The Greatest Showman - Rewrite The Stars (Acoustic)"/>
        <s v="A Million Dreams - Acoustic"/>
        <n v="3636"/>
        <s v="å›ã¯ãƒ­ãƒƒã‚¯ã‚’è´ã‹ãªã„"/>
        <s v="Tears In Heaven"/>
        <s v="Paperweight by Joshua Radin and Schuyler Fisk"/>
        <s v="Meant to Be"/>
        <s v="Paasa"/>
        <s v="No Matter Where You Are - Wedding Version"/>
        <s v="å¤§å®‰"/>
        <s v="Now We're Starting Over Again"/>
        <s v="In the Morning"/>
        <s v="My Babe"/>
        <s v="What a Time to Be Alive"/>
        <s v="The Longer I Run"/>
        <s v="You're Not Sorry - Acoustic Covers Versions of Popular Songs"/>
        <s v="Don't Think Twice, It's All Right - Acoustic"/>
        <s v="Is There Something"/>
        <s v="Living in the Moment"/>
        <s v="Torches Are Calling"/>
        <s v="Close to You"/>
        <s v="Far Behind"/>
        <s v="Protest Songs"/>
        <s v="White Worms"/>
        <s v="Miranda"/>
        <s v="Linoleum"/>
        <s v="God Gave Me You"/>
        <s v="Perfectly Dysfunctional"/>
        <s v="Internet Song"/>
        <s v="Welcome to Hell"/>
        <s v="Pop Virus"/>
        <s v="All Too Well - Jake's Version"/>
        <s v="Dilemma"/>
        <s v="Miss You"/>
        <s v="Kiss Me"/>
        <s v="White"/>
        <s v="All Falls Down"/>
        <s v="This Is Love"/>
        <s v="Still Falling For You - Acoustic"/>
        <s v="I Will Wait"/>
        <s v="Jocelyn Flores - Acoustic Guitar"/>
        <s v="Use Somebody - Acoustic Version"/>
        <s v="As Long as You Love Me"/>
        <s v="Can't Go Back"/>
        <s v="The Nights - Acoustic"/>
        <s v="æœˆã²ã¨ã—ãšã"/>
        <s v="Party of One (feat. Sam Smith)"/>
        <s v="æ‹ã®é­”åŠ›"/>
        <s v="Take Me Home"/>
        <s v="ãƒ‰ã‚µå›žã‚Šæ•°ãˆæ­Œ"/>
        <s v="ç´”é¢¨"/>
        <s v="Truth"/>
        <s v="Jericho"/>
        <s v="Invincible"/>
        <s v="Yellow Lines"/>
        <s v="No More"/>
        <s v="Spoonful"/>
        <s v="Over"/>
        <s v="Body Terror Song"/>
        <s v="VI: Don't Let Love Bog You Down"/>
        <s v="What Are You Doing New Years Eve"/>
        <s v="SOS - Acoustic Covers Versions"/>
        <s v="Mosquitoes"/>
        <s v="High 5"/>
        <s v="Don't Wanna Be Without Ya"/>
        <s v="Of Ballots and Barricades - Live"/>
        <s v="Dirty Little Rag"/>
        <s v="Day Old Coffee"/>
        <s v="Clawfoot"/>
        <s v="Peach"/>
        <s v="Alone in the Dark Mansion of Madness"/>
        <s v="Skin Deep (feat. Derek Trucks)"/>
        <s v="We Shall Not Overcome"/>
        <s v="Northbound"/>
        <s v="Sombody else - Acoustic"/>
        <s v="Stuck with U - Acoustic"/>
        <s v="Havana - Acoustic"/>
        <s v="Yakap"/>
        <s v="Sunflower"/>
        <s v="Hollywood's Bleeding"/>
        <s v="Between the Stars"/>
        <s v="To Whom It May Concern"/>
        <s v="Issues - Acoustic"/>
        <s v="èŠ±ã«ãªã‚‹"/>
        <s v="Unconditional"/>
        <s v="Moth To A Flame - Acoustic Instrumental"/>
        <s v="Bleeding Love"/>
        <s v="Light"/>
        <s v="A Thousand Miles"/>
        <s v="Darkness Within"/>
        <s v="Ikaw Lamang"/>
        <s v="Over You"/>
        <s v="Stay Right Where You Are"/>
        <s v="(I Just) Died In Your Arms - Acoustic"/>
        <s v="Walking By Myself"/>
        <s v="Nintendo"/>
        <s v="Diamonds"/>
        <s v="We'll Make It Through"/>
        <s v="Untainted Innocence"/>
        <s v="Afterglow - Stephan Baulig Remix"/>
        <s v="To the Wind"/>
        <s v="What Love Really Means"/>
        <s v="PEOPLE GET READY"/>
        <s v="Lovin' Whiskey"/>
        <s v="Already Home"/>
        <s v="Big Time"/>
        <s v="Canada"/>
        <s v="Meet Me in the Shade"/>
        <s v="I Am So Mad at You"/>
        <s v="Wind in Your Sails"/>
        <s v="Deathlessness"/>
        <s v="Little Blue Pills, Pt..3"/>
        <s v="Drag Me Down"/>
        <s v="None Exempt"/>
        <s v="Going To Germany"/>
        <s v="Rivers"/>
        <s v="Fry, Bacon, Fry (Die Pigs!)"/>
        <s v="Dance, Motherfucker, Dance!"/>
        <s v="In the Midnight Hour (feat. J.J. Grey)"/>
        <s v="Seven Nation Army - Acoustic Covers Versions of Popular Songs"/>
        <s v="She's a Problem"/>
        <s v="Mood - Acoustic"/>
        <s v="Long Drive"/>
        <s v="Pink Sky Moon"/>
        <s v="We Don't Talk Anymore"/>
        <s v="Beautiful Girls"/>
        <s v="Something Beautiful"/>
        <s v="Cortes de AragoÌn"/>
        <s v="Whenever You're Around"/>
        <s v="The One That Got Away"/>
        <s v="With or Without You"/>
        <s v="æ·±å¤œé«˜é€Ÿ"/>
        <s v="She's The Song - Acoustic"/>
        <s v="ç”Ÿãã¦ã‚‹ã“ã¨ãŒè¾›ã„ãªã‚‰"/>
        <s v="My Heart"/>
        <s v="ã‚¢ã‚¯ã‚»ã‚¹"/>
        <s v="Life's What You Make It"/>
        <s v="Memories (Instrumental Guitar)"/>
        <s v="Duet (feat. Stephanie Briggs)"/>
        <s v="è¿½æ†¶ã®é›¨ã®ä¸­ (Original Version)"/>
        <s v="I Want It That Way - Acoustic Covers of Popular Songs"/>
        <s v="æ˜Žæ—¥ã¸ã‚†ã‘"/>
        <s v="é’ç©ºã€ã²ã¨ã‚Šãã‚Š - Remastered 2018"/>
        <s v="Someday"/>
        <s v="All The World (I Tell Myself)"/>
        <s v="Cried Like A Baby"/>
        <s v="Good Feeling"/>
        <s v="è¸Šã‚‹äººãŸã¡"/>
        <s v="Si Te Vas"/>
        <s v="So Help Me God"/>
        <s v="To-Do Lists (Color Coded)"/>
        <s v="ç¥žç„¡æœˆã«ã‹ã“ã¾ã‚Œã¦ - Remastered 2018"/>
        <s v="Make It Easy On Yourself"/>
        <s v="Hollow Man"/>
        <s v="Waves of Panic"/>
        <s v="Of Peace, Quiet And Monsters"/>
        <s v="Little Life"/>
        <s v="Black Girls"/>
        <s v="Kick Your Lawyer in the Face"/>
        <s v="Fast Track"/>
        <s v="Maria"/>
        <s v="Corinna - From &quot;The Natch'l Blues&quot;"/>
        <s v="Tall Cans"/>
        <s v="You Get What You Give"/>
        <s v="Four Simple Words"/>
        <s v="Jireh (My Provider)"/>
        <s v="Ainda HÃ¡ Tempo"/>
        <s v="Fellini"/>
        <s v="Lion Man"/>
        <s v="Espiral de IlusÃ£o"/>
        <s v="YemanjÃ¡ Chegou"/>
        <s v="TÃ´ Pra Ver"/>
        <s v="Terapia"/>
        <s v="AlÃ³"/>
        <s v="Vasilhame"/>
        <s v="Sucrilhos"/>
        <s v="Chuva Ãcida"/>
        <s v="Breaco"/>
        <s v="Reza Forte"/>
        <s v="Ã‰ o Teste"/>
        <s v="Pequenina"/>
        <s v="Milonga de Ojos Dorados (Alfredo Zitarrosa) - Live on Pardelion Music"/>
        <s v="AtÃ© Me Emocionei"/>
        <s v="Vida Loka I - Live"/>
        <s v="DemorÃ´"/>
        <s v="Guerra Batalha"/>
        <s v="Duas Cidades"/>
        <s v="MariÃ´"/>
        <s v="SÃ³ Mais Uma Noite - Live"/>
        <s v="Pretos Ganhando Dinheiro Incomoda Demais"/>
        <s v="Samba Sambei"/>
        <s v="La Makinita"/>
        <s v="Me Corte na Boca do CÃ©u a Morte NÃ£o Pede PerdÃ£o"/>
        <s v="Menino Mimado"/>
        <s v="Aprendendo a Sobreviver"/>
        <s v="Tengo Luquita"/>
        <s v="Primavera (Vai Chuva)"/>
        <s v="A Cada Vento - Live"/>
        <s v="Detergente"/>
        <s v="Nas Ãguas"/>
        <s v="Plano de Voo"/>
        <s v="Chiquitita"/>
        <s v="FreguÃªs da Meia Noite"/>
        <s v="Hora da DecisÃ£o"/>
        <s v="Jah Jah Revolta, Pt. 2"/>
        <s v="Dia da CaÃ§a"/>
        <s v="Fio de Pumo (PadÃª OnÃ£)"/>
        <s v="Pegue Pra Ela"/>
        <s v="Filha do Maneco"/>
        <s v="Cria de Favela"/>
        <s v="Boca Fofa"/>
        <s v="CalÃ§ada"/>
        <s v="Zica Vai LÃ¡ - Live"/>
        <s v="Subirusdoistiozin - Live"/>
        <s v="Darker Shade of Black"/>
        <s v="Meghar Jolonga"/>
        <s v="Queens Highway"/>
        <s v="EtÃ©rea"/>
        <s v="CabeÃ§a de Papel"/>
        <s v="InvisÃ­vel"/>
        <s v="Lambada de OceanÃ­a, Ãfrica y AmÃ©rica"/>
        <s v="Fogo (VersÃ£o Estendida)"/>
        <s v="Nauliza"/>
        <s v="MediterrÃ¡neo"/>
        <s v="Me DÃª Motivo"/>
        <s v="Sonar (Adubado)"/>
        <s v="Forasteiro"/>
        <s v="Oxidados"/>
        <s v="Ã€ BeÃ§a"/>
        <s v="SueÃ±o ErÃ³tico"/>
        <s v="Negro Amor (It's All Over Now, Baby Clue)"/>
        <s v="Povo Guerreiro"/>
        <s v="Navio"/>
        <s v="No Sapatinho"/>
        <s v="SÃ£o Jorge"/>
        <s v="O Segundo Sol"/>
        <s v="Amar Es Algo MÃ¡s"/>
        <s v="Redoma"/>
        <s v="Viva (MelÃ´ Dos Vileiros) - Live"/>
        <s v="Samba Sambei (Dub Mix)"/>
        <s v="CertoPeloCertoh"/>
        <s v="Fat City Strut"/>
        <s v="FÃ© Cega, Faca Amolada"/>
        <s v="La Bala"/>
        <s v="Chocolate"/>
        <s v="MariÃ´ - Live"/>
        <s v="DemorÃ´ - Live"/>
        <s v="Panela"/>
        <s v="Human Disco Ball"/>
        <s v="Bala na Agulha"/>
        <s v="La Jardinera"/>
        <s v="Makoti"/>
        <s v="Nontsokolo"/>
        <s v="Soul Makossa"/>
        <s v="Triunfo - Live"/>
        <s v="Grajauex - Live"/>
        <s v="District Six - Live"/>
        <s v="NÃ£o Existe Amor Em SP - Live"/>
        <s v="Women Of The Sun"/>
        <s v="BogotÃ¡ - Live"/>
        <s v="Black Organ"/>
        <s v="Dikalo - Remix 97"/>
        <s v="Stop That Train"/>
        <s v="AtrÃ©vete-Te-Te"/>
      </sharedItems>
    </cacheField>
    <cacheField name="popularity" numFmtId="0">
      <sharedItems containsSemiMixedTypes="0" containsString="0" containsNumber="1" containsInteger="1" minValue="0" maxValue="82"/>
    </cacheField>
    <cacheField name="duration_ms" numFmtId="0">
      <sharedItems containsSemiMixedTypes="0" containsString="0" containsNumber="1" containsInteger="1" minValue="59823" maxValue="578064"/>
    </cacheField>
    <cacheField name="explicit" numFmtId="0">
      <sharedItems count="2">
        <b v="0"/>
        <b v="1"/>
      </sharedItems>
    </cacheField>
    <cacheField name="danceability" numFmtId="0">
      <sharedItems containsSemiMixedTypes="0" containsString="0" containsNumber="1" minValue="0.21299999999999999" maxValue="0.879"/>
    </cacheField>
    <cacheField name="energy" numFmtId="0">
      <sharedItems containsSemiMixedTypes="0" containsString="0" containsNumber="1" minValue="1.1900000000000001E-2" maxValue="0.99399999999999999"/>
    </cacheField>
    <cacheField name="key" numFmtId="0">
      <sharedItems containsSemiMixedTypes="0" containsString="0" containsNumber="1" containsInteger="1" minValue="0" maxValue="11"/>
    </cacheField>
    <cacheField name="loudness" numFmtId="0">
      <sharedItems containsSemiMixedTypes="0" containsString="0" containsNumber="1" minValue="-28.276" maxValue="-1.9630000000000001"/>
    </cacheField>
    <cacheField name="mode" numFmtId="0">
      <sharedItems containsSemiMixedTypes="0" containsString="0" containsNumber="1" containsInteger="1" minValue="0" maxValue="1"/>
    </cacheField>
    <cacheField name="speechiness" numFmtId="0">
      <sharedItems containsSemiMixedTypes="0" containsString="0" containsNumber="1" minValue="2.3099999999999999E-2" maxValue="0.54200000000000004"/>
    </cacheField>
    <cacheField name="acousticness" numFmtId="0">
      <sharedItems containsMixedTypes="1" containsNumber="1" minValue="1.2E-4" maxValue="0.99199999999999999"/>
    </cacheField>
    <cacheField name="instrumentalness" numFmtId="0">
      <sharedItems containsMixedTypes="1" containsNumber="1" minValue="0" maxValue="0.97799999999999998"/>
    </cacheField>
    <cacheField name="liveness" numFmtId="0">
      <sharedItems containsSemiMixedTypes="0" containsString="0" containsNumber="1" minValue="2.8400000000000002E-2" maxValue="0.99199999999999999"/>
    </cacheField>
    <cacheField name="valence" numFmtId="0">
      <sharedItems containsSemiMixedTypes="0" containsString="0" containsNumber="1" minValue="4.19E-2" maxValue="0.98299999999999998"/>
    </cacheField>
    <cacheField name="tempo" numFmtId="0">
      <sharedItems containsSemiMixedTypes="0" containsString="0" containsNumber="1" minValue="53.844999999999999" maxValue="220.08099999999999"/>
    </cacheField>
    <cacheField name="time_signature" numFmtId="0">
      <sharedItems containsSemiMixedTypes="0" containsString="0" containsNumber="1" containsInteger="1" minValue="1" maxValue="5"/>
    </cacheField>
    <cacheField name="track_genre" numFmtId="0">
      <sharedItems count="2">
        <s v="acoustic"/>
        <s v="afrobe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1">
  <r>
    <x v="0"/>
    <s v="Gen Hoshino"/>
    <s v="Comedy"/>
    <x v="0"/>
    <n v="73"/>
    <n v="230666"/>
    <x v="0"/>
    <n v="0.67600000000000005"/>
    <n v="0.46100000000000002"/>
    <n v="1"/>
    <n v="-6.7460000000000004"/>
    <n v="0"/>
    <n v="0.14299999999999999"/>
    <n v="3.2199999999999999E-2"/>
    <s v="1.01e-06"/>
    <n v="0.35799999999999998"/>
    <n v="0.71499999999999997"/>
    <n v="87.917000000000002"/>
    <n v="4"/>
    <x v="0"/>
  </r>
  <r>
    <x v="1"/>
    <s v="Ben Woodward"/>
    <s v="Ghost (Acoustic)"/>
    <x v="1"/>
    <n v="55"/>
    <n v="149610"/>
    <x v="0"/>
    <n v="0.42"/>
    <n v="0.16600000000000001"/>
    <n v="1"/>
    <n v="-17.234999999999999"/>
    <n v="1"/>
    <n v="7.6300000000000007E-2"/>
    <n v="0.92400000000000004"/>
    <s v="5.56e-06"/>
    <n v="0.10100000000000001"/>
    <n v="0.26700000000000002"/>
    <n v="77.489000000000004"/>
    <n v="4"/>
    <x v="0"/>
  </r>
  <r>
    <x v="2"/>
    <s v="Ingrid Michaelson;ZAYN"/>
    <s v="To Begin Again"/>
    <x v="2"/>
    <n v="57"/>
    <n v="210826"/>
    <x v="0"/>
    <n v="0.438"/>
    <n v="0.35899999999999999"/>
    <n v="0"/>
    <n v="-9.734"/>
    <n v="1"/>
    <n v="5.57E-2"/>
    <n v="0.21"/>
    <n v="0"/>
    <n v="0.11700000000000001"/>
    <n v="0.12"/>
    <n v="76.331999999999994"/>
    <n v="4"/>
    <x v="0"/>
  </r>
  <r>
    <x v="3"/>
    <s v="Kina Grannis"/>
    <s v="Crazy Rich Asians (Original Motion Picture Soundtrack)"/>
    <x v="3"/>
    <n v="71"/>
    <n v="201933"/>
    <x v="0"/>
    <n v="0.26600000000000001"/>
    <n v="5.96E-2"/>
    <n v="0"/>
    <n v="-18.515000000000001"/>
    <n v="1"/>
    <n v="3.6299999999999999E-2"/>
    <n v="0.90500000000000003"/>
    <s v="7.07e-05"/>
    <n v="0.13200000000000001"/>
    <n v="0.14299999999999999"/>
    <n v="181.74"/>
    <n v="3"/>
    <x v="0"/>
  </r>
  <r>
    <x v="4"/>
    <s v="Chord Overstreet"/>
    <s v="Hold On"/>
    <x v="4"/>
    <n v="82"/>
    <n v="198853"/>
    <x v="0"/>
    <n v="0.61799999999999999"/>
    <n v="0.443"/>
    <n v="2"/>
    <n v="-9.6809999999999992"/>
    <n v="1"/>
    <n v="5.2600000000000001E-2"/>
    <n v="0.46899999999999997"/>
    <n v="0"/>
    <n v="8.2900000000000001E-2"/>
    <n v="0.16700000000000001"/>
    <n v="119.949"/>
    <n v="4"/>
    <x v="0"/>
  </r>
  <r>
    <x v="5"/>
    <s v="Tyrone Wells"/>
    <s v="Days I Will Remember"/>
    <x v="5"/>
    <n v="58"/>
    <n v="214240"/>
    <x v="0"/>
    <n v="0.68799999999999994"/>
    <n v="0.48099999999999998"/>
    <n v="6"/>
    <n v="-8.8070000000000004"/>
    <n v="1"/>
    <n v="0.105"/>
    <n v="0.28899999999999998"/>
    <n v="0"/>
    <n v="0.189"/>
    <n v="0.66600000000000004"/>
    <n v="98.016999999999996"/>
    <n v="4"/>
    <x v="0"/>
  </r>
  <r>
    <x v="6"/>
    <s v="A Great Big World;Christina Aguilera"/>
    <s v="Is There Anybody Out There?"/>
    <x v="6"/>
    <n v="74"/>
    <n v="229400"/>
    <x v="0"/>
    <n v="0.40699999999999997"/>
    <n v="0.14699999999999999"/>
    <n v="2"/>
    <n v="-8.8219999999999992"/>
    <n v="1"/>
    <n v="3.5499999999999997E-2"/>
    <n v="0.85699999999999998"/>
    <s v="2.89e-06"/>
    <n v="9.1300000000000006E-2"/>
    <n v="7.6499999999999999E-2"/>
    <n v="141.28399999999999"/>
    <n v="3"/>
    <x v="0"/>
  </r>
  <r>
    <x v="7"/>
    <s v="Jason Mraz"/>
    <s v="We Sing. We Dance. We Steal Things."/>
    <x v="7"/>
    <n v="80"/>
    <n v="242946"/>
    <x v="0"/>
    <n v="0.70299999999999996"/>
    <n v="0.44400000000000001"/>
    <n v="11"/>
    <n v="-9.3309999999999995"/>
    <n v="1"/>
    <n v="4.1700000000000001E-2"/>
    <n v="0.55900000000000005"/>
    <n v="0"/>
    <n v="9.7299999999999998E-2"/>
    <n v="0.71199999999999997"/>
    <n v="150.96"/>
    <n v="4"/>
    <x v="0"/>
  </r>
  <r>
    <x v="8"/>
    <s v="Jason Mraz;Colbie Caillat"/>
    <s v="We Sing. We Dance. We Steal Things."/>
    <x v="8"/>
    <n v="74"/>
    <n v="189613"/>
    <x v="0"/>
    <n v="0.625"/>
    <n v="0.41399999999999998"/>
    <n v="0"/>
    <n v="-8.6999999999999993"/>
    <n v="1"/>
    <n v="3.6900000000000002E-2"/>
    <n v="0.29399999999999998"/>
    <n v="0"/>
    <n v="0.151"/>
    <n v="0.66900000000000004"/>
    <n v="130.08799999999999"/>
    <n v="4"/>
    <x v="0"/>
  </r>
  <r>
    <x v="9"/>
    <s v="Ross Copperman"/>
    <s v="Hunger"/>
    <x v="9"/>
    <n v="56"/>
    <n v="205594"/>
    <x v="0"/>
    <n v="0.442"/>
    <n v="0.63200000000000001"/>
    <n v="1"/>
    <n v="-6.77"/>
    <n v="1"/>
    <n v="2.9499999999999998E-2"/>
    <n v="0.42599999999999999"/>
    <n v="4.1900000000000001E-3"/>
    <n v="7.3499999999999996E-2"/>
    <n v="0.19600000000000001"/>
    <n v="78.899000000000001"/>
    <n v="4"/>
    <x v="0"/>
  </r>
  <r>
    <x v="10"/>
    <s v="Zack Tabudlo"/>
    <s v="Episode"/>
    <x v="10"/>
    <n v="74"/>
    <n v="244800"/>
    <x v="0"/>
    <n v="0.627"/>
    <n v="0.36299999999999999"/>
    <n v="8"/>
    <n v="-8.1270000000000007"/>
    <n v="1"/>
    <n v="2.9100000000000001E-2"/>
    <n v="0.27900000000000003"/>
    <n v="0"/>
    <n v="9.2799999999999994E-2"/>
    <n v="0.30099999999999999"/>
    <n v="99.905000000000001"/>
    <n v="4"/>
    <x v="0"/>
  </r>
  <r>
    <x v="11"/>
    <s v="Jason Mraz"/>
    <s v="Love Is a Four Letter Word"/>
    <x v="11"/>
    <n v="69"/>
    <n v="240165"/>
    <x v="0"/>
    <n v="0.48299999999999998"/>
    <n v="0.30299999999999999"/>
    <n v="4"/>
    <n v="-10.058"/>
    <n v="1"/>
    <n v="4.2900000000000001E-2"/>
    <n v="0.69399999999999995"/>
    <n v="0"/>
    <n v="0.115"/>
    <n v="0.13900000000000001"/>
    <n v="133.40600000000001"/>
    <n v="3"/>
    <x v="0"/>
  </r>
  <r>
    <x v="12"/>
    <s v="Dan Berk"/>
    <s v="Solo"/>
    <x v="12"/>
    <n v="52"/>
    <n v="198712"/>
    <x v="0"/>
    <n v="0.48899999999999999"/>
    <n v="0.314"/>
    <n v="7"/>
    <n v="-9.2449999999999992"/>
    <n v="0"/>
    <n v="3.3099999999999997E-2"/>
    <n v="0.749"/>
    <n v="0"/>
    <n v="0.113"/>
    <n v="0.60699999999999998"/>
    <n v="124.23399999999999"/>
    <n v="4"/>
    <x v="0"/>
  </r>
  <r>
    <x v="13"/>
    <s v="Anna Hamilton"/>
    <s v="Bad Liar"/>
    <x v="13"/>
    <n v="62"/>
    <n v="248448"/>
    <x v="0"/>
    <n v="0.69099999999999995"/>
    <n v="0.23400000000000001"/>
    <n v="3"/>
    <n v="-6.4409999999999998"/>
    <n v="1"/>
    <n v="2.8500000000000001E-2"/>
    <n v="0.77700000000000002"/>
    <n v="0"/>
    <n v="0.12"/>
    <n v="0.20899999999999999"/>
    <n v="87.102999999999994"/>
    <n v="4"/>
    <x v="0"/>
  </r>
  <r>
    <x v="14"/>
    <s v="Chord Overstreet;Deepend"/>
    <s v="Hold On (Remix)"/>
    <x v="14"/>
    <n v="56"/>
    <n v="188133"/>
    <x v="0"/>
    <n v="0.755"/>
    <n v="0.78"/>
    <n v="2"/>
    <n v="-6.0839999999999996"/>
    <n v="1"/>
    <n v="3.27E-2"/>
    <n v="0.124"/>
    <s v="2.83e-05"/>
    <n v="0.121"/>
    <n v="0.38700000000000001"/>
    <n v="120.004"/>
    <n v="4"/>
    <x v="0"/>
  </r>
  <r>
    <x v="15"/>
    <s v="Landon Pigg"/>
    <s v="The Boy Who Never"/>
    <x v="15"/>
    <n v="58"/>
    <n v="244986"/>
    <x v="0"/>
    <n v="0.48899999999999999"/>
    <n v="0.56100000000000005"/>
    <n v="4"/>
    <n v="-7.9329999999999998"/>
    <n v="1"/>
    <n v="2.7400000000000001E-2"/>
    <n v="0.2"/>
    <s v="4.56e-05"/>
    <n v="0.17899999999999999"/>
    <n v="0.23799999999999999"/>
    <n v="83.456999999999994"/>
    <n v="3"/>
    <x v="0"/>
  </r>
  <r>
    <x v="16"/>
    <s v="Andrew Foy;Renee Foy"/>
    <s v="ily (i love you baby)"/>
    <x v="16"/>
    <n v="56"/>
    <n v="129750"/>
    <x v="0"/>
    <n v="0.70599999999999996"/>
    <n v="0.112"/>
    <n v="2"/>
    <n v="-18.097999999999999"/>
    <n v="1"/>
    <n v="3.9100000000000003E-2"/>
    <n v="0.82699999999999996"/>
    <s v="4.03e-06"/>
    <n v="0.125"/>
    <n v="0.41399999999999998"/>
    <n v="110.154"/>
    <n v="4"/>
    <x v="0"/>
  </r>
  <r>
    <x v="17"/>
    <s v="Andrew Foy;Renee Foy"/>
    <s v="At My Worst"/>
    <x v="17"/>
    <n v="54"/>
    <n v="169728"/>
    <x v="0"/>
    <n v="0.79500000000000004"/>
    <n v="8.4099999999999994E-2"/>
    <n v="10"/>
    <n v="-18.09"/>
    <n v="0"/>
    <n v="4.6100000000000002E-2"/>
    <n v="0.74199999999999999"/>
    <s v="1.17e-05"/>
    <n v="8.5300000000000001E-2"/>
    <n v="0.60899999999999999"/>
    <n v="91.802999999999997"/>
    <n v="4"/>
    <x v="0"/>
  </r>
  <r>
    <x v="18"/>
    <s v="Jason Mraz;Colbie Caillat"/>
    <s v="We Sing. We Dance. We Steal Things."/>
    <x v="8"/>
    <n v="68"/>
    <n v="189613"/>
    <x v="0"/>
    <n v="0.625"/>
    <n v="0.41399999999999998"/>
    <n v="0"/>
    <n v="-8.6999999999999993"/>
    <n v="1"/>
    <n v="3.6900000000000002E-2"/>
    <n v="0.29399999999999998"/>
    <n v="0"/>
    <n v="0.151"/>
    <n v="0.66900000000000004"/>
    <n v="130.08799999999999"/>
    <n v="4"/>
    <x v="0"/>
  </r>
  <r>
    <x v="19"/>
    <s v="Boyce Avenue;Bea Miller"/>
    <s v="Cover Sessions, Vol. 4"/>
    <x v="18"/>
    <n v="67"/>
    <n v="260186"/>
    <x v="0"/>
    <n v="0.71699999999999997"/>
    <n v="0.32"/>
    <n v="3"/>
    <n v="-8.3930000000000007"/>
    <n v="1"/>
    <n v="2.8299999999999999E-2"/>
    <n v="0.83"/>
    <n v="0"/>
    <n v="0.107"/>
    <n v="0.32200000000000001"/>
    <n v="107.946"/>
    <n v="4"/>
    <x v="0"/>
  </r>
  <r>
    <x v="20"/>
    <s v="Jason Mraz"/>
    <s v="We Sing. We Dance. We Steal Things."/>
    <x v="7"/>
    <n v="75"/>
    <n v="242946"/>
    <x v="0"/>
    <n v="0.70299999999999996"/>
    <n v="0.44400000000000001"/>
    <n v="11"/>
    <n v="-9.3309999999999995"/>
    <n v="1"/>
    <n v="4.1700000000000001E-2"/>
    <n v="0.55900000000000005"/>
    <n v="0"/>
    <n v="9.7299999999999998E-2"/>
    <n v="0.71199999999999997"/>
    <n v="150.96"/>
    <n v="4"/>
    <x v="0"/>
  </r>
  <r>
    <x v="21"/>
    <s v="Boyce Avenue;Jennel Garcia"/>
    <s v="Cover Sessions, Vol. 3"/>
    <x v="19"/>
    <n v="63"/>
    <n v="174174"/>
    <x v="0"/>
    <n v="0.67800000000000005"/>
    <n v="0.35099999999999998"/>
    <n v="0"/>
    <n v="-8.6539999999999999"/>
    <n v="1"/>
    <n v="2.6599999999999999E-2"/>
    <n v="0.747"/>
    <n v="0"/>
    <n v="0.35499999999999998"/>
    <n v="0.56899999999999995"/>
    <n v="90.031999999999996"/>
    <n v="4"/>
    <x v="0"/>
  </r>
  <r>
    <x v="22"/>
    <s v="A Great Big World;Christina Aguilera"/>
    <s v="Is There Anybody Out There? - Track by Track Commentary"/>
    <x v="6"/>
    <n v="70"/>
    <n v="229400"/>
    <x v="0"/>
    <n v="0.40699999999999997"/>
    <n v="0.14699999999999999"/>
    <n v="2"/>
    <n v="-8.8219999999999992"/>
    <n v="1"/>
    <n v="3.5499999999999997E-2"/>
    <n v="0.85699999999999998"/>
    <s v="2.89e-06"/>
    <n v="9.1300000000000006E-2"/>
    <n v="7.6499999999999999E-2"/>
    <n v="141.28399999999999"/>
    <n v="3"/>
    <x v="0"/>
  </r>
  <r>
    <x v="23"/>
    <s v="Jason Mraz"/>
    <s v="Coffee Moment"/>
    <x v="20"/>
    <n v="0"/>
    <n v="216386"/>
    <x v="0"/>
    <n v="0.57199999999999995"/>
    <n v="0.45400000000000001"/>
    <n v="3"/>
    <n v="-10.286"/>
    <n v="1"/>
    <n v="2.58E-2"/>
    <n v="0.47699999999999998"/>
    <s v="1.37e-05"/>
    <n v="9.74E-2"/>
    <n v="0.51500000000000001"/>
    <n v="140.18199999999999"/>
    <n v="4"/>
    <x v="0"/>
  </r>
  <r>
    <x v="24"/>
    <s v="Jason Mraz"/>
    <s v="Human - Best Adult Pop Tunes"/>
    <x v="21"/>
    <n v="0"/>
    <n v="231266"/>
    <x v="0"/>
    <n v="0.79600000000000004"/>
    <n v="0.66700000000000004"/>
    <n v="5"/>
    <n v="-4.8310000000000004"/>
    <n v="0"/>
    <n v="3.9199999999999999E-2"/>
    <n v="0.38100000000000001"/>
    <n v="0"/>
    <n v="0.221"/>
    <n v="0.754"/>
    <n v="97.988"/>
    <n v="4"/>
    <x v="0"/>
  </r>
  <r>
    <x v="25"/>
    <s v="Jason Mraz"/>
    <s v="Mellow Adult Pop"/>
    <x v="22"/>
    <n v="1"/>
    <n v="302346"/>
    <x v="0"/>
    <n v="0.755"/>
    <n v="0.45400000000000001"/>
    <n v="9"/>
    <n v="-9.609"/>
    <n v="0"/>
    <n v="3.5200000000000002E-2"/>
    <n v="0.75700000000000001"/>
    <n v="0"/>
    <n v="0.23599999999999999"/>
    <n v="0.33"/>
    <n v="120.06"/>
    <n v="4"/>
    <x v="0"/>
  </r>
  <r>
    <x v="26"/>
    <s v="Jason Mraz"/>
    <s v="Holly Jolly Christmas"/>
    <x v="23"/>
    <n v="0"/>
    <n v="131760"/>
    <x v="0"/>
    <n v="0.62"/>
    <n v="0.309"/>
    <n v="5"/>
    <n v="-9.2089999999999996"/>
    <n v="1"/>
    <n v="4.9500000000000002E-2"/>
    <n v="0.78800000000000003"/>
    <n v="0"/>
    <n v="0.14599999999999999"/>
    <n v="0.66400000000000003"/>
    <n v="145.363"/>
    <n v="4"/>
    <x v="0"/>
  </r>
  <r>
    <x v="27"/>
    <s v="Jason Mraz"/>
    <s v="Feeling Good - Adult Pop Favorites"/>
    <x v="24"/>
    <n v="0"/>
    <n v="273653"/>
    <x v="0"/>
    <n v="0.63300000000000001"/>
    <n v="0.42899999999999999"/>
    <n v="4"/>
    <n v="-6.7839999999999998"/>
    <n v="0"/>
    <n v="3.8100000000000002E-2"/>
    <n v="4.4400000000000002E-2"/>
    <n v="0"/>
    <n v="0.13200000000000001"/>
    <n v="0.52"/>
    <n v="143.79300000000001"/>
    <n v="4"/>
    <x v="0"/>
  </r>
  <r>
    <x v="28"/>
    <s v="Jason Mraz"/>
    <s v="Christmas Time"/>
    <x v="23"/>
    <n v="0"/>
    <n v="131760"/>
    <x v="0"/>
    <n v="0.62"/>
    <n v="0.309"/>
    <n v="5"/>
    <n v="-9.2089999999999996"/>
    <n v="1"/>
    <n v="4.9500000000000002E-2"/>
    <n v="0.78800000000000003"/>
    <n v="0"/>
    <n v="0.14599999999999999"/>
    <n v="0.66400000000000003"/>
    <n v="145.363"/>
    <n v="4"/>
    <x v="0"/>
  </r>
  <r>
    <x v="29"/>
    <s v="Jason Mraz"/>
    <s v="Perfect Christmas Hits"/>
    <x v="23"/>
    <n v="0"/>
    <n v="131760"/>
    <x v="0"/>
    <n v="0.62"/>
    <n v="0.309"/>
    <n v="5"/>
    <n v="-9.2089999999999996"/>
    <n v="1"/>
    <n v="4.9500000000000002E-2"/>
    <n v="0.78800000000000003"/>
    <n v="0"/>
    <n v="0.14599999999999999"/>
    <n v="0.66400000000000003"/>
    <n v="145.363"/>
    <n v="4"/>
    <x v="0"/>
  </r>
  <r>
    <x v="30"/>
    <s v="Jason Mraz"/>
    <s v="Merry Christmas"/>
    <x v="23"/>
    <n v="0"/>
    <n v="131760"/>
    <x v="0"/>
    <n v="0.62"/>
    <n v="0.309"/>
    <n v="5"/>
    <n v="-9.2089999999999996"/>
    <n v="1"/>
    <n v="4.9500000000000002E-2"/>
    <n v="0.78800000000000003"/>
    <n v="0"/>
    <n v="0.14599999999999999"/>
    <n v="0.66400000000000003"/>
    <n v="145.363"/>
    <n v="4"/>
    <x v="0"/>
  </r>
  <r>
    <x v="31"/>
    <s v="Jason Mraz"/>
    <s v="Christmas Music - Holiday Hits"/>
    <x v="23"/>
    <n v="0"/>
    <n v="131760"/>
    <x v="0"/>
    <n v="0.62"/>
    <n v="0.309"/>
    <n v="5"/>
    <n v="-9.2089999999999996"/>
    <n v="1"/>
    <n v="4.9500000000000002E-2"/>
    <n v="0.78800000000000003"/>
    <n v="0"/>
    <n v="0.14599999999999999"/>
    <n v="0.66400000000000003"/>
    <n v="145.363"/>
    <n v="4"/>
    <x v="0"/>
  </r>
  <r>
    <x v="32"/>
    <s v="Chord Overstreet"/>
    <s v="Christmas Country Songs 2022"/>
    <x v="25"/>
    <n v="0"/>
    <n v="234186"/>
    <x v="0"/>
    <n v="0.59299999999999997"/>
    <n v="0.45500000000000002"/>
    <n v="6"/>
    <n v="-8.1920000000000002"/>
    <n v="1"/>
    <n v="3.8800000000000001E-2"/>
    <n v="0.36599999999999999"/>
    <n v="0"/>
    <n v="9.1399999999999995E-2"/>
    <n v="0.56399999999999995"/>
    <n v="202.01900000000001"/>
    <n v="4"/>
    <x v="0"/>
  </r>
  <r>
    <x v="33"/>
    <s v="Brandi Carlile;Sam Smith"/>
    <s v="Human - Best Adult Pop Tunes"/>
    <x v="26"/>
    <n v="0"/>
    <n v="259558"/>
    <x v="0"/>
    <n v="0.29599999999999999"/>
    <n v="0.20599999999999999"/>
    <n v="0"/>
    <n v="-11.798999999999999"/>
    <n v="1"/>
    <n v="4.1200000000000001E-2"/>
    <n v="0.78200000000000003"/>
    <n v="2.2499999999999999E-4"/>
    <n v="9.5899999999999999E-2"/>
    <n v="0.20200000000000001"/>
    <n v="165.4"/>
    <n v="4"/>
    <x v="0"/>
  </r>
  <r>
    <x v="34"/>
    <s v="Brandi Carlile;Sam Smith"/>
    <s v="Feeling Good - Adult Pop Favorites"/>
    <x v="26"/>
    <n v="0"/>
    <n v="259558"/>
    <x v="0"/>
    <n v="0.29599999999999999"/>
    <n v="0.20599999999999999"/>
    <n v="0"/>
    <n v="-11.798999999999999"/>
    <n v="1"/>
    <n v="4.1200000000000001E-2"/>
    <n v="0.78200000000000003"/>
    <n v="2.2499999999999999E-4"/>
    <n v="9.5899999999999999E-2"/>
    <n v="0.20200000000000001"/>
    <n v="165.4"/>
    <n v="4"/>
    <x v="0"/>
  </r>
  <r>
    <x v="35"/>
    <s v="Brandi Carlile;Sam Smith"/>
    <s v="Mellow Bars R'n'B"/>
    <x v="26"/>
    <n v="0"/>
    <n v="259558"/>
    <x v="0"/>
    <n v="0.29599999999999999"/>
    <n v="0.20599999999999999"/>
    <n v="0"/>
    <n v="-11.798999999999999"/>
    <n v="1"/>
    <n v="4.1200000000000001E-2"/>
    <n v="0.78200000000000003"/>
    <n v="2.2499999999999999E-4"/>
    <n v="9.5899999999999999E-2"/>
    <n v="0.20200000000000001"/>
    <n v="165.4"/>
    <n v="4"/>
    <x v="0"/>
  </r>
  <r>
    <x v="36"/>
    <s v="KT Tunstall"/>
    <s v="Chill Christmas Dinner"/>
    <x v="27"/>
    <n v="0"/>
    <n v="257493"/>
    <x v="0"/>
    <n v="0.40899999999999997"/>
    <n v="0.153"/>
    <n v="6"/>
    <n v="-10.74"/>
    <n v="0"/>
    <n v="3.0599999999999999E-2"/>
    <n v="0.93899999999999995"/>
    <s v="2.56e-05"/>
    <n v="0.108"/>
    <n v="0.18"/>
    <n v="85.262"/>
    <n v="4"/>
    <x v="0"/>
  </r>
  <r>
    <x v="37"/>
    <s v="Brandi Carlile"/>
    <s v="rainy day indie"/>
    <x v="28"/>
    <n v="0"/>
    <n v="247791"/>
    <x v="0"/>
    <n v="0.501"/>
    <n v="9.5200000000000007E-2"/>
    <n v="2"/>
    <n v="-12.930999999999999"/>
    <n v="1"/>
    <n v="5.3999999999999999E-2"/>
    <n v="0.96299999999999997"/>
    <s v="1.58e-05"/>
    <n v="9.1499999999999998E-2"/>
    <n v="0.316"/>
    <n v="138.01599999999999"/>
    <n v="4"/>
    <x v="0"/>
  </r>
  <r>
    <x v="38"/>
    <s v="Brandi Carlile"/>
    <s v="Coffee Moment"/>
    <x v="29"/>
    <n v="0"/>
    <n v="206267"/>
    <x v="0"/>
    <n v="0.60599999999999998"/>
    <n v="0.32600000000000001"/>
    <n v="10"/>
    <n v="-10.031000000000001"/>
    <n v="1"/>
    <n v="2.9399999999999999E-2"/>
    <n v="0.84099999999999997"/>
    <n v="0"/>
    <n v="0.13900000000000001"/>
    <n v="0.41399999999999998"/>
    <n v="91.626000000000005"/>
    <n v="4"/>
    <x v="0"/>
  </r>
  <r>
    <x v="39"/>
    <s v="KT Tunstall"/>
    <s v="sadsadchristmas"/>
    <x v="27"/>
    <n v="0"/>
    <n v="257493"/>
    <x v="0"/>
    <n v="0.40899999999999997"/>
    <n v="0.153"/>
    <n v="6"/>
    <n v="-10.74"/>
    <n v="0"/>
    <n v="3.0599999999999999E-2"/>
    <n v="0.93899999999999995"/>
    <s v="2.56e-05"/>
    <n v="0.108"/>
    <n v="0.18"/>
    <n v="85.262"/>
    <n v="4"/>
    <x v="0"/>
  </r>
  <r>
    <x v="40"/>
    <s v="Eddie Vedder"/>
    <s v="Mega Hits Autumn/Fall 2022"/>
    <x v="30"/>
    <n v="0"/>
    <n v="306794"/>
    <x v="0"/>
    <n v="0.47399999999999998"/>
    <n v="0.51900000000000002"/>
    <n v="7"/>
    <n v="-5.2910000000000004"/>
    <n v="1"/>
    <n v="2.53E-2"/>
    <n v="0.28100000000000003"/>
    <n v="0"/>
    <n v="0.107"/>
    <n v="0.32600000000000001"/>
    <n v="151.83199999999999"/>
    <n v="4"/>
    <x v="0"/>
  </r>
  <r>
    <x v="41"/>
    <s v="Brandi Carlile"/>
    <s v="Mellow Adult Pop"/>
    <x v="31"/>
    <n v="0"/>
    <n v="266960"/>
    <x v="0"/>
    <n v="0.56799999999999995"/>
    <n v="0.30099999999999999"/>
    <n v="10"/>
    <n v="-10.163"/>
    <n v="0"/>
    <n v="3.73E-2"/>
    <n v="0.79600000000000004"/>
    <s v="3.37e-06"/>
    <n v="0.11799999999999999"/>
    <n v="0.14199999999999999"/>
    <n v="88.028999999999996"/>
    <n v="4"/>
    <x v="0"/>
  </r>
  <r>
    <x v="42"/>
    <s v="Brandi Carlile;Lucius"/>
    <s v="Country Car Hits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3"/>
    <s v="Brandi Carlile;Lucius"/>
    <s v="Country Road Songs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4"/>
    <s v="Brandi Carlile"/>
    <s v="Finest Country"/>
    <x v="33"/>
    <n v="0"/>
    <n v="193943"/>
    <x v="0"/>
    <n v="0.47599999999999998"/>
    <n v="0.66600000000000004"/>
    <n v="6"/>
    <n v="-3.4380000000000002"/>
    <n v="1"/>
    <n v="4.4600000000000001E-2"/>
    <n v="0.314"/>
    <n v="0"/>
    <n v="0.34200000000000003"/>
    <n v="0.498"/>
    <n v="148.155"/>
    <n v="4"/>
    <x v="0"/>
  </r>
  <r>
    <x v="45"/>
    <s v="Brandi Carlile;Lucius"/>
    <s v="Easy Country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6"/>
    <s v="Brandi Carlile;Lucius"/>
    <s v="Cozy Country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7"/>
    <s v="Brandi Carlile;Lucius"/>
    <s v="Good Times Country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8"/>
    <s v="Brandi Carlile;Lucius"/>
    <s v="Laidback Country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9"/>
    <s v="Brandi Carlile;Lucius"/>
    <s v="Chillin' It - Mellow Day Country"/>
    <x v="32"/>
    <n v="0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50"/>
    <s v="Highland Peak"/>
    <s v="Trampoline (Acoustic)"/>
    <x v="34"/>
    <n v="46"/>
    <n v="213098"/>
    <x v="0"/>
    <n v="0.59599999999999997"/>
    <n v="0.2"/>
    <n v="0"/>
    <n v="-10.423999999999999"/>
    <n v="0"/>
    <n v="3.0499999999999999E-2"/>
    <n v="0.91"/>
    <n v="1.83E-4"/>
    <n v="8.8400000000000006E-2"/>
    <n v="0.308"/>
    <n v="107.893"/>
    <n v="4"/>
    <x v="0"/>
  </r>
  <r>
    <x v="51"/>
    <s v="Motohiro Hata"/>
    <s v="Documentary"/>
    <x v="35"/>
    <n v="61"/>
    <n v="232360"/>
    <x v="0"/>
    <n v="0.373"/>
    <n v="0.91400000000000003"/>
    <n v="0"/>
    <n v="-4.1849999999999996"/>
    <n v="1"/>
    <n v="5.6500000000000002E-2"/>
    <n v="7.5999999999999998E-2"/>
    <n v="0"/>
    <n v="0.66900000000000004"/>
    <n v="0.56000000000000005"/>
    <n v="168.21"/>
    <n v="4"/>
    <x v="0"/>
  </r>
  <r>
    <x v="52"/>
    <s v="Andrew Belle"/>
    <s v="Black Bear"/>
    <x v="36"/>
    <n v="60"/>
    <n v="241119"/>
    <x v="0"/>
    <n v="0.49399999999999999"/>
    <n v="0.65200000000000002"/>
    <n v="6"/>
    <n v="-5.8630000000000004"/>
    <n v="0"/>
    <n v="3.1399999999999997E-2"/>
    <n v="7.5399999999999995E-2"/>
    <n v="2.5600000000000002E-3"/>
    <n v="0.125"/>
    <n v="0.29799999999999999"/>
    <n v="137.018"/>
    <n v="4"/>
    <x v="0"/>
  </r>
  <r>
    <x v="53"/>
    <s v="Ron Pope"/>
    <s v="The Bedroom Demos"/>
    <x v="37"/>
    <n v="68"/>
    <n v="220239"/>
    <x v="0"/>
    <n v="0.44700000000000001"/>
    <n v="0.39300000000000002"/>
    <n v="5"/>
    <n v="-8.65"/>
    <n v="1"/>
    <n v="3.7999999999999999E-2"/>
    <n v="0.78500000000000003"/>
    <n v="0"/>
    <n v="0.28000000000000003"/>
    <n v="0.56399999999999995"/>
    <n v="73.138999999999996"/>
    <n v="3"/>
    <x v="0"/>
  </r>
  <r>
    <x v="54"/>
    <s v="Adam Christopher"/>
    <s v="So Far Away (Acoustic)"/>
    <x v="38"/>
    <n v="52"/>
    <n v="171543"/>
    <x v="0"/>
    <n v="0.57599999999999996"/>
    <n v="0.33100000000000002"/>
    <n v="6"/>
    <n v="-9.3889999999999993"/>
    <n v="0"/>
    <n v="3.0599999999999999E-2"/>
    <n v="0.89400000000000002"/>
    <s v="3.44e-05"/>
    <n v="0.129"/>
    <n v="0.40699999999999997"/>
    <n v="149.02000000000001"/>
    <n v="4"/>
    <x v="0"/>
  </r>
  <r>
    <x v="55"/>
    <s v="Andrew Belle"/>
    <s v="Black Bear"/>
    <x v="39"/>
    <n v="62"/>
    <n v="286865"/>
    <x v="0"/>
    <n v="0.53600000000000003"/>
    <n v="0.89"/>
    <n v="1"/>
    <n v="-5.2220000000000004"/>
    <n v="1"/>
    <n v="3.7499999999999999E-2"/>
    <n v="7.8E-2"/>
    <n v="2.0199999999999999E-2"/>
    <n v="0.13100000000000001"/>
    <n v="0.27300000000000002"/>
    <n v="121.974"/>
    <n v="4"/>
    <x v="0"/>
  </r>
  <r>
    <x v="56"/>
    <s v="Aron Wright"/>
    <s v="Build It Better"/>
    <x v="40"/>
    <n v="51"/>
    <n v="234473"/>
    <x v="0"/>
    <n v="0.52600000000000002"/>
    <n v="0.33300000000000002"/>
    <n v="4"/>
    <n v="-13.02"/>
    <n v="1"/>
    <n v="3.1399999999999997E-2"/>
    <n v="0.91"/>
    <n v="0.16800000000000001"/>
    <n v="0.111"/>
    <n v="0.159"/>
    <n v="94.950999999999993"/>
    <n v="4"/>
    <x v="0"/>
  </r>
  <r>
    <x v="57"/>
    <s v="Chord Overstreet"/>
    <s v="Sleepwalking in the Rain"/>
    <x v="41"/>
    <n v="0"/>
    <n v="216000"/>
    <x v="0"/>
    <n v="0.501"/>
    <n v="0.38100000000000001"/>
    <n v="0"/>
    <n v="-9.4480000000000004"/>
    <n v="1"/>
    <n v="3.5999999999999997E-2"/>
    <n v="0.68700000000000006"/>
    <n v="1.33E-3"/>
    <n v="0.11899999999999999"/>
    <n v="0.502"/>
    <n v="80.075000000000003"/>
    <n v="4"/>
    <x v="0"/>
  </r>
  <r>
    <x v="58"/>
    <s v="Sara Bareilles"/>
    <s v="Little Voice"/>
    <x v="42"/>
    <n v="67"/>
    <n v="232760"/>
    <x v="0"/>
    <n v="0.27"/>
    <n v="0.27500000000000002"/>
    <n v="0"/>
    <n v="-10.356999999999999"/>
    <n v="1"/>
    <n v="3.56E-2"/>
    <n v="0.83399999999999996"/>
    <n v="0"/>
    <n v="0.14599999999999999"/>
    <n v="0.23100000000000001"/>
    <n v="168.964"/>
    <n v="4"/>
    <x v="0"/>
  </r>
  <r>
    <x v="59"/>
    <s v="Chord Overstreet"/>
    <s v="What's Left of You"/>
    <x v="43"/>
    <n v="57"/>
    <n v="178600"/>
    <x v="1"/>
    <n v="0.73099999999999998"/>
    <n v="0.50700000000000001"/>
    <n v="0"/>
    <n v="-6.4770000000000003"/>
    <n v="1"/>
    <n v="4.5999999999999999E-2"/>
    <n v="0.57199999999999995"/>
    <n v="0"/>
    <n v="9.1200000000000003E-2"/>
    <n v="0.26500000000000001"/>
    <n v="117.96899999999999"/>
    <n v="4"/>
    <x v="0"/>
  </r>
  <r>
    <x v="60"/>
    <s v="Zack Tabudlo"/>
    <s v="Pano"/>
    <x v="44"/>
    <n v="75"/>
    <n v="254400"/>
    <x v="0"/>
    <n v="0.375"/>
    <n v="0.45700000000000002"/>
    <n v="3"/>
    <n v="-7.0179999999999998"/>
    <n v="1"/>
    <n v="3.15E-2"/>
    <n v="0.86799999999999999"/>
    <n v="1.4500000000000001E-2"/>
    <n v="0.191"/>
    <n v="0.41499999999999998"/>
    <n v="174.839"/>
    <n v="3"/>
    <x v="0"/>
  </r>
  <r>
    <x v="61"/>
    <s v="Andrew Belle"/>
    <s v="The Daylight EP"/>
    <x v="45"/>
    <n v="62"/>
    <n v="244320"/>
    <x v="0"/>
    <n v="0.43"/>
    <n v="0.79100000000000004"/>
    <n v="6"/>
    <n v="-5.4189999999999996"/>
    <n v="0"/>
    <n v="3.0200000000000001E-2"/>
    <n v="7.2599999999999998E-2"/>
    <n v="1.9300000000000001E-2"/>
    <n v="0.11"/>
    <n v="0.217"/>
    <n v="171.864"/>
    <n v="4"/>
    <x v="0"/>
  </r>
  <r>
    <x v="62"/>
    <s v="Kurt Cobain"/>
    <s v="Montage Of Heck: The Home Recordings"/>
    <x v="46"/>
    <n v="66"/>
    <n v="124933"/>
    <x v="0"/>
    <n v="0.61599999999999999"/>
    <n v="0.28199999999999997"/>
    <n v="1"/>
    <n v="-15.317"/>
    <n v="1"/>
    <n v="3.3099999999999997E-2"/>
    <n v="0.98299999999999998"/>
    <n v="0.83299999999999996"/>
    <n v="0.13"/>
    <n v="0.435"/>
    <n v="96.638000000000005"/>
    <n v="4"/>
    <x v="0"/>
  </r>
  <r>
    <x v="63"/>
    <s v="Boyce Avenue;Bea Miller"/>
    <s v="Cover Sessions, Vol. 3"/>
    <x v="47"/>
    <n v="64"/>
    <n v="222146"/>
    <x v="0"/>
    <n v="0.70499999999999996"/>
    <n v="0.34699999999999998"/>
    <n v="2"/>
    <n v="-8.2490000000000006"/>
    <n v="1"/>
    <n v="3.0099999999999998E-2"/>
    <n v="0.67400000000000004"/>
    <n v="0"/>
    <n v="0.12"/>
    <n v="0.36"/>
    <n v="80.057000000000002"/>
    <n v="4"/>
    <x v="0"/>
  </r>
  <r>
    <x v="64"/>
    <s v="Tim Halperin"/>
    <s v="Covers"/>
    <x v="48"/>
    <n v="62"/>
    <n v="181852"/>
    <x v="0"/>
    <n v="0.58199999999999996"/>
    <n v="0.255"/>
    <n v="4"/>
    <n v="-10.254"/>
    <n v="1"/>
    <n v="3.0599999999999999E-2"/>
    <n v="0.77200000000000002"/>
    <n v="0"/>
    <n v="8.8900000000000007E-2"/>
    <n v="0.28499999999999998"/>
    <n v="139.88399999999999"/>
    <n v="4"/>
    <x v="0"/>
  </r>
  <r>
    <x v="65"/>
    <s v="Canyon City"/>
    <s v="Midnight Waves"/>
    <x v="49"/>
    <n v="58"/>
    <n v="186584"/>
    <x v="0"/>
    <n v="0.54900000000000004"/>
    <n v="0.27400000000000002"/>
    <n v="1"/>
    <n v="-12.565"/>
    <n v="1"/>
    <n v="3.7900000000000003E-2"/>
    <n v="0.79800000000000004"/>
    <s v="6.63e-06"/>
    <n v="0.10299999999999999"/>
    <n v="0.20699999999999999"/>
    <n v="86.664000000000001"/>
    <n v="4"/>
    <x v="0"/>
  </r>
  <r>
    <x v="66"/>
    <s v="Aaron Espe"/>
    <s v="Making All Things New"/>
    <x v="50"/>
    <n v="65"/>
    <n v="159600"/>
    <x v="0"/>
    <n v="0.78700000000000003"/>
    <n v="0.35499999999999998"/>
    <n v="0"/>
    <n v="-11.429"/>
    <n v="1"/>
    <n v="2.8799999999999999E-2"/>
    <n v="0.89600000000000002"/>
    <n v="2.01E-2"/>
    <n v="0.111"/>
    <n v="0.48"/>
    <n v="99.977999999999994"/>
    <n v="4"/>
    <x v="0"/>
  </r>
  <r>
    <x v="67"/>
    <s v="Sara Bareilles"/>
    <s v="What's Inside: Songs from Waitress"/>
    <x v="51"/>
    <n v="67"/>
    <n v="250266"/>
    <x v="0"/>
    <n v="0.39700000000000002"/>
    <n v="0.30299999999999999"/>
    <n v="5"/>
    <n v="-7.508"/>
    <n v="1"/>
    <n v="4.3499999999999997E-2"/>
    <n v="0.38100000000000001"/>
    <n v="0"/>
    <n v="0.10100000000000001"/>
    <n v="0.17199999999999999"/>
    <n v="81.05"/>
    <n v="4"/>
    <x v="0"/>
  </r>
  <r>
    <x v="68"/>
    <s v="Andrew Belle"/>
    <s v="In My Veins (Feat. Erin Mccarley)"/>
    <x v="52"/>
    <n v="65"/>
    <n v="318908"/>
    <x v="0"/>
    <n v="0.54800000000000004"/>
    <n v="0.42"/>
    <n v="0"/>
    <n v="-7.8419999999999996"/>
    <n v="1"/>
    <n v="2.7699999999999999E-2"/>
    <n v="0.19800000000000001"/>
    <s v="4.46e-06"/>
    <n v="8.9899999999999994E-2"/>
    <n v="0.19600000000000001"/>
    <n v="128.012"/>
    <n v="4"/>
    <x v="0"/>
  </r>
  <r>
    <x v="69"/>
    <s v="Tyler Ward"/>
    <s v="Under Covers"/>
    <x v="53"/>
    <n v="44"/>
    <n v="222351"/>
    <x v="0"/>
    <n v="0.78700000000000003"/>
    <n v="0.40300000000000002"/>
    <n v="0"/>
    <n v="-11.989000000000001"/>
    <n v="1"/>
    <n v="3.3000000000000002E-2"/>
    <n v="0.60299999999999998"/>
    <n v="8.5699999999999995E-3"/>
    <n v="0.13100000000000001"/>
    <n v="0.26400000000000001"/>
    <n v="118.042"/>
    <n v="4"/>
    <x v="0"/>
  </r>
  <r>
    <x v="70"/>
    <s v="Ron Pope"/>
    <s v="Whatever It Takes"/>
    <x v="37"/>
    <n v="55"/>
    <n v="219480"/>
    <x v="0"/>
    <n v="0.48399999999999999"/>
    <n v="0.57299999999999995"/>
    <n v="5"/>
    <n v="-6.1829999999999998"/>
    <n v="1"/>
    <n v="2.98E-2"/>
    <n v="8.8200000000000001E-2"/>
    <s v="1.14e-06"/>
    <n v="0.15"/>
    <n v="0.34599999999999997"/>
    <n v="139.96600000000001"/>
    <n v="3"/>
    <x v="0"/>
  </r>
  <r>
    <x v="71"/>
    <s v="Five For Fighting"/>
    <s v="America Town"/>
    <x v="54"/>
    <n v="70"/>
    <n v="221693"/>
    <x v="0"/>
    <n v="0.38200000000000001"/>
    <n v="0.41599999999999998"/>
    <n v="0"/>
    <n v="-9.3030000000000008"/>
    <n v="1"/>
    <n v="3.0200000000000001E-2"/>
    <n v="7.3300000000000004E-2"/>
    <n v="0"/>
    <n v="7.1900000000000006E-2"/>
    <n v="0.125"/>
    <n v="102.089"/>
    <n v="4"/>
    <x v="0"/>
  </r>
  <r>
    <x v="72"/>
    <s v="Andrew Belle"/>
    <s v="Dive Deep"/>
    <x v="55"/>
    <n v="57"/>
    <n v="354400"/>
    <x v="0"/>
    <n v="0.54100000000000004"/>
    <n v="0.57499999999999996"/>
    <n v="9"/>
    <n v="-9.4629999999999992"/>
    <n v="1"/>
    <n v="4.9099999999999998E-2"/>
    <n v="0.67700000000000005"/>
    <n v="0.215"/>
    <n v="0.10199999999999999"/>
    <n v="0.42799999999999999"/>
    <n v="91.98"/>
    <n v="4"/>
    <x v="0"/>
  </r>
  <r>
    <x v="73"/>
    <s v="Bailey Jehl"/>
    <s v="You're Still The One"/>
    <x v="56"/>
    <n v="56"/>
    <n v="177500"/>
    <x v="0"/>
    <n v="0.60699999999999998"/>
    <n v="0.47299999999999998"/>
    <n v="2"/>
    <n v="-8.5549999999999997"/>
    <n v="1"/>
    <n v="3.4000000000000002E-2"/>
    <n v="0.71199999999999997"/>
    <n v="0"/>
    <n v="0.66"/>
    <n v="0.54"/>
    <n v="119.69799999999999"/>
    <n v="4"/>
    <x v="0"/>
  </r>
  <r>
    <x v="74"/>
    <s v="Ingrid Michaelson"/>
    <s v="It Doesn't Have To Make Sense"/>
    <x v="57"/>
    <n v="56"/>
    <n v="247840"/>
    <x v="0"/>
    <n v="0.41699999999999998"/>
    <n v="0.59499999999999997"/>
    <n v="6"/>
    <n v="-7.84"/>
    <n v="1"/>
    <n v="3.9600000000000003E-2"/>
    <n v="0.158"/>
    <n v="2.6899999999999998E-4"/>
    <n v="0.10100000000000001"/>
    <n v="0.11700000000000001"/>
    <n v="147.928"/>
    <n v="4"/>
    <x v="0"/>
  </r>
  <r>
    <x v="75"/>
    <s v="Jason Mraz"/>
    <s v="Love Is a Four Letter Word"/>
    <x v="20"/>
    <n v="67"/>
    <n v="216386"/>
    <x v="0"/>
    <n v="0.57199999999999995"/>
    <n v="0.45400000000000001"/>
    <n v="3"/>
    <n v="-10.286"/>
    <n v="1"/>
    <n v="2.58E-2"/>
    <n v="0.47699999999999998"/>
    <s v="1.37e-05"/>
    <n v="9.74E-2"/>
    <n v="0.51500000000000001"/>
    <n v="140.18199999999999"/>
    <n v="4"/>
    <x v="0"/>
  </r>
  <r>
    <x v="76"/>
    <s v="A Great Big World"/>
    <s v="When the Morning Comes"/>
    <x v="58"/>
    <n v="62"/>
    <n v="229320"/>
    <x v="0"/>
    <n v="0.70899999999999996"/>
    <n v="0.91300000000000003"/>
    <n v="7"/>
    <n v="-5.1479999999999997"/>
    <n v="1"/>
    <n v="7.4800000000000005E-2"/>
    <n v="1.8200000000000001E-2"/>
    <n v="0"/>
    <n v="0.16700000000000001"/>
    <n v="0.51900000000000002"/>
    <n v="108.024"/>
    <n v="4"/>
    <x v="0"/>
  </r>
  <r>
    <x v="77"/>
    <s v="Eddie Vedder;Nusrat Fateh Ali Khan"/>
    <s v="Eat, Pray, Love"/>
    <x v="59"/>
    <n v="45"/>
    <n v="330933"/>
    <x v="0"/>
    <n v="0.53700000000000003"/>
    <n v="0.34200000000000003"/>
    <n v="2"/>
    <n v="-13.553000000000001"/>
    <n v="1"/>
    <n v="2.7300000000000001E-2"/>
    <n v="0.64500000000000002"/>
    <n v="0.26600000000000001"/>
    <n v="6.8699999999999997E-2"/>
    <n v="0.253"/>
    <n v="109.236"/>
    <n v="4"/>
    <x v="0"/>
  </r>
  <r>
    <x v="78"/>
    <s v="Drew Holcomb &amp; The Neighbors"/>
    <s v="Good Light"/>
    <x v="60"/>
    <n v="64"/>
    <n v="172213"/>
    <x v="0"/>
    <n v="0.60199999999999998"/>
    <n v="0.33600000000000002"/>
    <n v="8"/>
    <n v="-11.106"/>
    <n v="1"/>
    <n v="3.6900000000000002E-2"/>
    <n v="0.88300000000000001"/>
    <n v="1.6999999999999999E-3"/>
    <n v="0.14299999999999999"/>
    <n v="0.33500000000000002"/>
    <n v="90.894000000000005"/>
    <n v="4"/>
    <x v="0"/>
  </r>
  <r>
    <x v="79"/>
    <s v="Jason Mraz"/>
    <s v="Know."/>
    <x v="61"/>
    <n v="65"/>
    <n v="226106"/>
    <x v="0"/>
    <n v="0.64300000000000002"/>
    <n v="0.63800000000000001"/>
    <n v="1"/>
    <n v="-4.9470000000000001"/>
    <n v="0"/>
    <n v="4.07E-2"/>
    <n v="0.20399999999999999"/>
    <n v="0"/>
    <n v="7.0699999999999999E-2"/>
    <n v="0.6"/>
    <n v="82.001000000000005"/>
    <n v="4"/>
    <x v="0"/>
  </r>
  <r>
    <x v="80"/>
    <s v="Gabrielle Aplin"/>
    <s v="Mellow Adult Pop"/>
    <x v="62"/>
    <n v="0"/>
    <n v="235173"/>
    <x v="0"/>
    <n v="0.45100000000000001"/>
    <n v="0.7"/>
    <n v="10"/>
    <n v="-6.5970000000000004"/>
    <n v="0"/>
    <n v="4.3099999999999999E-2"/>
    <n v="0.45500000000000002"/>
    <n v="2.33E-3"/>
    <n v="0.40500000000000003"/>
    <n v="0.37"/>
    <n v="150.05500000000001"/>
    <n v="4"/>
    <x v="0"/>
  </r>
  <r>
    <x v="81"/>
    <s v="Gabrielle Aplin"/>
    <s v="Break Up Songs"/>
    <x v="63"/>
    <n v="0"/>
    <n v="195213"/>
    <x v="0"/>
    <n v="0.54600000000000004"/>
    <n v="0.39100000000000001"/>
    <n v="2"/>
    <n v="-10.786"/>
    <n v="0"/>
    <n v="6.3E-2"/>
    <n v="0.78400000000000003"/>
    <s v="2.72e-06"/>
    <n v="5.5199999999999999E-2"/>
    <n v="0.20200000000000001"/>
    <n v="139.66900000000001"/>
    <n v="4"/>
    <x v="0"/>
  </r>
  <r>
    <x v="82"/>
    <s v="Eddie Vedder"/>
    <s v="Into The Wild (Music For The Motion Picture)"/>
    <x v="64"/>
    <n v="68"/>
    <n v="236306"/>
    <x v="0"/>
    <n v="0.56100000000000005"/>
    <n v="0.32700000000000001"/>
    <n v="11"/>
    <n v="-10.835000000000001"/>
    <n v="0"/>
    <n v="3.27E-2"/>
    <n v="0.90200000000000002"/>
    <n v="4.6900000000000002E-4"/>
    <n v="0.111"/>
    <n v="0.29799999999999999"/>
    <n v="161.858"/>
    <n v="4"/>
    <x v="0"/>
  </r>
  <r>
    <x v="83"/>
    <s v="Gabrielle Aplin"/>
    <s v="u don't deserve me"/>
    <x v="65"/>
    <n v="0"/>
    <n v="181400"/>
    <x v="0"/>
    <n v="0.47899999999999998"/>
    <n v="0.54100000000000004"/>
    <n v="0"/>
    <n v="-9.8620000000000001"/>
    <n v="1"/>
    <n v="5.4300000000000001E-2"/>
    <n v="0.74"/>
    <n v="0"/>
    <n v="0.108"/>
    <n v="0.3"/>
    <n v="85.994"/>
    <n v="4"/>
    <x v="0"/>
  </r>
  <r>
    <x v="84"/>
    <s v="Gabrielle Aplin"/>
    <s v="Coffee Moment"/>
    <x v="65"/>
    <n v="0"/>
    <n v="181400"/>
    <x v="0"/>
    <n v="0.47899999999999998"/>
    <n v="0.54100000000000004"/>
    <n v="0"/>
    <n v="-9.8620000000000001"/>
    <n v="1"/>
    <n v="5.4300000000000001E-2"/>
    <n v="0.74"/>
    <n v="0"/>
    <n v="0.108"/>
    <n v="0.3"/>
    <n v="85.994"/>
    <n v="4"/>
    <x v="0"/>
  </r>
  <r>
    <x v="85"/>
    <s v="Eddie Vedder"/>
    <s v="Into The Wild (Music For The Motion Picture)"/>
    <x v="66"/>
    <n v="61"/>
    <n v="164500"/>
    <x v="0"/>
    <n v="0.436"/>
    <n v="0.4"/>
    <n v="7"/>
    <n v="-11.484999999999999"/>
    <n v="1"/>
    <n v="2.7199999999999998E-2"/>
    <n v="0.90400000000000003"/>
    <n v="1.0499999999999999E-3"/>
    <n v="0.125"/>
    <n v="0.35099999999999998"/>
    <n v="100.73399999999999"/>
    <n v="4"/>
    <x v="0"/>
  </r>
  <r>
    <x v="86"/>
    <s v="Sara Bareilles"/>
    <s v="The Blessed Unrest"/>
    <x v="67"/>
    <n v="70"/>
    <n v="220573"/>
    <x v="0"/>
    <n v="0.55100000000000005"/>
    <n v="0.83599999999999997"/>
    <n v="10"/>
    <n v="-3.8380000000000001"/>
    <n v="0"/>
    <n v="5.2400000000000002E-2"/>
    <n v="5.0200000000000002E-3"/>
    <s v="2.1e-05"/>
    <n v="4.2500000000000003E-2"/>
    <n v="0.75800000000000001"/>
    <n v="185.06299999999999"/>
    <n v="4"/>
    <x v="0"/>
  </r>
  <r>
    <x v="87"/>
    <s v="KT Tunstall"/>
    <s v="Slow Christmas Songs 2022"/>
    <x v="27"/>
    <n v="0"/>
    <n v="257493"/>
    <x v="0"/>
    <n v="0.40899999999999997"/>
    <n v="0.153"/>
    <n v="6"/>
    <n v="-10.74"/>
    <n v="0"/>
    <n v="3.0599999999999999E-2"/>
    <n v="0.93899999999999995"/>
    <s v="2.56e-05"/>
    <n v="0.108"/>
    <n v="0.18"/>
    <n v="85.262"/>
    <n v="4"/>
    <x v="0"/>
  </r>
  <r>
    <x v="88"/>
    <s v="KT Tunstall"/>
    <s v="Lonely Christmas 2022"/>
    <x v="27"/>
    <n v="0"/>
    <n v="257493"/>
    <x v="0"/>
    <n v="0.40899999999999997"/>
    <n v="0.153"/>
    <n v="6"/>
    <n v="-10.74"/>
    <n v="0"/>
    <n v="3.0599999999999999E-2"/>
    <n v="0.93899999999999995"/>
    <s v="2.56e-05"/>
    <n v="0.108"/>
    <n v="0.18"/>
    <n v="85.262"/>
    <n v="4"/>
    <x v="0"/>
  </r>
  <r>
    <x v="89"/>
    <s v="Five For Fighting"/>
    <s v="Bookmarks"/>
    <x v="68"/>
    <n v="62"/>
    <n v="210612"/>
    <x v="0"/>
    <n v="0.6"/>
    <n v="0.84499999999999997"/>
    <n v="10"/>
    <n v="-7.0759999999999996"/>
    <n v="1"/>
    <n v="3.1099999999999999E-2"/>
    <n v="4.8000000000000001E-2"/>
    <n v="0"/>
    <n v="0.24"/>
    <n v="0.39200000000000002"/>
    <n v="97.631"/>
    <n v="4"/>
    <x v="0"/>
  </r>
  <r>
    <x v="90"/>
    <s v="The Civil Wars"/>
    <s v="Slow Christmas Songs 2022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1"/>
    <s v="The Civil Wars"/>
    <s v="Alternative Christmas 2022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2"/>
    <s v="KT Tunstall"/>
    <s v="Alternative Christmas 2022"/>
    <x v="70"/>
    <n v="0"/>
    <n v="263866"/>
    <x v="0"/>
    <n v="0.44700000000000001"/>
    <n v="0.55500000000000005"/>
    <n v="2"/>
    <n v="-6.0179999999999998"/>
    <n v="1"/>
    <n v="3.49E-2"/>
    <n v="0.218"/>
    <s v="3.46e-06"/>
    <n v="0.124"/>
    <n v="0.33"/>
    <n v="117.88800000000001"/>
    <n v="3"/>
    <x v="0"/>
  </r>
  <r>
    <x v="93"/>
    <s v="The Civil Wars"/>
    <s v="Acoustic Christmas Campfire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4"/>
    <s v="The Civil Wars"/>
    <s v="Lonely Christmas 2022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5"/>
    <s v="The Civil Wars"/>
    <s v="Chill Christmas Dinner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6"/>
    <s v="The Civil Wars"/>
    <s v="sadsadchristmas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7"/>
    <s v="The Civil Wars"/>
    <s v="Christmas Country Songs 2022"/>
    <x v="69"/>
    <n v="0"/>
    <n v="154440"/>
    <x v="0"/>
    <n v="0.49199999999999999"/>
    <n v="0.14499999999999999"/>
    <n v="2"/>
    <n v="-14.504"/>
    <n v="0"/>
    <n v="4.2200000000000001E-2"/>
    <n v="0.872"/>
    <s v="9.68e-06"/>
    <n v="0.107"/>
    <n v="0.218"/>
    <n v="90.078000000000003"/>
    <n v="4"/>
    <x v="0"/>
  </r>
  <r>
    <x v="98"/>
    <s v="KT Tunstall"/>
    <s v="Del gusto de mamÃ¡"/>
    <x v="4"/>
    <n v="0"/>
    <n v="177613"/>
    <x v="0"/>
    <n v="0.66100000000000003"/>
    <n v="0.93700000000000006"/>
    <n v="4"/>
    <n v="-5.157"/>
    <n v="0"/>
    <n v="9.7900000000000001E-2"/>
    <n v="0.32200000000000001"/>
    <s v="1.04e-06"/>
    <n v="0.19"/>
    <n v="0.80500000000000005"/>
    <n v="105.54900000000001"/>
    <n v="4"/>
    <x v="0"/>
  </r>
  <r>
    <x v="99"/>
    <s v="KT Tunstall"/>
    <s v="OO's Music Grandi Successi"/>
    <x v="71"/>
    <n v="0"/>
    <n v="199040"/>
    <x v="0"/>
    <n v="0.60299999999999998"/>
    <n v="0.78"/>
    <n v="0"/>
    <n v="-5.5309999999999997"/>
    <n v="1"/>
    <n v="4.3799999999999999E-2"/>
    <n v="0.13900000000000001"/>
    <n v="0"/>
    <n v="0.16400000000000001"/>
    <n v="0.69299999999999995"/>
    <n v="100.499"/>
    <n v="4"/>
    <x v="0"/>
  </r>
  <r>
    <x v="100"/>
    <s v="Motohiro Hata"/>
    <s v="è¨€ãƒŽè‘‰"/>
    <x v="72"/>
    <n v="58"/>
    <n v="293040"/>
    <x v="0"/>
    <n v="0.626"/>
    <n v="0.65500000000000003"/>
    <n v="9"/>
    <n v="-6.69"/>
    <n v="1"/>
    <n v="2.63E-2"/>
    <n v="0.503"/>
    <n v="0"/>
    <n v="0.13"/>
    <n v="0.54200000000000004"/>
    <n v="92.003"/>
    <n v="4"/>
    <x v="0"/>
  </r>
  <r>
    <x v="101"/>
    <s v="Callum J Wright"/>
    <s v="Somebody Else (Acoustic)"/>
    <x v="73"/>
    <n v="50"/>
    <n v="138495"/>
    <x v="0"/>
    <n v="0.79400000000000004"/>
    <n v="0.38"/>
    <n v="10"/>
    <n v="-8.7690000000000001"/>
    <n v="0"/>
    <n v="4.7699999999999999E-2"/>
    <n v="0.76200000000000001"/>
    <n v="0"/>
    <n v="0.26200000000000001"/>
    <n v="0.61699999999999999"/>
    <n v="114.99"/>
    <n v="4"/>
    <x v="0"/>
  </r>
  <r>
    <x v="102"/>
    <s v="Andrew Belle"/>
    <s v="Black Bear (Hushed)"/>
    <x v="74"/>
    <n v="59"/>
    <n v="198626"/>
    <x v="0"/>
    <n v="0.52"/>
    <n v="0.27900000000000003"/>
    <n v="5"/>
    <n v="-10.739000000000001"/>
    <n v="0"/>
    <n v="5.4699999999999999E-2"/>
    <n v="0.89400000000000002"/>
    <n v="1.05E-4"/>
    <n v="0.10299999999999999"/>
    <n v="9.5100000000000004E-2"/>
    <n v="69.641999999999996"/>
    <n v="4"/>
    <x v="0"/>
  </r>
  <r>
    <x v="103"/>
    <s v="Boyce Avenue;Fifth Harmony"/>
    <s v="Cover Sessions, Vol. 3"/>
    <x v="75"/>
    <n v="57"/>
    <n v="292566"/>
    <x v="0"/>
    <n v="0.54500000000000004"/>
    <n v="0.65800000000000003"/>
    <n v="1"/>
    <n v="-7.1740000000000004"/>
    <n v="1"/>
    <n v="4.7399999999999998E-2"/>
    <n v="0.496"/>
    <n v="0"/>
    <n v="0.105"/>
    <n v="0.68300000000000005"/>
    <n v="76.971000000000004"/>
    <n v="4"/>
    <x v="0"/>
  </r>
  <r>
    <x v="104"/>
    <s v="Boyce Avenue"/>
    <s v="Stand by Me"/>
    <x v="76"/>
    <n v="60"/>
    <n v="199019"/>
    <x v="0"/>
    <n v="0.72799999999999998"/>
    <n v="0.26600000000000001"/>
    <n v="8"/>
    <n v="-7.3220000000000001"/>
    <n v="1"/>
    <n v="2.93E-2"/>
    <n v="0.872"/>
    <s v="1.03e-05"/>
    <n v="0.114"/>
    <n v="0.307"/>
    <n v="115.18899999999999"/>
    <n v="4"/>
    <x v="0"/>
  </r>
  <r>
    <x v="105"/>
    <s v="Gabrielle Aplin;JP Cooper"/>
    <s v="Dear Happy"/>
    <x v="77"/>
    <n v="61"/>
    <n v="181760"/>
    <x v="0"/>
    <n v="0.66"/>
    <n v="0.40699999999999997"/>
    <n v="7"/>
    <n v="-8.3810000000000002"/>
    <n v="1"/>
    <n v="5.7099999999999998E-2"/>
    <n v="0.23599999999999999"/>
    <n v="0"/>
    <n v="0.109"/>
    <n v="0.25700000000000001"/>
    <n v="133.86000000000001"/>
    <n v="4"/>
    <x v="0"/>
  </r>
  <r>
    <x v="106"/>
    <s v="Mone Kamishiraishi"/>
    <s v="chouchou"/>
    <x v="78"/>
    <n v="49"/>
    <n v="349920"/>
    <x v="0"/>
    <n v="0.35699999999999998"/>
    <n v="0.161"/>
    <n v="8"/>
    <n v="-10.667"/>
    <n v="1"/>
    <n v="3.8800000000000001E-2"/>
    <n v="0.97099999999999997"/>
    <s v="1.4e-05"/>
    <n v="0.35799999999999998"/>
    <n v="0.32500000000000001"/>
    <n v="83.448999999999998"/>
    <n v="4"/>
    <x v="0"/>
  </r>
  <r>
    <x v="107"/>
    <s v="John Adams"/>
    <s v="Youâ€™re Beautiful (Acoustic)"/>
    <x v="79"/>
    <n v="55"/>
    <n v="204973"/>
    <x v="0"/>
    <n v="0.47899999999999998"/>
    <n v="0.154"/>
    <n v="2"/>
    <n v="-11.282"/>
    <n v="1"/>
    <n v="3.5200000000000002E-2"/>
    <n v="0.91500000000000004"/>
    <n v="0"/>
    <n v="9.74E-2"/>
    <n v="0.36"/>
    <n v="147.20699999999999"/>
    <n v="4"/>
    <x v="0"/>
  </r>
  <r>
    <x v="108"/>
    <s v="Kitri"/>
    <s v="Hikare Inochi"/>
    <x v="80"/>
    <n v="51"/>
    <n v="322146"/>
    <x v="0"/>
    <n v="0.59199999999999997"/>
    <n v="0.76900000000000002"/>
    <n v="2"/>
    <n v="-5.2679999999999998"/>
    <n v="1"/>
    <n v="3.1099999999999999E-2"/>
    <n v="0.31900000000000001"/>
    <s v="4.66e-06"/>
    <n v="0.13700000000000001"/>
    <n v="0.38500000000000001"/>
    <n v="102.033"/>
    <n v="4"/>
    <x v="0"/>
  </r>
  <r>
    <x v="109"/>
    <s v="Tyler Ward"/>
    <s v="Songs From Nashville"/>
    <x v="81"/>
    <n v="46"/>
    <n v="210375"/>
    <x v="0"/>
    <n v="0.7"/>
    <n v="0.45400000000000001"/>
    <n v="7"/>
    <n v="-10.39"/>
    <n v="0"/>
    <n v="3.8800000000000001E-2"/>
    <n v="0.55000000000000004"/>
    <n v="2.2000000000000001E-3"/>
    <n v="0.121"/>
    <n v="0.34"/>
    <n v="80.010999999999996"/>
    <n v="3"/>
    <x v="0"/>
  </r>
  <r>
    <x v="110"/>
    <s v="Boyce Avenue"/>
    <s v="Cover Sessions, Vol. 6"/>
    <x v="82"/>
    <n v="57"/>
    <n v="131000"/>
    <x v="0"/>
    <n v="0.40200000000000002"/>
    <n v="0.19700000000000001"/>
    <n v="5"/>
    <n v="-10.775"/>
    <n v="1"/>
    <n v="2.9499999999999998E-2"/>
    <n v="0.85799999999999998"/>
    <s v="1.05e-06"/>
    <n v="0.114"/>
    <n v="0.14799999999999999"/>
    <n v="100.044"/>
    <n v="3"/>
    <x v="0"/>
  </r>
  <r>
    <x v="111"/>
    <s v="Andrew Belle"/>
    <s v="Dive Deep (Hushed)"/>
    <x v="83"/>
    <n v="58"/>
    <n v="218531"/>
    <x v="0"/>
    <n v="0.50700000000000001"/>
    <n v="0.378"/>
    <n v="9"/>
    <n v="-9.0190000000000001"/>
    <n v="1"/>
    <n v="3.32E-2"/>
    <n v="0.85199999999999998"/>
    <n v="2.12E-4"/>
    <n v="9.3700000000000006E-2"/>
    <n v="8.5000000000000006E-2"/>
    <n v="135.86000000000001"/>
    <n v="4"/>
    <x v="0"/>
  </r>
  <r>
    <x v="112"/>
    <s v="Ben Woodward"/>
    <s v="When the Party's over (Acoustic Piano)"/>
    <x v="84"/>
    <n v="51"/>
    <n v="195945"/>
    <x v="0"/>
    <n v="0.61899999999999999"/>
    <n v="0.22600000000000001"/>
    <n v="4"/>
    <n v="-13.452999999999999"/>
    <n v="1"/>
    <n v="6.4100000000000004E-2"/>
    <n v="0.95899999999999996"/>
    <s v="4.42e-05"/>
    <n v="0.106"/>
    <n v="0.188"/>
    <n v="124.96"/>
    <n v="3"/>
    <x v="0"/>
  </r>
  <r>
    <x v="113"/>
    <s v="Augustana"/>
    <s v="All The Stars and Boulevards"/>
    <x v="85"/>
    <n v="63"/>
    <n v="245933"/>
    <x v="0"/>
    <n v="0.40400000000000003"/>
    <n v="0.57099999999999995"/>
    <n v="0"/>
    <n v="-5.069"/>
    <n v="1"/>
    <n v="3.0300000000000001E-2"/>
    <n v="0.182"/>
    <s v="2.08e-05"/>
    <n v="0.129"/>
    <n v="0.28999999999999998"/>
    <n v="147.01"/>
    <n v="4"/>
    <x v="0"/>
  </r>
  <r>
    <x v="114"/>
    <s v="Matthew Perryman Jones"/>
    <s v="Living in the Shadows"/>
    <x v="86"/>
    <n v="53"/>
    <n v="212386"/>
    <x v="0"/>
    <n v="0.41799999999999998"/>
    <n v="0.79"/>
    <n v="4"/>
    <n v="-6.5990000000000002"/>
    <n v="0"/>
    <n v="5.0599999999999999E-2"/>
    <n v="2.8400000000000002E-2"/>
    <s v="9.96e-06"/>
    <n v="0.11700000000000001"/>
    <n v="0.19700000000000001"/>
    <n v="175.97499999999999"/>
    <n v="4"/>
    <x v="0"/>
  </r>
  <r>
    <x v="115"/>
    <s v="Boyce Avenue"/>
    <s v="Cover Sessions, Vol. 4"/>
    <x v="87"/>
    <n v="60"/>
    <n v="225165"/>
    <x v="0"/>
    <n v="0.63300000000000001"/>
    <n v="0.29899999999999999"/>
    <n v="11"/>
    <n v="-7.798"/>
    <n v="1"/>
    <n v="3.5299999999999998E-2"/>
    <n v="0.83299999999999996"/>
    <n v="0"/>
    <n v="0.109"/>
    <n v="0.34100000000000003"/>
    <n v="147.54900000000001"/>
    <n v="4"/>
    <x v="0"/>
  </r>
  <r>
    <x v="116"/>
    <s v="Andrew Foy;Renee Foy"/>
    <s v="death bed (coffee for your head)"/>
    <x v="88"/>
    <n v="47"/>
    <n v="112008"/>
    <x v="0"/>
    <n v="0.56499999999999995"/>
    <n v="3.9199999999999999E-2"/>
    <n v="1"/>
    <n v="-28.276"/>
    <n v="1"/>
    <n v="4.4999999999999998E-2"/>
    <n v="0.83499999999999996"/>
    <n v="0.183"/>
    <n v="0.11700000000000001"/>
    <n v="0.60099999999999998"/>
    <n v="125.399"/>
    <n v="4"/>
    <x v="0"/>
  </r>
  <r>
    <x v="117"/>
    <s v="Kina Grannis"/>
    <s v="You Are My Sunshine"/>
    <x v="89"/>
    <n v="60"/>
    <n v="123609"/>
    <x v="0"/>
    <n v="0.66400000000000003"/>
    <n v="7.5499999999999998E-2"/>
    <n v="10"/>
    <n v="-19.835999999999999"/>
    <n v="1"/>
    <n v="3.8899999999999997E-2"/>
    <n v="0.91"/>
    <n v="0"/>
    <n v="0.16400000000000001"/>
    <n v="0.57499999999999996"/>
    <n v="80.004000000000005"/>
    <n v="1"/>
    <x v="0"/>
  </r>
  <r>
    <x v="118"/>
    <s v="Jason Mraz"/>
    <s v="I Won't Give Up"/>
    <x v="11"/>
    <n v="66"/>
    <n v="240165"/>
    <x v="0"/>
    <n v="0.58499999999999996"/>
    <n v="0.30299999999999999"/>
    <n v="4"/>
    <n v="-10.058"/>
    <n v="1"/>
    <n v="3.9800000000000002E-2"/>
    <n v="0.69399999999999995"/>
    <n v="0"/>
    <n v="0.115"/>
    <n v="0.14199999999999999"/>
    <n v="136.703"/>
    <n v="3"/>
    <x v="0"/>
  </r>
  <r>
    <x v="119"/>
    <s v="Ray LaMontagne;Sierra Ferrell"/>
    <s v="I Was Born To Love You"/>
    <x v="90"/>
    <n v="67"/>
    <n v="265843"/>
    <x v="0"/>
    <n v="0.65"/>
    <n v="0.27100000000000002"/>
    <n v="9"/>
    <n v="-11.081"/>
    <n v="1"/>
    <n v="3.1399999999999997E-2"/>
    <n v="0.79400000000000004"/>
    <s v="6.9e-05"/>
    <n v="0.19600000000000001"/>
    <n v="0.21"/>
    <n v="78.036000000000001"/>
    <n v="4"/>
    <x v="0"/>
  </r>
  <r>
    <x v="120"/>
    <s v="Meg Birch"/>
    <s v="Life Sucks Playlist"/>
    <x v="91"/>
    <n v="43"/>
    <n v="194194"/>
    <x v="0"/>
    <n v="0.53400000000000003"/>
    <n v="0.21299999999999999"/>
    <n v="1"/>
    <n v="-8.64"/>
    <n v="1"/>
    <n v="2.8299999999999999E-2"/>
    <n v="0.88400000000000001"/>
    <n v="0"/>
    <n v="0.107"/>
    <n v="9.98E-2"/>
    <n v="98.385000000000005"/>
    <n v="4"/>
    <x v="0"/>
  </r>
  <r>
    <x v="121"/>
    <s v="Catherine Feeny"/>
    <s v="Hurricane Glass"/>
    <x v="92"/>
    <n v="54"/>
    <n v="154600"/>
    <x v="0"/>
    <n v="0.45600000000000002"/>
    <n v="0.38600000000000001"/>
    <n v="10"/>
    <n v="-10.292999999999999"/>
    <n v="1"/>
    <n v="3.2000000000000001E-2"/>
    <n v="0.83499999999999996"/>
    <n v="0.108"/>
    <n v="0.38900000000000001"/>
    <n v="0.61199999999999999"/>
    <n v="165.733"/>
    <n v="4"/>
    <x v="0"/>
  </r>
  <r>
    <x v="122"/>
    <s v="Joshua Hyslop"/>
    <s v="Where The Mountain Meets The Valley"/>
    <x v="93"/>
    <n v="60"/>
    <n v="158960"/>
    <x v="0"/>
    <n v="0.40899999999999997"/>
    <n v="0.23400000000000001"/>
    <n v="3"/>
    <n v="-13.711"/>
    <n v="1"/>
    <n v="3.2300000000000002E-2"/>
    <n v="0.33800000000000002"/>
    <s v="5e-05"/>
    <n v="8.9499999999999996E-2"/>
    <n v="0.14499999999999999"/>
    <n v="139.83199999999999"/>
    <n v="4"/>
    <x v="0"/>
  </r>
  <r>
    <x v="123"/>
    <s v="Ross Copperman"/>
    <s v="Holding On And Letting Go - Single"/>
    <x v="94"/>
    <n v="49"/>
    <n v="319000"/>
    <x v="0"/>
    <n v="0.502"/>
    <n v="0.53"/>
    <n v="2"/>
    <n v="-9.5730000000000004"/>
    <n v="1"/>
    <n v="2.6599999999999999E-2"/>
    <n v="0.80500000000000005"/>
    <n v="7.3800000000000005E-4"/>
    <n v="7.2800000000000004E-2"/>
    <n v="0.10199999999999999"/>
    <n v="78.046000000000006"/>
    <n v="4"/>
    <x v="0"/>
  </r>
  <r>
    <x v="124"/>
    <s v="JJ Heller"/>
    <s v="You Already Know"/>
    <x v="95"/>
    <n v="57"/>
    <n v="214360"/>
    <x v="0"/>
    <n v="0.496"/>
    <n v="0.11700000000000001"/>
    <n v="0"/>
    <n v="-12.884"/>
    <n v="1"/>
    <n v="3.0099999999999998E-2"/>
    <n v="0.93300000000000005"/>
    <n v="0"/>
    <n v="0.126"/>
    <n v="0.318"/>
    <n v="78.067999999999998"/>
    <n v="4"/>
    <x v="0"/>
  </r>
  <r>
    <x v="125"/>
    <s v="Ben Woodward"/>
    <s v="Believer (Remix)"/>
    <x v="96"/>
    <n v="42"/>
    <n v="204480"/>
    <x v="0"/>
    <n v="0.58499999999999996"/>
    <n v="0.72399999999999998"/>
    <n v="1"/>
    <n v="-6.5129999999999999"/>
    <n v="0"/>
    <n v="7.4499999999999997E-2"/>
    <n v="0.315"/>
    <n v="6.8099999999999994E-2"/>
    <n v="4.48E-2"/>
    <n v="0.33300000000000002"/>
    <n v="187.48400000000001"/>
    <n v="3"/>
    <x v="0"/>
  </r>
  <r>
    <x v="126"/>
    <s v="Howie Day"/>
    <s v="Stop All the World Now (Special Edition)"/>
    <x v="97"/>
    <n v="67"/>
    <n v="277000"/>
    <x v="0"/>
    <n v="0.58199999999999996"/>
    <n v="0.253"/>
    <n v="10"/>
    <n v="-11.43"/>
    <n v="1"/>
    <n v="2.5899999999999999E-2"/>
    <n v="0.82699999999999996"/>
    <s v="2.95e-05"/>
    <n v="9.0999999999999998E-2"/>
    <n v="0.29399999999999998"/>
    <n v="90.186000000000007"/>
    <n v="4"/>
    <x v="0"/>
  </r>
  <r>
    <x v="127"/>
    <s v="Ben Rector"/>
    <s v="Magic"/>
    <x v="98"/>
    <n v="61"/>
    <n v="214240"/>
    <x v="0"/>
    <n v="0.63700000000000001"/>
    <n v="0.14000000000000001"/>
    <n v="2"/>
    <n v="-11.472"/>
    <n v="1"/>
    <n v="4.07E-2"/>
    <n v="0.90300000000000002"/>
    <n v="0"/>
    <n v="0.107"/>
    <n v="0.39200000000000002"/>
    <n v="139.78"/>
    <n v="4"/>
    <x v="0"/>
  </r>
  <r>
    <x v="128"/>
    <s v="Matt Nathanson"/>
    <s v="Some Mad Hope"/>
    <x v="99"/>
    <n v="71"/>
    <n v="215173"/>
    <x v="0"/>
    <n v="0.67200000000000004"/>
    <n v="0.623"/>
    <n v="9"/>
    <n v="-5.6989999999999998"/>
    <n v="1"/>
    <n v="2.9700000000000001E-2"/>
    <n v="0.24099999999999999"/>
    <n v="0"/>
    <n v="8.48E-2"/>
    <n v="0.61699999999999999"/>
    <n v="92.018000000000001"/>
    <n v="4"/>
    <x v="0"/>
  </r>
  <r>
    <x v="129"/>
    <s v="Rachael Yamagata"/>
    <s v="Something In the Rain (Music from the Original TV Series)"/>
    <x v="100"/>
    <n v="49"/>
    <n v="296862"/>
    <x v="0"/>
    <n v="0.42199999999999999"/>
    <n v="0.27200000000000002"/>
    <n v="4"/>
    <n v="-10.772"/>
    <n v="0"/>
    <n v="3.5299999999999998E-2"/>
    <n v="0.496"/>
    <s v="1.07e-05"/>
    <n v="7.0400000000000004E-2"/>
    <n v="0.113"/>
    <n v="143.41300000000001"/>
    <n v="4"/>
    <x v="0"/>
  </r>
  <r>
    <x v="130"/>
    <s v="Parachute"/>
    <s v="The Way It Was"/>
    <x v="101"/>
    <n v="61"/>
    <n v="235813"/>
    <x v="0"/>
    <n v="0.47"/>
    <n v="0.80100000000000005"/>
    <n v="9"/>
    <n v="-6.4260000000000002"/>
    <n v="1"/>
    <n v="3.5200000000000002E-2"/>
    <n v="7.5800000000000006E-2"/>
    <s v="3.53e-05"/>
    <n v="0.218"/>
    <n v="0.43099999999999999"/>
    <n v="173.92"/>
    <n v="4"/>
    <x v="0"/>
  </r>
  <r>
    <x v="131"/>
    <s v="Parachute"/>
    <s v="Wide Awake"/>
    <x v="102"/>
    <n v="61"/>
    <n v="228933"/>
    <x v="0"/>
    <n v="0.56399999999999995"/>
    <n v="0.86399999999999999"/>
    <n v="4"/>
    <n v="-5.1210000000000004"/>
    <n v="1"/>
    <n v="3.4099999999999998E-2"/>
    <n v="7.6100000000000001E-2"/>
    <n v="0"/>
    <n v="0.182"/>
    <n v="0.53400000000000003"/>
    <n v="95.983999999999995"/>
    <n v="4"/>
    <x v="0"/>
  </r>
  <r>
    <x v="132"/>
    <s v="Jason Mraz"/>
    <s v="Waiting for My Rocket to Come (Expanded Edition)"/>
    <x v="103"/>
    <n v="20"/>
    <n v="339196"/>
    <x v="0"/>
    <n v="0.52100000000000002"/>
    <n v="0.495"/>
    <n v="5"/>
    <n v="-7.7560000000000002"/>
    <n v="1"/>
    <n v="2.7E-2"/>
    <n v="0.128"/>
    <n v="0"/>
    <n v="0.29599999999999999"/>
    <n v="0.11600000000000001"/>
    <n v="135.06100000000001"/>
    <n v="4"/>
    <x v="0"/>
  </r>
  <r>
    <x v="133"/>
    <s v="Jason Mraz"/>
    <s v="Waiting for My Rocket to Come (Expanded Edition)"/>
    <x v="104"/>
    <n v="22"/>
    <n v="296843"/>
    <x v="0"/>
    <n v="0.61599999999999999"/>
    <n v="0.81"/>
    <n v="2"/>
    <n v="-6.51"/>
    <n v="1"/>
    <n v="6.6799999999999998E-2"/>
    <n v="0.36899999999999999"/>
    <n v="0"/>
    <n v="0.107"/>
    <n v="0.79"/>
    <n v="97.994"/>
    <n v="4"/>
    <x v="0"/>
  </r>
  <r>
    <x v="134"/>
    <s v="Jason Mraz"/>
    <s v="Waiting for My Rocket to Come (Expanded Edition)"/>
    <x v="105"/>
    <n v="35"/>
    <n v="218240"/>
    <x v="0"/>
    <n v="0.61499999999999999"/>
    <n v="0.81200000000000006"/>
    <n v="7"/>
    <n v="-6.5730000000000004"/>
    <n v="1"/>
    <n v="4.58E-2"/>
    <n v="0.184"/>
    <n v="0"/>
    <n v="0.32800000000000001"/>
    <n v="0.74"/>
    <n v="98.953999999999994"/>
    <n v="4"/>
    <x v="0"/>
  </r>
  <r>
    <x v="135"/>
    <s v="Eddie Vedder"/>
    <s v="Into The Wild (Music For The Motion Picture)"/>
    <x v="106"/>
    <n v="60"/>
    <n v="151773"/>
    <x v="0"/>
    <n v="0.47799999999999998"/>
    <n v="0.30499999999999999"/>
    <n v="5"/>
    <n v="-13.061999999999999"/>
    <n v="1"/>
    <n v="3.0599999999999999E-2"/>
    <n v="0.67500000000000004"/>
    <n v="1.39E-3"/>
    <n v="0.16900000000000001"/>
    <n v="9.74E-2"/>
    <n v="108.66"/>
    <n v="4"/>
    <x v="0"/>
  </r>
  <r>
    <x v="136"/>
    <s v="Gabrielle Aplin"/>
    <s v="English Rain"/>
    <x v="65"/>
    <n v="59"/>
    <n v="181400"/>
    <x v="0"/>
    <n v="0.47899999999999998"/>
    <n v="0.54100000000000004"/>
    <n v="0"/>
    <n v="-9.8620000000000001"/>
    <n v="1"/>
    <n v="5.45E-2"/>
    <n v="0.73699999999999999"/>
    <n v="0"/>
    <n v="0.108"/>
    <n v="0.32100000000000001"/>
    <n v="85.994"/>
    <n v="4"/>
    <x v="0"/>
  </r>
  <r>
    <x v="137"/>
    <s v="KT Tunstall"/>
    <s v="Eye To The Telescope"/>
    <x v="71"/>
    <n v="73"/>
    <n v="201706"/>
    <x v="0"/>
    <n v="0.58699999999999997"/>
    <n v="0.76700000000000002"/>
    <n v="0"/>
    <n v="-5.7130000000000001"/>
    <n v="1"/>
    <n v="4.4900000000000002E-2"/>
    <n v="0.22500000000000001"/>
    <n v="0"/>
    <n v="0.112"/>
    <n v="0.66400000000000003"/>
    <n v="100.38"/>
    <n v="4"/>
    <x v="0"/>
  </r>
  <r>
    <x v="138"/>
    <s v="Jason Mraz"/>
    <s v="Waiting for My Rocket to Come (Expanded Edition)"/>
    <x v="107"/>
    <n v="22"/>
    <n v="192260"/>
    <x v="0"/>
    <n v="0.51400000000000001"/>
    <n v="0.56899999999999995"/>
    <n v="6"/>
    <n v="-7.8659999999999997"/>
    <n v="0"/>
    <n v="0.03"/>
    <n v="0.60099999999999998"/>
    <s v="2.21e-06"/>
    <n v="0.218"/>
    <n v="0.26400000000000001"/>
    <n v="142.59700000000001"/>
    <n v="4"/>
    <x v="0"/>
  </r>
  <r>
    <x v="139"/>
    <s v="Jason Mraz"/>
    <s v="Waiting for My Rocket to Come (Expanded Edition)"/>
    <x v="108"/>
    <n v="19"/>
    <n v="198855"/>
    <x v="0"/>
    <n v="0.64600000000000002"/>
    <n v="0.83599999999999997"/>
    <n v="1"/>
    <n v="-6.2030000000000003"/>
    <n v="1"/>
    <n v="3.27E-2"/>
    <n v="0.30099999999999999"/>
    <s v="3.23e-05"/>
    <n v="0.28999999999999998"/>
    <n v="0.72699999999999998"/>
    <n v="105.991"/>
    <n v="4"/>
    <x v="0"/>
  </r>
  <r>
    <x v="140"/>
    <s v="Jason Mraz"/>
    <s v="Waiting for My Rocket to Come (Expanded Edition)"/>
    <x v="109"/>
    <n v="24"/>
    <n v="191889"/>
    <x v="0"/>
    <n v="0.56999999999999995"/>
    <n v="0.71099999999999997"/>
    <n v="9"/>
    <n v="-4.1550000000000002"/>
    <n v="1"/>
    <n v="7.0300000000000001E-2"/>
    <n v="0.11899999999999999"/>
    <n v="0"/>
    <n v="0.35199999999999998"/>
    <n v="0.64800000000000002"/>
    <n v="163.11699999999999"/>
    <n v="4"/>
    <x v="0"/>
  </r>
  <r>
    <x v="141"/>
    <s v="JJ Heller"/>
    <s v="I Dream of You: CALM"/>
    <x v="110"/>
    <n v="57"/>
    <n v="171293"/>
    <x v="0"/>
    <n v="0.67800000000000005"/>
    <n v="0.19900000000000001"/>
    <n v="9"/>
    <n v="-9.7850000000000001"/>
    <n v="1"/>
    <n v="3.0700000000000002E-2"/>
    <n v="0.95699999999999996"/>
    <s v="3.23e-06"/>
    <n v="9.6799999999999997E-2"/>
    <n v="0.26200000000000001"/>
    <n v="72.006"/>
    <n v="4"/>
    <x v="0"/>
  </r>
  <r>
    <x v="142"/>
    <s v="Jason Mraz"/>
    <s v="Waiting for My Rocket to Come (Expanded Edition)"/>
    <x v="111"/>
    <n v="35"/>
    <n v="256440"/>
    <x v="0"/>
    <n v="0.58899999999999997"/>
    <n v="0.86699999999999999"/>
    <n v="10"/>
    <n v="-4.5229999999999997"/>
    <n v="1"/>
    <n v="3.85E-2"/>
    <n v="4.1000000000000002E-2"/>
    <n v="0"/>
    <n v="0.30599999999999999"/>
    <n v="0.79500000000000004"/>
    <n v="94.52"/>
    <n v="4"/>
    <x v="0"/>
  </r>
  <r>
    <x v="143"/>
    <s v="Jason Mraz"/>
    <s v="Waiting for My Rocket to Come (Expanded Edition)"/>
    <x v="112"/>
    <n v="20"/>
    <n v="221425"/>
    <x v="0"/>
    <n v="0.626"/>
    <n v="0.92600000000000005"/>
    <n v="2"/>
    <n v="-4.4409999999999998"/>
    <n v="1"/>
    <n v="4.7699999999999999E-2"/>
    <n v="2.6499999999999999E-2"/>
    <n v="0"/>
    <n v="0.159"/>
    <n v="0.54800000000000004"/>
    <n v="99.997"/>
    <n v="4"/>
    <x v="0"/>
  </r>
  <r>
    <x v="144"/>
    <s v="Jason Mraz"/>
    <s v="Waiting for My Rocket to Come (Expanded Edition)"/>
    <x v="113"/>
    <n v="18"/>
    <n v="255047"/>
    <x v="0"/>
    <n v="0.68600000000000005"/>
    <n v="0.55600000000000005"/>
    <n v="1"/>
    <n v="-8.5"/>
    <n v="0"/>
    <n v="2.7099999999999999E-2"/>
    <n v="0.53200000000000003"/>
    <n v="0"/>
    <n v="9.2200000000000004E-2"/>
    <n v="0.36"/>
    <n v="112.997"/>
    <n v="4"/>
    <x v="0"/>
  </r>
  <r>
    <x v="145"/>
    <s v="Jason Mraz"/>
    <s v="Waiting for My Rocket to Come (Expanded Edition)"/>
    <x v="114"/>
    <n v="19"/>
    <n v="208793"/>
    <x v="0"/>
    <n v="0.56000000000000005"/>
    <n v="0.83199999999999996"/>
    <n v="9"/>
    <n v="-5.5949999999999998"/>
    <n v="1"/>
    <n v="3.5200000000000002E-2"/>
    <n v="0.108"/>
    <n v="0"/>
    <n v="0.23200000000000001"/>
    <n v="0.80200000000000005"/>
    <n v="100.95699999999999"/>
    <n v="4"/>
    <x v="0"/>
  </r>
  <r>
    <x v="146"/>
    <s v="Jason Mraz"/>
    <s v="Waiting for My Rocket to Come (Expanded Edition)"/>
    <x v="115"/>
    <n v="23"/>
    <n v="214552"/>
    <x v="0"/>
    <n v="0.61899999999999999"/>
    <n v="0.79300000000000004"/>
    <n v="5"/>
    <n v="-5.9640000000000004"/>
    <n v="1"/>
    <n v="6.6100000000000006E-2"/>
    <n v="0.26300000000000001"/>
    <n v="0"/>
    <n v="8.2799999999999999E-2"/>
    <n v="0.89200000000000002"/>
    <n v="177.99100000000001"/>
    <n v="4"/>
    <x v="0"/>
  </r>
  <r>
    <x v="147"/>
    <s v="Jason Mraz"/>
    <s v="Waiting for My Rocket to Come (Expanded Edition)"/>
    <x v="116"/>
    <n v="19"/>
    <n v="264280"/>
    <x v="0"/>
    <n v="0.56000000000000005"/>
    <n v="0.27800000000000002"/>
    <n v="3"/>
    <n v="-12.500999999999999"/>
    <n v="1"/>
    <n v="9.2100000000000001E-2"/>
    <n v="0.73299999999999998"/>
    <n v="0"/>
    <n v="0.112"/>
    <n v="0.59399999999999997"/>
    <n v="102.187"/>
    <n v="4"/>
    <x v="0"/>
  </r>
  <r>
    <x v="148"/>
    <s v="Jason Mraz"/>
    <s v="Waiting for My Rocket to Come (Expanded Edition)"/>
    <x v="117"/>
    <n v="18"/>
    <n v="289041"/>
    <x v="0"/>
    <n v="0.59499999999999997"/>
    <n v="0.80500000000000005"/>
    <n v="8"/>
    <n v="-7.9260000000000002"/>
    <n v="1"/>
    <n v="5.4300000000000001E-2"/>
    <n v="1.67E-2"/>
    <s v="1.06e-05"/>
    <n v="6.9099999999999995E-2"/>
    <n v="0.35899999999999999"/>
    <n v="102.44"/>
    <n v="4"/>
    <x v="0"/>
  </r>
  <r>
    <x v="149"/>
    <s v="Eddie Vedder"/>
    <s v="Into The Wild (Music For The Motion Picture)"/>
    <x v="118"/>
    <n v="65"/>
    <n v="322080"/>
    <x v="0"/>
    <n v="0.438"/>
    <n v="0.82699999999999996"/>
    <n v="8"/>
    <n v="-6.5309999999999997"/>
    <n v="1"/>
    <n v="3.2800000000000003E-2"/>
    <n v="5.1200000000000002E-2"/>
    <n v="4.0200000000000001E-4"/>
    <n v="0.31900000000000001"/>
    <n v="0.64500000000000002"/>
    <n v="143.37700000000001"/>
    <n v="4"/>
    <x v="0"/>
  </r>
  <r>
    <x v="150"/>
    <s v="Susie Suh;Robot Koch"/>
    <s v="Here with Me"/>
    <x v="119"/>
    <n v="55"/>
    <n v="238971"/>
    <x v="0"/>
    <n v="0.58199999999999996"/>
    <n v="0.375"/>
    <n v="1"/>
    <n v="-13.276999999999999"/>
    <n v="0"/>
    <n v="3.2899999999999999E-2"/>
    <n v="0.70199999999999996"/>
    <n v="6.3100000000000003E-2"/>
    <n v="0.13600000000000001"/>
    <n v="0.106"/>
    <n v="129.90899999999999"/>
    <n v="4"/>
    <x v="0"/>
  </r>
  <r>
    <x v="151"/>
    <s v="Tyler Ward;Lindsey Stirling;Kina Grannis"/>
    <s v="Tyler Ward Covers, Vol. 5"/>
    <x v="120"/>
    <n v="47"/>
    <n v="276575"/>
    <x v="0"/>
    <n v="0.45300000000000001"/>
    <n v="0.29499999999999998"/>
    <n v="7"/>
    <n v="-12.881"/>
    <n v="1"/>
    <n v="2.9100000000000001E-2"/>
    <n v="0.51800000000000002"/>
    <n v="1.1E-4"/>
    <n v="0.29299999999999998"/>
    <n v="0.14000000000000001"/>
    <n v="146.02199999999999"/>
    <n v="4"/>
    <x v="0"/>
  </r>
  <r>
    <x v="152"/>
    <s v="Howie Day"/>
    <s v="Stop All The World Now"/>
    <x v="121"/>
    <n v="56"/>
    <n v="249120"/>
    <x v="0"/>
    <n v="0.63600000000000001"/>
    <n v="0.625"/>
    <n v="11"/>
    <n v="-7.8949999999999996"/>
    <n v="1"/>
    <n v="2.7699999999999999E-2"/>
    <n v="0.222"/>
    <s v="5.35e-05"/>
    <n v="0.11899999999999999"/>
    <n v="0.34200000000000003"/>
    <n v="93.930999999999997"/>
    <n v="4"/>
    <x v="0"/>
  </r>
  <r>
    <x v="153"/>
    <s v="Eden Elf;Ren Avel"/>
    <s v="get better"/>
    <x v="122"/>
    <n v="53"/>
    <n v="111734"/>
    <x v="0"/>
    <n v="0.63900000000000001"/>
    <n v="0.20100000000000001"/>
    <n v="7"/>
    <n v="-16.613"/>
    <n v="0"/>
    <n v="5.2600000000000001E-2"/>
    <n v="0.90700000000000003"/>
    <s v="2.26e-05"/>
    <n v="0.124"/>
    <n v="0.4"/>
    <n v="88.106999999999999"/>
    <n v="4"/>
    <x v="0"/>
  </r>
  <r>
    <x v="154"/>
    <s v="Kitri"/>
    <s v="Hikare Inochi"/>
    <x v="123"/>
    <n v="49"/>
    <n v="210760"/>
    <x v="0"/>
    <n v="0.69"/>
    <n v="0.42299999999999999"/>
    <n v="2"/>
    <n v="-9.1940000000000008"/>
    <n v="0"/>
    <n v="2.9399999999999999E-2"/>
    <n v="0.88300000000000001"/>
    <n v="1.23E-2"/>
    <n v="0.111"/>
    <n v="0.59"/>
    <n v="130.12100000000001"/>
    <n v="4"/>
    <x v="0"/>
  </r>
  <r>
    <x v="155"/>
    <s v="Boyce Avenue;Rachel Grae"/>
    <s v="Let It Go"/>
    <x v="124"/>
    <n v="51"/>
    <n v="255688"/>
    <x v="0"/>
    <n v="0.59899999999999998"/>
    <n v="0.34899999999999998"/>
    <n v="1"/>
    <n v="-9.2690000000000001"/>
    <n v="1"/>
    <n v="3.0099999999999998E-2"/>
    <n v="0.81899999999999995"/>
    <n v="0"/>
    <n v="0.112"/>
    <n v="0.44400000000000001"/>
    <n v="147.91300000000001"/>
    <n v="4"/>
    <x v="0"/>
  </r>
  <r>
    <x v="156"/>
    <s v="Chord Overstreet"/>
    <s v="What You Need"/>
    <x v="125"/>
    <n v="53"/>
    <n v="181786"/>
    <x v="0"/>
    <n v="0.51900000000000002"/>
    <n v="0.26400000000000001"/>
    <n v="0"/>
    <n v="-11.170999999999999"/>
    <n v="1"/>
    <n v="6.0100000000000001E-2"/>
    <n v="0.91800000000000004"/>
    <n v="2.5300000000000002E-4"/>
    <n v="0.23699999999999999"/>
    <n v="0.192"/>
    <n v="140.35400000000001"/>
    <n v="4"/>
    <x v="0"/>
  </r>
  <r>
    <x v="157"/>
    <s v="Five For Fighting"/>
    <s v="The Battle for Everything"/>
    <x v="126"/>
    <n v="66"/>
    <n v="244600"/>
    <x v="0"/>
    <n v="0.64300000000000002"/>
    <n v="0.56899999999999995"/>
    <n v="7"/>
    <n v="-7.4589999999999996"/>
    <n v="1"/>
    <n v="2.76E-2"/>
    <n v="0.54400000000000004"/>
    <s v="2.17e-05"/>
    <n v="0.17799999999999999"/>
    <n v="0.27500000000000002"/>
    <n v="120.50700000000001"/>
    <n v="4"/>
    <x v="0"/>
  </r>
  <r>
    <x v="158"/>
    <s v="Andrew Belle"/>
    <s v="Nightshade"/>
    <x v="127"/>
    <n v="56"/>
    <n v="174546"/>
    <x v="0"/>
    <n v="0.57299999999999995"/>
    <n v="0.624"/>
    <n v="1"/>
    <n v="-9.0760000000000005"/>
    <n v="0"/>
    <n v="3.2399999999999998E-2"/>
    <n v="0.47099999999999997"/>
    <n v="0.11700000000000001"/>
    <n v="0.114"/>
    <n v="0.52900000000000003"/>
    <n v="161.02500000000001"/>
    <n v="4"/>
    <x v="0"/>
  </r>
  <r>
    <x v="159"/>
    <s v="Rachael Yamagata"/>
    <s v="One Spring Night (Original Television Soundtrack), Pt. 1"/>
    <x v="128"/>
    <n v="47"/>
    <n v="234330"/>
    <x v="0"/>
    <n v="0.65400000000000003"/>
    <n v="0.82099999999999995"/>
    <n v="7"/>
    <n v="-5.4720000000000004"/>
    <n v="1"/>
    <n v="2.64E-2"/>
    <n v="6.6600000000000001E-3"/>
    <n v="2.99E-3"/>
    <n v="0.22800000000000001"/>
    <n v="0.61299999999999999"/>
    <n v="111.958"/>
    <n v="4"/>
    <x v="0"/>
  </r>
  <r>
    <x v="160"/>
    <s v="Cary Brothers"/>
    <s v="Under Control"/>
    <x v="129"/>
    <n v="51"/>
    <n v="255600"/>
    <x v="0"/>
    <n v="0.42599999999999999"/>
    <n v="0.39900000000000002"/>
    <n v="0"/>
    <n v="-8.4469999999999992"/>
    <n v="1"/>
    <n v="3.4000000000000002E-2"/>
    <n v="0.76100000000000001"/>
    <n v="1.1199999999999999E-3"/>
    <n v="0.11799999999999999"/>
    <n v="0.217"/>
    <n v="115.979"/>
    <n v="4"/>
    <x v="0"/>
  </r>
  <r>
    <x v="161"/>
    <s v="The Mayries"/>
    <s v="As It Was"/>
    <x v="130"/>
    <n v="55"/>
    <n v="176542"/>
    <x v="0"/>
    <n v="0.505"/>
    <n v="0.21"/>
    <n v="11"/>
    <n v="-11.349"/>
    <n v="1"/>
    <n v="2.9499999999999998E-2"/>
    <n v="0.90700000000000003"/>
    <n v="0"/>
    <n v="0.11"/>
    <n v="0.32300000000000001"/>
    <n v="80.721000000000004"/>
    <n v="4"/>
    <x v="0"/>
  </r>
  <r>
    <x v="162"/>
    <s v="Jason Mraz"/>
    <s v="I'm Yours"/>
    <x v="7"/>
    <n v="60"/>
    <n v="243494"/>
    <x v="0"/>
    <n v="0.69299999999999995"/>
    <n v="0.43"/>
    <n v="11"/>
    <n v="-9.3949999999999996"/>
    <n v="1"/>
    <n v="4.4200000000000003E-2"/>
    <n v="0.56499999999999995"/>
    <n v="0"/>
    <n v="9.2799999999999994E-2"/>
    <n v="0.73099999999999998"/>
    <n v="151.001"/>
    <n v="4"/>
    <x v="0"/>
  </r>
  <r>
    <x v="163"/>
    <s v="Joseph Sullinger"/>
    <s v="Chi Mai"/>
    <x v="131"/>
    <n v="40"/>
    <n v="188695"/>
    <x v="0"/>
    <n v="0.73899999999999999"/>
    <n v="0.28699999999999998"/>
    <n v="6"/>
    <n v="-14.007"/>
    <n v="0"/>
    <n v="5.8999999999999997E-2"/>
    <n v="0.96899999999999997"/>
    <n v="0.96099999999999997"/>
    <n v="0.111"/>
    <n v="0.55700000000000005"/>
    <n v="80.64"/>
    <n v="4"/>
    <x v="0"/>
  </r>
  <r>
    <x v="164"/>
    <s v="A Great Big World;Christina Aguilera"/>
    <s v="Say Something"/>
    <x v="6"/>
    <n v="58"/>
    <n v="229400"/>
    <x v="0"/>
    <n v="0.45300000000000001"/>
    <n v="0.14599999999999999"/>
    <n v="2"/>
    <n v="-8.9760000000000009"/>
    <n v="1"/>
    <n v="3.4299999999999997E-2"/>
    <n v="0.86699999999999999"/>
    <s v="3.49e-06"/>
    <n v="9.4500000000000001E-2"/>
    <n v="9.1499999999999998E-2"/>
    <n v="137.905"/>
    <n v="3"/>
    <x v="0"/>
  </r>
  <r>
    <x v="165"/>
    <s v="Parachute"/>
    <s v="Parachute"/>
    <x v="132"/>
    <n v="55"/>
    <n v="216853"/>
    <x v="0"/>
    <n v="0.60599999999999998"/>
    <n v="0.54"/>
    <n v="7"/>
    <n v="-6.2709999999999999"/>
    <n v="0"/>
    <n v="3.39E-2"/>
    <n v="0.182"/>
    <n v="1.44E-4"/>
    <n v="0.14399999999999999"/>
    <n v="0.249"/>
    <n v="79.951999999999998"/>
    <n v="4"/>
    <x v="0"/>
  </r>
  <r>
    <x v="166"/>
    <s v="Zack Tabudlo;Yonnyboii"/>
    <s v="Take Me Back"/>
    <x v="133"/>
    <n v="50"/>
    <n v="149000"/>
    <x v="0"/>
    <n v="0.59499999999999997"/>
    <n v="0.64600000000000002"/>
    <n v="0"/>
    <n v="-5.4950000000000001"/>
    <n v="1"/>
    <n v="3.27E-2"/>
    <n v="0.11"/>
    <n v="0"/>
    <n v="0.25800000000000001"/>
    <n v="0.56299999999999994"/>
    <n v="120.04900000000001"/>
    <n v="4"/>
    <x v="0"/>
  </r>
  <r>
    <x v="167"/>
    <s v="Tobey Rosen"/>
    <s v="Whole Again (Acoustic Version)"/>
    <x v="134"/>
    <n v="52"/>
    <n v="157231"/>
    <x v="0"/>
    <n v="0.73599999999999999"/>
    <n v="0.14499999999999999"/>
    <n v="11"/>
    <n v="-9.2149999999999999"/>
    <n v="1"/>
    <n v="3.3599999999999998E-2"/>
    <n v="0.85499999999999998"/>
    <n v="0"/>
    <n v="0.108"/>
    <n v="0.23499999999999999"/>
    <n v="129.83199999999999"/>
    <n v="4"/>
    <x v="0"/>
  </r>
  <r>
    <x v="168"/>
    <s v="The Mayries"/>
    <s v="Overpass Graffiti"/>
    <x v="135"/>
    <n v="54"/>
    <n v="226603"/>
    <x v="0"/>
    <n v="0.47899999999999998"/>
    <n v="0.126"/>
    <n v="1"/>
    <n v="-13.974"/>
    <n v="1"/>
    <n v="3.0300000000000001E-2"/>
    <n v="0.96599999999999997"/>
    <n v="0"/>
    <n v="0.113"/>
    <n v="0.27900000000000003"/>
    <n v="96.326999999999998"/>
    <n v="4"/>
    <x v="0"/>
  </r>
  <r>
    <x v="169"/>
    <s v="Sara Bareilles"/>
    <s v="Little Voice"/>
    <x v="136"/>
    <n v="73"/>
    <n v="258826"/>
    <x v="0"/>
    <n v="0.58299999999999996"/>
    <n v="0.78600000000000003"/>
    <n v="2"/>
    <n v="-3.1419999999999999"/>
    <n v="0"/>
    <n v="3.0099999999999998E-2"/>
    <n v="2.0799999999999999E-2"/>
    <n v="0"/>
    <n v="0.188"/>
    <n v="0.57299999999999995"/>
    <n v="123.05500000000001"/>
    <n v="4"/>
    <x v="0"/>
  </r>
  <r>
    <x v="170"/>
    <s v="Andrew Foy;Renee Foy"/>
    <s v="Let Her Go"/>
    <x v="137"/>
    <n v="38"/>
    <n v="194013"/>
    <x v="0"/>
    <n v="0.54900000000000004"/>
    <n v="0.29099999999999998"/>
    <n v="2"/>
    <n v="-13.457000000000001"/>
    <n v="1"/>
    <n v="3.8800000000000001E-2"/>
    <n v="0.85799999999999998"/>
    <n v="8.4599999999999996E-4"/>
    <n v="0.129"/>
    <n v="0.376"/>
    <n v="75.153000000000006"/>
    <n v="4"/>
    <x v="0"/>
  </r>
  <r>
    <x v="171"/>
    <s v="Aqualung"/>
    <s v="Still Life"/>
    <x v="138"/>
    <n v="53"/>
    <n v="242439"/>
    <x v="0"/>
    <n v="0.41799999999999998"/>
    <n v="0.48899999999999999"/>
    <n v="6"/>
    <n v="-8.3729999999999993"/>
    <n v="0"/>
    <n v="3.2300000000000002E-2"/>
    <n v="0.28699999999999998"/>
    <n v="2.8799999999999999E-2"/>
    <n v="0.42"/>
    <n v="0.39800000000000002"/>
    <n v="72.891000000000005"/>
    <n v="4"/>
    <x v="0"/>
  </r>
  <r>
    <x v="172"/>
    <s v="Tyler Ward;Karis;Ray Lorraine"/>
    <s v="Love Story"/>
    <x v="139"/>
    <n v="55"/>
    <n v="232500"/>
    <x v="0"/>
    <n v="0.498"/>
    <n v="0.12"/>
    <n v="0"/>
    <n v="-17.721"/>
    <n v="1"/>
    <n v="4.87E-2"/>
    <n v="0.85099999999999998"/>
    <n v="0"/>
    <n v="0.17100000000000001"/>
    <n v="0.33800000000000002"/>
    <n v="121.187"/>
    <n v="4"/>
    <x v="0"/>
  </r>
  <r>
    <x v="173"/>
    <s v="AgustÃ­n AmigÃ³;Nylonwings"/>
    <s v="Mujer con Abanico"/>
    <x v="140"/>
    <n v="41"/>
    <n v="156787"/>
    <x v="0"/>
    <n v="0.76900000000000002"/>
    <n v="0.13500000000000001"/>
    <n v="5"/>
    <n v="-12.048999999999999"/>
    <n v="0"/>
    <n v="6.0999999999999999E-2"/>
    <n v="0.98599999999999999"/>
    <n v="0.90500000000000003"/>
    <n v="0.106"/>
    <n v="0.47099999999999997"/>
    <n v="103.93899999999999"/>
    <n v="4"/>
    <x v="0"/>
  </r>
  <r>
    <x v="174"/>
    <s v="Amy Stroup"/>
    <s v="In the Shadows"/>
    <x v="141"/>
    <n v="46"/>
    <n v="263823"/>
    <x v="0"/>
    <n v="0.434"/>
    <n v="0.46899999999999997"/>
    <n v="0"/>
    <n v="-7.8490000000000002"/>
    <n v="0"/>
    <n v="2.6499999999999999E-2"/>
    <n v="0.52"/>
    <n v="3.28E-4"/>
    <n v="0.108"/>
    <n v="5.6800000000000003E-2"/>
    <n v="136.28200000000001"/>
    <n v="4"/>
    <x v="0"/>
  </r>
  <r>
    <x v="175"/>
    <s v="Boyce Avenue;Connie Talbot"/>
    <s v="Can You Feel the Love Tonight"/>
    <x v="142"/>
    <n v="63"/>
    <n v="250916"/>
    <x v="0"/>
    <n v="0.45200000000000001"/>
    <n v="0.19800000000000001"/>
    <n v="10"/>
    <n v="-9.3740000000000006"/>
    <n v="1"/>
    <n v="3.3500000000000002E-2"/>
    <n v="0.93100000000000005"/>
    <s v="2.24e-06"/>
    <n v="0.1"/>
    <n v="0.217"/>
    <n v="119.499"/>
    <n v="4"/>
    <x v="0"/>
  </r>
  <r>
    <x v="176"/>
    <s v="Brandi Carlile"/>
    <s v="The Story"/>
    <x v="143"/>
    <n v="66"/>
    <n v="238493"/>
    <x v="0"/>
    <n v="0.54400000000000004"/>
    <n v="0.5"/>
    <n v="11"/>
    <n v="-8.2530000000000001"/>
    <n v="1"/>
    <n v="2.5999999999999999E-2"/>
    <n v="3.2500000000000001E-2"/>
    <s v="3.78e-06"/>
    <n v="0.109"/>
    <n v="0.17699999999999999"/>
    <n v="93.620999999999995"/>
    <n v="4"/>
    <x v="0"/>
  </r>
  <r>
    <x v="177"/>
    <s v="JJ Heller"/>
    <s v="Better"/>
    <x v="144"/>
    <n v="54"/>
    <n v="215906"/>
    <x v="0"/>
    <n v="0.66200000000000003"/>
    <n v="0.187"/>
    <n v="2"/>
    <n v="-9.0030000000000001"/>
    <n v="1"/>
    <n v="2.6800000000000001E-2"/>
    <n v="0.96899999999999997"/>
    <n v="2.7300000000000002E-4"/>
    <n v="9.2200000000000004E-2"/>
    <n v="0.23300000000000001"/>
    <n v="104.988"/>
    <n v="4"/>
    <x v="0"/>
  </r>
  <r>
    <x v="178"/>
    <s v="Kina Grannis"/>
    <s v="Iris"/>
    <x v="145"/>
    <n v="62"/>
    <n v="181136"/>
    <x v="0"/>
    <n v="0.497"/>
    <n v="0.13"/>
    <n v="6"/>
    <n v="-15.571"/>
    <n v="1"/>
    <n v="4.36E-2"/>
    <n v="0.84099999999999997"/>
    <n v="0"/>
    <n v="0.111"/>
    <n v="0.17899999999999999"/>
    <n v="130.76900000000001"/>
    <n v="3"/>
    <x v="0"/>
  </r>
  <r>
    <x v="179"/>
    <s v="The Mayries"/>
    <s v="#Acoustic"/>
    <x v="146"/>
    <n v="57"/>
    <n v="157466"/>
    <x v="0"/>
    <n v="0.52800000000000002"/>
    <n v="0.29099999999999998"/>
    <n v="10"/>
    <n v="-9.6959999999999997"/>
    <n v="1"/>
    <n v="4.0099999999999997E-2"/>
    <n v="0.91400000000000003"/>
    <n v="0"/>
    <n v="0.121"/>
    <n v="0.35499999999999998"/>
    <n v="76.805000000000007"/>
    <n v="4"/>
    <x v="0"/>
  </r>
  <r>
    <x v="180"/>
    <s v="Caleb Santos;Viva Music Publishing Inc."/>
    <s v="I Need You More Today"/>
    <x v="147"/>
    <n v="68"/>
    <n v="233728"/>
    <x v="0"/>
    <n v="0.46100000000000002"/>
    <n v="0.52200000000000002"/>
    <n v="11"/>
    <n v="-7.5129999999999999"/>
    <n v="1"/>
    <n v="4.2999999999999997E-2"/>
    <n v="0.36"/>
    <n v="0"/>
    <n v="0.123"/>
    <n v="0.44600000000000001"/>
    <n v="157.768"/>
    <n v="4"/>
    <x v="0"/>
  </r>
  <r>
    <x v="181"/>
    <s v="Boyce Avenue"/>
    <s v="Cover Sessions, Vol. 4"/>
    <x v="148"/>
    <n v="62"/>
    <n v="216612"/>
    <x v="0"/>
    <n v="0.48299999999999998"/>
    <n v="0.50600000000000001"/>
    <n v="9"/>
    <n v="-6.0579999999999998"/>
    <n v="1"/>
    <n v="3.4700000000000002E-2"/>
    <n v="0.39400000000000002"/>
    <n v="0"/>
    <n v="9.4600000000000004E-2"/>
    <n v="0.70499999999999996"/>
    <n v="87.337000000000003"/>
    <n v="4"/>
    <x v="0"/>
  </r>
  <r>
    <x v="182"/>
    <s v="Jason Mraz"/>
    <s v="Know."/>
    <x v="149"/>
    <n v="53"/>
    <n v="245186"/>
    <x v="0"/>
    <n v="0.39200000000000002"/>
    <n v="0.42299999999999999"/>
    <n v="7"/>
    <n v="-7.8129999999999997"/>
    <n v="1"/>
    <n v="3.4799999999999998E-2"/>
    <n v="0.27"/>
    <n v="0"/>
    <n v="0.11700000000000001"/>
    <n v="0.28799999999999998"/>
    <n v="113.53700000000001"/>
    <n v="4"/>
    <x v="0"/>
  </r>
  <r>
    <x v="183"/>
    <s v="Rachael Yamagata"/>
    <s v="Something In the Rain (Music from the Original TV Series)"/>
    <x v="150"/>
    <n v="44"/>
    <n v="219613"/>
    <x v="0"/>
    <n v="0.42"/>
    <n v="0.2"/>
    <n v="7"/>
    <n v="-18.827000000000002"/>
    <n v="1"/>
    <n v="4.9200000000000001E-2"/>
    <n v="0.92900000000000005"/>
    <n v="0.49"/>
    <n v="7.5800000000000006E-2"/>
    <n v="0.16400000000000001"/>
    <n v="87.248000000000005"/>
    <n v="4"/>
    <x v="0"/>
  </r>
  <r>
    <x v="184"/>
    <s v="Parachute"/>
    <s v="The Way It Was"/>
    <x v="151"/>
    <n v="57"/>
    <n v="248960"/>
    <x v="0"/>
    <n v="0.65700000000000003"/>
    <n v="0.71599999999999997"/>
    <n v="2"/>
    <n v="-5.6749999999999998"/>
    <n v="1"/>
    <n v="3.0099999999999998E-2"/>
    <n v="1.4E-2"/>
    <n v="0"/>
    <n v="4.8300000000000003E-2"/>
    <n v="0.435"/>
    <n v="93.924000000000007"/>
    <n v="4"/>
    <x v="0"/>
  </r>
  <r>
    <x v="185"/>
    <s v="Priscilla Ahn"/>
    <s v="When Marnie Was There Song Album - Just Know That I Love You."/>
    <x v="152"/>
    <n v="52"/>
    <n v="252466"/>
    <x v="0"/>
    <n v="0.495"/>
    <n v="0.185"/>
    <n v="9"/>
    <n v="-13.824"/>
    <n v="1"/>
    <n v="2.8799999999999999E-2"/>
    <n v="0.69199999999999995"/>
    <n v="4.0299999999999997E-3"/>
    <n v="0.109"/>
    <n v="0.19600000000000001"/>
    <n v="101.89"/>
    <n v="4"/>
    <x v="0"/>
  </r>
  <r>
    <x v="186"/>
    <s v="Chord Overstreet"/>
    <s v="Tree House Tapes"/>
    <x v="153"/>
    <n v="53"/>
    <n v="246613"/>
    <x v="0"/>
    <n v="0.55000000000000004"/>
    <n v="0.499"/>
    <n v="4"/>
    <n v="-9.5020000000000007"/>
    <n v="1"/>
    <n v="3.3799999999999997E-2"/>
    <n v="0.47199999999999998"/>
    <s v="2.26e-06"/>
    <n v="7.9799999999999996E-2"/>
    <n v="0.14399999999999999"/>
    <n v="86.965999999999994"/>
    <n v="1"/>
    <x v="0"/>
  </r>
  <r>
    <x v="187"/>
    <s v="JJ Heller"/>
    <s v="I Believe in You"/>
    <x v="154"/>
    <n v="53"/>
    <n v="198786"/>
    <x v="0"/>
    <n v="0.53400000000000003"/>
    <n v="0.35899999999999999"/>
    <n v="0"/>
    <n v="-9.3109999999999999"/>
    <n v="1"/>
    <n v="2.9600000000000001E-2"/>
    <n v="0.44900000000000001"/>
    <s v="1.2e-05"/>
    <n v="0.33100000000000002"/>
    <n v="0.26700000000000002"/>
    <n v="131.804"/>
    <n v="4"/>
    <x v="0"/>
  </r>
  <r>
    <x v="188"/>
    <s v="Jon Bryant"/>
    <s v="Cult Classic"/>
    <x v="155"/>
    <n v="55"/>
    <n v="226640"/>
    <x v="0"/>
    <n v="0.378"/>
    <n v="0.52"/>
    <n v="11"/>
    <n v="-10.965"/>
    <n v="1"/>
    <n v="3.8199999999999998E-2"/>
    <n v="0.77700000000000002"/>
    <n v="8.8800000000000004E-2"/>
    <n v="9.7900000000000001E-2"/>
    <n v="0.35699999999999998"/>
    <n v="73.744"/>
    <n v="4"/>
    <x v="0"/>
  </r>
  <r>
    <x v="189"/>
    <s v="Donovan Woods"/>
    <s v="Hard Settle, Ain't Troubled"/>
    <x v="156"/>
    <n v="66"/>
    <n v="203869"/>
    <x v="0"/>
    <n v="0.60599999999999998"/>
    <n v="0.34899999999999998"/>
    <n v="4"/>
    <n v="-13.967000000000001"/>
    <n v="1"/>
    <n v="3.1899999999999998E-2"/>
    <n v="0.76400000000000001"/>
    <n v="0.30599999999999999"/>
    <n v="0.112"/>
    <n v="0.156"/>
    <n v="80.070999999999998"/>
    <n v="4"/>
    <x v="0"/>
  </r>
  <r>
    <x v="190"/>
    <s v="Ross Copperman"/>
    <s v="Holding On and Letting Go LP"/>
    <x v="94"/>
    <n v="49"/>
    <n v="317441"/>
    <x v="0"/>
    <n v="0.48599999999999999"/>
    <n v="0.55500000000000005"/>
    <n v="2"/>
    <n v="-9.4659999999999993"/>
    <n v="1"/>
    <n v="2.7099999999999999E-2"/>
    <n v="0.81799999999999995"/>
    <n v="2.6900000000000001E-3"/>
    <n v="0.109"/>
    <n v="9.9199999999999997E-2"/>
    <n v="77.986999999999995"/>
    <n v="4"/>
    <x v="0"/>
  </r>
  <r>
    <x v="191"/>
    <s v="Joshua Hyslop"/>
    <s v="In Deepest Blue (Bonus Track Version)"/>
    <x v="157"/>
    <n v="60"/>
    <n v="261640"/>
    <x v="0"/>
    <n v="0.57699999999999996"/>
    <n v="0.44600000000000001"/>
    <n v="6"/>
    <n v="-11.343"/>
    <n v="1"/>
    <n v="3.1300000000000001E-2"/>
    <n v="0.55400000000000005"/>
    <n v="7.8200000000000006E-2"/>
    <n v="0.11600000000000001"/>
    <n v="0.26200000000000001"/>
    <n v="81.004999999999995"/>
    <n v="4"/>
    <x v="0"/>
  </r>
  <r>
    <x v="192"/>
    <s v="Angelina Cruz"/>
    <s v="Hanggang Kailan (Umuwi Ka Na Baby)"/>
    <x v="158"/>
    <n v="38"/>
    <n v="211933"/>
    <x v="0"/>
    <n v="0.59"/>
    <n v="0.40699999999999997"/>
    <n v="4"/>
    <n v="-9.0790000000000006"/>
    <n v="1"/>
    <n v="3.61E-2"/>
    <n v="0.86099999999999999"/>
    <s v="9.95e-06"/>
    <n v="9.4E-2"/>
    <n v="0.27600000000000002"/>
    <n v="145.852"/>
    <n v="4"/>
    <x v="0"/>
  </r>
  <r>
    <x v="193"/>
    <s v="Stephen Speaks"/>
    <s v="No More Doubt"/>
    <x v="159"/>
    <n v="67"/>
    <n v="218800"/>
    <x v="0"/>
    <n v="0.53800000000000003"/>
    <n v="0.315"/>
    <n v="0"/>
    <n v="-10.057"/>
    <n v="1"/>
    <n v="2.9100000000000001E-2"/>
    <n v="0.96"/>
    <n v="5.96E-3"/>
    <n v="9.7900000000000001E-2"/>
    <n v="0.4"/>
    <n v="91.921000000000006"/>
    <n v="3"/>
    <x v="0"/>
  </r>
  <r>
    <x v="194"/>
    <s v="A Great Big World"/>
    <s v="Is There Anybody Out There? - Track by Track Commentary"/>
    <x v="6"/>
    <n v="57"/>
    <n v="233266"/>
    <x v="0"/>
    <n v="0.44700000000000001"/>
    <n v="0.158"/>
    <n v="2"/>
    <n v="-7.5709999999999997"/>
    <n v="1"/>
    <n v="3.5999999999999997E-2"/>
    <n v="0.872"/>
    <s v="1.58e-06"/>
    <n v="8.1600000000000006E-2"/>
    <n v="0.14199999999999999"/>
    <n v="140.94200000000001"/>
    <n v="3"/>
    <x v="0"/>
  </r>
  <r>
    <x v="195"/>
    <s v="Eddie Vedder"/>
    <s v="Into The Wild (Music For The Motion Picture)"/>
    <x v="160"/>
    <n v="60"/>
    <n v="156453"/>
    <x v="0"/>
    <n v="0.40100000000000002"/>
    <n v="0.57999999999999996"/>
    <n v="7"/>
    <n v="-6.86"/>
    <n v="1"/>
    <n v="5.4100000000000002E-2"/>
    <n v="0.90600000000000003"/>
    <n v="0.217"/>
    <n v="0.13400000000000001"/>
    <n v="0.52600000000000002"/>
    <n v="173.27699999999999"/>
    <n v="3"/>
    <x v="0"/>
  </r>
  <r>
    <x v="196"/>
    <s v="The Weepies;Deb Talan;Steve Tannen"/>
    <s v="Say I Am You"/>
    <x v="161"/>
    <n v="64"/>
    <n v="165133"/>
    <x v="0"/>
    <n v="0.502"/>
    <n v="0.311"/>
    <n v="1"/>
    <n v="-13.420999999999999"/>
    <n v="1"/>
    <n v="2.8500000000000001E-2"/>
    <n v="0.61699999999999999"/>
    <s v="4.32e-05"/>
    <n v="0.129"/>
    <n v="0.4"/>
    <n v="107.61199999999999"/>
    <n v="4"/>
    <x v="0"/>
  </r>
  <r>
    <x v="197"/>
    <s v="Freddie King"/>
    <s v="Thanksgiving Party"/>
    <x v="162"/>
    <n v="0"/>
    <n v="216626"/>
    <x v="0"/>
    <n v="0.67800000000000005"/>
    <n v="0.61199999999999999"/>
    <n v="4"/>
    <n v="-9.7639999999999993"/>
    <n v="1"/>
    <n v="3.39E-2"/>
    <n v="0.1"/>
    <n v="0.316"/>
    <n v="0.16400000000000001"/>
    <n v="0.85699999999999998"/>
    <n v="118.381"/>
    <n v="4"/>
    <x v="0"/>
  </r>
  <r>
    <x v="198"/>
    <s v="Taj Mahal"/>
    <s v="Supa Chill"/>
    <x v="163"/>
    <n v="0"/>
    <n v="251426"/>
    <x v="0"/>
    <n v="0.65"/>
    <n v="0.40600000000000003"/>
    <n v="7"/>
    <n v="-13.492000000000001"/>
    <n v="1"/>
    <n v="7.6100000000000001E-2"/>
    <n v="0.56799999999999995"/>
    <n v="0"/>
    <n v="0.48399999999999999"/>
    <n v="0.86199999999999999"/>
    <n v="79.641999999999996"/>
    <n v="4"/>
    <x v="0"/>
  </r>
  <r>
    <x v="199"/>
    <s v="Keb' Mo';Gerald Albright"/>
    <s v="Un tecito y a mimir"/>
    <x v="164"/>
    <n v="0"/>
    <n v="209293"/>
    <x v="0"/>
    <n v="0.64900000000000002"/>
    <n v="0.39900000000000002"/>
    <n v="6"/>
    <n v="-7.8940000000000001"/>
    <n v="1"/>
    <n v="2.5600000000000001E-2"/>
    <n v="0.184"/>
    <n v="1.08E-4"/>
    <n v="0.113"/>
    <n v="0.34200000000000003"/>
    <n v="97.498000000000005"/>
    <n v="3"/>
    <x v="0"/>
  </r>
  <r>
    <x v="200"/>
    <s v="Motohiro Hata"/>
    <s v="é’ã®å…‰æ™¯"/>
    <x v="165"/>
    <n v="61"/>
    <n v="308146"/>
    <x v="0"/>
    <n v="0.52300000000000002"/>
    <n v="0.44500000000000001"/>
    <n v="10"/>
    <n v="-6.359"/>
    <n v="1"/>
    <n v="3.2899999999999999E-2"/>
    <n v="0.188"/>
    <n v="0"/>
    <n v="0.18"/>
    <n v="0.33600000000000002"/>
    <n v="78.956999999999994"/>
    <n v="4"/>
    <x v="0"/>
  </r>
  <r>
    <x v="201"/>
    <s v="Thomas Daniel"/>
    <s v="Since U Been Gone"/>
    <x v="166"/>
    <n v="50"/>
    <n v="221170"/>
    <x v="0"/>
    <n v="0.53800000000000003"/>
    <n v="0.16200000000000001"/>
    <n v="5"/>
    <n v="-13.31"/>
    <n v="1"/>
    <n v="2.9899999999999999E-2"/>
    <n v="0.84699999999999998"/>
    <n v="0"/>
    <n v="0.114"/>
    <n v="0.36599999999999999"/>
    <n v="94.980999999999995"/>
    <n v="4"/>
    <x v="0"/>
  </r>
  <r>
    <x v="202"/>
    <s v="Masayoshi Yamazaki"/>
    <s v="One more time,One more chance"/>
    <x v="167"/>
    <n v="47"/>
    <n v="330786"/>
    <x v="0"/>
    <n v="0.51900000000000002"/>
    <n v="0.42899999999999999"/>
    <n v="11"/>
    <n v="-7.7069999999999999"/>
    <n v="0"/>
    <n v="3.1699999999999999E-2"/>
    <n v="0.65800000000000003"/>
    <n v="0"/>
    <n v="0.111"/>
    <n v="0.39600000000000002"/>
    <n v="129.49100000000001"/>
    <n v="4"/>
    <x v="0"/>
  </r>
  <r>
    <x v="203"/>
    <s v="Kina Grannis"/>
    <s v="Creep"/>
    <x v="168"/>
    <n v="58"/>
    <n v="234135"/>
    <x v="0"/>
    <n v="0.58499999999999996"/>
    <n v="0.10299999999999999"/>
    <n v="7"/>
    <n v="-12.682"/>
    <n v="1"/>
    <n v="3.09E-2"/>
    <n v="0.80100000000000005"/>
    <n v="0"/>
    <n v="0.126"/>
    <n v="0.17899999999999999"/>
    <n v="133.05699999999999"/>
    <n v="4"/>
    <x v="0"/>
  </r>
  <r>
    <x v="204"/>
    <s v="Todd Carey;Ariza;Chuck Leavell"/>
    <s v="Higher Love"/>
    <x v="169"/>
    <n v="30"/>
    <n v="173250"/>
    <x v="0"/>
    <n v="0.57799999999999996"/>
    <n v="0.76300000000000001"/>
    <n v="2"/>
    <n v="-4.8239999999999998"/>
    <n v="1"/>
    <n v="9.98E-2"/>
    <n v="9.1600000000000001E-2"/>
    <s v="2.8e-06"/>
    <n v="7.4300000000000005E-2"/>
    <n v="0.39400000000000002"/>
    <n v="96.808000000000007"/>
    <n v="4"/>
    <x v="0"/>
  </r>
  <r>
    <x v="205"/>
    <s v="YUZU"/>
    <s v="Shinsekai"/>
    <x v="170"/>
    <n v="52"/>
    <n v="336619"/>
    <x v="0"/>
    <n v="0.223"/>
    <n v="0.89100000000000001"/>
    <n v="1"/>
    <n v="-3.6259999999999999"/>
    <n v="0"/>
    <n v="0.13800000000000001"/>
    <n v="0.32500000000000001"/>
    <n v="0"/>
    <n v="0.28699999999999998"/>
    <n v="0.33300000000000002"/>
    <n v="159.88800000000001"/>
    <n v="4"/>
    <x v="0"/>
  </r>
  <r>
    <x v="206"/>
    <s v="Canyon City"/>
    <s v="How Long Will I Love You"/>
    <x v="171"/>
    <n v="55"/>
    <n v="144830"/>
    <x v="0"/>
    <n v="0.38200000000000001"/>
    <n v="0.157"/>
    <n v="1"/>
    <n v="-16.157"/>
    <n v="1"/>
    <n v="3.61E-2"/>
    <n v="0.878"/>
    <n v="4.73E-4"/>
    <n v="0.112"/>
    <n v="0.224"/>
    <n v="136.11000000000001"/>
    <n v="4"/>
    <x v="0"/>
  </r>
  <r>
    <x v="207"/>
    <s v="Zack Tabudlo"/>
    <s v="Binibini"/>
    <x v="172"/>
    <n v="67"/>
    <n v="221538"/>
    <x v="0"/>
    <n v="0.64200000000000002"/>
    <n v="0.374"/>
    <n v="5"/>
    <n v="-10.606"/>
    <n v="1"/>
    <n v="3.2000000000000001E-2"/>
    <n v="0.42299999999999999"/>
    <s v="1.54e-06"/>
    <n v="0.435"/>
    <n v="9.7900000000000001E-2"/>
    <n v="129.863"/>
    <n v="4"/>
    <x v="0"/>
  </r>
  <r>
    <x v="208"/>
    <s v="Aron Wright"/>
    <s v="You Were Supposed to Be Different"/>
    <x v="173"/>
    <n v="45"/>
    <n v="192972"/>
    <x v="0"/>
    <n v="0.436"/>
    <n v="0.23899999999999999"/>
    <n v="7"/>
    <n v="-12.83"/>
    <n v="1"/>
    <n v="2.8199999999999999E-2"/>
    <n v="0.86099999999999999"/>
    <s v="8.48e-05"/>
    <n v="9.0200000000000002E-2"/>
    <n v="0.13700000000000001"/>
    <n v="73.760999999999996"/>
    <n v="4"/>
    <x v="0"/>
  </r>
  <r>
    <x v="209"/>
    <s v="Boyce Avenue"/>
    <s v="Cover Sessions, Vol. 3"/>
    <x v="174"/>
    <n v="56"/>
    <n v="278640"/>
    <x v="0"/>
    <n v="0.70199999999999996"/>
    <n v="0.32600000000000001"/>
    <n v="1"/>
    <n v="-6.6379999999999999"/>
    <n v="1"/>
    <n v="2.7199999999999998E-2"/>
    <n v="0.70499999999999996"/>
    <n v="0"/>
    <n v="0.16800000000000001"/>
    <n v="0.628"/>
    <n v="79.903999999999996"/>
    <n v="4"/>
    <x v="0"/>
  </r>
  <r>
    <x v="210"/>
    <s v="Jonah Baker"/>
    <s v="Covers"/>
    <x v="175"/>
    <n v="37"/>
    <n v="212864"/>
    <x v="0"/>
    <n v="0.59299999999999997"/>
    <n v="0.29199999999999998"/>
    <n v="11"/>
    <n v="-12.755000000000001"/>
    <n v="1"/>
    <n v="3.6400000000000002E-2"/>
    <n v="0.82799999999999996"/>
    <n v="0"/>
    <n v="0.17399999999999999"/>
    <n v="0.375"/>
    <n v="111.121"/>
    <n v="4"/>
    <x v="0"/>
  </r>
  <r>
    <x v="211"/>
    <s v="The Civil Wars"/>
    <s v="Barton Hollow"/>
    <x v="176"/>
    <n v="54"/>
    <n v="219466"/>
    <x v="0"/>
    <n v="0.28499999999999998"/>
    <n v="0.186"/>
    <n v="1"/>
    <n v="-12.728999999999999"/>
    <n v="1"/>
    <n v="2.8799999999999999E-2"/>
    <n v="0.76"/>
    <s v="7.3e-05"/>
    <n v="0.104"/>
    <n v="0.20300000000000001"/>
    <n v="153.84800000000001"/>
    <n v="4"/>
    <x v="0"/>
  </r>
  <r>
    <x v="212"/>
    <s v="Howie Day"/>
    <s v="Stop All The World Now"/>
    <x v="121"/>
    <n v="66"/>
    <n v="249120"/>
    <x v="0"/>
    <n v="0.63600000000000001"/>
    <n v="0.625"/>
    <n v="11"/>
    <n v="-7.8949999999999996"/>
    <n v="1"/>
    <n v="2.7699999999999999E-2"/>
    <n v="0.222"/>
    <s v="5.35e-05"/>
    <n v="0.11899999999999999"/>
    <n v="0.34200000000000003"/>
    <n v="93.930999999999997"/>
    <n v="4"/>
    <x v="0"/>
  </r>
  <r>
    <x v="213"/>
    <s v="Ingrid Michaelson"/>
    <s v="Be OK"/>
    <x v="177"/>
    <n v="63"/>
    <n v="148400"/>
    <x v="0"/>
    <n v="0.69799999999999995"/>
    <n v="0.28499999999999998"/>
    <n v="0"/>
    <n v="-7.6319999999999997"/>
    <n v="1"/>
    <n v="5.5300000000000002E-2"/>
    <n v="0.92700000000000005"/>
    <n v="0"/>
    <n v="8.8300000000000003E-2"/>
    <n v="0.53"/>
    <n v="135.02699999999999"/>
    <n v="4"/>
    <x v="0"/>
  </r>
  <r>
    <x v="214"/>
    <s v="Zack Tabudlo;Billkin"/>
    <s v="Give Me Your Forever"/>
    <x v="178"/>
    <n v="58"/>
    <n v="244800"/>
    <x v="0"/>
    <n v="0.60099999999999998"/>
    <n v="0.439"/>
    <n v="8"/>
    <n v="-7.5890000000000004"/>
    <n v="1"/>
    <n v="2.69E-2"/>
    <n v="6.4199999999999993E-2"/>
    <n v="0"/>
    <n v="9.4200000000000006E-2"/>
    <n v="0.27500000000000002"/>
    <n v="99.975999999999999"/>
    <n v="4"/>
    <x v="0"/>
  </r>
  <r>
    <x v="215"/>
    <s v="Landon Pigg"/>
    <s v="Coffee Shop"/>
    <x v="15"/>
    <n v="55"/>
    <n v="270840"/>
    <x v="0"/>
    <n v="0.33200000000000002"/>
    <n v="0.29799999999999999"/>
    <n v="4"/>
    <n v="-14.173999999999999"/>
    <n v="1"/>
    <n v="5.6899999999999999E-2"/>
    <n v="0.875"/>
    <n v="7.8399999999999997E-3"/>
    <n v="0.114"/>
    <n v="0.24299999999999999"/>
    <n v="83.555000000000007"/>
    <n v="4"/>
    <x v="0"/>
  </r>
  <r>
    <x v="216"/>
    <s v="Anna Nalick"/>
    <s v="Wreck of the Day"/>
    <x v="179"/>
    <n v="65"/>
    <n v="279826"/>
    <x v="0"/>
    <n v="0.38600000000000001"/>
    <n v="0.45200000000000001"/>
    <n v="2"/>
    <n v="-7.7149999999999999"/>
    <n v="1"/>
    <n v="2.7799999999999998E-2"/>
    <n v="0.41699999999999998"/>
    <n v="0"/>
    <n v="8.8099999999999998E-2"/>
    <n v="0.28699999999999998"/>
    <n v="169.83699999999999"/>
    <n v="3"/>
    <x v="0"/>
  </r>
  <r>
    <x v="217"/>
    <s v="Zack Tabudlo"/>
    <s v="Episode"/>
    <x v="180"/>
    <n v="69"/>
    <n v="244067"/>
    <x v="0"/>
    <n v="0.62"/>
    <n v="0.66800000000000004"/>
    <n v="9"/>
    <n v="-5.7190000000000003"/>
    <n v="1"/>
    <n v="3.0499999999999999E-2"/>
    <n v="8.7999999999999995E-2"/>
    <n v="0"/>
    <n v="0.36199999999999999"/>
    <n v="0.183"/>
    <n v="118.01300000000001"/>
    <n v="4"/>
    <x v="0"/>
  </r>
  <r>
    <x v="218"/>
    <s v="Jonah Baker"/>
    <s v="Beautiful Soul"/>
    <x v="148"/>
    <n v="44"/>
    <n v="214738"/>
    <x v="0"/>
    <n v="0.39400000000000002"/>
    <n v="0.28100000000000003"/>
    <n v="9"/>
    <n v="-11.12"/>
    <n v="1"/>
    <n v="4.1399999999999999E-2"/>
    <n v="0.82599999999999996"/>
    <n v="0"/>
    <n v="8.5400000000000004E-2"/>
    <n v="0.48499999999999999"/>
    <n v="90.043999999999997"/>
    <n v="4"/>
    <x v="0"/>
  </r>
  <r>
    <x v="219"/>
    <s v="Ben Woodward"/>
    <s v="Bulletproof"/>
    <x v="181"/>
    <n v="39"/>
    <n v="207677"/>
    <x v="0"/>
    <n v="0.59"/>
    <n v="0.55200000000000005"/>
    <n v="7"/>
    <n v="-10.496"/>
    <n v="1"/>
    <n v="4.07E-2"/>
    <n v="0.65400000000000003"/>
    <n v="3.59E-4"/>
    <n v="0.128"/>
    <n v="0.63500000000000001"/>
    <n v="155.101"/>
    <n v="5"/>
    <x v="0"/>
  </r>
  <r>
    <x v="220"/>
    <s v="Andrew Belle"/>
    <s v="Nightshade"/>
    <x v="182"/>
    <n v="54"/>
    <n v="265506"/>
    <x v="0"/>
    <n v="0.53900000000000003"/>
    <n v="0.71699999999999997"/>
    <n v="3"/>
    <n v="-7.3849999999999998"/>
    <n v="1"/>
    <n v="3.1E-2"/>
    <n v="2.9799999999999998E-4"/>
    <n v="0.111"/>
    <n v="0.125"/>
    <n v="0.21199999999999999"/>
    <n v="117.973"/>
    <n v="4"/>
    <x v="0"/>
  </r>
  <r>
    <x v="221"/>
    <s v="Jonah Baker"/>
    <s v="Girls Like You (Acoustic Version)"/>
    <x v="183"/>
    <n v="44"/>
    <n v="188494"/>
    <x v="0"/>
    <n v="0.54300000000000004"/>
    <n v="0.13800000000000001"/>
    <n v="0"/>
    <n v="-14.331"/>
    <n v="1"/>
    <n v="5.3100000000000001E-2"/>
    <n v="0.79100000000000004"/>
    <n v="0"/>
    <n v="0.185"/>
    <n v="0.3"/>
    <n v="115.65"/>
    <n v="4"/>
    <x v="0"/>
  </r>
  <r>
    <x v="222"/>
    <s v="Zack Tabudlo"/>
    <s v="Nangangamba"/>
    <x v="184"/>
    <n v="70"/>
    <n v="210354"/>
    <x v="0"/>
    <n v="0.62"/>
    <n v="0.54700000000000004"/>
    <n v="1"/>
    <n v="-6.7720000000000002"/>
    <n v="1"/>
    <n v="2.4799999999999999E-2"/>
    <n v="0.112"/>
    <n v="0"/>
    <n v="0.19"/>
    <n v="0.20799999999999999"/>
    <n v="98.031999999999996"/>
    <n v="4"/>
    <x v="0"/>
  </r>
  <r>
    <x v="223"/>
    <s v="Us The Duo"/>
    <s v="Better Together"/>
    <x v="185"/>
    <n v="64"/>
    <n v="200706"/>
    <x v="0"/>
    <n v="0.76100000000000001"/>
    <n v="0.311"/>
    <n v="5"/>
    <n v="-10.597"/>
    <n v="1"/>
    <n v="6.9199999999999998E-2"/>
    <n v="0.64700000000000002"/>
    <n v="0"/>
    <n v="0.15"/>
    <n v="0.55300000000000005"/>
    <n v="109.89100000000001"/>
    <n v="4"/>
    <x v="0"/>
  </r>
  <r>
    <x v="224"/>
    <s v="Andrew Foy;Renee Foy"/>
    <s v="Heartbreak Anniversary"/>
    <x v="186"/>
    <n v="40"/>
    <n v="199256"/>
    <x v="0"/>
    <n v="0.67400000000000004"/>
    <n v="0.122"/>
    <n v="1"/>
    <n v="-17.963000000000001"/>
    <n v="1"/>
    <n v="4.2700000000000002E-2"/>
    <n v="0.88200000000000001"/>
    <n v="0"/>
    <n v="0.13900000000000001"/>
    <n v="0.33900000000000002"/>
    <n v="130.01400000000001"/>
    <n v="4"/>
    <x v="0"/>
  </r>
  <r>
    <x v="225"/>
    <s v="Tyler Ward;Karis;Ray Lorraine"/>
    <s v="One More Time Around"/>
    <x v="187"/>
    <n v="47"/>
    <n v="205666"/>
    <x v="0"/>
    <n v="0.42899999999999999"/>
    <n v="0.35799999999999998"/>
    <n v="0"/>
    <n v="-9.0760000000000005"/>
    <n v="1"/>
    <n v="3.4599999999999999E-2"/>
    <n v="0.61399999999999999"/>
    <n v="0"/>
    <n v="8.7499999999999994E-2"/>
    <n v="0.187"/>
    <n v="134.279"/>
    <n v="4"/>
    <x v="0"/>
  </r>
  <r>
    <x v="226"/>
    <s v="A Great Big World"/>
    <s v="æµæ˜ŸèŠ±åœ’éŸ³æ¨‚å°ˆè¼¯"/>
    <x v="6"/>
    <n v="40"/>
    <n v="229573"/>
    <x v="0"/>
    <n v="0.45600000000000002"/>
    <n v="0.10100000000000001"/>
    <n v="2"/>
    <n v="-11.75"/>
    <n v="1"/>
    <n v="3.7999999999999999E-2"/>
    <n v="0.876"/>
    <s v="1.74e-06"/>
    <n v="7.7600000000000002E-2"/>
    <n v="0.155"/>
    <n v="139.89599999999999"/>
    <n v="3"/>
    <x v="0"/>
  </r>
  <r>
    <x v="227"/>
    <s v="Zack Tabudlo"/>
    <s v="Episode"/>
    <x v="188"/>
    <n v="55"/>
    <n v="240952"/>
    <x v="0"/>
    <n v="0.64700000000000002"/>
    <n v="0.56699999999999995"/>
    <n v="1"/>
    <n v="-8.9710000000000001"/>
    <n v="1"/>
    <n v="3.2800000000000003E-2"/>
    <n v="3.1800000000000002E-2"/>
    <n v="0"/>
    <n v="0.13300000000000001"/>
    <n v="0.374"/>
    <n v="125.871"/>
    <n v="4"/>
    <x v="0"/>
  </r>
  <r>
    <x v="228"/>
    <s v="Donovan Woods;Tenille Townes"/>
    <s v="The Other Way"/>
    <x v="189"/>
    <n v="57"/>
    <n v="199594"/>
    <x v="0"/>
    <n v="0.32200000000000001"/>
    <n v="0.21299999999999999"/>
    <n v="10"/>
    <n v="-14.914999999999999"/>
    <n v="0"/>
    <n v="3.1800000000000002E-2"/>
    <n v="0.61099999999999999"/>
    <n v="0"/>
    <n v="0.113"/>
    <n v="0.16"/>
    <n v="160.38900000000001"/>
    <n v="4"/>
    <x v="0"/>
  </r>
  <r>
    <x v="229"/>
    <s v="Ray LaMontagne"/>
    <s v="Till The Sun Turns Black"/>
    <x v="190"/>
    <n v="48"/>
    <n v="317280"/>
    <x v="0"/>
    <n v="0.48199999999999998"/>
    <n v="0.38100000000000001"/>
    <n v="2"/>
    <n v="-13.93"/>
    <n v="1"/>
    <n v="3.1099999999999999E-2"/>
    <n v="0.45500000000000002"/>
    <n v="2.9499999999999999E-3"/>
    <n v="0.114"/>
    <n v="0.42"/>
    <n v="81.712000000000003"/>
    <n v="4"/>
    <x v="0"/>
  </r>
  <r>
    <x v="230"/>
    <s v="Megan Davies"/>
    <s v="See You Again, Love Me Like You Do, Sugar (Acoustic Mashup)"/>
    <x v="191"/>
    <n v="54"/>
    <n v="231965"/>
    <x v="0"/>
    <n v="0.39300000000000002"/>
    <n v="0.20699999999999999"/>
    <n v="10"/>
    <n v="-11.865"/>
    <n v="1"/>
    <n v="3.9199999999999999E-2"/>
    <n v="0.877"/>
    <n v="0"/>
    <n v="0.104"/>
    <n v="0.26200000000000001"/>
    <n v="163.99"/>
    <n v="4"/>
    <x v="0"/>
  </r>
  <r>
    <x v="231"/>
    <s v="Tim Halperin"/>
    <s v="Covers"/>
    <x v="192"/>
    <n v="53"/>
    <n v="200800"/>
    <x v="0"/>
    <n v="0.42299999999999999"/>
    <n v="0.20699999999999999"/>
    <n v="7"/>
    <n v="-8.8109999999999999"/>
    <n v="1"/>
    <n v="2.8899999999999999E-2"/>
    <n v="0.88700000000000001"/>
    <n v="0"/>
    <n v="9.4799999999999995E-2"/>
    <n v="0.20899999999999999"/>
    <n v="149.66399999999999"/>
    <n v="4"/>
    <x v="0"/>
  </r>
  <r>
    <x v="232"/>
    <s v="Canyon City"/>
    <s v="Refuge"/>
    <x v="193"/>
    <n v="60"/>
    <n v="261665"/>
    <x v="0"/>
    <n v="0.52200000000000002"/>
    <n v="0.152"/>
    <n v="2"/>
    <n v="-14.996"/>
    <n v="1"/>
    <n v="3.0300000000000001E-2"/>
    <n v="0.78800000000000003"/>
    <s v="2.37e-05"/>
    <n v="0.14799999999999999"/>
    <n v="0.13300000000000001"/>
    <n v="144.05500000000001"/>
    <n v="4"/>
    <x v="0"/>
  </r>
  <r>
    <x v="233"/>
    <s v="JJ Heller"/>
    <s v="Hand to Hold"/>
    <x v="194"/>
    <n v="54"/>
    <n v="231605"/>
    <x v="0"/>
    <n v="0.54700000000000004"/>
    <n v="0.313"/>
    <n v="0"/>
    <n v="-7.9820000000000002"/>
    <n v="1"/>
    <n v="3.15E-2"/>
    <n v="0.61199999999999999"/>
    <s v="7.97e-06"/>
    <n v="0.111"/>
    <n v="0.26100000000000001"/>
    <n v="133.73699999999999"/>
    <n v="4"/>
    <x v="0"/>
  </r>
  <r>
    <x v="234"/>
    <s v="Ray LaMontagne"/>
    <s v="Trouble"/>
    <x v="195"/>
    <n v="62"/>
    <n v="306200"/>
    <x v="0"/>
    <n v="0.504"/>
    <n v="0.32100000000000001"/>
    <n v="7"/>
    <n v="-13.807"/>
    <n v="1"/>
    <n v="3.1600000000000003E-2"/>
    <n v="0.14899999999999999"/>
    <n v="1.07E-4"/>
    <n v="0.14699999999999999"/>
    <n v="0.57699999999999996"/>
    <n v="170.13399999999999"/>
    <n v="3"/>
    <x v="0"/>
  </r>
  <r>
    <x v="235"/>
    <s v="Us The Duo"/>
    <s v="Public Record"/>
    <x v="196"/>
    <n v="51"/>
    <n v="224847"/>
    <x v="0"/>
    <n v="0.46600000000000003"/>
    <n v="0.161"/>
    <n v="7"/>
    <n v="-14.497999999999999"/>
    <n v="1"/>
    <n v="4.9200000000000001E-2"/>
    <n v="0.97899999999999998"/>
    <n v="2.3800000000000001E-4"/>
    <n v="0.23100000000000001"/>
    <n v="0.17100000000000001"/>
    <n v="139.167"/>
    <n v="3"/>
    <x v="0"/>
  </r>
  <r>
    <x v="236"/>
    <s v="Boyce Avenue;Megan Nicole"/>
    <s v="Cover Sessions, Vol. 2"/>
    <x v="197"/>
    <n v="61"/>
    <n v="250063"/>
    <x v="0"/>
    <n v="0.61899999999999999"/>
    <n v="0.28000000000000003"/>
    <n v="8"/>
    <n v="-10.238"/>
    <n v="0"/>
    <n v="3.1699999999999999E-2"/>
    <n v="0.73"/>
    <n v="0"/>
    <n v="0.10299999999999999"/>
    <n v="0.29199999999999998"/>
    <n v="129.94800000000001"/>
    <n v="4"/>
    <x v="0"/>
  </r>
  <r>
    <x v="237"/>
    <s v="Joshua Hyslop"/>
    <s v="In Deepest Blue (Bonus Track Version)"/>
    <x v="198"/>
    <n v="51"/>
    <n v="201933"/>
    <x v="0"/>
    <n v="0.59599999999999997"/>
    <n v="0.42899999999999999"/>
    <n v="3"/>
    <n v="-10.16"/>
    <n v="1"/>
    <n v="3.7699999999999997E-2"/>
    <n v="0.77500000000000002"/>
    <n v="1.0699999999999999E-2"/>
    <n v="9.6199999999999994E-2"/>
    <n v="0.22900000000000001"/>
    <n v="148.08600000000001"/>
    <n v="4"/>
    <x v="0"/>
  </r>
  <r>
    <x v="238"/>
    <s v="Drew Holcomb &amp; The Neighbors"/>
    <s v="Medicine"/>
    <x v="199"/>
    <n v="63"/>
    <n v="158013"/>
    <x v="0"/>
    <n v="0.64500000000000002"/>
    <n v="0.16900000000000001"/>
    <n v="9"/>
    <n v="-15.744"/>
    <n v="1"/>
    <n v="3.1699999999999999E-2"/>
    <n v="0.84399999999999997"/>
    <n v="1.9000000000000001E-4"/>
    <n v="0.109"/>
    <n v="0.17799999999999999"/>
    <n v="167.82599999999999"/>
    <n v="4"/>
    <x v="0"/>
  </r>
  <r>
    <x v="239"/>
    <s v="Ray LaMontagne"/>
    <s v="Part Of The Light"/>
    <x v="200"/>
    <n v="65"/>
    <n v="296386"/>
    <x v="0"/>
    <n v="0.52200000000000002"/>
    <n v="0.25600000000000001"/>
    <n v="10"/>
    <n v="-11.215999999999999"/>
    <n v="1"/>
    <n v="2.58E-2"/>
    <n v="0.86"/>
    <n v="8.0599999999999997E-4"/>
    <n v="0.14199999999999999"/>
    <n v="0.13"/>
    <n v="76.349000000000004"/>
    <n v="4"/>
    <x v="0"/>
  </r>
  <r>
    <x v="240"/>
    <s v="Amos Lee"/>
    <s v="Amos Lee"/>
    <x v="201"/>
    <n v="64"/>
    <n v="160453"/>
    <x v="0"/>
    <n v="0.68100000000000005"/>
    <n v="0.16800000000000001"/>
    <n v="7"/>
    <n v="-13.397"/>
    <n v="1"/>
    <n v="2.9100000000000001E-2"/>
    <n v="0.79300000000000004"/>
    <n v="1.34E-4"/>
    <n v="0.109"/>
    <n v="0.28999999999999998"/>
    <n v="128.61500000000001"/>
    <n v="4"/>
    <x v="0"/>
  </r>
  <r>
    <x v="241"/>
    <s v="Boyce Avenue"/>
    <s v="Cover Sessions, Vol. 6"/>
    <x v="202"/>
    <n v="57"/>
    <n v="182442"/>
    <x v="0"/>
    <n v="0.73599999999999999"/>
    <n v="0.36399999999999999"/>
    <n v="1"/>
    <n v="-5.9660000000000002"/>
    <n v="1"/>
    <n v="3.49E-2"/>
    <n v="0.74099999999999999"/>
    <n v="0"/>
    <n v="9.3200000000000005E-2"/>
    <n v="0.371"/>
    <n v="110.023"/>
    <n v="4"/>
    <x v="0"/>
  </r>
  <r>
    <x v="242"/>
    <s v="Jason Mraz;Meghan Trainor"/>
    <s v="Know."/>
    <x v="203"/>
    <n v="54"/>
    <n v="181360"/>
    <x v="0"/>
    <n v="0.45100000000000001"/>
    <n v="0.52800000000000002"/>
    <n v="2"/>
    <n v="-6.984"/>
    <n v="1"/>
    <n v="3.6400000000000002E-2"/>
    <n v="0.36599999999999999"/>
    <n v="0"/>
    <n v="8.1100000000000005E-2"/>
    <n v="0.52700000000000002"/>
    <n v="139.28"/>
    <n v="5"/>
    <x v="0"/>
  </r>
  <r>
    <x v="243"/>
    <s v="Days N Daze"/>
    <s v="Show Me the Blueprints."/>
    <x v="204"/>
    <n v="37"/>
    <n v="169318"/>
    <x v="1"/>
    <n v="0.371"/>
    <n v="0.67400000000000004"/>
    <n v="9"/>
    <n v="-3.72"/>
    <n v="1"/>
    <n v="4.8800000000000003E-2"/>
    <n v="0.16900000000000001"/>
    <n v="0"/>
    <n v="8.8900000000000007E-2"/>
    <n v="0.92"/>
    <n v="87.602999999999994"/>
    <n v="4"/>
    <x v="0"/>
  </r>
  <r>
    <x v="244"/>
    <s v="Sara Bareilles"/>
    <s v="The Blessed Unrest"/>
    <x v="205"/>
    <n v="63"/>
    <n v="218573"/>
    <x v="0"/>
    <n v="0.73099999999999998"/>
    <n v="0.57199999999999995"/>
    <n v="6"/>
    <n v="-7.8890000000000002"/>
    <n v="0"/>
    <n v="4.4499999999999998E-2"/>
    <n v="0.105"/>
    <n v="1.2E-4"/>
    <n v="0.13300000000000001"/>
    <n v="0.94699999999999995"/>
    <n v="154.03800000000001"/>
    <n v="4"/>
    <x v="0"/>
  </r>
  <r>
    <x v="245"/>
    <s v="Mindy Gledhill"/>
    <s v="Anchor"/>
    <x v="206"/>
    <n v="53"/>
    <n v="149160"/>
    <x v="0"/>
    <n v="0.69"/>
    <n v="0.33400000000000002"/>
    <n v="9"/>
    <n v="-5.6260000000000003"/>
    <n v="1"/>
    <n v="6.6000000000000003E-2"/>
    <n v="0.94699999999999995"/>
    <n v="0"/>
    <n v="8.9499999999999996E-2"/>
    <n v="0.8"/>
    <n v="74.721000000000004"/>
    <n v="4"/>
    <x v="0"/>
  </r>
  <r>
    <x v="246"/>
    <s v="Dave Barnes"/>
    <s v="Christmas Faves 2022"/>
    <x v="207"/>
    <n v="0"/>
    <n v="183293"/>
    <x v="0"/>
    <n v="0.59399999999999997"/>
    <n v="0.307"/>
    <n v="10"/>
    <n v="-13.061999999999999"/>
    <n v="1"/>
    <n v="2.4899999999999999E-2"/>
    <n v="0.79600000000000004"/>
    <n v="4.1399999999999999E-2"/>
    <n v="0.15"/>
    <n v="0.24"/>
    <n v="94.025999999999996"/>
    <n v="3"/>
    <x v="0"/>
  </r>
  <r>
    <x v="247"/>
    <s v="Get Dead"/>
    <s v="Tall Cans &amp; Loose Ends"/>
    <x v="208"/>
    <n v="36"/>
    <n v="169266"/>
    <x v="1"/>
    <n v="0.60799999999999998"/>
    <n v="0.91700000000000004"/>
    <n v="11"/>
    <n v="-5.3410000000000002"/>
    <n v="1"/>
    <n v="6.0100000000000001E-2"/>
    <n v="0.23599999999999999"/>
    <n v="0"/>
    <n v="0.13"/>
    <n v="0.93600000000000005"/>
    <n v="117.875"/>
    <n v="4"/>
    <x v="0"/>
  </r>
  <r>
    <x v="248"/>
    <s v="Albert King"/>
    <s v="pov: you have a holly jolly christmas"/>
    <x v="209"/>
    <n v="0"/>
    <n v="272640"/>
    <x v="0"/>
    <n v="0.68700000000000006"/>
    <n v="0.49399999999999999"/>
    <n v="1"/>
    <n v="-9.4209999999999994"/>
    <n v="1"/>
    <n v="5.0500000000000003E-2"/>
    <n v="0.32400000000000001"/>
    <s v="5.5e-05"/>
    <n v="8.6699999999999999E-2"/>
    <n v="0.621"/>
    <n v="93.269000000000005"/>
    <n v="1"/>
    <x v="0"/>
  </r>
  <r>
    <x v="249"/>
    <s v="Albert King"/>
    <s v="pov: you rock around the christmas tree"/>
    <x v="209"/>
    <n v="0"/>
    <n v="272640"/>
    <x v="0"/>
    <n v="0.68700000000000006"/>
    <n v="0.49399999999999999"/>
    <n v="1"/>
    <n v="-9.4209999999999994"/>
    <n v="1"/>
    <n v="5.0500000000000003E-2"/>
    <n v="0.32400000000000001"/>
    <s v="5.5e-05"/>
    <n v="8.6699999999999999E-2"/>
    <n v="0.621"/>
    <n v="93.269000000000005"/>
    <n v="1"/>
    <x v="0"/>
  </r>
  <r>
    <x v="250"/>
    <s v="John Adams"/>
    <s v="If I Ain't Got You (Acoustic)"/>
    <x v="210"/>
    <n v="55"/>
    <n v="176509"/>
    <x v="0"/>
    <n v="0.65200000000000002"/>
    <n v="0.15"/>
    <n v="5"/>
    <n v="-12.699"/>
    <n v="1"/>
    <n v="3.6299999999999999E-2"/>
    <n v="0.92300000000000004"/>
    <n v="0"/>
    <n v="0.10199999999999999"/>
    <n v="0.36099999999999999"/>
    <n v="104.018"/>
    <n v="3"/>
    <x v="0"/>
  </r>
  <r>
    <x v="251"/>
    <s v="John Adams"/>
    <s v="Believe (Acoustic)"/>
    <x v="211"/>
    <n v="57"/>
    <n v="179886"/>
    <x v="0"/>
    <n v="0.76500000000000001"/>
    <n v="0.24099999999999999"/>
    <n v="4"/>
    <n v="-8.8650000000000002"/>
    <n v="1"/>
    <n v="3.73E-2"/>
    <n v="0.873"/>
    <n v="0"/>
    <n v="0.111"/>
    <n v="0.182"/>
    <n v="123.95"/>
    <n v="4"/>
    <x v="0"/>
  </r>
  <r>
    <x v="252"/>
    <s v="Adam Christopher"/>
    <s v="Iris (Acoustic)"/>
    <x v="212"/>
    <n v="54"/>
    <n v="184200"/>
    <x v="0"/>
    <n v="0.58899999999999997"/>
    <n v="0.249"/>
    <n v="2"/>
    <n v="-10.086"/>
    <n v="1"/>
    <n v="3.2899999999999999E-2"/>
    <n v="0.71699999999999997"/>
    <n v="0"/>
    <n v="0.106"/>
    <n v="0.36299999999999999"/>
    <n v="150.096"/>
    <n v="3"/>
    <x v="0"/>
  </r>
  <r>
    <x v="253"/>
    <s v="Motohiro Hata"/>
    <s v="è¨€ãƒŽè‘‰"/>
    <x v="213"/>
    <n v="44"/>
    <n v="447306"/>
    <x v="0"/>
    <n v="0.58799999999999997"/>
    <n v="0.60399999999999998"/>
    <n v="9"/>
    <n v="-7.6020000000000003"/>
    <n v="1"/>
    <n v="2.4E-2"/>
    <n v="0.34300000000000003"/>
    <s v="6.86e-05"/>
    <n v="0.252"/>
    <n v="0.35099999999999998"/>
    <n v="92.02"/>
    <n v="4"/>
    <x v="0"/>
  </r>
  <r>
    <x v="254"/>
    <s v="Aoi Teshima"/>
    <s v="Cheek to Cheek~I Love Cinemas~"/>
    <x v="214"/>
    <n v="51"/>
    <n v="108346"/>
    <x v="0"/>
    <n v="0.73499999999999999"/>
    <n v="0.20300000000000001"/>
    <n v="9"/>
    <n v="-13.237"/>
    <n v="0"/>
    <n v="5.3900000000000003E-2"/>
    <n v="0.85399999999999998"/>
    <n v="1.64E-3"/>
    <n v="0.105"/>
    <n v="0.47899999999999998"/>
    <n v="113.913"/>
    <n v="4"/>
    <x v="0"/>
  </r>
  <r>
    <x v="255"/>
    <s v="Jonah Baker"/>
    <s v="Baby (Acoustic Version)"/>
    <x v="215"/>
    <n v="42"/>
    <n v="160768"/>
    <x v="0"/>
    <n v="0.65500000000000003"/>
    <n v="0.14699999999999999"/>
    <n v="8"/>
    <n v="-14.409000000000001"/>
    <n v="1"/>
    <n v="3.7100000000000001E-2"/>
    <n v="0.88"/>
    <n v="0"/>
    <n v="0.26600000000000001"/>
    <n v="0.32800000000000001"/>
    <n v="116.10299999999999"/>
    <n v="4"/>
    <x v="0"/>
  </r>
  <r>
    <x v="256"/>
    <s v="YUZU"/>
    <s v="Land"/>
    <x v="216"/>
    <n v="47"/>
    <n v="304320"/>
    <x v="0"/>
    <n v="0.36299999999999999"/>
    <n v="0.81899999999999995"/>
    <n v="7"/>
    <n v="-3.1280000000000001"/>
    <n v="1"/>
    <n v="6.3399999999999998E-2"/>
    <n v="5.91E-2"/>
    <n v="0"/>
    <n v="9.8799999999999999E-2"/>
    <n v="0.46800000000000003"/>
    <n v="122.527"/>
    <n v="4"/>
    <x v="0"/>
  </r>
  <r>
    <x v="257"/>
    <s v="Boyce Avenue;Emma Heesters"/>
    <s v="I Like Me Better"/>
    <x v="217"/>
    <n v="54"/>
    <n v="201508"/>
    <x v="0"/>
    <n v="0.47299999999999998"/>
    <n v="0.26300000000000001"/>
    <n v="9"/>
    <n v="-8.609"/>
    <n v="1"/>
    <n v="3.3000000000000002E-2"/>
    <n v="0.81399999999999995"/>
    <n v="0"/>
    <n v="0.14199999999999999"/>
    <n v="0.315"/>
    <n v="87.144999999999996"/>
    <n v="4"/>
    <x v="0"/>
  </r>
  <r>
    <x v="258"/>
    <s v="Zack Tabudlo"/>
    <s v="Asan Ka Na Ba"/>
    <x v="218"/>
    <n v="73"/>
    <n v="241132"/>
    <x v="0"/>
    <n v="0.67600000000000005"/>
    <n v="0.76800000000000002"/>
    <n v="5"/>
    <n v="-5.6950000000000003"/>
    <n v="0"/>
    <n v="2.9399999999999999E-2"/>
    <n v="0.14899999999999999"/>
    <n v="1.47E-3"/>
    <n v="0.34499999999999997"/>
    <n v="0.49299999999999999"/>
    <n v="105.999"/>
    <n v="4"/>
    <x v="0"/>
  </r>
  <r>
    <x v="259"/>
    <s v="Boyce Avenue"/>
    <s v="Cover Sessions, Vol. 3"/>
    <x v="219"/>
    <n v="56"/>
    <n v="263710"/>
    <x v="0"/>
    <n v="0.41"/>
    <n v="0.221"/>
    <n v="5"/>
    <n v="-11.673"/>
    <n v="1"/>
    <n v="3.15E-2"/>
    <n v="0.76800000000000002"/>
    <n v="0"/>
    <n v="0.106"/>
    <n v="0.22800000000000001"/>
    <n v="139.529"/>
    <n v="3"/>
    <x v="0"/>
  </r>
  <r>
    <x v="260"/>
    <s v="Thomas Daniel"/>
    <s v="drivers license"/>
    <x v="220"/>
    <n v="56"/>
    <n v="246345"/>
    <x v="0"/>
    <n v="0.439"/>
    <n v="0.217"/>
    <n v="2"/>
    <n v="-13.166"/>
    <n v="1"/>
    <n v="4.1300000000000003E-2"/>
    <n v="0.93300000000000005"/>
    <n v="0"/>
    <n v="0.126"/>
    <n v="0.373"/>
    <n v="144.41300000000001"/>
    <n v="4"/>
    <x v="0"/>
  </r>
  <r>
    <x v="261"/>
    <s v="Jason Mraz"/>
    <s v="YES!"/>
    <x v="221"/>
    <n v="59"/>
    <n v="257173"/>
    <x v="0"/>
    <n v="0.58199999999999996"/>
    <n v="0.34699999999999998"/>
    <n v="7"/>
    <n v="-14.769"/>
    <n v="1"/>
    <n v="3.0499999999999999E-2"/>
    <n v="0.317"/>
    <n v="6.7799999999999996E-3"/>
    <n v="0.111"/>
    <n v="7.9699999999999993E-2"/>
    <n v="97.956999999999994"/>
    <n v="4"/>
    <x v="0"/>
  </r>
  <r>
    <x v="262"/>
    <s v="Jae Hall"/>
    <s v="The Winner Takes It All (Acoustic)"/>
    <x v="222"/>
    <n v="57"/>
    <n v="159012"/>
    <x v="0"/>
    <n v="0.42599999999999999"/>
    <n v="0.127"/>
    <n v="6"/>
    <n v="-13.287000000000001"/>
    <n v="1"/>
    <n v="6.4799999999999996E-2"/>
    <n v="0.86299999999999999"/>
    <s v="4.3e-06"/>
    <n v="9.9299999999999999E-2"/>
    <n v="0.14899999999999999"/>
    <n v="62.534999999999997"/>
    <n v="5"/>
    <x v="0"/>
  </r>
  <r>
    <x v="263"/>
    <s v="Aaron Espe"/>
    <s v="Only Time"/>
    <x v="223"/>
    <n v="56"/>
    <n v="178546"/>
    <x v="0"/>
    <n v="0.69599999999999995"/>
    <n v="0.26100000000000001"/>
    <n v="9"/>
    <n v="-12.106999999999999"/>
    <n v="0"/>
    <n v="3.61E-2"/>
    <n v="0.73699999999999999"/>
    <s v="1.24e-05"/>
    <n v="0.11"/>
    <n v="0.36099999999999999"/>
    <n v="136.053"/>
    <n v="3"/>
    <x v="0"/>
  </r>
  <r>
    <x v="264"/>
    <s v="A Fine Frenzy"/>
    <s v="One Cell In The Sea"/>
    <x v="224"/>
    <n v="57"/>
    <n v="268800"/>
    <x v="0"/>
    <n v="0.54900000000000004"/>
    <n v="0.24"/>
    <n v="0"/>
    <n v="-7.7779999999999996"/>
    <n v="1"/>
    <n v="3.3799999999999997E-2"/>
    <n v="0.94699999999999995"/>
    <n v="0"/>
    <n v="0.106"/>
    <n v="0.16700000000000001"/>
    <n v="119.58"/>
    <n v="4"/>
    <x v="0"/>
  </r>
  <r>
    <x v="265"/>
    <s v="Roses &amp; Frey"/>
    <s v="Dance Monkey"/>
    <x v="225"/>
    <n v="51"/>
    <n v="197850"/>
    <x v="0"/>
    <n v="0.54100000000000004"/>
    <n v="0.192"/>
    <n v="0"/>
    <n v="-13.994999999999999"/>
    <n v="0"/>
    <n v="2.8199999999999999E-2"/>
    <n v="0.89300000000000002"/>
    <n v="0"/>
    <n v="0.193"/>
    <n v="0.317"/>
    <n v="139.93799999999999"/>
    <n v="4"/>
    <x v="0"/>
  </r>
  <r>
    <x v="266"/>
    <s v="Parachute"/>
    <s v="Parachute"/>
    <x v="226"/>
    <n v="48"/>
    <n v="222400"/>
    <x v="0"/>
    <n v="0.66200000000000003"/>
    <n v="0.71099999999999997"/>
    <n v="5"/>
    <n v="-4.9240000000000004"/>
    <n v="1"/>
    <n v="2.7900000000000001E-2"/>
    <n v="6.8599999999999994E-2"/>
    <s v="1.17e-05"/>
    <n v="8.5000000000000006E-2"/>
    <n v="0.35199999999999998"/>
    <n v="119.989"/>
    <n v="4"/>
    <x v="0"/>
  </r>
  <r>
    <x v="267"/>
    <s v="Kina Grannis"/>
    <s v="Dream a Little Dream of Me"/>
    <x v="227"/>
    <n v="52"/>
    <n v="142379"/>
    <x v="0"/>
    <n v="0.66500000000000004"/>
    <n v="0.185"/>
    <n v="1"/>
    <n v="-13.852"/>
    <n v="1"/>
    <n v="3.8100000000000002E-2"/>
    <n v="0.91300000000000003"/>
    <n v="0"/>
    <n v="0.33400000000000002"/>
    <n v="0.45800000000000002"/>
    <n v="82.474000000000004"/>
    <n v="4"/>
    <x v="0"/>
  </r>
  <r>
    <x v="268"/>
    <s v="The Mayries"/>
    <s v="Back For Good"/>
    <x v="228"/>
    <n v="54"/>
    <n v="194667"/>
    <x v="0"/>
    <n v="0.59099999999999997"/>
    <n v="0.17499999999999999"/>
    <n v="6"/>
    <n v="-12.959"/>
    <n v="1"/>
    <n v="3.7999999999999999E-2"/>
    <n v="0.92700000000000005"/>
    <n v="0"/>
    <n v="0.13300000000000001"/>
    <n v="0.35199999999999998"/>
    <n v="139.90199999999999"/>
    <n v="4"/>
    <x v="0"/>
  </r>
  <r>
    <x v="269"/>
    <s v="Canyon City"/>
    <s v="OK"/>
    <x v="229"/>
    <n v="55"/>
    <n v="212400"/>
    <x v="0"/>
    <n v="0.48899999999999999"/>
    <n v="0.183"/>
    <n v="0"/>
    <n v="-14.769"/>
    <n v="1"/>
    <n v="3.3000000000000002E-2"/>
    <n v="0.90700000000000003"/>
    <s v="3.95e-05"/>
    <n v="0.106"/>
    <n v="0.48599999999999999"/>
    <n v="79.960999999999999"/>
    <n v="4"/>
    <x v="0"/>
  </r>
  <r>
    <x v="270"/>
    <s v="Andrew Foy;Renee Foy"/>
    <s v="Just The Two Of Us"/>
    <x v="230"/>
    <n v="41"/>
    <n v="196304"/>
    <x v="0"/>
    <n v="0.61799999999999999"/>
    <n v="8.3000000000000004E-2"/>
    <n v="4"/>
    <n v="-23.664999999999999"/>
    <n v="1"/>
    <n v="5.7000000000000002E-2"/>
    <n v="0.745"/>
    <n v="1.2300000000000001E-4"/>
    <n v="0.14599999999999999"/>
    <n v="0.59699999999999998"/>
    <n v="90.864999999999995"/>
    <n v="4"/>
    <x v="0"/>
  </r>
  <r>
    <x v="271"/>
    <s v="Boyce Avenue"/>
    <s v="Cover Sessions, Vol. 6"/>
    <x v="231"/>
    <n v="49"/>
    <n v="230868"/>
    <x v="0"/>
    <n v="0.66400000000000003"/>
    <n v="0.31900000000000001"/>
    <n v="0"/>
    <n v="-8.1489999999999991"/>
    <n v="0"/>
    <n v="2.7099999999999999E-2"/>
    <n v="0.86199999999999999"/>
    <n v="0"/>
    <n v="0.121"/>
    <n v="0.25800000000000001"/>
    <n v="105.036"/>
    <n v="4"/>
    <x v="0"/>
  </r>
  <r>
    <x v="272"/>
    <s v="Andrew Foy;Renee Foy"/>
    <s v="Arcade"/>
    <x v="232"/>
    <n v="37"/>
    <n v="186738"/>
    <x v="0"/>
    <n v="0.40799999999999997"/>
    <n v="0.26600000000000001"/>
    <n v="10"/>
    <n v="-12.9"/>
    <n v="0"/>
    <n v="4.0399999999999998E-2"/>
    <n v="0.875"/>
    <n v="4.9799999999999996E-4"/>
    <n v="0.104"/>
    <n v="0.35"/>
    <n v="143.65100000000001"/>
    <n v="4"/>
    <x v="0"/>
  </r>
  <r>
    <x v="273"/>
    <s v="Kina Grannis"/>
    <s v="Yellow"/>
    <x v="233"/>
    <n v="52"/>
    <n v="193536"/>
    <x v="0"/>
    <n v="0.623"/>
    <n v="0.13200000000000001"/>
    <n v="0"/>
    <n v="-13.667999999999999"/>
    <n v="1"/>
    <n v="3.5000000000000003E-2"/>
    <n v="0.89300000000000002"/>
    <n v="0"/>
    <n v="0.217"/>
    <n v="0.26600000000000001"/>
    <n v="82.105000000000004"/>
    <n v="4"/>
    <x v="0"/>
  </r>
  <r>
    <x v="274"/>
    <s v="Roses &amp; Frey"/>
    <s v="Wake Me Up"/>
    <x v="234"/>
    <n v="58"/>
    <n v="196819"/>
    <x v="0"/>
    <n v="0.49399999999999999"/>
    <n v="0.214"/>
    <n v="7"/>
    <n v="-11.041"/>
    <n v="1"/>
    <n v="3.6299999999999999E-2"/>
    <n v="0.92"/>
    <s v="1.07e-05"/>
    <n v="0.107"/>
    <n v="0.35"/>
    <n v="125.98099999999999"/>
    <n v="3"/>
    <x v="0"/>
  </r>
  <r>
    <x v="275"/>
    <s v="Aidan Hawken"/>
    <s v="Walking Blind (feat. Carina Round)"/>
    <x v="235"/>
    <n v="48"/>
    <n v="201440"/>
    <x v="0"/>
    <n v="0.374"/>
    <n v="0.183"/>
    <n v="9"/>
    <n v="-13.225"/>
    <n v="1"/>
    <n v="2.81E-2"/>
    <n v="0.89700000000000002"/>
    <n v="3.8699999999999998E-2"/>
    <n v="0.109"/>
    <n v="0.13400000000000001"/>
    <n v="82.042000000000002"/>
    <n v="4"/>
    <x v="0"/>
  </r>
  <r>
    <x v="276"/>
    <s v="Jon Bryant"/>
    <s v="Headphones"/>
    <x v="236"/>
    <n v="56"/>
    <n v="204998"/>
    <x v="0"/>
    <n v="0.55900000000000005"/>
    <n v="0.45500000000000002"/>
    <n v="5"/>
    <n v="-8.9369999999999994"/>
    <n v="1"/>
    <n v="3.0599999999999999E-2"/>
    <n v="0.42099999999999999"/>
    <s v="2.08e-06"/>
    <n v="0.10299999999999999"/>
    <n v="0.39600000000000002"/>
    <n v="159.98500000000001"/>
    <n v="4"/>
    <x v="0"/>
  </r>
  <r>
    <x v="277"/>
    <s v="The Rescues"/>
    <s v="Teenage Dream"/>
    <x v="237"/>
    <n v="46"/>
    <n v="219093"/>
    <x v="0"/>
    <n v="0.64200000000000002"/>
    <n v="0.40799999999999997"/>
    <n v="10"/>
    <n v="-8.1679999999999993"/>
    <n v="1"/>
    <n v="3.9600000000000003E-2"/>
    <n v="0.72899999999999998"/>
    <n v="0"/>
    <n v="0.185"/>
    <n v="0.41099999999999998"/>
    <n v="119.81"/>
    <n v="4"/>
    <x v="0"/>
  </r>
  <r>
    <x v="278"/>
    <s v="Ivan &amp; Alyosha"/>
    <s v="The Worth Of The Wait"/>
    <x v="238"/>
    <n v="55"/>
    <n v="171800"/>
    <x v="0"/>
    <n v="0.48"/>
    <n v="0.61799999999999999"/>
    <n v="2"/>
    <n v="-7.335"/>
    <n v="1"/>
    <n v="5.0099999999999999E-2"/>
    <n v="0.84399999999999997"/>
    <s v="8.93e-05"/>
    <n v="0.32500000000000001"/>
    <n v="0.34399999999999997"/>
    <n v="82.051000000000002"/>
    <n v="4"/>
    <x v="0"/>
  </r>
  <r>
    <x v="279"/>
    <s v="Kina Grannis"/>
    <s v="Can't Help Falling In Love (Piano Version)"/>
    <x v="239"/>
    <n v="54"/>
    <n v="211624"/>
    <x v="0"/>
    <n v="0.27100000000000002"/>
    <n v="9.3700000000000006E-2"/>
    <n v="0"/>
    <n v="-15.035"/>
    <n v="1"/>
    <n v="3.6700000000000003E-2"/>
    <n v="0.93899999999999995"/>
    <n v="0"/>
    <n v="0.108"/>
    <n v="0.14699999999999999"/>
    <n v="164.721"/>
    <n v="5"/>
    <x v="0"/>
  </r>
  <r>
    <x v="280"/>
    <s v="Austin Plaine"/>
    <s v="Austin Plaine"/>
    <x v="240"/>
    <n v="57"/>
    <n v="196240"/>
    <x v="0"/>
    <n v="0.59399999999999997"/>
    <n v="0.69499999999999995"/>
    <n v="8"/>
    <n v="-8.8719999999999999"/>
    <n v="1"/>
    <n v="2.5899999999999999E-2"/>
    <n v="0.19"/>
    <s v="3.58e-06"/>
    <n v="0.11899999999999999"/>
    <n v="0.17199999999999999"/>
    <n v="104.977"/>
    <n v="4"/>
    <x v="0"/>
  </r>
  <r>
    <x v="281"/>
    <s v="Chord Overstreet"/>
    <s v="Love You To Death"/>
    <x v="241"/>
    <n v="49"/>
    <n v="199459"/>
    <x v="0"/>
    <n v="0.57399999999999995"/>
    <n v="0.34399999999999997"/>
    <n v="4"/>
    <n v="-8.9949999999999992"/>
    <n v="1"/>
    <n v="3.4500000000000003E-2"/>
    <n v="0.42099999999999999"/>
    <n v="0"/>
    <n v="8.0399999999999999E-2"/>
    <n v="9.8699999999999996E-2"/>
    <n v="147.92400000000001"/>
    <n v="3"/>
    <x v="0"/>
  </r>
  <r>
    <x v="282"/>
    <s v="Plamina"/>
    <s v="Someone You Loved (Acoustic)"/>
    <x v="242"/>
    <n v="55"/>
    <n v="169253"/>
    <x v="0"/>
    <n v="0.64700000000000002"/>
    <n v="0.29799999999999999"/>
    <n v="3"/>
    <n v="-7.91"/>
    <n v="1"/>
    <n v="3.1099999999999999E-2"/>
    <n v="0.86099999999999999"/>
    <n v="0"/>
    <n v="0.12"/>
    <n v="0.31"/>
    <n v="106.244"/>
    <n v="4"/>
    <x v="0"/>
  </r>
  <r>
    <x v="283"/>
    <s v="Kina Grannis;Imaginary Future"/>
    <s v="What a Wonderful World"/>
    <x v="243"/>
    <n v="51"/>
    <n v="137066"/>
    <x v="0"/>
    <n v="0.48599999999999999"/>
    <n v="3.9899999999999998E-2"/>
    <n v="0"/>
    <n v="-21.56"/>
    <n v="1"/>
    <n v="4.0500000000000001E-2"/>
    <n v="0.95299999999999996"/>
    <s v="8.74e-06"/>
    <n v="0.115"/>
    <n v="0.155"/>
    <n v="95.066000000000003"/>
    <n v="3"/>
    <x v="0"/>
  </r>
  <r>
    <x v="284"/>
    <s v="Andrew Foy;Renee Foy"/>
    <s v="You Broke Me First"/>
    <x v="244"/>
    <n v="39"/>
    <n v="128798"/>
    <x v="1"/>
    <n v="0.73399999999999999"/>
    <n v="4.2299999999999997E-2"/>
    <n v="4"/>
    <n v="-24.831"/>
    <n v="1"/>
    <n v="5.8299999999999998E-2"/>
    <n v="0.91600000000000004"/>
    <n v="0"/>
    <n v="0.108"/>
    <n v="0.14000000000000001"/>
    <n v="123.905"/>
    <n v="4"/>
    <x v="0"/>
  </r>
  <r>
    <x v="285"/>
    <s v="Joshua Hyslop"/>
    <s v="Echos"/>
    <x v="245"/>
    <n v="60"/>
    <n v="257972"/>
    <x v="0"/>
    <n v="0.71099999999999997"/>
    <n v="0.23100000000000001"/>
    <n v="2"/>
    <n v="-13.032999999999999"/>
    <n v="1"/>
    <n v="3.4599999999999999E-2"/>
    <n v="0.83199999999999996"/>
    <n v="1.15E-3"/>
    <n v="0.105"/>
    <n v="0.186"/>
    <n v="125.062"/>
    <n v="4"/>
    <x v="0"/>
  </r>
  <r>
    <x v="286"/>
    <s v="Parachute"/>
    <s v="Losing Sleep"/>
    <x v="246"/>
    <n v="60"/>
    <n v="146066"/>
    <x v="0"/>
    <n v="0.629"/>
    <n v="0.17399999999999999"/>
    <n v="6"/>
    <n v="-9.6969999999999992"/>
    <n v="1"/>
    <n v="0.14099999999999999"/>
    <n v="0.61599999999999999"/>
    <n v="0"/>
    <n v="0.11799999999999999"/>
    <n v="0.30499999999999999"/>
    <n v="134.29499999999999"/>
    <n v="1"/>
    <x v="0"/>
  </r>
  <r>
    <x v="287"/>
    <s v="Phillip LaRue"/>
    <s v="The Meaning"/>
    <x v="247"/>
    <n v="53"/>
    <n v="172708"/>
    <x v="0"/>
    <n v="0.61499999999999999"/>
    <n v="0.40600000000000003"/>
    <n v="6"/>
    <n v="-12.619"/>
    <n v="1"/>
    <n v="3.5799999999999998E-2"/>
    <n v="0.54100000000000004"/>
    <s v="1.67e-05"/>
    <n v="9.8199999999999996E-2"/>
    <n v="0.54100000000000004"/>
    <n v="166.035"/>
    <n v="4"/>
    <x v="0"/>
  </r>
  <r>
    <x v="288"/>
    <s v="krissy &amp; ericka"/>
    <s v="Twelve: Fifty One (International Version)"/>
    <x v="248"/>
    <n v="64"/>
    <n v="246280"/>
    <x v="0"/>
    <n v="0.503"/>
    <n v="0.35699999999999998"/>
    <n v="3"/>
    <n v="-9.36"/>
    <n v="1"/>
    <n v="2.7199999999999998E-2"/>
    <n v="0.72699999999999998"/>
    <n v="0"/>
    <n v="0.128"/>
    <n v="0.438"/>
    <n v="136.13499999999999"/>
    <n v="4"/>
    <x v="0"/>
  </r>
  <r>
    <x v="289"/>
    <s v="Takehara Pistol"/>
    <s v="ãƒªãƒ§ã‚¦ãƒ¡ãƒ³ã‚·ã‚¿ã‚™/ã‚µãƒ³ã‚µãƒ¼ãƒ©"/>
    <x v="249"/>
    <n v="34"/>
    <n v="331984"/>
    <x v="0"/>
    <n v="0.45"/>
    <n v="0.183"/>
    <n v="2"/>
    <n v="-9.0030000000000001"/>
    <n v="1"/>
    <n v="3.09E-2"/>
    <n v="0.76200000000000001"/>
    <s v="3.41e-06"/>
    <n v="0.11"/>
    <n v="0.219"/>
    <n v="61.192"/>
    <n v="4"/>
    <x v="0"/>
  </r>
  <r>
    <x v="290"/>
    <s v="Allman Brown;Liz Lawrence"/>
    <s v="1000 Years"/>
    <x v="250"/>
    <n v="50"/>
    <n v="216052"/>
    <x v="0"/>
    <n v="0.52500000000000002"/>
    <n v="0.46100000000000002"/>
    <n v="5"/>
    <n v="-9.4890000000000008"/>
    <n v="0"/>
    <n v="8.7800000000000003E-2"/>
    <n v="0.77500000000000002"/>
    <s v="2.14e-06"/>
    <n v="0.36199999999999999"/>
    <n v="0.20200000000000001"/>
    <n v="147.99700000000001"/>
    <n v="4"/>
    <x v="0"/>
  </r>
  <r>
    <x v="291"/>
    <s v="Ben Rector"/>
    <s v="Brand New"/>
    <x v="251"/>
    <n v="65"/>
    <n v="243933"/>
    <x v="0"/>
    <n v="0.55500000000000005"/>
    <n v="0.93400000000000005"/>
    <n v="9"/>
    <n v="-5.04"/>
    <n v="1"/>
    <n v="0.113"/>
    <n v="2.6800000000000001E-3"/>
    <n v="0"/>
    <n v="0.122"/>
    <n v="0.42199999999999999"/>
    <n v="144.874"/>
    <n v="4"/>
    <x v="0"/>
  </r>
  <r>
    <x v="292"/>
    <s v="The Weepies;Deb Talan;Steve Tannen"/>
    <s v="Say I Am You"/>
    <x v="252"/>
    <n v="56"/>
    <n v="199786"/>
    <x v="0"/>
    <n v="0.67800000000000005"/>
    <n v="0.36299999999999999"/>
    <n v="11"/>
    <n v="-10.9"/>
    <n v="1"/>
    <n v="3.1800000000000002E-2"/>
    <n v="0.872"/>
    <n v="1.01E-4"/>
    <n v="7.9799999999999996E-2"/>
    <n v="0.54300000000000004"/>
    <n v="75.004000000000005"/>
    <n v="5"/>
    <x v="0"/>
  </r>
  <r>
    <x v="293"/>
    <s v="Ben Rector"/>
    <s v="Brand New"/>
    <x v="253"/>
    <n v="57"/>
    <n v="256933"/>
    <x v="0"/>
    <n v="0.55500000000000005"/>
    <n v="0.45200000000000001"/>
    <n v="0"/>
    <n v="-9.6359999999999992"/>
    <n v="1"/>
    <n v="5.5399999999999998E-2"/>
    <n v="0.69399999999999995"/>
    <n v="0"/>
    <n v="5.9499999999999997E-2"/>
    <n v="0.32100000000000001"/>
    <n v="179.92099999999999"/>
    <n v="4"/>
    <x v="0"/>
  </r>
  <r>
    <x v="294"/>
    <s v="Eddy Tyler"/>
    <s v="Guitar Instrumental Covers"/>
    <x v="219"/>
    <n v="43"/>
    <n v="279916"/>
    <x v="0"/>
    <n v="0.58599999999999997"/>
    <n v="0.39600000000000002"/>
    <n v="10"/>
    <n v="-9.9529999999999994"/>
    <n v="1"/>
    <n v="3.1899999999999998E-2"/>
    <n v="0.89600000000000002"/>
    <n v="0.54300000000000004"/>
    <n v="9.9199999999999997E-2"/>
    <n v="0.16"/>
    <n v="142.59100000000001"/>
    <n v="3"/>
    <x v="0"/>
  </r>
  <r>
    <x v="295"/>
    <s v="Ray LaMontagne"/>
    <s v="Trouble"/>
    <x v="254"/>
    <n v="64"/>
    <n v="250866"/>
    <x v="0"/>
    <n v="0.58799999999999997"/>
    <n v="0.14199999999999999"/>
    <n v="7"/>
    <n v="-15.196"/>
    <n v="1"/>
    <n v="3.2899999999999999E-2"/>
    <n v="0.86299999999999999"/>
    <n v="1.6200000000000001E-4"/>
    <n v="9.5299999999999996E-2"/>
    <n v="0.28799999999999998"/>
    <n v="119.65600000000001"/>
    <n v="4"/>
    <x v="0"/>
  </r>
  <r>
    <x v="296"/>
    <s v="Eddie Vedder"/>
    <s v="Into The Wild (Music For The Motion Picture)"/>
    <x v="255"/>
    <n v="58"/>
    <n v="94053"/>
    <x v="0"/>
    <n v="0.72399999999999998"/>
    <n v="0.65200000000000002"/>
    <n v="3"/>
    <n v="-6.8689999999999998"/>
    <n v="1"/>
    <n v="2.47E-2"/>
    <n v="0.46"/>
    <n v="1.4200000000000001E-4"/>
    <n v="0.10100000000000001"/>
    <n v="0.75"/>
    <n v="106.911"/>
    <n v="4"/>
    <x v="0"/>
  </r>
  <r>
    <x v="297"/>
    <s v="Joy Williams"/>
    <s v="Front Porch"/>
    <x v="256"/>
    <n v="64"/>
    <n v="231813"/>
    <x v="0"/>
    <n v="0.56699999999999995"/>
    <n v="0.224"/>
    <n v="1"/>
    <n v="-10.023999999999999"/>
    <n v="1"/>
    <n v="2.9899999999999999E-2"/>
    <n v="0.88700000000000001"/>
    <n v="0"/>
    <n v="0.109"/>
    <n v="0.2"/>
    <n v="124.44"/>
    <n v="4"/>
    <x v="0"/>
  </r>
  <r>
    <x v="298"/>
    <s v="Days N Daze"/>
    <s v="Rogue Taxidermy"/>
    <x v="257"/>
    <n v="35"/>
    <n v="150047"/>
    <x v="1"/>
    <n v="0.54400000000000004"/>
    <n v="0.83899999999999997"/>
    <n v="5"/>
    <n v="-8.9909999999999997"/>
    <n v="1"/>
    <n v="5.6800000000000003E-2"/>
    <n v="0.78400000000000003"/>
    <n v="0"/>
    <n v="0.34100000000000003"/>
    <n v="0.96699999999999997"/>
    <n v="87.608999999999995"/>
    <n v="4"/>
    <x v="0"/>
  </r>
  <r>
    <x v="299"/>
    <s v="Ray LaMontagne"/>
    <s v="Cruising"/>
    <x v="258"/>
    <n v="36"/>
    <n v="216773"/>
    <x v="0"/>
    <n v="0.55500000000000005"/>
    <n v="0.68"/>
    <n v="10"/>
    <n v="-8.3580000000000005"/>
    <n v="0"/>
    <n v="3.2300000000000002E-2"/>
    <n v="0.126"/>
    <n v="9.0600000000000001E-4"/>
    <n v="5.0599999999999999E-2"/>
    <n v="0.90300000000000002"/>
    <n v="84.518000000000001"/>
    <n v="4"/>
    <x v="0"/>
  </r>
  <r>
    <x v="300"/>
    <s v="Callum J Wright"/>
    <s v="Isn't She Lovely (Acoustic)"/>
    <x v="259"/>
    <n v="54"/>
    <n v="145771"/>
    <x v="0"/>
    <n v="0.69"/>
    <n v="0.30599999999999999"/>
    <n v="9"/>
    <n v="-9.1929999999999996"/>
    <n v="1"/>
    <n v="3.56E-2"/>
    <n v="0.80500000000000005"/>
    <n v="0"/>
    <n v="9.6799999999999997E-2"/>
    <n v="0.42399999999999999"/>
    <n v="115.67100000000001"/>
    <n v="4"/>
    <x v="0"/>
  </r>
  <r>
    <x v="301"/>
    <s v="Rachael Yamagata"/>
    <s v="One Spring Night (Original Television Soundtrack), Pt. 4"/>
    <x v="260"/>
    <n v="43"/>
    <n v="279260"/>
    <x v="0"/>
    <n v="0.51300000000000001"/>
    <n v="0.317"/>
    <n v="10"/>
    <n v="-17.036000000000001"/>
    <n v="1"/>
    <n v="3.6299999999999999E-2"/>
    <n v="0.36499999999999999"/>
    <n v="3.0000000000000001E-3"/>
    <n v="0.11799999999999999"/>
    <n v="0.17699999999999999"/>
    <n v="84.852999999999994"/>
    <n v="4"/>
    <x v="0"/>
  </r>
  <r>
    <x v="302"/>
    <s v="John Adams"/>
    <s v="Fix You (Acoustic)"/>
    <x v="261"/>
    <n v="49"/>
    <n v="162963"/>
    <x v="0"/>
    <n v="0.49399999999999999"/>
    <n v="0.152"/>
    <n v="3"/>
    <n v="-9.843"/>
    <n v="1"/>
    <n v="3.1300000000000001E-2"/>
    <n v="0.94699999999999995"/>
    <n v="0"/>
    <n v="0.123"/>
    <n v="0.30399999999999999"/>
    <n v="134.178"/>
    <n v="4"/>
    <x v="0"/>
  </r>
  <r>
    <x v="303"/>
    <s v="Lusaint"/>
    <s v="I'm Yours (Acoustic)"/>
    <x v="262"/>
    <n v="55"/>
    <n v="166189"/>
    <x v="0"/>
    <n v="0.63400000000000001"/>
    <n v="0.26700000000000002"/>
    <n v="11"/>
    <n v="-7.3959999999999999"/>
    <n v="1"/>
    <n v="4.3999999999999997E-2"/>
    <n v="0.84099999999999997"/>
    <n v="0"/>
    <n v="0.11"/>
    <n v="0.39100000000000001"/>
    <n v="143.51400000000001"/>
    <n v="4"/>
    <x v="0"/>
  </r>
  <r>
    <x v="304"/>
    <s v="Boyce Avenue;Sarah Hyland"/>
    <s v="Cover Sessions, Vol. 4"/>
    <x v="263"/>
    <n v="54"/>
    <n v="244188"/>
    <x v="0"/>
    <n v="0.69399999999999995"/>
    <n v="0.47099999999999997"/>
    <n v="8"/>
    <n v="-8.6199999999999992"/>
    <n v="1"/>
    <n v="2.81E-2"/>
    <n v="0.41099999999999998"/>
    <n v="0"/>
    <n v="0.23300000000000001"/>
    <n v="0.46600000000000003"/>
    <n v="95.003"/>
    <n v="4"/>
    <x v="0"/>
  </r>
  <r>
    <x v="305"/>
    <s v="Mother's Daughter;Beck Pete"/>
    <s v="A Sky Full of Stars"/>
    <x v="264"/>
    <n v="55"/>
    <n v="165067"/>
    <x v="0"/>
    <n v="0.64300000000000002"/>
    <n v="0.11"/>
    <n v="6"/>
    <n v="-14.28"/>
    <n v="1"/>
    <n v="2.9399999999999999E-2"/>
    <n v="0.876"/>
    <s v="1.38e-05"/>
    <n v="0.112"/>
    <n v="0.152"/>
    <n v="101.995"/>
    <n v="4"/>
    <x v="0"/>
  </r>
  <r>
    <x v="306"/>
    <s v="Aron Wright"/>
    <s v="I Don't Believe in Satan"/>
    <x v="265"/>
    <n v="39"/>
    <n v="208571"/>
    <x v="0"/>
    <n v="0.42199999999999999"/>
    <n v="0.41"/>
    <n v="6"/>
    <n v="-14.151"/>
    <n v="0"/>
    <n v="4.6699999999999998E-2"/>
    <n v="8.5500000000000003E-3"/>
    <n v="0"/>
    <n v="0.104"/>
    <n v="0.35399999999999998"/>
    <n v="83.951999999999998"/>
    <n v="4"/>
    <x v="0"/>
  </r>
  <r>
    <x v="307"/>
    <s v="The Perishers"/>
    <s v="Let There Be Morning (Bonus Track Version)"/>
    <x v="266"/>
    <n v="51"/>
    <n v="189240"/>
    <x v="0"/>
    <n v="0.54300000000000004"/>
    <n v="0.28799999999999998"/>
    <n v="0"/>
    <n v="-8.6080000000000005"/>
    <n v="0"/>
    <n v="2.58E-2"/>
    <n v="0.66700000000000004"/>
    <n v="0"/>
    <n v="0.113"/>
    <n v="0.29299999999999998"/>
    <n v="95.435000000000002"/>
    <n v="4"/>
    <x v="0"/>
  </r>
  <r>
    <x v="308"/>
    <s v="Tyler Ward;Madysyn"/>
    <s v="he said. she said."/>
    <x v="267"/>
    <n v="52"/>
    <n v="182553"/>
    <x v="0"/>
    <n v="0.33200000000000002"/>
    <n v="0.28199999999999997"/>
    <n v="7"/>
    <n v="-7.2569999999999997"/>
    <n v="1"/>
    <n v="4.3999999999999997E-2"/>
    <n v="0.82499999999999996"/>
    <n v="0"/>
    <n v="0.104"/>
    <n v="0.23400000000000001"/>
    <n v="187.05699999999999"/>
    <n v="4"/>
    <x v="0"/>
  </r>
  <r>
    <x v="309"/>
    <s v="Jonah Baker"/>
    <s v="Watermelon Sugar (Acoustic)"/>
    <x v="268"/>
    <n v="56"/>
    <n v="183093"/>
    <x v="0"/>
    <n v="0.43"/>
    <n v="0.121"/>
    <n v="10"/>
    <n v="-15.148"/>
    <n v="1"/>
    <n v="4.0399999999999998E-2"/>
    <n v="0.90800000000000003"/>
    <n v="0"/>
    <n v="0.161"/>
    <n v="0.46100000000000002"/>
    <n v="91.210999999999999"/>
    <n v="4"/>
    <x v="0"/>
  </r>
  <r>
    <x v="310"/>
    <s v="Matt Johnson;Jaclyn Davies"/>
    <s v="Say You Won't Let Go (Acoustic)"/>
    <x v="269"/>
    <n v="48"/>
    <n v="243724"/>
    <x v="0"/>
    <n v="0.432"/>
    <n v="0.19700000000000001"/>
    <n v="3"/>
    <n v="-9.2509999999999994"/>
    <n v="1"/>
    <n v="4.1399999999999999E-2"/>
    <n v="0.87"/>
    <n v="0"/>
    <n v="0.11"/>
    <n v="0.34799999999999998"/>
    <n v="163.98500000000001"/>
    <n v="4"/>
    <x v="0"/>
  </r>
  <r>
    <x v="311"/>
    <s v="Kitri"/>
    <s v="Hikare Inochi"/>
    <x v="80"/>
    <n v="41"/>
    <n v="322146"/>
    <x v="0"/>
    <n v="0.59199999999999997"/>
    <n v="0.76900000000000002"/>
    <n v="2"/>
    <n v="-5.2679999999999998"/>
    <n v="1"/>
    <n v="3.1099999999999999E-2"/>
    <n v="0.31900000000000001"/>
    <s v="4.66e-06"/>
    <n v="0.13700000000000001"/>
    <n v="0.38500000000000001"/>
    <n v="102.033"/>
    <n v="4"/>
    <x v="0"/>
  </r>
  <r>
    <x v="312"/>
    <s v="Ben Woodward"/>
    <s v="Call You Mine (Acoustic Piano)"/>
    <x v="270"/>
    <n v="40"/>
    <n v="209554"/>
    <x v="0"/>
    <n v="0.73299999999999998"/>
    <n v="0.29699999999999999"/>
    <n v="5"/>
    <n v="-14.452"/>
    <n v="1"/>
    <n v="3.5900000000000001E-2"/>
    <n v="0.93500000000000005"/>
    <s v="2.75e-06"/>
    <n v="0.108"/>
    <n v="0.76600000000000001"/>
    <n v="103.953"/>
    <n v="4"/>
    <x v="0"/>
  </r>
  <r>
    <x v="313"/>
    <s v="Kina Grannis"/>
    <s v="In the Waiting"/>
    <x v="271"/>
    <n v="57"/>
    <n v="198403"/>
    <x v="0"/>
    <n v="0.39400000000000002"/>
    <n v="0.249"/>
    <n v="5"/>
    <n v="-10.484"/>
    <n v="1"/>
    <n v="3.9600000000000003E-2"/>
    <n v="0.92700000000000005"/>
    <n v="0"/>
    <n v="0.115"/>
    <n v="0.32900000000000001"/>
    <n v="79.549000000000007"/>
    <n v="4"/>
    <x v="0"/>
  </r>
  <r>
    <x v="314"/>
    <s v="Greg Laswell"/>
    <s v="Three Flights From Alto Nido"/>
    <x v="272"/>
    <n v="53"/>
    <n v="67746"/>
    <x v="0"/>
    <n v="0.41"/>
    <n v="0.23400000000000001"/>
    <n v="1"/>
    <n v="-15.236000000000001"/>
    <n v="1"/>
    <n v="4.2099999999999999E-2"/>
    <n v="0.79800000000000004"/>
    <n v="3.0400000000000002E-3"/>
    <n v="0.108"/>
    <n v="0.19"/>
    <n v="93.72"/>
    <n v="4"/>
    <x v="0"/>
  </r>
  <r>
    <x v="315"/>
    <s v="Andrew Foy"/>
    <s v="Love Nwantiti"/>
    <x v="273"/>
    <n v="30"/>
    <n v="129032"/>
    <x v="0"/>
    <n v="0.48"/>
    <n v="0.158"/>
    <n v="8"/>
    <n v="-15.239000000000001"/>
    <n v="1"/>
    <n v="8.0699999999999994E-2"/>
    <n v="0.80900000000000005"/>
    <n v="0.88600000000000001"/>
    <n v="0.11700000000000001"/>
    <n v="0.498"/>
    <n v="86.106999999999999"/>
    <n v="4"/>
    <x v="0"/>
  </r>
  <r>
    <x v="316"/>
    <s v="Ross Copperman"/>
    <s v="Stars Are on Your Side"/>
    <x v="274"/>
    <n v="49"/>
    <n v="218004"/>
    <x v="0"/>
    <n v="0.255"/>
    <n v="0.625"/>
    <n v="0"/>
    <n v="-8.31"/>
    <n v="1"/>
    <n v="3.2300000000000002E-2"/>
    <n v="0.63"/>
    <n v="2.1100000000000001E-4"/>
    <n v="9.7600000000000006E-2"/>
    <n v="0.191"/>
    <n v="84.611000000000004"/>
    <n v="4"/>
    <x v="0"/>
  </r>
  <r>
    <x v="317"/>
    <s v="Jonah Baker;Sara Phillips"/>
    <s v="Covers"/>
    <x v="275"/>
    <n v="26"/>
    <n v="222911"/>
    <x v="0"/>
    <n v="0.52400000000000002"/>
    <n v="0.32800000000000001"/>
    <n v="11"/>
    <n v="-10.000999999999999"/>
    <n v="1"/>
    <n v="4.0300000000000002E-2"/>
    <n v="0.81699999999999995"/>
    <n v="0"/>
    <n v="0.11799999999999999"/>
    <n v="0.59899999999999998"/>
    <n v="99.941000000000003"/>
    <n v="4"/>
    <x v="0"/>
  </r>
  <r>
    <x v="318"/>
    <s v="Joe Brooks"/>
    <s v="Constellation Me"/>
    <x v="276"/>
    <n v="53"/>
    <n v="206693"/>
    <x v="0"/>
    <n v="0.46400000000000002"/>
    <n v="0.65300000000000002"/>
    <n v="6"/>
    <n v="-7.5140000000000002"/>
    <n v="1"/>
    <n v="0.10100000000000001"/>
    <n v="0.19900000000000001"/>
    <n v="0"/>
    <n v="9.7900000000000001E-2"/>
    <n v="0.41599999999999998"/>
    <n v="162.196"/>
    <n v="4"/>
    <x v="0"/>
  </r>
  <r>
    <x v="319"/>
    <s v="Boyce Avenue"/>
    <s v="Cover Sessions, Vol. 5"/>
    <x v="277"/>
    <n v="52"/>
    <n v="246979"/>
    <x v="0"/>
    <n v="0.65900000000000003"/>
    <n v="0.33100000000000002"/>
    <n v="10"/>
    <n v="-8.9870000000000001"/>
    <n v="1"/>
    <n v="3.2099999999999997E-2"/>
    <n v="0.80900000000000005"/>
    <n v="0"/>
    <n v="9.9599999999999994E-2"/>
    <n v="8.77E-2"/>
    <n v="105.01"/>
    <n v="4"/>
    <x v="0"/>
  </r>
  <r>
    <x v="320"/>
    <s v="Zack Tabudlo"/>
    <s v="Episode"/>
    <x v="278"/>
    <n v="51"/>
    <n v="282950"/>
    <x v="0"/>
    <n v="0.59199999999999997"/>
    <n v="0.49"/>
    <n v="10"/>
    <n v="-8.5079999999999991"/>
    <n v="1"/>
    <n v="2.63E-2"/>
    <n v="0.39500000000000002"/>
    <n v="0"/>
    <n v="0.33300000000000002"/>
    <n v="0.437"/>
    <n v="99.994"/>
    <n v="4"/>
    <x v="0"/>
  </r>
  <r>
    <x v="321"/>
    <s v="Masaharu Fukuyama"/>
    <s v="KISSã—ã¦"/>
    <x v="279"/>
    <n v="35"/>
    <n v="222626"/>
    <x v="0"/>
    <n v="0.46700000000000003"/>
    <n v="0.85099999999999998"/>
    <n v="6"/>
    <n v="-4.2030000000000003"/>
    <n v="1"/>
    <n v="5.2600000000000001E-2"/>
    <n v="3.5300000000000002E-4"/>
    <n v="0"/>
    <n v="0.33"/>
    <n v="0.64400000000000002"/>
    <n v="93.873000000000005"/>
    <n v="4"/>
    <x v="0"/>
  </r>
  <r>
    <x v="322"/>
    <s v="Zack Tabudlo;James TW"/>
    <s v="Binibini (Last Day On Earth)"/>
    <x v="280"/>
    <n v="54"/>
    <n v="219692"/>
    <x v="0"/>
    <n v="0.56399999999999995"/>
    <n v="0.39100000000000001"/>
    <n v="5"/>
    <n v="-7.6550000000000002"/>
    <n v="1"/>
    <n v="3.1099999999999999E-2"/>
    <n v="0.47799999999999998"/>
    <n v="0"/>
    <n v="0.127"/>
    <n v="0.10100000000000001"/>
    <n v="130.03"/>
    <n v="4"/>
    <x v="0"/>
  </r>
  <r>
    <x v="323"/>
    <s v="Ciaran Lavery"/>
    <s v="Kosher"/>
    <x v="281"/>
    <n v="50"/>
    <n v="170786"/>
    <x v="0"/>
    <n v="0.498"/>
    <n v="0.38400000000000001"/>
    <n v="4"/>
    <n v="-10.752000000000001"/>
    <n v="1"/>
    <n v="9.7600000000000006E-2"/>
    <n v="0.81799999999999995"/>
    <n v="9.3700000000000001E-4"/>
    <n v="0.13"/>
    <n v="0.25"/>
    <n v="79.855999999999995"/>
    <n v="4"/>
    <x v="0"/>
  </r>
  <r>
    <x v="324"/>
    <s v="John Frusciante"/>
    <s v="To Record Only Water For Ten Days (U.S. Version)"/>
    <x v="282"/>
    <n v="53"/>
    <n v="70133"/>
    <x v="0"/>
    <n v="0.38600000000000001"/>
    <n v="0.42799999999999999"/>
    <n v="10"/>
    <n v="-9.9489999999999998"/>
    <n v="0"/>
    <n v="2.9499999999999998E-2"/>
    <n v="0.95099999999999996"/>
    <n v="0.88200000000000001"/>
    <n v="0.16200000000000001"/>
    <n v="0.73"/>
    <n v="172.31100000000001"/>
    <n v="4"/>
    <x v="0"/>
  </r>
  <r>
    <x v="325"/>
    <s v="Chord Overstreet"/>
    <s v="Hold On (Acoustic)"/>
    <x v="283"/>
    <n v="48"/>
    <n v="200346"/>
    <x v="0"/>
    <n v="0.70199999999999996"/>
    <n v="0.25900000000000001"/>
    <n v="2"/>
    <n v="-9.73"/>
    <n v="1"/>
    <n v="4.0300000000000002E-2"/>
    <n v="0.878"/>
    <s v="5.34e-06"/>
    <n v="0.108"/>
    <n v="0.246"/>
    <n v="120.102"/>
    <n v="4"/>
    <x v="0"/>
  </r>
  <r>
    <x v="326"/>
    <s v="The Civil Wars"/>
    <s v="The Civil Wars"/>
    <x v="284"/>
    <n v="49"/>
    <n v="229653"/>
    <x v="0"/>
    <n v="0.747"/>
    <n v="0.26500000000000001"/>
    <n v="1"/>
    <n v="-14.141"/>
    <n v="1"/>
    <n v="3.5400000000000001E-2"/>
    <n v="0.745"/>
    <n v="1.6899999999999998E-2"/>
    <n v="0.11"/>
    <n v="0.2"/>
    <n v="138.017"/>
    <n v="4"/>
    <x v="0"/>
  </r>
  <r>
    <x v="327"/>
    <s v="Masaharu Fukuyama"/>
    <s v="Good night"/>
    <x v="285"/>
    <n v="35"/>
    <n v="354213"/>
    <x v="0"/>
    <n v="0.52200000000000002"/>
    <n v="0.498"/>
    <n v="7"/>
    <n v="-7.2469999999999999"/>
    <n v="1"/>
    <n v="2.5700000000000001E-2"/>
    <n v="7.5800000000000006E-2"/>
    <s v="1.51e-06"/>
    <n v="0.25"/>
    <n v="0.221"/>
    <n v="145.90799999999999"/>
    <n v="4"/>
    <x v="0"/>
  </r>
  <r>
    <x v="328"/>
    <s v="Zack Tabudlo"/>
    <s v="As You Are"/>
    <x v="286"/>
    <n v="60"/>
    <n v="183969"/>
    <x v="0"/>
    <n v="0.71499999999999997"/>
    <n v="0.438"/>
    <n v="10"/>
    <n v="-6.1470000000000002"/>
    <n v="0"/>
    <n v="3.73E-2"/>
    <n v="0.35299999999999998"/>
    <s v="1.75e-06"/>
    <n v="0.108"/>
    <n v="0.44700000000000001"/>
    <n v="81.069999999999993"/>
    <n v="4"/>
    <x v="0"/>
  </r>
  <r>
    <x v="329"/>
    <s v="Zack Tabudlo"/>
    <s v="Episode"/>
    <x v="172"/>
    <n v="65"/>
    <n v="221538"/>
    <x v="0"/>
    <n v="0.64200000000000002"/>
    <n v="0.374"/>
    <n v="5"/>
    <n v="-10.606"/>
    <n v="1"/>
    <n v="3.2000000000000001E-2"/>
    <n v="0.42299999999999999"/>
    <s v="1.54e-06"/>
    <n v="0.435"/>
    <n v="9.7900000000000001E-2"/>
    <n v="129.863"/>
    <n v="4"/>
    <x v="0"/>
  </r>
  <r>
    <x v="330"/>
    <s v="Sara Farell"/>
    <s v="#Covers"/>
    <x v="287"/>
    <n v="52"/>
    <n v="192545"/>
    <x v="0"/>
    <n v="0.35399999999999998"/>
    <n v="0.41499999999999998"/>
    <n v="9"/>
    <n v="-6.5780000000000003"/>
    <n v="1"/>
    <n v="2.8899999999999999E-2"/>
    <n v="0.79700000000000004"/>
    <n v="0"/>
    <n v="0.107"/>
    <n v="0.42099999999999999"/>
    <n v="175.53700000000001"/>
    <n v="4"/>
    <x v="0"/>
  </r>
  <r>
    <x v="331"/>
    <s v="A Great Big World"/>
    <s v="Is There Anybody Out There?"/>
    <x v="6"/>
    <n v="57"/>
    <n v="233266"/>
    <x v="0"/>
    <n v="0.44700000000000001"/>
    <n v="0.158"/>
    <n v="2"/>
    <n v="-7.5709999999999997"/>
    <n v="1"/>
    <n v="3.5999999999999997E-2"/>
    <n v="0.872"/>
    <s v="1.58e-06"/>
    <n v="8.1600000000000006E-2"/>
    <n v="0.14199999999999999"/>
    <n v="140.94200000000001"/>
    <n v="3"/>
    <x v="0"/>
  </r>
  <r>
    <x v="332"/>
    <s v="Ingrid Michaelson;AJR"/>
    <s v="The Lotto"/>
    <x v="288"/>
    <n v="59"/>
    <n v="193695"/>
    <x v="0"/>
    <n v="0.68700000000000006"/>
    <n v="0.748"/>
    <n v="3"/>
    <n v="-4.54"/>
    <n v="1"/>
    <n v="7.85E-2"/>
    <n v="0.24"/>
    <n v="0"/>
    <n v="0.373"/>
    <n v="0.872"/>
    <n v="88.944000000000003"/>
    <n v="4"/>
    <x v="0"/>
  </r>
  <r>
    <x v="333"/>
    <s v="Rodrigo y Gabriela"/>
    <s v="Rodrigo Y Gabriela"/>
    <x v="289"/>
    <n v="50"/>
    <n v="205800"/>
    <x v="0"/>
    <n v="0.58799999999999997"/>
    <n v="0.91400000000000003"/>
    <n v="7"/>
    <n v="-7.4420000000000002"/>
    <n v="1"/>
    <n v="3.4099999999999998E-2"/>
    <n v="0.83199999999999996"/>
    <n v="0.85599999999999998"/>
    <n v="0.10299999999999999"/>
    <n v="0.97099999999999997"/>
    <n v="128.553"/>
    <n v="4"/>
    <x v="0"/>
  </r>
  <r>
    <x v="334"/>
    <s v="Andrew Belle"/>
    <s v="The Ladder"/>
    <x v="290"/>
    <n v="49"/>
    <n v="272612"/>
    <x v="0"/>
    <n v="0.45600000000000002"/>
    <n v="0.20499999999999999"/>
    <n v="1"/>
    <n v="-8.4369999999999994"/>
    <n v="1"/>
    <n v="3.1300000000000001E-2"/>
    <n v="0.92"/>
    <n v="1.1E-4"/>
    <n v="0.14899999999999999"/>
    <n v="0.161"/>
    <n v="117.663"/>
    <n v="4"/>
    <x v="0"/>
  </r>
  <r>
    <x v="335"/>
    <s v="Priscilla Ahn"/>
    <s v="A Good Day"/>
    <x v="291"/>
    <n v="54"/>
    <n v="211240"/>
    <x v="0"/>
    <n v="0.51200000000000001"/>
    <n v="0.248"/>
    <n v="2"/>
    <n v="-10.359"/>
    <n v="1"/>
    <n v="2.75E-2"/>
    <n v="0.75"/>
    <s v="2.96e-05"/>
    <n v="0.114"/>
    <n v="0.158"/>
    <n v="109.69199999999999"/>
    <n v="3"/>
    <x v="0"/>
  </r>
  <r>
    <x v="336"/>
    <s v="JJ Heller"/>
    <s v="Big Love, Small Moments"/>
    <x v="292"/>
    <n v="52"/>
    <n v="204293"/>
    <x v="0"/>
    <n v="0.58199999999999996"/>
    <n v="0.28199999999999997"/>
    <n v="0"/>
    <n v="-9.2289999999999992"/>
    <n v="1"/>
    <n v="3.1600000000000003E-2"/>
    <n v="0.79300000000000004"/>
    <s v="2.01e-06"/>
    <n v="7.4399999999999994E-2"/>
    <n v="0.27800000000000002"/>
    <n v="118.01900000000001"/>
    <n v="4"/>
    <x v="0"/>
  </r>
  <r>
    <x v="337"/>
    <s v="Priscilla Ahn"/>
    <s v="When Marnie Was There Song Album - Just Know That I Love You."/>
    <x v="293"/>
    <n v="46"/>
    <n v="252386"/>
    <x v="0"/>
    <n v="0.56799999999999995"/>
    <n v="0.18"/>
    <n v="7"/>
    <n v="-11.707000000000001"/>
    <n v="1"/>
    <n v="2.8400000000000002E-2"/>
    <n v="0.75800000000000001"/>
    <s v="6.17e-05"/>
    <n v="0.111"/>
    <n v="0.22800000000000001"/>
    <n v="112.033"/>
    <n v="4"/>
    <x v="0"/>
  </r>
  <r>
    <x v="338"/>
    <s v="Joshua Hyslop"/>
    <s v="Echos"/>
    <x v="294"/>
    <n v="62"/>
    <n v="203253"/>
    <x v="0"/>
    <n v="0.71"/>
    <n v="0.27100000000000002"/>
    <n v="7"/>
    <n v="-9.5410000000000004"/>
    <n v="1"/>
    <n v="2.8299999999999999E-2"/>
    <n v="0.65800000000000003"/>
    <s v="4.59e-06"/>
    <n v="0.115"/>
    <n v="0.68600000000000005"/>
    <n v="131.88"/>
    <n v="4"/>
    <x v="0"/>
  </r>
  <r>
    <x v="339"/>
    <s v="Front Porch Step"/>
    <s v="I Never Loved Before I Found You"/>
    <x v="295"/>
    <n v="32"/>
    <n v="291332"/>
    <x v="0"/>
    <n v="0.57399999999999995"/>
    <n v="0.70399999999999996"/>
    <n v="0"/>
    <n v="-4.6500000000000004"/>
    <n v="1"/>
    <n v="3.1800000000000002E-2"/>
    <n v="9.3100000000000002E-2"/>
    <n v="2.81E-4"/>
    <n v="0.13600000000000001"/>
    <n v="0.33800000000000002"/>
    <n v="117.086"/>
    <n v="4"/>
    <x v="0"/>
  </r>
  <r>
    <x v="340"/>
    <s v="Takehara Pistol"/>
    <s v="It's My Life"/>
    <x v="296"/>
    <n v="33"/>
    <n v="172373"/>
    <x v="0"/>
    <n v="0.64"/>
    <n v="0.89500000000000002"/>
    <n v="9"/>
    <n v="-3.0680000000000001"/>
    <n v="1"/>
    <n v="3.1600000000000003E-2"/>
    <n v="0.27300000000000002"/>
    <n v="0"/>
    <n v="0.247"/>
    <n v="0.94"/>
    <n v="115.941"/>
    <n v="4"/>
    <x v="0"/>
  </r>
  <r>
    <x v="341"/>
    <s v="Eric Hutchinson"/>
    <s v="Pure Fiction"/>
    <x v="297"/>
    <n v="58"/>
    <n v="161328"/>
    <x v="0"/>
    <n v="0.66900000000000004"/>
    <n v="0.85399999999999998"/>
    <n v="4"/>
    <n v="-5.899"/>
    <n v="1"/>
    <n v="4.3099999999999999E-2"/>
    <n v="6.5299999999999997E-2"/>
    <n v="0"/>
    <n v="0.28799999999999998"/>
    <n v="0.70599999999999996"/>
    <n v="120.035"/>
    <n v="4"/>
    <x v="0"/>
  </r>
  <r>
    <x v="342"/>
    <s v="Brett Dennen"/>
    <s v="So Much More (Special Edition)"/>
    <x v="298"/>
    <n v="57"/>
    <n v="220306"/>
    <x v="0"/>
    <n v="0.61499999999999999"/>
    <n v="0.35799999999999998"/>
    <n v="5"/>
    <n v="-9.6940000000000008"/>
    <n v="1"/>
    <n v="5.5199999999999999E-2"/>
    <n v="0.70499999999999996"/>
    <n v="0"/>
    <n v="0.113"/>
    <n v="0.432"/>
    <n v="146.06"/>
    <n v="4"/>
    <x v="0"/>
  </r>
  <r>
    <x v="343"/>
    <s v="Rail Yard Ghosts"/>
    <s v="Songs from the Lowdown"/>
    <x v="299"/>
    <n v="34"/>
    <n v="192392"/>
    <x v="0"/>
    <n v="0.41499999999999998"/>
    <n v="0.61899999999999999"/>
    <n v="2"/>
    <n v="-7.6239999999999997"/>
    <n v="0"/>
    <n v="0.123"/>
    <n v="0.94599999999999995"/>
    <s v="2.75e-05"/>
    <n v="0.79900000000000004"/>
    <n v="0.73899999999999999"/>
    <n v="77.009"/>
    <n v="4"/>
    <x v="0"/>
  </r>
  <r>
    <x v="344"/>
    <s v="Five For Fighting"/>
    <s v="Bookmarks"/>
    <x v="300"/>
    <n v="55"/>
    <n v="207228"/>
    <x v="0"/>
    <n v="0.56499999999999995"/>
    <n v="0.89500000000000002"/>
    <n v="0"/>
    <n v="-5.3540000000000001"/>
    <n v="1"/>
    <n v="0.04"/>
    <n v="0.19400000000000001"/>
    <n v="0"/>
    <n v="0.10100000000000001"/>
    <n v="0.59199999999999997"/>
    <n v="149.91900000000001"/>
    <n v="4"/>
    <x v="0"/>
  </r>
  <r>
    <x v="345"/>
    <s v="The Bridge City Sinners"/>
    <s v="Bridge City Sinners"/>
    <x v="301"/>
    <n v="33"/>
    <n v="122874"/>
    <x v="0"/>
    <n v="0.58599999999999997"/>
    <n v="0.70199999999999996"/>
    <n v="0"/>
    <n v="-4.4180000000000001"/>
    <n v="1"/>
    <n v="0.13200000000000001"/>
    <n v="0.59"/>
    <n v="0"/>
    <n v="0.14599999999999999"/>
    <n v="0.64400000000000002"/>
    <n v="177.59800000000001"/>
    <n v="4"/>
    <x v="0"/>
  </r>
  <r>
    <x v="346"/>
    <s v="Frank Turner"/>
    <s v="Tape Deck Heart (Deluxe Edition)"/>
    <x v="302"/>
    <n v="33"/>
    <n v="223015"/>
    <x v="0"/>
    <n v="0.56399999999999995"/>
    <n v="0.60399999999999998"/>
    <n v="7"/>
    <n v="-5.0549999999999997"/>
    <n v="1"/>
    <n v="5.4899999999999997E-2"/>
    <n v="2.87E-2"/>
    <s v="4.74e-06"/>
    <n v="0.108"/>
    <n v="0.34100000000000003"/>
    <n v="113.09099999999999"/>
    <n v="4"/>
    <x v="0"/>
  </r>
  <r>
    <x v="347"/>
    <s v="Matt Costa"/>
    <s v="sadsadchristmas"/>
    <x v="303"/>
    <n v="0"/>
    <n v="155000"/>
    <x v="0"/>
    <n v="0.54300000000000004"/>
    <n v="0.35899999999999999"/>
    <n v="8"/>
    <n v="-6.5709999999999997"/>
    <n v="1"/>
    <n v="3.0200000000000001E-2"/>
    <n v="0.65100000000000002"/>
    <n v="0"/>
    <n v="9.8100000000000007E-2"/>
    <n v="0.34599999999999997"/>
    <n v="109.735"/>
    <n v="4"/>
    <x v="0"/>
  </r>
  <r>
    <x v="348"/>
    <s v="Matt Costa"/>
    <s v="Christmas Vibes But Not Christmas Songs"/>
    <x v="303"/>
    <n v="0"/>
    <n v="155000"/>
    <x v="0"/>
    <n v="0.54300000000000004"/>
    <n v="0.35899999999999999"/>
    <n v="8"/>
    <n v="-6.5709999999999997"/>
    <n v="1"/>
    <n v="3.0200000000000001E-2"/>
    <n v="0.65100000000000002"/>
    <n v="0"/>
    <n v="9.8100000000000007E-2"/>
    <n v="0.34599999999999997"/>
    <n v="109.735"/>
    <n v="4"/>
    <x v="0"/>
  </r>
  <r>
    <x v="349"/>
    <s v="Matt Costa"/>
    <s v="Acoustic Christmas Campfire"/>
    <x v="303"/>
    <n v="0"/>
    <n v="155000"/>
    <x v="0"/>
    <n v="0.54300000000000004"/>
    <n v="0.35899999999999999"/>
    <n v="8"/>
    <n v="-6.5709999999999997"/>
    <n v="1"/>
    <n v="3.0200000000000001E-2"/>
    <n v="0.65100000000000002"/>
    <n v="0"/>
    <n v="9.8100000000000007E-2"/>
    <n v="0.34599999999999997"/>
    <n v="109.735"/>
    <n v="4"/>
    <x v="0"/>
  </r>
  <r>
    <x v="350"/>
    <s v="Jonah Baker"/>
    <s v="Mirrors (Acoustic)"/>
    <x v="304"/>
    <n v="52"/>
    <n v="224170"/>
    <x v="0"/>
    <n v="0.63800000000000001"/>
    <n v="0.28699999999999998"/>
    <n v="8"/>
    <n v="-11.173999999999999"/>
    <n v="0"/>
    <n v="4.1200000000000001E-2"/>
    <n v="0.81"/>
    <n v="0"/>
    <n v="8.0399999999999999E-2"/>
    <n v="0.44500000000000001"/>
    <n v="128.02500000000001"/>
    <n v="4"/>
    <x v="0"/>
  </r>
  <r>
    <x v="351"/>
    <s v="Aqualung;Kina Grannis"/>
    <s v="10 Futures"/>
    <x v="305"/>
    <n v="21"/>
    <n v="239004"/>
    <x v="0"/>
    <n v="0.51500000000000001"/>
    <n v="0.46"/>
    <n v="9"/>
    <n v="-11.260999999999999"/>
    <n v="0"/>
    <n v="4.36E-2"/>
    <n v="0.89100000000000001"/>
    <n v="0.14000000000000001"/>
    <n v="8.7400000000000005E-2"/>
    <n v="0.25900000000000001"/>
    <n v="140.06700000000001"/>
    <n v="4"/>
    <x v="0"/>
  </r>
  <r>
    <x v="352"/>
    <s v="Jonah Baker"/>
    <s v="Stay - Acoustic"/>
    <x v="306"/>
    <n v="50"/>
    <n v="181311"/>
    <x v="0"/>
    <n v="0.622"/>
    <n v="0.221"/>
    <n v="9"/>
    <n v="-14.335000000000001"/>
    <n v="1"/>
    <n v="5.8299999999999998E-2"/>
    <n v="0.90100000000000002"/>
    <n v="0"/>
    <n v="0.107"/>
    <n v="0.29699999999999999"/>
    <n v="131.827"/>
    <n v="4"/>
    <x v="0"/>
  </r>
  <r>
    <x v="353"/>
    <s v="Ichiko Aoba"/>
    <s v="ãƒžãƒ›ãƒ­ãƒœã‚·ãƒ¤"/>
    <x v="307"/>
    <n v="55"/>
    <n v="144653"/>
    <x v="0"/>
    <n v="0.44"/>
    <n v="3.5299999999999998E-2"/>
    <n v="6"/>
    <n v="-20.858000000000001"/>
    <n v="1"/>
    <n v="5.2200000000000003E-2"/>
    <n v="0.99"/>
    <n v="3.1199999999999999E-3"/>
    <n v="0.108"/>
    <n v="0.36199999999999999"/>
    <n v="181.988"/>
    <n v="4"/>
    <x v="0"/>
  </r>
  <r>
    <x v="354"/>
    <s v="Kina Grannis"/>
    <s v="Oh What A Love"/>
    <x v="308"/>
    <n v="46"/>
    <n v="235135"/>
    <x v="0"/>
    <n v="0.45700000000000002"/>
    <n v="6.4000000000000001E-2"/>
    <n v="6"/>
    <n v="-19.928000000000001"/>
    <n v="1"/>
    <n v="3.39E-2"/>
    <n v="0.94099999999999995"/>
    <n v="0.108"/>
    <n v="0.107"/>
    <n v="6.4699999999999994E-2"/>
    <n v="147.82400000000001"/>
    <n v="3"/>
    <x v="0"/>
  </r>
  <r>
    <x v="355"/>
    <s v="Meiko"/>
    <s v="The Bright Side"/>
    <x v="309"/>
    <n v="56"/>
    <n v="248360"/>
    <x v="0"/>
    <n v="0.64900000000000002"/>
    <n v="0.82099999999999995"/>
    <n v="1"/>
    <n v="-6.4829999999999997"/>
    <n v="0"/>
    <n v="3.1300000000000001E-2"/>
    <n v="3.0200000000000001E-2"/>
    <n v="1.4100000000000001E-4"/>
    <n v="8.43E-2"/>
    <n v="0.66100000000000003"/>
    <n v="121.938"/>
    <n v="4"/>
    <x v="0"/>
  </r>
  <r>
    <x v="356"/>
    <s v="Erin McCarley"/>
    <s v="I Won't Let You Down"/>
    <x v="310"/>
    <n v="40"/>
    <n v="198344"/>
    <x v="0"/>
    <n v="0.495"/>
    <n v="0.32900000000000001"/>
    <n v="7"/>
    <n v="-11.661"/>
    <n v="1"/>
    <n v="3.8600000000000002E-2"/>
    <n v="0.65200000000000002"/>
    <s v="7.61e-05"/>
    <n v="6.0600000000000001E-2"/>
    <n v="9.1899999999999996E-2"/>
    <n v="72.992000000000004"/>
    <n v="4"/>
    <x v="0"/>
  </r>
  <r>
    <x v="357"/>
    <s v="Jason Mraz"/>
    <s v="Look For The Good"/>
    <x v="311"/>
    <n v="21"/>
    <n v="239697"/>
    <x v="0"/>
    <n v="0.71"/>
    <n v="0.61499999999999999"/>
    <n v="0"/>
    <n v="-8.23"/>
    <n v="1"/>
    <n v="0.13300000000000001"/>
    <n v="3.8399999999999997E-2"/>
    <n v="0"/>
    <n v="0.28299999999999997"/>
    <n v="0.746"/>
    <n v="90.263000000000005"/>
    <n v="4"/>
    <x v="0"/>
  </r>
  <r>
    <x v="358"/>
    <s v="Isabella Celander"/>
    <s v="Stargazing"/>
    <x v="312"/>
    <n v="55"/>
    <n v="186334"/>
    <x v="0"/>
    <n v="0.69"/>
    <n v="0.20399999999999999"/>
    <n v="7"/>
    <n v="-12.427"/>
    <n v="1"/>
    <n v="3.0099999999999998E-2"/>
    <n v="0.93200000000000005"/>
    <s v="1.73e-06"/>
    <n v="0.11899999999999999"/>
    <n v="0.52500000000000002"/>
    <n v="139.58699999999999"/>
    <n v="4"/>
    <x v="0"/>
  </r>
  <r>
    <x v="359"/>
    <s v="Roses &amp; Frey"/>
    <s v="Bad Liar"/>
    <x v="13"/>
    <n v="50"/>
    <n v="226877"/>
    <x v="0"/>
    <n v="0.59599999999999997"/>
    <n v="0.19500000000000001"/>
    <n v="7"/>
    <n v="-11.02"/>
    <n v="1"/>
    <n v="2.64E-2"/>
    <n v="0.92600000000000005"/>
    <n v="0"/>
    <n v="0.13900000000000001"/>
    <n v="0.17599999999999999"/>
    <n v="82.114000000000004"/>
    <n v="4"/>
    <x v="0"/>
  </r>
  <r>
    <x v="360"/>
    <s v="Rachael Yamagata"/>
    <s v="One Spring Night (Original Television Soundtrack), Pt. 3"/>
    <x v="313"/>
    <n v="41"/>
    <n v="273260"/>
    <x v="0"/>
    <n v="0.66"/>
    <n v="0.74299999999999999"/>
    <n v="9"/>
    <n v="-8.3019999999999996"/>
    <n v="1"/>
    <n v="5.0599999999999999E-2"/>
    <n v="3.2899999999999999E-2"/>
    <n v="1.3600000000000001E-3"/>
    <n v="9.8000000000000004E-2"/>
    <n v="0.44500000000000001"/>
    <n v="130.02500000000001"/>
    <n v="4"/>
    <x v="0"/>
  </r>
  <r>
    <x v="361"/>
    <s v="Us The Duo"/>
    <s v="Slow Down Time"/>
    <x v="314"/>
    <n v="44"/>
    <n v="196920"/>
    <x v="0"/>
    <n v="0.73299999999999998"/>
    <n v="0.65700000000000003"/>
    <n v="2"/>
    <n v="-6.843"/>
    <n v="1"/>
    <n v="2.7199999999999998E-2"/>
    <n v="1.2999999999999999E-2"/>
    <s v="6.73e-05"/>
    <n v="0.317"/>
    <n v="0.433"/>
    <n v="109.95399999999999"/>
    <n v="4"/>
    <x v="0"/>
  </r>
  <r>
    <x v="362"/>
    <s v="Amber Leigh Irish"/>
    <s v="Simply Acoustic"/>
    <x v="315"/>
    <n v="57"/>
    <n v="145056"/>
    <x v="0"/>
    <n v="0.58899999999999997"/>
    <n v="0.29599999999999999"/>
    <n v="0"/>
    <n v="-9.3350000000000009"/>
    <n v="1"/>
    <n v="8.3000000000000004E-2"/>
    <n v="0.84199999999999997"/>
    <n v="0"/>
    <n v="7.3599999999999999E-2"/>
    <n v="0.61099999999999999"/>
    <n v="165.79900000000001"/>
    <n v="3"/>
    <x v="0"/>
  </r>
  <r>
    <x v="363"/>
    <s v="Jess Penner"/>
    <s v="Love, Love, Love"/>
    <x v="316"/>
    <n v="33"/>
    <n v="196026"/>
    <x v="0"/>
    <n v="0.68600000000000005"/>
    <n v="0.377"/>
    <n v="9"/>
    <n v="-9.59"/>
    <n v="1"/>
    <n v="5.8900000000000001E-2"/>
    <n v="0.63800000000000001"/>
    <n v="0"/>
    <n v="0.128"/>
    <n v="0.55100000000000005"/>
    <n v="92.042000000000002"/>
    <n v="4"/>
    <x v="0"/>
  </r>
  <r>
    <x v="364"/>
    <s v="Daniel Robinson"/>
    <s v="Heat Waves (Acoustic)"/>
    <x v="317"/>
    <n v="56"/>
    <n v="193027"/>
    <x v="0"/>
    <n v="0.65900000000000003"/>
    <n v="0.33800000000000002"/>
    <n v="6"/>
    <n v="-10.367000000000001"/>
    <n v="0"/>
    <n v="3.7600000000000001E-2"/>
    <n v="0.84199999999999997"/>
    <n v="0"/>
    <n v="0.27700000000000002"/>
    <n v="0.495"/>
    <n v="145.87700000000001"/>
    <n v="4"/>
    <x v="0"/>
  </r>
  <r>
    <x v="365"/>
    <s v="Yosui Inoue;Tamio Okuda"/>
    <s v="ã‚·ãƒ§ãƒƒãƒ”ãƒ³ã‚°"/>
    <x v="318"/>
    <n v="32"/>
    <n v="233280"/>
    <x v="0"/>
    <n v="0.73199999999999998"/>
    <n v="0.83"/>
    <n v="0"/>
    <n v="-6.63"/>
    <n v="1"/>
    <n v="3.09E-2"/>
    <n v="0.20100000000000001"/>
    <s v="3.04e-05"/>
    <n v="8.0199999999999994E-2"/>
    <n v="0.871"/>
    <n v="111.664"/>
    <n v="4"/>
    <x v="0"/>
  </r>
  <r>
    <x v="366"/>
    <s v="Jonah Baker;Celine"/>
    <s v="If the World Was Ending (Acoustic)"/>
    <x v="319"/>
    <n v="35"/>
    <n v="213091"/>
    <x v="0"/>
    <n v="0.52200000000000002"/>
    <n v="0.20200000000000001"/>
    <n v="9"/>
    <n v="-13.38"/>
    <n v="1"/>
    <n v="8.6099999999999996E-2"/>
    <n v="0.91800000000000004"/>
    <n v="0"/>
    <n v="0.185"/>
    <n v="0.45700000000000002"/>
    <n v="147.99199999999999"/>
    <n v="4"/>
    <x v="0"/>
  </r>
  <r>
    <x v="367"/>
    <s v="Greg Laswell"/>
    <s v="Three Flights From Alto Nido"/>
    <x v="320"/>
    <n v="55"/>
    <n v="253546"/>
    <x v="0"/>
    <n v="0.56499999999999995"/>
    <n v="0.69799999999999995"/>
    <n v="0"/>
    <n v="-8.5960000000000001"/>
    <n v="1"/>
    <n v="2.9499999999999998E-2"/>
    <n v="0.54"/>
    <n v="1.83E-2"/>
    <n v="0.124"/>
    <n v="0.155"/>
    <n v="120.01300000000001"/>
    <n v="4"/>
    <x v="0"/>
  </r>
  <r>
    <x v="368"/>
    <s v="Masaharu Fukuyama"/>
    <s v="æ®‹éŸ¿"/>
    <x v="321"/>
    <n v="33"/>
    <n v="317400"/>
    <x v="0"/>
    <n v="0.47399999999999998"/>
    <n v="0.40799999999999997"/>
    <n v="7"/>
    <n v="-11.42"/>
    <n v="1"/>
    <n v="3.32E-2"/>
    <n v="0.60299999999999998"/>
    <s v="2.77e-05"/>
    <n v="0.104"/>
    <n v="0.23799999999999999"/>
    <n v="143.881"/>
    <n v="4"/>
    <x v="0"/>
  </r>
  <r>
    <x v="369"/>
    <s v="Blame Jones"/>
    <s v="Acoustic Versions"/>
    <x v="322"/>
    <n v="46"/>
    <n v="167616"/>
    <x v="0"/>
    <n v="0.54300000000000004"/>
    <n v="0.24399999999999999"/>
    <n v="0"/>
    <n v="-8.0619999999999994"/>
    <n v="1"/>
    <n v="5.11E-2"/>
    <n v="0.86399999999999999"/>
    <n v="0"/>
    <n v="0.112"/>
    <n v="0.28999999999999998"/>
    <n v="126.34099999999999"/>
    <n v="3"/>
    <x v="0"/>
  </r>
  <r>
    <x v="370"/>
    <s v="Ben Woodward"/>
    <s v="Don't Wanna Leave You"/>
    <x v="323"/>
    <n v="38"/>
    <n v="211672"/>
    <x v="0"/>
    <n v="0.67200000000000004"/>
    <n v="0.64400000000000002"/>
    <n v="11"/>
    <n v="-9.0630000000000006"/>
    <n v="1"/>
    <n v="0.23599999999999999"/>
    <n v="0.79500000000000004"/>
    <n v="0"/>
    <n v="0.14599999999999999"/>
    <n v="0.54900000000000004"/>
    <n v="148.13499999999999"/>
    <n v="4"/>
    <x v="0"/>
  </r>
  <r>
    <x v="371"/>
    <s v="Stephen Speaks"/>
    <s v="Passenger Seat"/>
    <x v="324"/>
    <n v="65"/>
    <n v="274245"/>
    <x v="0"/>
    <n v="0.51500000000000001"/>
    <n v="0.76900000000000002"/>
    <n v="7"/>
    <n v="-5.6959999999999997"/>
    <n v="1"/>
    <n v="3.1E-2"/>
    <n v="4.5600000000000002E-2"/>
    <n v="4.3600000000000002E-3"/>
    <n v="9.6100000000000005E-2"/>
    <n v="0.64400000000000002"/>
    <n v="153.04599999999999"/>
    <n v="4"/>
    <x v="0"/>
  </r>
  <r>
    <x v="372"/>
    <s v="Matt White"/>
    <s v="Best Days"/>
    <x v="325"/>
    <n v="60"/>
    <n v="170040"/>
    <x v="0"/>
    <n v="0.75900000000000001"/>
    <n v="0.68400000000000005"/>
    <n v="0"/>
    <n v="-5.7510000000000003"/>
    <n v="1"/>
    <n v="3.15E-2"/>
    <n v="0.26900000000000002"/>
    <n v="0"/>
    <n v="0.13"/>
    <n v="0.75900000000000001"/>
    <n v="107.94799999999999"/>
    <n v="4"/>
    <x v="0"/>
  </r>
  <r>
    <x v="373"/>
    <s v="Boyce Avenue"/>
    <s v="Cover Sessions, Vol. 6"/>
    <x v="326"/>
    <n v="54"/>
    <n v="267765"/>
    <x v="0"/>
    <n v="0.62"/>
    <n v="0.21"/>
    <n v="11"/>
    <n v="-9.6329999999999991"/>
    <n v="0"/>
    <n v="2.7400000000000001E-2"/>
    <n v="0.91100000000000003"/>
    <s v="2.22e-06"/>
    <n v="0.108"/>
    <n v="0.16300000000000001"/>
    <n v="98.558000000000007"/>
    <n v="3"/>
    <x v="0"/>
  </r>
  <r>
    <x v="374"/>
    <s v="Madi Diaz"/>
    <s v="Phantom"/>
    <x v="327"/>
    <n v="37"/>
    <n v="250146"/>
    <x v="0"/>
    <n v="0.497"/>
    <n v="0.254"/>
    <n v="8"/>
    <n v="-11.715999999999999"/>
    <n v="0"/>
    <n v="3.4099999999999998E-2"/>
    <n v="0.89100000000000001"/>
    <n v="4.41E-2"/>
    <n v="0.122"/>
    <n v="6.7599999999999993E-2"/>
    <n v="110.864"/>
    <n v="3"/>
    <x v="0"/>
  </r>
  <r>
    <x v="375"/>
    <s v="Masaharu Fukuyama"/>
    <s v="æ®‹éŸ¿"/>
    <x v="328"/>
    <n v="34"/>
    <n v="290480"/>
    <x v="0"/>
    <n v="0.64400000000000002"/>
    <n v="0.60299999999999998"/>
    <n v="10"/>
    <n v="-5.83"/>
    <n v="1"/>
    <n v="2.63E-2"/>
    <n v="0.30599999999999999"/>
    <n v="0"/>
    <n v="0.26200000000000001"/>
    <n v="0.51600000000000001"/>
    <n v="113.413"/>
    <n v="4"/>
    <x v="0"/>
  </r>
  <r>
    <x v="376"/>
    <s v="Boyce Avenue"/>
    <s v="Cover Sessions, Vol. 4"/>
    <x v="329"/>
    <n v="55"/>
    <n v="198218"/>
    <x v="0"/>
    <n v="0.45"/>
    <n v="0.254"/>
    <n v="4"/>
    <n v="-9.8729999999999993"/>
    <n v="1"/>
    <n v="4.1399999999999999E-2"/>
    <n v="0.82699999999999996"/>
    <n v="0"/>
    <n v="0.20399999999999999"/>
    <n v="0.248"/>
    <n v="92.644000000000005"/>
    <n v="4"/>
    <x v="0"/>
  </r>
  <r>
    <x v="377"/>
    <s v="Canyon City"/>
    <s v="Bluebird"/>
    <x v="330"/>
    <n v="51"/>
    <n v="225400"/>
    <x v="0"/>
    <n v="0.54800000000000004"/>
    <n v="0.3"/>
    <n v="4"/>
    <n v="-12.71"/>
    <n v="1"/>
    <n v="2.98E-2"/>
    <n v="0.75700000000000001"/>
    <s v="9.28e-06"/>
    <n v="8.5099999999999995E-2"/>
    <n v="0.26400000000000001"/>
    <n v="135.90199999999999"/>
    <n v="4"/>
    <x v="0"/>
  </r>
  <r>
    <x v="378"/>
    <s v="Tristan Prettyman"/>
    <s v="Back to Home"/>
    <x v="331"/>
    <n v="48"/>
    <n v="259877"/>
    <x v="0"/>
    <n v="0.52100000000000002"/>
    <n v="0.50700000000000001"/>
    <n v="7"/>
    <n v="-7.0069999999999997"/>
    <n v="1"/>
    <n v="3.1899999999999998E-2"/>
    <n v="1.6199999999999999E-2"/>
    <s v="4.43e-05"/>
    <n v="0.14799999999999999"/>
    <n v="0.153"/>
    <n v="108.16800000000001"/>
    <n v="4"/>
    <x v="0"/>
  </r>
  <r>
    <x v="379"/>
    <s v="Masaharu Fukuyama"/>
    <s v="SING A SONG"/>
    <x v="332"/>
    <n v="34"/>
    <n v="288426"/>
    <x v="0"/>
    <n v="0.58699999999999997"/>
    <n v="0.84199999999999997"/>
    <n v="4"/>
    <n v="-6.04"/>
    <n v="1"/>
    <n v="2.6800000000000001E-2"/>
    <n v="0.27800000000000002"/>
    <n v="0"/>
    <n v="0.16300000000000001"/>
    <n v="0.69299999999999995"/>
    <n v="97.013000000000005"/>
    <n v="4"/>
    <x v="0"/>
  </r>
  <r>
    <x v="380"/>
    <s v="JJ Heller"/>
    <s v="It'll Be Alright"/>
    <x v="333"/>
    <n v="51"/>
    <n v="219363"/>
    <x v="0"/>
    <n v="0.54300000000000004"/>
    <n v="0.32400000000000001"/>
    <n v="0"/>
    <n v="-11.257999999999999"/>
    <n v="1"/>
    <n v="3.1600000000000003E-2"/>
    <n v="0.45200000000000001"/>
    <s v="2.81e-05"/>
    <n v="0.41199999999999998"/>
    <n v="0.18099999999999999"/>
    <n v="139.88300000000001"/>
    <n v="4"/>
    <x v="0"/>
  </r>
  <r>
    <x v="381"/>
    <s v="Ingrid Michaelson"/>
    <s v="Everybody"/>
    <x v="334"/>
    <n v="54"/>
    <n v="208426"/>
    <x v="0"/>
    <n v="0.74199999999999999"/>
    <n v="0.63600000000000001"/>
    <n v="11"/>
    <n v="-6.7439999999999998"/>
    <n v="1"/>
    <n v="3.3099999999999997E-2"/>
    <n v="0.44600000000000001"/>
    <n v="0"/>
    <n v="8.1699999999999995E-2"/>
    <n v="0.48"/>
    <n v="95.001999999999995"/>
    <n v="4"/>
    <x v="0"/>
  </r>
  <r>
    <x v="382"/>
    <s v="Mark Oblea"/>
    <s v="Kabilugan Ng Buwan"/>
    <x v="335"/>
    <n v="32"/>
    <n v="283480"/>
    <x v="0"/>
    <n v="0.70699999999999996"/>
    <n v="0.40200000000000002"/>
    <n v="4"/>
    <n v="-9.7729999999999997"/>
    <n v="1"/>
    <n v="2.5100000000000001E-2"/>
    <n v="0.67700000000000005"/>
    <n v="0"/>
    <n v="0.104"/>
    <n v="0.313"/>
    <n v="94.99"/>
    <n v="4"/>
    <x v="0"/>
  </r>
  <r>
    <x v="383"/>
    <s v="Ingrid Michaelson"/>
    <s v="Be OK"/>
    <x v="336"/>
    <n v="54"/>
    <n v="205586"/>
    <x v="0"/>
    <n v="0.52"/>
    <n v="0.308"/>
    <n v="7"/>
    <n v="-11.996"/>
    <n v="1"/>
    <n v="3.3099999999999997E-2"/>
    <n v="0.77600000000000002"/>
    <n v="2.8500000000000001E-3"/>
    <n v="0.115"/>
    <n v="0.187"/>
    <n v="125.93"/>
    <n v="3"/>
    <x v="0"/>
  </r>
  <r>
    <x v="384"/>
    <s v="Boyce Avenue;Kina Grannis"/>
    <s v="Cover Sessions, Vol. 2"/>
    <x v="337"/>
    <n v="61"/>
    <n v="304293"/>
    <x v="0"/>
    <n v="0.39200000000000002"/>
    <n v="0.251"/>
    <n v="10"/>
    <n v="-9.8450000000000006"/>
    <n v="1"/>
    <n v="3.6299999999999999E-2"/>
    <n v="0.80700000000000005"/>
    <n v="0"/>
    <n v="7.9699999999999993E-2"/>
    <n v="0.50800000000000001"/>
    <n v="204.96100000000001"/>
    <n v="4"/>
    <x v="0"/>
  </r>
  <r>
    <x v="385"/>
    <s v="Boyce Avenue"/>
    <s v="Cover Sessions, Vol. 2"/>
    <x v="338"/>
    <n v="55"/>
    <n v="239573"/>
    <x v="0"/>
    <n v="0.53100000000000003"/>
    <n v="0.29599999999999999"/>
    <n v="1"/>
    <n v="-7.5940000000000003"/>
    <n v="1"/>
    <n v="3.04E-2"/>
    <n v="0.84"/>
    <n v="0"/>
    <n v="0.124"/>
    <n v="0.21199999999999999"/>
    <n v="106.35899999999999"/>
    <n v="4"/>
    <x v="0"/>
  </r>
  <r>
    <x v="386"/>
    <s v="Andrew Belle"/>
    <s v="The Ladder"/>
    <x v="339"/>
    <n v="55"/>
    <n v="227128"/>
    <x v="0"/>
    <n v="0.68100000000000005"/>
    <n v="0.60799999999999998"/>
    <n v="8"/>
    <n v="-8.3689999999999998"/>
    <n v="1"/>
    <n v="3.39E-2"/>
    <n v="0.62"/>
    <n v="4.2499999999999998E-4"/>
    <n v="0.13600000000000001"/>
    <n v="0.315"/>
    <n v="123.991"/>
    <n v="4"/>
    <x v="0"/>
  </r>
  <r>
    <x v="387"/>
    <s v="Masaharu Fukuyama"/>
    <s v="HELLO"/>
    <x v="340"/>
    <n v="34"/>
    <n v="243066"/>
    <x v="0"/>
    <n v="0.56899999999999995"/>
    <n v="0.86099999999999999"/>
    <n v="1"/>
    <n v="-4.5469999999999997"/>
    <n v="0"/>
    <n v="4.0599999999999997E-2"/>
    <n v="4.2500000000000003E-2"/>
    <n v="0"/>
    <n v="0.20399999999999999"/>
    <n v="0.51100000000000001"/>
    <n v="77.983000000000004"/>
    <n v="4"/>
    <x v="0"/>
  </r>
  <r>
    <x v="388"/>
    <s v="Hanare Gumi"/>
    <s v="ã ã‚Œãã‹ã‚Œã"/>
    <x v="341"/>
    <n v="33"/>
    <n v="369200"/>
    <x v="0"/>
    <n v="0.70699999999999996"/>
    <n v="0.29599999999999999"/>
    <n v="7"/>
    <n v="-11.632999999999999"/>
    <n v="1"/>
    <n v="7.8E-2"/>
    <n v="0.28299999999999997"/>
    <n v="0"/>
    <n v="6.0100000000000001E-2"/>
    <n v="0.65"/>
    <n v="88.006"/>
    <n v="4"/>
    <x v="0"/>
  </r>
  <r>
    <x v="389"/>
    <s v="Brett Dennen;Benedict Cumberbatch"/>
    <s v="August: Osage County (Original Motion Picture Soundtrack)"/>
    <x v="342"/>
    <n v="45"/>
    <n v="77093"/>
    <x v="0"/>
    <n v="0.51900000000000002"/>
    <n v="6.4600000000000005E-2"/>
    <n v="2"/>
    <n v="-18.898"/>
    <n v="1"/>
    <n v="4.3299999999999998E-2"/>
    <n v="0.98199999999999998"/>
    <s v="3.84e-06"/>
    <n v="0.105"/>
    <n v="0.39500000000000002"/>
    <n v="121.696"/>
    <n v="4"/>
    <x v="0"/>
  </r>
  <r>
    <x v="390"/>
    <s v="Hanare Gumi"/>
    <s v="éŸ³ã‚¿ã‚¤ãƒ "/>
    <x v="343"/>
    <n v="33"/>
    <n v="244840"/>
    <x v="0"/>
    <n v="0.60799999999999998"/>
    <n v="0.70499999999999996"/>
    <n v="3"/>
    <n v="-5.1779999999999999"/>
    <n v="1"/>
    <n v="2.53E-2"/>
    <n v="7.8E-2"/>
    <s v="8.36e-05"/>
    <n v="0.17899999999999999"/>
    <n v="0.621"/>
    <n v="111.20399999999999"/>
    <n v="4"/>
    <x v="0"/>
  </r>
  <r>
    <x v="391"/>
    <s v="Masaharu Fukuyama"/>
    <s v="IT'S ONLY LOVE"/>
    <x v="344"/>
    <n v="34"/>
    <n v="275266"/>
    <x v="0"/>
    <n v="0.58499999999999996"/>
    <n v="0.73399999999999999"/>
    <n v="9"/>
    <n v="-5.3650000000000002"/>
    <n v="1"/>
    <n v="3.2000000000000001E-2"/>
    <n v="3.3399999999999999E-2"/>
    <n v="0"/>
    <n v="9.3399999999999997E-2"/>
    <n v="0.41299999999999998"/>
    <n v="117.84"/>
    <n v="4"/>
    <x v="0"/>
  </r>
  <r>
    <x v="392"/>
    <s v="Masaharu Fukuyama"/>
    <s v="è™¹/ã²ã¾ã‚ã‚Š/ãã‚ŒãŒã™ã¹ã¦ã•"/>
    <x v="345"/>
    <n v="34"/>
    <n v="330720"/>
    <x v="0"/>
    <n v="0.52700000000000002"/>
    <n v="0.89"/>
    <n v="7"/>
    <n v="-5.6509999999999998"/>
    <n v="1"/>
    <n v="6.6500000000000004E-2"/>
    <n v="4.3299999999999996E-3"/>
    <n v="0"/>
    <n v="0.11799999999999999"/>
    <n v="0.42499999999999999"/>
    <n v="102.64400000000001"/>
    <n v="4"/>
    <x v="0"/>
  </r>
  <r>
    <x v="393"/>
    <s v="A Great Big World"/>
    <s v="Is There Anybody Out There? - Track by Track Commentary"/>
    <x v="346"/>
    <n v="49"/>
    <n v="163960"/>
    <x v="0"/>
    <n v="0.495"/>
    <n v="0.22"/>
    <n v="5"/>
    <n v="-11.16"/>
    <n v="1"/>
    <n v="3.5499999999999997E-2"/>
    <n v="0.84699999999999998"/>
    <s v="1.4e-06"/>
    <n v="9.5699999999999993E-2"/>
    <n v="0.34499999999999997"/>
    <n v="126.61799999999999"/>
    <n v="4"/>
    <x v="0"/>
  </r>
  <r>
    <x v="394"/>
    <s v="RENT STRIKE"/>
    <s v="Burn It All!"/>
    <x v="347"/>
    <n v="33"/>
    <n v="193874"/>
    <x v="0"/>
    <n v="0.628"/>
    <n v="0.42399999999999999"/>
    <n v="6"/>
    <n v="-8.5389999999999997"/>
    <n v="1"/>
    <n v="4.1599999999999998E-2"/>
    <n v="0.39500000000000002"/>
    <s v="4.28e-06"/>
    <n v="0.106"/>
    <n v="0.157"/>
    <n v="99.695999999999998"/>
    <n v="1"/>
    <x v="0"/>
  </r>
  <r>
    <x v="395"/>
    <s v="Brandi Carlile"/>
    <s v="Onward (Original Motion Picture Soundtrack)"/>
    <x v="348"/>
    <n v="62"/>
    <n v="213732"/>
    <x v="0"/>
    <n v="0.63900000000000001"/>
    <n v="0.66600000000000004"/>
    <n v="0"/>
    <n v="-7.7750000000000004"/>
    <n v="1"/>
    <n v="6.3600000000000004E-2"/>
    <n v="0.27100000000000002"/>
    <n v="0"/>
    <n v="0.111"/>
    <n v="0.372"/>
    <n v="98.384"/>
    <n v="4"/>
    <x v="0"/>
  </r>
  <r>
    <x v="396"/>
    <s v="Mischief Brew"/>
    <s v="This Is Not for Children"/>
    <x v="349"/>
    <n v="33"/>
    <n v="227053"/>
    <x v="0"/>
    <n v="0.245"/>
    <n v="0.624"/>
    <n v="2"/>
    <n v="-5.6059999999999999"/>
    <n v="1"/>
    <n v="3.6799999999999999E-2"/>
    <n v="0.11"/>
    <n v="0"/>
    <n v="0.36299999999999999"/>
    <n v="0.46200000000000002"/>
    <n v="162.58600000000001"/>
    <n v="3"/>
    <x v="0"/>
  </r>
  <r>
    <x v="397"/>
    <s v="Frank Turner"/>
    <s v="No Man's Land"/>
    <x v="350"/>
    <n v="31"/>
    <n v="215440"/>
    <x v="0"/>
    <n v="0.38700000000000001"/>
    <n v="0.52600000000000002"/>
    <n v="9"/>
    <n v="-7.6109999999999998"/>
    <n v="0"/>
    <n v="3.0099999999999998E-2"/>
    <n v="0.24399999999999999"/>
    <n v="3.86E-4"/>
    <n v="0.105"/>
    <n v="0.33400000000000002"/>
    <n v="130.71899999999999"/>
    <n v="4"/>
    <x v="0"/>
  </r>
  <r>
    <x v="398"/>
    <s v="Get Dead"/>
    <s v="Dancing with the Curse"/>
    <x v="351"/>
    <n v="32"/>
    <n v="136543"/>
    <x v="0"/>
    <n v="0.53900000000000003"/>
    <n v="0.67500000000000004"/>
    <n v="2"/>
    <n v="-6.9870000000000001"/>
    <n v="1"/>
    <n v="7.0900000000000005E-2"/>
    <n v="0.188"/>
    <n v="0"/>
    <n v="0.19800000000000001"/>
    <n v="0.71899999999999997"/>
    <n v="142.041"/>
    <n v="4"/>
    <x v="0"/>
  </r>
  <r>
    <x v="399"/>
    <s v="Get Dead"/>
    <s v="Dancing with the Curse"/>
    <x v="352"/>
    <n v="32"/>
    <n v="223707"/>
    <x v="1"/>
    <n v="0.48699999999999999"/>
    <n v="0.83699999999999997"/>
    <n v="0"/>
    <n v="-5.8650000000000002"/>
    <n v="1"/>
    <n v="6.2300000000000001E-2"/>
    <n v="1.3299999999999999E-2"/>
    <n v="0"/>
    <n v="0.10199999999999999"/>
    <n v="0.20699999999999999"/>
    <n v="160.02500000000001"/>
    <n v="4"/>
    <x v="0"/>
  </r>
  <r>
    <x v="400"/>
    <s v="Grace George"/>
    <s v="Heaven (Acoustic)"/>
    <x v="353"/>
    <n v="54"/>
    <n v="188181"/>
    <x v="0"/>
    <n v="0.52900000000000003"/>
    <n v="0.24"/>
    <n v="0"/>
    <n v="-9.0660000000000007"/>
    <n v="1"/>
    <n v="3.6999999999999998E-2"/>
    <n v="0.93799999999999994"/>
    <n v="0"/>
    <n v="6.59E-2"/>
    <n v="0.48699999999999999"/>
    <n v="131.26599999999999"/>
    <n v="4"/>
    <x v="0"/>
  </r>
  <r>
    <x v="401"/>
    <s v="Jack Savoretti"/>
    <s v="Days Gone (Original Soundtrack)"/>
    <x v="354"/>
    <n v="50"/>
    <n v="171760"/>
    <x v="0"/>
    <n v="0.66600000000000004"/>
    <n v="0.28899999999999998"/>
    <n v="7"/>
    <n v="-12.404"/>
    <n v="1"/>
    <n v="3.1699999999999999E-2"/>
    <n v="0.64100000000000001"/>
    <s v="8.2e-06"/>
    <n v="0.109"/>
    <n v="0.41499999999999998"/>
    <n v="109.965"/>
    <n v="4"/>
    <x v="0"/>
  </r>
  <r>
    <x v="402"/>
    <s v="Ichiko Aoba"/>
    <s v="Asleep Among Endives"/>
    <x v="355"/>
    <n v="58"/>
    <n v="306243"/>
    <x v="0"/>
    <n v="0.45100000000000001"/>
    <n v="3.1800000000000002E-2"/>
    <n v="0"/>
    <n v="-19.933"/>
    <n v="0"/>
    <n v="4.2099999999999999E-2"/>
    <n v="0.98299999999999998"/>
    <n v="5.3199999999999997E-2"/>
    <n v="9.8900000000000002E-2"/>
    <n v="0.14799999999999999"/>
    <n v="123.985"/>
    <n v="4"/>
    <x v="0"/>
  </r>
  <r>
    <x v="403"/>
    <s v="Thomas Daniel"/>
    <s v="Symphony"/>
    <x v="356"/>
    <n v="49"/>
    <n v="192389"/>
    <x v="0"/>
    <n v="0.35899999999999999"/>
    <n v="0.20799999999999999"/>
    <n v="7"/>
    <n v="-10.567"/>
    <n v="1"/>
    <n v="3.5999999999999997E-2"/>
    <n v="0.94299999999999995"/>
    <n v="0"/>
    <n v="9.3100000000000002E-2"/>
    <n v="0.105"/>
    <n v="83.155000000000001"/>
    <n v="3"/>
    <x v="0"/>
  </r>
  <r>
    <x v="404"/>
    <s v="Boyce Avenue;Fifth Harmony"/>
    <s v="Cover Sessions, Vol. 3"/>
    <x v="357"/>
    <n v="52"/>
    <n v="218472"/>
    <x v="0"/>
    <n v="0.40300000000000002"/>
    <n v="0.23699999999999999"/>
    <n v="7"/>
    <n v="-10.000999999999999"/>
    <n v="1"/>
    <n v="3.9100000000000003E-2"/>
    <n v="0.90600000000000003"/>
    <n v="0"/>
    <n v="0.111"/>
    <n v="0.16300000000000001"/>
    <n v="144.17400000000001"/>
    <n v="4"/>
    <x v="0"/>
  </r>
  <r>
    <x v="405"/>
    <s v="Amber Leigh Irish"/>
    <s v="Save Your Tears (Acoustic)"/>
    <x v="358"/>
    <n v="49"/>
    <n v="177818"/>
    <x v="0"/>
    <n v="0.69299999999999995"/>
    <n v="0.111"/>
    <n v="0"/>
    <n v="-12.356"/>
    <n v="1"/>
    <n v="3.7900000000000003E-2"/>
    <n v="0.93700000000000006"/>
    <s v="1.47e-06"/>
    <n v="8.5800000000000001E-2"/>
    <n v="0.247"/>
    <n v="110.813"/>
    <n v="4"/>
    <x v="0"/>
  </r>
  <r>
    <x v="406"/>
    <s v="Gen Hoshino"/>
    <s v="POP VIRUS"/>
    <x v="359"/>
    <n v="53"/>
    <n v="251266"/>
    <x v="0"/>
    <n v="0.59799999999999998"/>
    <n v="0.81899999999999995"/>
    <n v="9"/>
    <n v="-2.6190000000000002"/>
    <n v="1"/>
    <n v="9.11E-2"/>
    <n v="8.0999999999999996E-4"/>
    <n v="0"/>
    <n v="0.218"/>
    <n v="0.878"/>
    <n v="158.11500000000001"/>
    <n v="4"/>
    <x v="0"/>
  </r>
  <r>
    <x v="407"/>
    <s v="Richard Walters"/>
    <s v="A.M."/>
    <x v="360"/>
    <n v="54"/>
    <n v="239400"/>
    <x v="0"/>
    <n v="0.59599999999999997"/>
    <n v="0.27"/>
    <n v="2"/>
    <n v="-11.486000000000001"/>
    <n v="1"/>
    <n v="2.6499999999999999E-2"/>
    <n v="0.78500000000000003"/>
    <n v="0.13400000000000001"/>
    <n v="6.4699999999999994E-2"/>
    <n v="0.155"/>
    <n v="100.006"/>
    <n v="4"/>
    <x v="0"/>
  </r>
  <r>
    <x v="408"/>
    <s v="Kaiak;Viktoria Tolstoy"/>
    <s v="Autumn Breeze"/>
    <x v="361"/>
    <n v="50"/>
    <n v="241413"/>
    <x v="0"/>
    <n v="0.58899999999999997"/>
    <n v="0.33400000000000002"/>
    <n v="7"/>
    <n v="-10.08"/>
    <n v="1"/>
    <n v="2.9000000000000001E-2"/>
    <n v="0.83199999999999996"/>
    <n v="0"/>
    <n v="0.13300000000000001"/>
    <n v="0.20799999999999999"/>
    <n v="80.036000000000001"/>
    <n v="4"/>
    <x v="0"/>
  </r>
  <r>
    <x v="409"/>
    <s v="Boyce Avenue"/>
    <s v="Save Your Tears"/>
    <x v="362"/>
    <n v="57"/>
    <n v="216800"/>
    <x v="0"/>
    <n v="0.73499999999999999"/>
    <n v="0.27500000000000002"/>
    <n v="8"/>
    <n v="-8.9939999999999998"/>
    <n v="0"/>
    <n v="3.04E-2"/>
    <n v="0.746"/>
    <n v="0"/>
    <n v="0.13100000000000001"/>
    <n v="0.29399999999999998"/>
    <n v="116.004"/>
    <n v="4"/>
    <x v="0"/>
  </r>
  <r>
    <x v="410"/>
    <s v="Bailey Rushlow"/>
    <s v="You're Still The One (Acoustic)"/>
    <x v="363"/>
    <n v="53"/>
    <n v="161306"/>
    <x v="0"/>
    <n v="0.60499999999999998"/>
    <n v="0.16800000000000001"/>
    <n v="2"/>
    <n v="-11.388"/>
    <n v="1"/>
    <n v="4.9599999999999998E-2"/>
    <n v="0.88700000000000001"/>
    <n v="0"/>
    <n v="0.12"/>
    <n v="0.39800000000000002"/>
    <n v="119.836"/>
    <n v="4"/>
    <x v="0"/>
  </r>
  <r>
    <x v="411"/>
    <s v="Kina Grannis"/>
    <s v="Somebody Loved"/>
    <x v="364"/>
    <n v="57"/>
    <n v="153105"/>
    <x v="0"/>
    <n v="0.61199999999999999"/>
    <n v="0.107"/>
    <n v="0"/>
    <n v="-15.867000000000001"/>
    <n v="1"/>
    <n v="3.0200000000000001E-2"/>
    <n v="0.93600000000000005"/>
    <n v="0"/>
    <n v="0.109"/>
    <n v="0.63700000000000001"/>
    <n v="78.393000000000001"/>
    <n v="4"/>
    <x v="0"/>
  </r>
  <r>
    <x v="412"/>
    <s v="Boyce Avenue"/>
    <s v="Cover Sessions, Vol. 4"/>
    <x v="160"/>
    <n v="49"/>
    <n v="202167"/>
    <x v="0"/>
    <n v="0.56799999999999995"/>
    <n v="0.17699999999999999"/>
    <n v="2"/>
    <n v="-11.276999999999999"/>
    <n v="1"/>
    <n v="3.7400000000000003E-2"/>
    <n v="0.93"/>
    <n v="0"/>
    <n v="9.0499999999999997E-2"/>
    <n v="0.35399999999999998"/>
    <n v="103.822"/>
    <n v="4"/>
    <x v="0"/>
  </r>
  <r>
    <x v="413"/>
    <s v="John Adams"/>
    <s v="Bohemian Rhapsody (Acoustic)"/>
    <x v="365"/>
    <n v="52"/>
    <n v="173426"/>
    <x v="0"/>
    <n v="0.45100000000000001"/>
    <n v="6.6500000000000004E-2"/>
    <n v="0"/>
    <n v="-13.862"/>
    <n v="0"/>
    <n v="5.16E-2"/>
    <n v="0.96699999999999997"/>
    <s v="1.06e-06"/>
    <n v="0.109"/>
    <n v="0.34899999999999998"/>
    <n v="64.289000000000001"/>
    <n v="4"/>
    <x v="0"/>
  </r>
  <r>
    <x v="414"/>
    <s v="Amber Leigh Irish"/>
    <s v="As It Was (Acoustic)"/>
    <x v="366"/>
    <n v="51"/>
    <n v="144644"/>
    <x v="0"/>
    <n v="0.59499999999999997"/>
    <n v="4.7699999999999999E-2"/>
    <n v="11"/>
    <n v="-14.672000000000001"/>
    <n v="1"/>
    <n v="6.6199999999999995E-2"/>
    <n v="0.92300000000000004"/>
    <n v="0"/>
    <n v="9.0899999999999995E-2"/>
    <n v="0.51300000000000001"/>
    <n v="118.16200000000001"/>
    <n v="3"/>
    <x v="0"/>
  </r>
  <r>
    <x v="415"/>
    <s v="Canyon City"/>
    <s v="Wish List"/>
    <x v="367"/>
    <n v="46"/>
    <n v="212760"/>
    <x v="0"/>
    <n v="0.307"/>
    <n v="0.11"/>
    <n v="1"/>
    <n v="-15.253"/>
    <n v="1"/>
    <n v="3.8800000000000001E-2"/>
    <n v="0.73299999999999998"/>
    <s v="6.04e-06"/>
    <n v="0.111"/>
    <n v="0.32"/>
    <n v="201.00800000000001"/>
    <n v="3"/>
    <x v="0"/>
  </r>
  <r>
    <x v="416"/>
    <s v="Chord Overstreet"/>
    <s v="Beautiful Disaster"/>
    <x v="368"/>
    <n v="41"/>
    <n v="241758"/>
    <x v="0"/>
    <n v="0.3"/>
    <n v="0.27"/>
    <n v="8"/>
    <n v="-14.397"/>
    <n v="0"/>
    <n v="3.7100000000000001E-2"/>
    <n v="0.9"/>
    <s v="4.47e-05"/>
    <n v="0.1"/>
    <n v="0.214"/>
    <n v="144.589"/>
    <n v="4"/>
    <x v="0"/>
  </r>
  <r>
    <x v="417"/>
    <s v="Wayne Mack"/>
    <s v="Fake a smile"/>
    <x v="369"/>
    <n v="57"/>
    <n v="169600"/>
    <x v="0"/>
    <n v="0.73099999999999998"/>
    <n v="0.191"/>
    <n v="0"/>
    <n v="-11.359"/>
    <n v="1"/>
    <n v="0.122"/>
    <n v="0.73499999999999999"/>
    <n v="0.67100000000000004"/>
    <n v="0.13100000000000001"/>
    <n v="0.27400000000000002"/>
    <n v="149.91"/>
    <n v="4"/>
    <x v="0"/>
  </r>
  <r>
    <x v="418"/>
    <s v="Aimyon"/>
    <s v="Momentary Sixth Sense"/>
    <x v="247"/>
    <n v="50"/>
    <n v="306626"/>
    <x v="0"/>
    <n v="0.54500000000000004"/>
    <n v="0.745"/>
    <n v="2"/>
    <n v="-3.0979999999999999"/>
    <n v="1"/>
    <n v="2.86E-2"/>
    <n v="4.5199999999999997E-2"/>
    <n v="0"/>
    <n v="9.0700000000000003E-2"/>
    <n v="0.41299999999999998"/>
    <n v="106.09399999999999"/>
    <n v="4"/>
    <x v="0"/>
  </r>
  <r>
    <x v="419"/>
    <s v="Sungha Jung"/>
    <s v="Irony"/>
    <x v="370"/>
    <n v="42"/>
    <n v="214466"/>
    <x v="0"/>
    <n v="0.35599999999999998"/>
    <n v="0.23"/>
    <n v="6"/>
    <n v="-16.957000000000001"/>
    <n v="0"/>
    <n v="5.1900000000000002E-2"/>
    <n v="0.92300000000000004"/>
    <n v="0.80100000000000005"/>
    <n v="0.112"/>
    <n v="0.11"/>
    <n v="129.53200000000001"/>
    <n v="4"/>
    <x v="0"/>
  </r>
  <r>
    <x v="420"/>
    <s v="Tamio Okuda"/>
    <s v="Bullet Train (Original Motion Picture Soundtrack)"/>
    <x v="371"/>
    <n v="47"/>
    <n v="160466"/>
    <x v="0"/>
    <n v="0.432"/>
    <n v="0.79600000000000004"/>
    <n v="7"/>
    <n v="-7.2619999999999996"/>
    <n v="1"/>
    <n v="6.0600000000000001E-2"/>
    <n v="1.5300000000000001E-4"/>
    <n v="2.0899999999999998E-3"/>
    <n v="0.26600000000000001"/>
    <n v="0.27100000000000002"/>
    <n v="141.86799999999999"/>
    <n v="4"/>
    <x v="0"/>
  </r>
  <r>
    <x v="421"/>
    <s v="Us The Duo"/>
    <s v="No Matter Where You Are"/>
    <x v="372"/>
    <n v="55"/>
    <n v="178826"/>
    <x v="0"/>
    <n v="0.69299999999999995"/>
    <n v="0.66400000000000003"/>
    <n v="4"/>
    <n v="-5.8520000000000003"/>
    <n v="1"/>
    <n v="3.3599999999999998E-2"/>
    <n v="3.09E-2"/>
    <n v="0"/>
    <n v="0.223"/>
    <n v="0.436"/>
    <n v="132.059"/>
    <n v="4"/>
    <x v="0"/>
  </r>
  <r>
    <x v="422"/>
    <s v="Ben Rector"/>
    <s v="The Walking in Between"/>
    <x v="373"/>
    <n v="56"/>
    <n v="138506"/>
    <x v="0"/>
    <n v="0.624"/>
    <n v="0.33400000000000002"/>
    <n v="3"/>
    <n v="-11.89"/>
    <n v="1"/>
    <n v="3.9100000000000003E-2"/>
    <n v="0.32100000000000001"/>
    <s v="3.27e-06"/>
    <n v="0.113"/>
    <n v="0.39700000000000002"/>
    <n v="157.91999999999999"/>
    <n v="4"/>
    <x v="0"/>
  </r>
  <r>
    <x v="423"/>
    <s v="Parachute"/>
    <s v="Losing Sleep"/>
    <x v="374"/>
    <n v="49"/>
    <n v="230613"/>
    <x v="0"/>
    <n v="0.42299999999999999"/>
    <n v="0.57199999999999995"/>
    <n v="6"/>
    <n v="-5.109"/>
    <n v="1"/>
    <n v="3.4700000000000002E-2"/>
    <n v="1.5800000000000002E-2"/>
    <n v="0"/>
    <n v="0.23100000000000001"/>
    <n v="0.17"/>
    <n v="165.39400000000001"/>
    <n v="4"/>
    <x v="0"/>
  </r>
  <r>
    <x v="424"/>
    <s v="Zee Avi"/>
    <s v="Zee Avi's Nightlight"/>
    <x v="227"/>
    <n v="50"/>
    <n v="111842"/>
    <x v="0"/>
    <n v="0.55500000000000005"/>
    <n v="8.7900000000000006E-2"/>
    <n v="0"/>
    <n v="-12.141"/>
    <n v="1"/>
    <n v="4.7699999999999999E-2"/>
    <n v="0.96799999999999997"/>
    <n v="0"/>
    <n v="9.6000000000000002E-2"/>
    <n v="0.42799999999999999"/>
    <n v="84.174000000000007"/>
    <n v="4"/>
    <x v="0"/>
  </r>
  <r>
    <x v="425"/>
    <s v="Joshua Radin"/>
    <s v="Here, Right Now"/>
    <x v="375"/>
    <n v="56"/>
    <n v="183213"/>
    <x v="0"/>
    <n v="0.496"/>
    <n v="0.39100000000000001"/>
    <n v="10"/>
    <n v="-9.8439999999999994"/>
    <n v="1"/>
    <n v="3.1099999999999999E-2"/>
    <n v="0.82599999999999996"/>
    <n v="1.26E-2"/>
    <n v="0.108"/>
    <n v="0.49199999999999999"/>
    <n v="108.86799999999999"/>
    <n v="4"/>
    <x v="0"/>
  </r>
  <r>
    <x v="426"/>
    <s v="Boyce Avenue"/>
    <s v="Wonderful Tonight"/>
    <x v="376"/>
    <n v="52"/>
    <n v="220507"/>
    <x v="0"/>
    <n v="0.67100000000000004"/>
    <n v="0.29899999999999999"/>
    <n v="7"/>
    <n v="-10.582000000000001"/>
    <n v="1"/>
    <n v="2.8400000000000002E-2"/>
    <n v="0.753"/>
    <s v="1.71e-06"/>
    <n v="9.7500000000000003E-2"/>
    <n v="0.28599999999999998"/>
    <n v="95.007999999999996"/>
    <n v="4"/>
    <x v="0"/>
  </r>
  <r>
    <x v="427"/>
    <s v="Gabrielle Aplin"/>
    <s v="English Rain"/>
    <x v="377"/>
    <n v="50"/>
    <n v="248506"/>
    <x v="0"/>
    <n v="0.379"/>
    <n v="0.26700000000000002"/>
    <n v="4"/>
    <n v="-8.9809999999999999"/>
    <n v="1"/>
    <n v="2.93E-2"/>
    <n v="0.60499999999999998"/>
    <n v="3.2200000000000002E-3"/>
    <n v="0.152"/>
    <n v="0.22900000000000001"/>
    <n v="135.19800000000001"/>
    <n v="4"/>
    <x v="0"/>
  </r>
  <r>
    <x v="428"/>
    <s v="Jon Bryant"/>
    <s v="Twenty Something"/>
    <x v="378"/>
    <n v="53"/>
    <n v="269986"/>
    <x v="0"/>
    <n v="0.499"/>
    <n v="0.20899999999999999"/>
    <n v="3"/>
    <n v="-16.667999999999999"/>
    <n v="1"/>
    <n v="3.0499999999999999E-2"/>
    <n v="0.88200000000000001"/>
    <n v="4.9100000000000003E-3"/>
    <n v="8.7999999999999995E-2"/>
    <n v="0.13800000000000001"/>
    <n v="82.891999999999996"/>
    <n v="4"/>
    <x v="0"/>
  </r>
  <r>
    <x v="429"/>
    <s v="Masaharu Fukuyama"/>
    <s v="Calling"/>
    <x v="379"/>
    <n v="33"/>
    <n v="272773"/>
    <x v="0"/>
    <n v="0.64900000000000002"/>
    <n v="0.33600000000000002"/>
    <n v="7"/>
    <n v="-12.053000000000001"/>
    <n v="1"/>
    <n v="2.9899999999999999E-2"/>
    <n v="0.27"/>
    <n v="0"/>
    <n v="0.13700000000000001"/>
    <n v="0.47"/>
    <n v="71.966999999999999"/>
    <n v="4"/>
    <x v="0"/>
  </r>
  <r>
    <x v="430"/>
    <s v="Bailey Pelkman;Randy Rektor"/>
    <s v="Acoustic Duets"/>
    <x v="380"/>
    <n v="54"/>
    <n v="189646"/>
    <x v="0"/>
    <n v="0.746"/>
    <n v="0.25700000000000001"/>
    <n v="0"/>
    <n v="-9.8780000000000001"/>
    <n v="1"/>
    <n v="3.1199999999999999E-2"/>
    <n v="0.77200000000000002"/>
    <n v="0"/>
    <n v="0.107"/>
    <n v="0.34799999999999998"/>
    <n v="132.03200000000001"/>
    <n v="4"/>
    <x v="0"/>
  </r>
  <r>
    <x v="431"/>
    <s v="A Great Big World;Christina Aguilera"/>
    <s v="Particles"/>
    <x v="381"/>
    <n v="50"/>
    <n v="262820"/>
    <x v="0"/>
    <n v="0.39300000000000002"/>
    <n v="0.26800000000000002"/>
    <n v="9"/>
    <n v="-6.7409999999999997"/>
    <n v="1"/>
    <n v="3.85E-2"/>
    <n v="0.69699999999999995"/>
    <n v="0"/>
    <n v="0.11"/>
    <n v="0.22500000000000001"/>
    <n v="110.456"/>
    <n v="4"/>
    <x v="0"/>
  </r>
  <r>
    <x v="432"/>
    <s v="John Frusciante"/>
    <s v="Shadows Collide With People"/>
    <x v="382"/>
    <n v="54"/>
    <n v="195213"/>
    <x v="0"/>
    <n v="0.629"/>
    <n v="0.67300000000000004"/>
    <n v="6"/>
    <n v="-4.3789999999999996"/>
    <n v="1"/>
    <n v="2.6200000000000001E-2"/>
    <n v="0.29399999999999998"/>
    <n v="1.09E-2"/>
    <n v="0.13900000000000001"/>
    <n v="0.41899999999999998"/>
    <n v="114.24299999999999"/>
    <n v="4"/>
    <x v="0"/>
  </r>
  <r>
    <x v="433"/>
    <s v="Ron Pope"/>
    <s v="Daylight"/>
    <x v="37"/>
    <n v="55"/>
    <n v="228311"/>
    <x v="0"/>
    <n v="0.45800000000000002"/>
    <n v="0.36299999999999999"/>
    <n v="5"/>
    <n v="-6.4729999999999999"/>
    <n v="1"/>
    <n v="3.2000000000000001E-2"/>
    <n v="0.89200000000000002"/>
    <s v="3.79e-06"/>
    <n v="0.155"/>
    <n v="0.49199999999999999"/>
    <n v="134.25200000000001"/>
    <n v="3"/>
    <x v="0"/>
  </r>
  <r>
    <x v="434"/>
    <s v="Tres Hermanas"/>
    <s v="Have Yourself a Merry Little Christmas"/>
    <x v="383"/>
    <n v="32"/>
    <n v="155792"/>
    <x v="0"/>
    <n v="0.45200000000000001"/>
    <n v="0.26800000000000002"/>
    <n v="8"/>
    <n v="-9.4049999999999994"/>
    <n v="1"/>
    <n v="3.1099999999999999E-2"/>
    <n v="0.96099999999999997"/>
    <s v="2.85e-05"/>
    <n v="0.11899999999999999"/>
    <n v="0.26500000000000001"/>
    <n v="66.805000000000007"/>
    <n v="4"/>
    <x v="0"/>
  </r>
  <r>
    <x v="435"/>
    <s v="Masaharu Fukuyama"/>
    <s v="Message/ä»Š ã“ã®ã²ã¨ã¨ããŒ é ã„å¤¢ã®ã‚ˆã†ã«"/>
    <x v="384"/>
    <n v="33"/>
    <n v="256506"/>
    <x v="0"/>
    <n v="0.61599999999999999"/>
    <n v="0.79100000000000004"/>
    <n v="9"/>
    <n v="-6.2460000000000004"/>
    <n v="1"/>
    <n v="2.93E-2"/>
    <n v="5.9900000000000002E-2"/>
    <s v="3.97e-06"/>
    <n v="0.318"/>
    <n v="0.58899999999999997"/>
    <n v="126.764"/>
    <n v="4"/>
    <x v="0"/>
  </r>
  <r>
    <x v="436"/>
    <s v="Matt Johnson"/>
    <s v="Acoustic Hits, Vol. 3"/>
    <x v="385"/>
    <n v="50"/>
    <n v="240000"/>
    <x v="0"/>
    <n v="0.61899999999999999"/>
    <n v="0.27800000000000002"/>
    <n v="4"/>
    <n v="-7.0720000000000001"/>
    <n v="1"/>
    <n v="2.6700000000000002E-2"/>
    <n v="0.83599999999999997"/>
    <n v="0"/>
    <n v="0.121"/>
    <n v="0.23300000000000001"/>
    <n v="129.94800000000001"/>
    <n v="4"/>
    <x v="0"/>
  </r>
  <r>
    <x v="437"/>
    <s v="The Mayries"/>
    <s v="#Acoustic #2"/>
    <x v="386"/>
    <n v="56"/>
    <n v="193333"/>
    <x v="0"/>
    <n v="0.63400000000000001"/>
    <n v="0.17599999999999999"/>
    <n v="0"/>
    <n v="-14.702999999999999"/>
    <n v="1"/>
    <n v="3.0700000000000002E-2"/>
    <n v="0.93100000000000005"/>
    <s v="1.6e-06"/>
    <n v="0.13600000000000001"/>
    <n v="0.33500000000000002"/>
    <n v="107.974"/>
    <n v="4"/>
    <x v="0"/>
  </r>
  <r>
    <x v="438"/>
    <s v="Stephen Speaks"/>
    <s v="No More Doubt"/>
    <x v="387"/>
    <n v="63"/>
    <n v="273066"/>
    <x v="0"/>
    <n v="0.54900000000000004"/>
    <n v="0.437"/>
    <n v="7"/>
    <n v="-8.64"/>
    <n v="1"/>
    <n v="3.1300000000000001E-2"/>
    <n v="0.68200000000000005"/>
    <s v="1.59e-05"/>
    <n v="0.224"/>
    <n v="0.68799999999999994"/>
    <n v="153.60400000000001"/>
    <n v="4"/>
    <x v="0"/>
  </r>
  <r>
    <x v="439"/>
    <s v="Eddie Vedder"/>
    <s v="Into The Wild (Music For The Motion Picture)"/>
    <x v="388"/>
    <n v="48"/>
    <n v="162309"/>
    <x v="0"/>
    <n v="0.29199999999999998"/>
    <n v="0.33900000000000002"/>
    <n v="7"/>
    <n v="-13.153"/>
    <n v="1"/>
    <n v="3.2000000000000001E-2"/>
    <n v="0.92300000000000004"/>
    <n v="0.879"/>
    <n v="0.111"/>
    <n v="0.34300000000000003"/>
    <n v="100.69"/>
    <n v="4"/>
    <x v="0"/>
  </r>
  <r>
    <x v="440"/>
    <s v="Dave Van Ronk"/>
    <s v="Folksinger"/>
    <x v="389"/>
    <n v="54"/>
    <n v="190106"/>
    <x v="0"/>
    <n v="0.504"/>
    <n v="2.7300000000000001E-2"/>
    <n v="2"/>
    <n v="-21.440999999999999"/>
    <n v="1"/>
    <n v="4.1500000000000002E-2"/>
    <n v="0.93100000000000005"/>
    <s v="1.1e-05"/>
    <n v="0.109"/>
    <n v="0.39500000000000002"/>
    <n v="120.24"/>
    <n v="4"/>
    <x v="0"/>
  </r>
  <r>
    <x v="441"/>
    <s v="John Frusciante;Josh Klinghoffer"/>
    <s v="A Sphere in the Heart of Silence"/>
    <x v="390"/>
    <n v="31"/>
    <n v="319320"/>
    <x v="0"/>
    <n v="0.63600000000000001"/>
    <n v="0.86899999999999999"/>
    <n v="6"/>
    <n v="-5.0949999999999998"/>
    <n v="0"/>
    <n v="2.8400000000000002E-2"/>
    <n v="0.129"/>
    <n v="5.5399999999999998E-2"/>
    <n v="0.27200000000000002"/>
    <n v="0.36899999999999999"/>
    <n v="124.18300000000001"/>
    <n v="4"/>
    <x v="0"/>
  </r>
  <r>
    <x v="442"/>
    <s v="Frank Turner"/>
    <s v="West Coast vs. Wessex"/>
    <x v="391"/>
    <n v="31"/>
    <n v="237093"/>
    <x v="0"/>
    <n v="0.48599999999999999"/>
    <n v="0.91300000000000003"/>
    <n v="5"/>
    <n v="-6.4160000000000004"/>
    <n v="1"/>
    <n v="6.1600000000000002E-2"/>
    <s v="2.45e-05"/>
    <n v="0.28899999999999998"/>
    <n v="0.22500000000000001"/>
    <n v="0.33400000000000002"/>
    <n v="136.07300000000001"/>
    <n v="4"/>
    <x v="0"/>
  </r>
  <r>
    <x v="443"/>
    <s v="Joy Williams"/>
    <s v="Front Porch"/>
    <x v="392"/>
    <n v="60"/>
    <n v="235586"/>
    <x v="0"/>
    <n v="0.39600000000000002"/>
    <n v="0.19800000000000001"/>
    <n v="2"/>
    <n v="-9.0960000000000001"/>
    <n v="1"/>
    <n v="3.1E-2"/>
    <n v="0.91200000000000003"/>
    <n v="0"/>
    <n v="9.7199999999999995E-2"/>
    <n v="0.19"/>
    <n v="138.624"/>
    <n v="3"/>
    <x v="0"/>
  </r>
  <r>
    <x v="444"/>
    <s v="Ray LaMontagne"/>
    <s v="Gossip In The Grain"/>
    <x v="393"/>
    <n v="67"/>
    <n v="231840"/>
    <x v="0"/>
    <n v="0.57799999999999996"/>
    <n v="0.72699999999999998"/>
    <n v="10"/>
    <n v="-4.8719999999999999"/>
    <n v="1"/>
    <n v="3.32E-2"/>
    <n v="3.04E-2"/>
    <s v="1.99e-05"/>
    <n v="0.17199999999999999"/>
    <n v="0.88500000000000001"/>
    <n v="170.59299999999999"/>
    <n v="4"/>
    <x v="0"/>
  </r>
  <r>
    <x v="445"/>
    <s v="Mischief Brew"/>
    <s v="Bacchanal 'N' Philadelphia"/>
    <x v="394"/>
    <n v="33"/>
    <n v="163666"/>
    <x v="0"/>
    <n v="0.68400000000000005"/>
    <n v="0.50900000000000001"/>
    <n v="4"/>
    <n v="-7.6079999999999997"/>
    <n v="1"/>
    <n v="3.3399999999999999E-2"/>
    <n v="0.57099999999999995"/>
    <n v="0"/>
    <n v="0.40200000000000002"/>
    <n v="0.69"/>
    <n v="132.297"/>
    <n v="4"/>
    <x v="0"/>
  </r>
  <r>
    <x v="446"/>
    <s v="Days N Daze;Freddie Boatright"/>
    <s v="Crustfall"/>
    <x v="395"/>
    <n v="32"/>
    <n v="122026"/>
    <x v="1"/>
    <n v="0.623"/>
    <n v="0.56699999999999995"/>
    <n v="10"/>
    <n v="-7.7789999999999999"/>
    <n v="1"/>
    <n v="3.6999999999999998E-2"/>
    <n v="0.83099999999999996"/>
    <s v="6.44e-06"/>
    <n v="0.104"/>
    <n v="0.92900000000000005"/>
    <n v="129.94900000000001"/>
    <n v="4"/>
    <x v="0"/>
  </r>
  <r>
    <x v="447"/>
    <s v="The Bridge City Sinners"/>
    <s v="Unholy Hymns"/>
    <x v="396"/>
    <n v="31"/>
    <n v="165799"/>
    <x v="0"/>
    <n v="0.22800000000000001"/>
    <n v="0.57399999999999995"/>
    <n v="4"/>
    <n v="-7.9589999999999996"/>
    <n v="0"/>
    <n v="4.2099999999999999E-2"/>
    <n v="0.51700000000000002"/>
    <n v="1.48E-3"/>
    <n v="0.128"/>
    <n v="0.38900000000000001"/>
    <n v="182.37899999999999"/>
    <n v="4"/>
    <x v="0"/>
  </r>
  <r>
    <x v="448"/>
    <s v="Zee Avi"/>
    <s v="Acoustic Christmas Campfire"/>
    <x v="397"/>
    <n v="0"/>
    <n v="160666"/>
    <x v="0"/>
    <n v="0.80900000000000005"/>
    <n v="0.313"/>
    <n v="9"/>
    <n v="-12.182"/>
    <n v="1"/>
    <n v="4.2799999999999998E-2"/>
    <n v="0.876"/>
    <n v="0"/>
    <n v="0.112"/>
    <n v="0.35"/>
    <n v="114.955"/>
    <n v="4"/>
    <x v="0"/>
  </r>
  <r>
    <x v="449"/>
    <s v="Get Dead"/>
    <s v="Tall Cans &amp; Loose Ends"/>
    <x v="398"/>
    <n v="31"/>
    <n v="195640"/>
    <x v="0"/>
    <n v="0.48199999999999998"/>
    <n v="0.77200000000000002"/>
    <n v="1"/>
    <n v="-5.1280000000000001"/>
    <n v="1"/>
    <n v="3.1800000000000002E-2"/>
    <n v="2.6499999999999999E-2"/>
    <n v="0"/>
    <n v="0.26900000000000002"/>
    <n v="0.58599999999999997"/>
    <n v="129.91"/>
    <n v="4"/>
    <x v="0"/>
  </r>
  <r>
    <x v="450"/>
    <s v="Highland Peak"/>
    <s v="Graveyard"/>
    <x v="399"/>
    <n v="45"/>
    <n v="254296"/>
    <x v="0"/>
    <n v="0.42499999999999999"/>
    <n v="0.249"/>
    <n v="4"/>
    <n v="-12.218999999999999"/>
    <n v="0"/>
    <n v="3.5499999999999997E-2"/>
    <n v="0.87"/>
    <n v="1.75E-3"/>
    <n v="0.124"/>
    <n v="0.23499999999999999"/>
    <n v="123.63200000000001"/>
    <n v="4"/>
    <x v="0"/>
  </r>
  <r>
    <x v="451"/>
    <s v="Ichiko Aoba"/>
    <s v="amuletum bouquet"/>
    <x v="400"/>
    <n v="56"/>
    <n v="256361"/>
    <x v="0"/>
    <n v="0.29799999999999999"/>
    <n v="4.3999999999999997E-2"/>
    <n v="5"/>
    <n v="-20.175999999999998"/>
    <n v="1"/>
    <n v="3.5000000000000003E-2"/>
    <n v="0.98299999999999998"/>
    <n v="0.124"/>
    <n v="0.10100000000000001"/>
    <n v="0.115"/>
    <n v="85.707999999999998"/>
    <n v="4"/>
    <x v="0"/>
  </r>
  <r>
    <x v="452"/>
    <s v="Aoi Teshima"/>
    <s v="Highlights from Aoi Works II"/>
    <x v="401"/>
    <n v="45"/>
    <n v="297266"/>
    <x v="0"/>
    <n v="0.46800000000000003"/>
    <n v="0.254"/>
    <n v="6"/>
    <n v="-11.839"/>
    <n v="1"/>
    <n v="3.0300000000000001E-2"/>
    <n v="0.93799999999999994"/>
    <n v="4.4200000000000001E-4"/>
    <n v="0.107"/>
    <n v="0.24199999999999999"/>
    <n v="135.86199999999999"/>
    <n v="4"/>
    <x v="0"/>
  </r>
  <r>
    <x v="453"/>
    <s v="AcousticTrench"/>
    <s v="Paradise"/>
    <x v="163"/>
    <n v="42"/>
    <n v="170125"/>
    <x v="0"/>
    <n v="0.50700000000000001"/>
    <n v="0.191"/>
    <n v="5"/>
    <n v="-16.341999999999999"/>
    <n v="1"/>
    <n v="4.0800000000000003E-2"/>
    <n v="0.99"/>
    <n v="0.93300000000000005"/>
    <n v="0.108"/>
    <n v="0.221"/>
    <n v="132.131"/>
    <n v="4"/>
    <x v="0"/>
  </r>
  <r>
    <x v="454"/>
    <s v="Parachute"/>
    <s v="Parachute"/>
    <x v="144"/>
    <n v="46"/>
    <n v="273026"/>
    <x v="0"/>
    <n v="0.51500000000000001"/>
    <n v="0.249"/>
    <n v="8"/>
    <n v="-10.108000000000001"/>
    <n v="0"/>
    <n v="4.3999999999999997E-2"/>
    <n v="0.79300000000000004"/>
    <n v="0"/>
    <n v="0.10199999999999999"/>
    <n v="0.21299999999999999"/>
    <n v="108.89"/>
    <n v="5"/>
    <x v="0"/>
  </r>
  <r>
    <x v="455"/>
    <s v="Matt Nathanson"/>
    <s v="American Wedding"/>
    <x v="402"/>
    <n v="50"/>
    <n v="182826"/>
    <x v="0"/>
    <n v="0.56499999999999995"/>
    <n v="0.89"/>
    <n v="0"/>
    <n v="-5.4809999999999999"/>
    <n v="1"/>
    <n v="2.8500000000000001E-2"/>
    <n v="5.3699999999999998E-3"/>
    <s v="6.61e-05"/>
    <n v="0.21299999999999999"/>
    <n v="0.74399999999999999"/>
    <n v="119.86199999999999"/>
    <n v="4"/>
    <x v="0"/>
  </r>
  <r>
    <x v="456"/>
    <s v="Lee DeWyze"/>
    <s v="Oil &amp; Water"/>
    <x v="403"/>
    <n v="45"/>
    <n v="217373"/>
    <x v="0"/>
    <n v="0.63500000000000001"/>
    <n v="0.433"/>
    <n v="11"/>
    <n v="-7.6820000000000004"/>
    <n v="0"/>
    <n v="2.9000000000000001E-2"/>
    <n v="0.86"/>
    <n v="0.43"/>
    <n v="8.77E-2"/>
    <n v="0.48899999999999999"/>
    <n v="130.11099999999999"/>
    <n v="4"/>
    <x v="0"/>
  </r>
  <r>
    <x v="457"/>
    <s v="Clementine Duo"/>
    <s v="2U (Acoustic Version)"/>
    <x v="404"/>
    <n v="56"/>
    <n v="208102"/>
    <x v="0"/>
    <n v="0.65700000000000003"/>
    <n v="0.192"/>
    <n v="10"/>
    <n v="-13.108000000000001"/>
    <n v="0"/>
    <n v="3.6499999999999998E-2"/>
    <n v="0.89400000000000002"/>
    <n v="0"/>
    <n v="0.157"/>
    <n v="0.30499999999999999"/>
    <n v="130.08699999999999"/>
    <n v="4"/>
    <x v="0"/>
  </r>
  <r>
    <x v="458"/>
    <s v="Rachael Yamagata"/>
    <s v="Elephants...Teeth Sinking Into Heart (Standard Version)"/>
    <x v="405"/>
    <n v="43"/>
    <n v="241120"/>
    <x v="0"/>
    <n v="0.45900000000000002"/>
    <n v="0.14000000000000001"/>
    <n v="9"/>
    <n v="-15.481999999999999"/>
    <n v="1"/>
    <n v="3.6700000000000003E-2"/>
    <n v="0.89500000000000002"/>
    <n v="5.6499999999999996E-3"/>
    <n v="0.13800000000000001"/>
    <n v="0.14599999999999999"/>
    <n v="128.904"/>
    <n v="4"/>
    <x v="0"/>
  </r>
  <r>
    <x v="459"/>
    <s v="Brandon Chase"/>
    <s v="I'll Say I Do"/>
    <x v="406"/>
    <n v="39"/>
    <n v="235000"/>
    <x v="0"/>
    <n v="0.39100000000000001"/>
    <n v="0.31"/>
    <n v="7"/>
    <n v="-8.7059999999999995"/>
    <n v="1"/>
    <n v="2.6800000000000001E-2"/>
    <n v="0.61399999999999999"/>
    <s v="3.6e-06"/>
    <n v="0.1"/>
    <n v="0.29499999999999998"/>
    <n v="83.46"/>
    <n v="4"/>
    <x v="0"/>
  </r>
  <r>
    <x v="460"/>
    <s v="Bailey Jehl"/>
    <s v="Anyone"/>
    <x v="407"/>
    <n v="53"/>
    <n v="172766"/>
    <x v="0"/>
    <n v="0.371"/>
    <n v="0.20799999999999999"/>
    <n v="11"/>
    <n v="-13.167"/>
    <n v="1"/>
    <n v="4.6199999999999998E-2"/>
    <n v="0.91200000000000003"/>
    <n v="0"/>
    <n v="0.105"/>
    <n v="0.309"/>
    <n v="199.80500000000001"/>
    <n v="4"/>
    <x v="0"/>
  </r>
  <r>
    <x v="461"/>
    <s v="Gabrielle Aplin"/>
    <s v="English Rain"/>
    <x v="408"/>
    <n v="45"/>
    <n v="239855"/>
    <x v="0"/>
    <n v="0.45300000000000001"/>
    <n v="0.46100000000000002"/>
    <n v="0"/>
    <n v="-9.3279999999999994"/>
    <n v="0"/>
    <n v="3.2899999999999999E-2"/>
    <n v="0.16500000000000001"/>
    <n v="0"/>
    <n v="0.109"/>
    <n v="8.4400000000000003E-2"/>
    <n v="106.84"/>
    <n v="5"/>
    <x v="0"/>
  </r>
  <r>
    <x v="462"/>
    <s v="Zack Tabudlo"/>
    <s v="In The Mood For Love"/>
    <x v="10"/>
    <n v="32"/>
    <n v="244800"/>
    <x v="0"/>
    <n v="0.627"/>
    <n v="0.36299999999999999"/>
    <n v="8"/>
    <n v="-8.1270000000000007"/>
    <n v="1"/>
    <n v="2.9100000000000001E-2"/>
    <n v="0.27900000000000003"/>
    <n v="0"/>
    <n v="9.2799999999999994E-2"/>
    <n v="0.30099999999999999"/>
    <n v="99.905000000000001"/>
    <n v="4"/>
    <x v="0"/>
  </r>
  <r>
    <x v="463"/>
    <s v="Bailey Jehl"/>
    <s v="Heat Waves"/>
    <x v="409"/>
    <n v="53"/>
    <n v="141286"/>
    <x v="0"/>
    <n v="0.70599999999999996"/>
    <n v="0.248"/>
    <n v="11"/>
    <n v="-12.724"/>
    <n v="1"/>
    <n v="3.8600000000000002E-2"/>
    <n v="0.879"/>
    <n v="0"/>
    <n v="0.10100000000000001"/>
    <n v="0.40100000000000002"/>
    <n v="125.515"/>
    <n v="4"/>
    <x v="0"/>
  </r>
  <r>
    <x v="464"/>
    <s v="Clementine Duo"/>
    <s v="There She Goes"/>
    <x v="410"/>
    <n v="54"/>
    <n v="145514"/>
    <x v="0"/>
    <n v="0.72399999999999998"/>
    <n v="0.28000000000000003"/>
    <n v="9"/>
    <n v="-12.788"/>
    <n v="1"/>
    <n v="3.0300000000000001E-2"/>
    <n v="0.755"/>
    <n v="0"/>
    <n v="0.32600000000000001"/>
    <n v="0.52700000000000002"/>
    <n v="106.96599999999999"/>
    <n v="4"/>
    <x v="0"/>
  </r>
  <r>
    <x v="465"/>
    <s v="Joshua Hyslop"/>
    <s v="Wells"/>
    <x v="411"/>
    <n v="51"/>
    <n v="223386"/>
    <x v="0"/>
    <n v="0.53500000000000003"/>
    <n v="0.44400000000000001"/>
    <n v="6"/>
    <n v="-11.212"/>
    <n v="1"/>
    <n v="2.9100000000000001E-2"/>
    <n v="0.66900000000000004"/>
    <n v="2.7799999999999998E-2"/>
    <n v="0.104"/>
    <n v="0.217"/>
    <n v="83.99"/>
    <n v="4"/>
    <x v="0"/>
  </r>
  <r>
    <x v="466"/>
    <s v="Kina Grannis;Imaginary Future"/>
    <s v="God Only Knows"/>
    <x v="412"/>
    <n v="55"/>
    <n v="136542"/>
    <x v="0"/>
    <n v="0.65800000000000003"/>
    <n v="0.125"/>
    <n v="8"/>
    <n v="-15.901"/>
    <n v="1"/>
    <n v="3.2300000000000002E-2"/>
    <n v="0.877"/>
    <n v="0"/>
    <n v="0.28699999999999998"/>
    <n v="0.50700000000000001"/>
    <n v="106.68600000000001"/>
    <n v="4"/>
    <x v="0"/>
  </r>
  <r>
    <x v="467"/>
    <s v="Andrew Foy;Renee Foy"/>
    <s v="Afterglow"/>
    <x v="413"/>
    <n v="33"/>
    <n v="211358"/>
    <x v="0"/>
    <n v="0.71099999999999997"/>
    <n v="0.16800000000000001"/>
    <n v="0"/>
    <n v="-16.504000000000001"/>
    <n v="1"/>
    <n v="3.6700000000000003E-2"/>
    <n v="0.86799999999999999"/>
    <s v="1.99e-05"/>
    <n v="0.114"/>
    <n v="0.29899999999999999"/>
    <n v="109.937"/>
    <n v="4"/>
    <x v="0"/>
  </r>
  <r>
    <x v="468"/>
    <s v="Kurt Cobain"/>
    <s v="Montage Of Heck: The Home Recordings (Deluxe Soundtrack)"/>
    <x v="414"/>
    <n v="55"/>
    <n v="76453"/>
    <x v="0"/>
    <n v="0.504"/>
    <n v="0.41499999999999998"/>
    <n v="8"/>
    <n v="-19.308"/>
    <n v="0"/>
    <n v="0.121"/>
    <n v="0.879"/>
    <n v="0.49399999999999999"/>
    <n v="0.35"/>
    <n v="0.626"/>
    <n v="114.26300000000001"/>
    <n v="4"/>
    <x v="0"/>
  </r>
  <r>
    <x v="469"/>
    <s v="Us The Duo"/>
    <s v="Just Love"/>
    <x v="415"/>
    <n v="46"/>
    <n v="273126"/>
    <x v="0"/>
    <n v="0.309"/>
    <n v="0.17499999999999999"/>
    <n v="8"/>
    <n v="-11.816000000000001"/>
    <n v="1"/>
    <n v="3.3099999999999997E-2"/>
    <n v="0.91300000000000003"/>
    <s v="6.15e-05"/>
    <n v="0.11799999999999999"/>
    <n v="0.19800000000000001"/>
    <n v="155.69"/>
    <n v="3"/>
    <x v="0"/>
  </r>
  <r>
    <x v="470"/>
    <s v="Hanare Gumi"/>
    <s v="ã‚ªã‚¢ã‚·ã‚¹"/>
    <x v="416"/>
    <n v="30"/>
    <n v="268736"/>
    <x v="0"/>
    <n v="0.628"/>
    <n v="2.7E-2"/>
    <n v="11"/>
    <n v="-13.64"/>
    <n v="0"/>
    <n v="4.8500000000000001E-2"/>
    <n v="0.94399999999999995"/>
    <n v="5.9999999999999995E-4"/>
    <n v="9.0899999999999995E-2"/>
    <n v="0.20300000000000001"/>
    <n v="122.00700000000001"/>
    <n v="4"/>
    <x v="0"/>
  </r>
  <r>
    <x v="471"/>
    <s v="Gabrielle Aplin"/>
    <s v="Never Be the Same"/>
    <x v="417"/>
    <n v="46"/>
    <n v="205658"/>
    <x v="0"/>
    <n v="0.49"/>
    <n v="0.67400000000000004"/>
    <n v="1"/>
    <n v="-7.2759999999999998"/>
    <n v="1"/>
    <n v="3.2199999999999999E-2"/>
    <n v="0.19"/>
    <n v="1.4300000000000001E-4"/>
    <n v="6.3399999999999998E-2"/>
    <n v="0.28799999999999998"/>
    <n v="122.807"/>
    <n v="4"/>
    <x v="0"/>
  </r>
  <r>
    <x v="472"/>
    <s v="Austin Basham"/>
    <s v="You and Me for Now"/>
    <x v="418"/>
    <n v="60"/>
    <n v="256680"/>
    <x v="0"/>
    <n v="0.316"/>
    <n v="0.41299999999999998"/>
    <n v="11"/>
    <n v="-12.215999999999999"/>
    <n v="1"/>
    <n v="3.3399999999999999E-2"/>
    <n v="0.85599999999999998"/>
    <n v="2.4499999999999999E-3"/>
    <n v="0.14299999999999999"/>
    <n v="0.245"/>
    <n v="155.69"/>
    <n v="4"/>
    <x v="0"/>
  </r>
  <r>
    <x v="473"/>
    <s v="Gabrielle Aplin"/>
    <s v="Dear Happy"/>
    <x v="419"/>
    <n v="51"/>
    <n v="265386"/>
    <x v="0"/>
    <n v="0.47"/>
    <n v="0.27100000000000002"/>
    <n v="6"/>
    <n v="-7.6360000000000001"/>
    <n v="1"/>
    <n v="3.4200000000000001E-2"/>
    <n v="0.79900000000000004"/>
    <n v="0"/>
    <n v="0.11899999999999999"/>
    <n v="9.4299999999999995E-2"/>
    <n v="145.90199999999999"/>
    <n v="4"/>
    <x v="0"/>
  </r>
  <r>
    <x v="474"/>
    <s v="Us The Duo"/>
    <s v="Us"/>
    <x v="420"/>
    <n v="47"/>
    <n v="219306"/>
    <x v="0"/>
    <n v="0.51500000000000001"/>
    <n v="0.317"/>
    <n v="9"/>
    <n v="-10.286"/>
    <n v="1"/>
    <n v="2.8299999999999999E-2"/>
    <n v="0.81599999999999995"/>
    <n v="0"/>
    <n v="9.7299999999999998E-2"/>
    <n v="0.51200000000000001"/>
    <n v="79.91"/>
    <n v="4"/>
    <x v="0"/>
  </r>
  <r>
    <x v="475"/>
    <s v="Drew Holcomb &amp; The Neighbors"/>
    <s v="Without a Light"/>
    <x v="421"/>
    <n v="60"/>
    <n v="142200"/>
    <x v="0"/>
    <n v="0.49299999999999999"/>
    <n v="0.435"/>
    <n v="7"/>
    <n v="-12.334"/>
    <n v="1"/>
    <n v="4.2299999999999997E-2"/>
    <n v="0.65600000000000003"/>
    <n v="3.2699999999999998E-4"/>
    <n v="0.11799999999999999"/>
    <n v="0.48499999999999999"/>
    <n v="87.951999999999998"/>
    <n v="4"/>
    <x v="0"/>
  </r>
  <r>
    <x v="476"/>
    <s v="Parachute"/>
    <s v="Wide Awake"/>
    <x v="422"/>
    <n v="51"/>
    <n v="218813"/>
    <x v="0"/>
    <n v="0.58899999999999997"/>
    <n v="0.80900000000000005"/>
    <n v="7"/>
    <n v="-5.6"/>
    <n v="1"/>
    <n v="2.8299999999999999E-2"/>
    <n v="4.7899999999999998E-2"/>
    <n v="0"/>
    <n v="0.11600000000000001"/>
    <n v="0.628"/>
    <n v="87.013000000000005"/>
    <n v="4"/>
    <x v="0"/>
  </r>
  <r>
    <x v="477"/>
    <s v="Boyce Avenue;Megan Davies;Jaclyn Davies"/>
    <s v="Cover Sessions, Vol. 4"/>
    <x v="423"/>
    <n v="60"/>
    <n v="222250"/>
    <x v="0"/>
    <n v="0.313"/>
    <n v="0.32100000000000001"/>
    <n v="8"/>
    <n v="-8.7129999999999992"/>
    <n v="1"/>
    <n v="3.5200000000000002E-2"/>
    <n v="0.746"/>
    <n v="0"/>
    <n v="9.4799999999999995E-2"/>
    <n v="0.24299999999999999"/>
    <n v="53.844999999999999"/>
    <n v="4"/>
    <x v="0"/>
  </r>
  <r>
    <x v="478"/>
    <s v="Eastmountainsouth"/>
    <s v="Eastmountainsouth"/>
    <x v="424"/>
    <n v="52"/>
    <n v="117760"/>
    <x v="0"/>
    <n v="0.30199999999999999"/>
    <n v="7.8299999999999995E-2"/>
    <n v="2"/>
    <n v="-14.968"/>
    <n v="1"/>
    <n v="3.2500000000000001E-2"/>
    <n v="0.95599999999999996"/>
    <s v="9.88e-05"/>
    <n v="0.12"/>
    <n v="0.23100000000000001"/>
    <n v="140.48500000000001"/>
    <n v="5"/>
    <x v="0"/>
  </r>
  <r>
    <x v="479"/>
    <s v="Peter Bradley Adams"/>
    <s v="A Face Like Mine"/>
    <x v="425"/>
    <n v="54"/>
    <n v="200800"/>
    <x v="0"/>
    <n v="0.64300000000000002"/>
    <n v="0.436"/>
    <n v="1"/>
    <n v="-12.244999999999999"/>
    <n v="1"/>
    <n v="2.7300000000000001E-2"/>
    <n v="0.72399999999999998"/>
    <n v="0.45900000000000002"/>
    <n v="0.11"/>
    <n v="0.42199999999999999"/>
    <n v="91.484999999999999"/>
    <n v="4"/>
    <x v="0"/>
  </r>
  <r>
    <x v="480"/>
    <s v="The Civil Wars"/>
    <s v="Barton Hollow"/>
    <x v="426"/>
    <n v="52"/>
    <n v="185053"/>
    <x v="0"/>
    <n v="0.48199999999999998"/>
    <n v="0.17799999999999999"/>
    <n v="2"/>
    <n v="-11.141"/>
    <n v="0"/>
    <n v="2.92E-2"/>
    <n v="0.84299999999999997"/>
    <s v="2.46e-06"/>
    <n v="0.15"/>
    <n v="0.29799999999999999"/>
    <n v="110.128"/>
    <n v="4"/>
    <x v="0"/>
  </r>
  <r>
    <x v="481"/>
    <s v="Eddie Vedder"/>
    <s v="Into The Wild (Music For The Motion Picture)"/>
    <x v="427"/>
    <n v="51"/>
    <n v="60413"/>
    <x v="0"/>
    <n v="0.53900000000000003"/>
    <n v="0.35299999999999998"/>
    <n v="3"/>
    <n v="-10.191000000000001"/>
    <n v="1"/>
    <n v="4.6399999999999997E-2"/>
    <n v="0.57099999999999995"/>
    <n v="0.626"/>
    <n v="8.77E-2"/>
    <n v="0.32100000000000001"/>
    <n v="54.570999999999998"/>
    <n v="4"/>
    <x v="0"/>
  </r>
  <r>
    <x v="482"/>
    <s v="Suy Galvez"/>
    <s v="Bossa Best"/>
    <x v="428"/>
    <n v="30"/>
    <n v="244813"/>
    <x v="0"/>
    <n v="0.70699999999999996"/>
    <n v="0.53100000000000003"/>
    <n v="2"/>
    <n v="-7.21"/>
    <n v="1"/>
    <n v="2.4500000000000001E-2"/>
    <n v="0.85499999999999998"/>
    <n v="1.8200000000000001E-4"/>
    <n v="0.17499999999999999"/>
    <n v="0.49"/>
    <n v="107.994"/>
    <n v="4"/>
    <x v="0"/>
  </r>
  <r>
    <x v="483"/>
    <s v="Suy Galvez"/>
    <s v="Bossa Best"/>
    <x v="429"/>
    <n v="30"/>
    <n v="169733"/>
    <x v="0"/>
    <n v="0.70699999999999996"/>
    <n v="0.46700000000000003"/>
    <n v="2"/>
    <n v="-7.5110000000000001"/>
    <n v="1"/>
    <n v="3.6700000000000003E-2"/>
    <n v="0.83199999999999996"/>
    <s v="5.33e-06"/>
    <n v="0.114"/>
    <n v="0.47799999999999998"/>
    <n v="110.096"/>
    <n v="4"/>
    <x v="0"/>
  </r>
  <r>
    <x v="484"/>
    <s v="Howlin' Wolf"/>
    <s v="Moanin' In The Moonlight"/>
    <x v="430"/>
    <n v="62"/>
    <n v="188400"/>
    <x v="0"/>
    <n v="0.66100000000000003"/>
    <n v="0.34200000000000003"/>
    <n v="9"/>
    <n v="-16.361000000000001"/>
    <n v="0"/>
    <n v="4.2999999999999997E-2"/>
    <n v="0.84399999999999997"/>
    <n v="1.2799999999999999E-4"/>
    <n v="0.26"/>
    <n v="0.58799999999999997"/>
    <n v="146.11799999999999"/>
    <n v="4"/>
    <x v="0"/>
  </r>
  <r>
    <x v="485"/>
    <s v="Stephen Speaks"/>
    <s v="No More Doubt"/>
    <x v="324"/>
    <n v="64"/>
    <n v="274480"/>
    <x v="0"/>
    <n v="0.52300000000000002"/>
    <n v="0.55400000000000005"/>
    <n v="7"/>
    <n v="-7.5960000000000001"/>
    <n v="1"/>
    <n v="3.0300000000000001E-2"/>
    <n v="0.749"/>
    <s v="3.29e-06"/>
    <n v="0.32300000000000001"/>
    <n v="0.76900000000000002"/>
    <n v="152.97900000000001"/>
    <n v="4"/>
    <x v="0"/>
  </r>
  <r>
    <x v="486"/>
    <s v="Buddy Guy;Bonnie Raitt"/>
    <s v="Feels Like Rain"/>
    <x v="431"/>
    <n v="57"/>
    <n v="275266"/>
    <x v="0"/>
    <n v="0.57199999999999995"/>
    <n v="0.34799999999999998"/>
    <n v="0"/>
    <n v="-13.454000000000001"/>
    <n v="1"/>
    <n v="2.9399999999999999E-2"/>
    <n v="0.44"/>
    <n v="7.2099999999999996E-4"/>
    <n v="0.23499999999999999"/>
    <n v="0.34"/>
    <n v="73.304000000000002"/>
    <n v="4"/>
    <x v="0"/>
  </r>
  <r>
    <x v="487"/>
    <s v="Mance Lipscomb"/>
    <s v="The Best of Mance Lipscomb"/>
    <x v="432"/>
    <n v="31"/>
    <n v="124400"/>
    <x v="0"/>
    <n v="0.55400000000000005"/>
    <n v="0.4"/>
    <n v="3"/>
    <n v="-11.805999999999999"/>
    <n v="1"/>
    <n v="6.9900000000000004E-2"/>
    <n v="0.97899999999999998"/>
    <n v="0.34799999999999998"/>
    <n v="0.10199999999999999"/>
    <n v="0.54700000000000004"/>
    <n v="101.191"/>
    <n v="4"/>
    <x v="0"/>
  </r>
  <r>
    <x v="488"/>
    <s v="Violent Femmes"/>
    <s v="Violent Femmes"/>
    <x v="433"/>
    <n v="71"/>
    <n v="145706"/>
    <x v="0"/>
    <n v="0.72599999999999998"/>
    <n v="0.53700000000000003"/>
    <n v="0"/>
    <n v="-8.8960000000000008"/>
    <n v="1"/>
    <n v="0.114"/>
    <n v="0.316"/>
    <n v="0"/>
    <n v="7.0699999999999999E-2"/>
    <n v="0.88200000000000001"/>
    <n v="96.888999999999996"/>
    <n v="4"/>
    <x v="0"/>
  </r>
  <r>
    <x v="489"/>
    <s v="Days N Daze"/>
    <s v="The Oogle Deathmachine"/>
    <x v="434"/>
    <n v="31"/>
    <n v="265195"/>
    <x v="1"/>
    <n v="0.501"/>
    <n v="0.67200000000000004"/>
    <n v="2"/>
    <n v="-10.225"/>
    <n v="0"/>
    <n v="6.3700000000000007E-2"/>
    <n v="0.67400000000000004"/>
    <n v="1.6200000000000001E-4"/>
    <n v="6.7400000000000002E-2"/>
    <n v="0.96099999999999997"/>
    <n v="122.041"/>
    <n v="4"/>
    <x v="0"/>
  </r>
  <r>
    <x v="490"/>
    <s v="Drei Rana;Selena Marie"/>
    <s v="Paano Ang Simbang Gabi (Kung 'Di Ka Katabi)"/>
    <x v="435"/>
    <n v="30"/>
    <n v="235722"/>
    <x v="0"/>
    <n v="0.505"/>
    <n v="0.46200000000000002"/>
    <n v="6"/>
    <n v="-5.6920000000000002"/>
    <n v="1"/>
    <n v="2.7099999999999999E-2"/>
    <n v="0.623"/>
    <n v="0"/>
    <n v="0.113"/>
    <n v="0.113"/>
    <n v="139.91399999999999"/>
    <n v="4"/>
    <x v="0"/>
  </r>
  <r>
    <x v="491"/>
    <s v="Frank Turner"/>
    <s v="West Coast vs. Wessex"/>
    <x v="436"/>
    <n v="30"/>
    <n v="188952"/>
    <x v="1"/>
    <n v="0.41499999999999998"/>
    <n v="0.71299999999999997"/>
    <n v="0"/>
    <n v="-5.5289999999999999"/>
    <n v="1"/>
    <n v="3.4500000000000003E-2"/>
    <n v="5.5500000000000001E-2"/>
    <n v="0"/>
    <n v="8.1100000000000005E-2"/>
    <n v="0.36099999999999999"/>
    <n v="83.69"/>
    <n v="3"/>
    <x v="0"/>
  </r>
  <r>
    <x v="492"/>
    <s v="Harley Poe"/>
    <s v="Have a Great Life."/>
    <x v="437"/>
    <n v="30"/>
    <n v="241250"/>
    <x v="0"/>
    <n v="0.45800000000000002"/>
    <n v="0.82299999999999995"/>
    <n v="6"/>
    <n v="-4.2679999999999998"/>
    <n v="0"/>
    <n v="6.1600000000000002E-2"/>
    <n v="0.38200000000000001"/>
    <n v="0"/>
    <n v="0.20499999999999999"/>
    <n v="0.42199999999999999"/>
    <n v="131.63800000000001"/>
    <n v="4"/>
    <x v="0"/>
  </r>
  <r>
    <x v="493"/>
    <s v="Frank Turner"/>
    <s v="West Coast vs. Wessex"/>
    <x v="438"/>
    <n v="30"/>
    <n v="146129"/>
    <x v="1"/>
    <n v="0.47399999999999998"/>
    <n v="0.876"/>
    <n v="7"/>
    <n v="-5.0519999999999996"/>
    <n v="1"/>
    <n v="3.4099999999999998E-2"/>
    <n v="2.7699999999999999E-3"/>
    <s v="6.15e-06"/>
    <n v="0.39"/>
    <n v="0.60699999999999998"/>
    <n v="91.947999999999993"/>
    <n v="4"/>
    <x v="0"/>
  </r>
  <r>
    <x v="494"/>
    <s v="The Bridge City Sinners"/>
    <s v="Unholy Hymns"/>
    <x v="439"/>
    <n v="30"/>
    <n v="161205"/>
    <x v="1"/>
    <n v="0.44400000000000001"/>
    <n v="0.67400000000000004"/>
    <n v="5"/>
    <n v="-6.6749999999999998"/>
    <n v="1"/>
    <n v="3.4099999999999998E-2"/>
    <n v="0.58599999999999997"/>
    <n v="1.47E-4"/>
    <n v="0.109"/>
    <n v="0.69799999999999995"/>
    <n v="111.377"/>
    <n v="3"/>
    <x v="0"/>
  </r>
  <r>
    <x v="495"/>
    <s v="Ben Rector"/>
    <s v="The Joy of Music"/>
    <x v="440"/>
    <n v="59"/>
    <n v="215213"/>
    <x v="0"/>
    <n v="0.56599999999999995"/>
    <n v="0.73299999999999998"/>
    <n v="4"/>
    <n v="-5.3019999999999996"/>
    <n v="1"/>
    <n v="6.9900000000000004E-2"/>
    <n v="8.3000000000000004E-2"/>
    <s v="1.55e-06"/>
    <n v="0.36199999999999999"/>
    <n v="0.63600000000000001"/>
    <n v="178.828"/>
    <n v="4"/>
    <x v="0"/>
  </r>
  <r>
    <x v="496"/>
    <s v="Frank Turner"/>
    <s v="FTHC (Deluxe)"/>
    <x v="441"/>
    <n v="30"/>
    <n v="196813"/>
    <x v="0"/>
    <n v="0.36699999999999999"/>
    <n v="0.89200000000000002"/>
    <n v="2"/>
    <n v="-3.91"/>
    <n v="1"/>
    <n v="0.13300000000000001"/>
    <n v="1.2E-4"/>
    <n v="2.6800000000000001E-4"/>
    <n v="0.27600000000000002"/>
    <n v="0.79900000000000004"/>
    <n v="81.927999999999997"/>
    <n v="4"/>
    <x v="0"/>
  </r>
  <r>
    <x v="497"/>
    <s v="The Bridge City Sinners"/>
    <s v="Unholy Hymns"/>
    <x v="442"/>
    <n v="30"/>
    <n v="184217"/>
    <x v="1"/>
    <n v="0.25800000000000001"/>
    <n v="0.72899999999999998"/>
    <n v="4"/>
    <n v="-6.4569999999999999"/>
    <n v="0"/>
    <n v="3.9800000000000002E-2"/>
    <n v="0.39500000000000002"/>
    <n v="4.4200000000000003E-3"/>
    <n v="0.13100000000000001"/>
    <n v="0.46200000000000002"/>
    <n v="116.943"/>
    <n v="3"/>
    <x v="0"/>
  </r>
  <r>
    <x v="498"/>
    <s v="Brandi Carlile;Lucius"/>
    <s v="In These Silent Days"/>
    <x v="443"/>
    <n v="63"/>
    <n v="230098"/>
    <x v="0"/>
    <n v="0.56799999999999995"/>
    <n v="0.68600000000000005"/>
    <n v="1"/>
    <n v="-6.6349999999999998"/>
    <n v="1"/>
    <n v="3.3000000000000002E-2"/>
    <n v="0.15"/>
    <s v="1.81e-06"/>
    <n v="8.8099999999999998E-2"/>
    <n v="0.72499999999999998"/>
    <n v="172.07499999999999"/>
    <n v="4"/>
    <x v="0"/>
  </r>
  <r>
    <x v="499"/>
    <s v="Get Dead"/>
    <s v="Dancing with the Curse"/>
    <x v="444"/>
    <n v="30"/>
    <n v="129472"/>
    <x v="0"/>
    <n v="0.57099999999999995"/>
    <n v="0.69599999999999995"/>
    <n v="9"/>
    <n v="-8.6880000000000006"/>
    <n v="1"/>
    <n v="7.3899999999999993E-2"/>
    <n v="0.14000000000000001"/>
    <n v="0"/>
    <n v="9.7299999999999998E-2"/>
    <n v="0.66200000000000003"/>
    <n v="155.13300000000001"/>
    <n v="4"/>
    <x v="0"/>
  </r>
  <r>
    <x v="500"/>
    <s v="Jonah Baker"/>
    <s v="A Thousand Years (Acoustic)"/>
    <x v="445"/>
    <n v="44"/>
    <n v="249728"/>
    <x v="0"/>
    <n v="0.38500000000000001"/>
    <n v="0.114"/>
    <n v="7"/>
    <n v="-13.005000000000001"/>
    <n v="1"/>
    <n v="3.1399999999999997E-2"/>
    <n v="0.91700000000000004"/>
    <n v="0"/>
    <n v="0.128"/>
    <n v="0.26900000000000002"/>
    <n v="93.313999999999993"/>
    <n v="4"/>
    <x v="0"/>
  </r>
  <r>
    <x v="501"/>
    <s v="Trevor Hall;Marieme"/>
    <s v="2 Oceans"/>
    <x v="446"/>
    <n v="54"/>
    <n v="213055"/>
    <x v="0"/>
    <n v="0.58799999999999997"/>
    <n v="0.56899999999999995"/>
    <n v="9"/>
    <n v="-7.7210000000000001"/>
    <n v="1"/>
    <n v="2.9499999999999998E-2"/>
    <n v="0.30299999999999999"/>
    <n v="3.4200000000000001E-2"/>
    <n v="0.10100000000000001"/>
    <n v="0.20899999999999999"/>
    <n v="101.988"/>
    <n v="4"/>
    <x v="0"/>
  </r>
  <r>
    <x v="502"/>
    <s v="Ben Woodward"/>
    <s v="Golden Hour"/>
    <x v="447"/>
    <n v="28"/>
    <n v="168571"/>
    <x v="0"/>
    <n v="0.27600000000000002"/>
    <n v="0.28899999999999998"/>
    <n v="2"/>
    <n v="-10.879"/>
    <n v="1"/>
    <n v="3.2500000000000001E-2"/>
    <n v="0.96799999999999997"/>
    <n v="3.2100000000000002E-3"/>
    <n v="0.13700000000000001"/>
    <n v="0.11799999999999999"/>
    <n v="86.465000000000003"/>
    <n v="3"/>
    <x v="0"/>
  </r>
  <r>
    <x v="503"/>
    <s v="Brandon Chase"/>
    <s v="Without Me"/>
    <x v="448"/>
    <n v="47"/>
    <n v="202219"/>
    <x v="0"/>
    <n v="0.66400000000000003"/>
    <n v="0.30099999999999999"/>
    <n v="0"/>
    <n v="-8.1349999999999998"/>
    <n v="1"/>
    <n v="2.9600000000000001E-2"/>
    <n v="0.73899999999999999"/>
    <n v="0"/>
    <n v="0.10299999999999999"/>
    <n v="0.26800000000000002"/>
    <n v="115.877"/>
    <n v="4"/>
    <x v="0"/>
  </r>
  <r>
    <x v="504"/>
    <s v="Aron Wright"/>
    <s v="You &amp; Me (The Wildfire)"/>
    <x v="449"/>
    <n v="41"/>
    <n v="242347"/>
    <x v="0"/>
    <n v="0.50600000000000001"/>
    <n v="0.24"/>
    <n v="2"/>
    <n v="-14.737"/>
    <n v="1"/>
    <n v="3.0499999999999999E-2"/>
    <n v="0.85399999999999998"/>
    <n v="7.4899999999999994E-2"/>
    <n v="0.10100000000000001"/>
    <n v="6.2100000000000002E-2"/>
    <n v="130.96"/>
    <n v="4"/>
    <x v="0"/>
  </r>
  <r>
    <x v="505"/>
    <s v="Sara Farell"/>
    <s v="Dancing With A Stranger"/>
    <x v="450"/>
    <n v="43"/>
    <n v="188735"/>
    <x v="0"/>
    <n v="0.59499999999999997"/>
    <n v="0.18"/>
    <n v="9"/>
    <n v="-11.391"/>
    <n v="1"/>
    <n v="2.98E-2"/>
    <n v="0.89"/>
    <n v="0"/>
    <n v="0.113"/>
    <n v="0.26100000000000001"/>
    <n v="79.921999999999997"/>
    <n v="3"/>
    <x v="0"/>
  </r>
  <r>
    <x v="506"/>
    <s v="Zack Tabudlo"/>
    <s v="Pero"/>
    <x v="451"/>
    <n v="65"/>
    <n v="256648"/>
    <x v="0"/>
    <n v="0.64400000000000002"/>
    <n v="0.41199999999999998"/>
    <n v="5"/>
    <n v="-9.14"/>
    <n v="0"/>
    <n v="3.0700000000000002E-2"/>
    <n v="0.79600000000000004"/>
    <n v="0.127"/>
    <n v="9.06E-2"/>
    <n v="0.20599999999999999"/>
    <n v="118.49"/>
    <n v="4"/>
    <x v="0"/>
  </r>
  <r>
    <x v="507"/>
    <s v="Jonah Baker"/>
    <s v="Good 4 U (Acoustic)"/>
    <x v="452"/>
    <n v="53"/>
    <n v="174677"/>
    <x v="0"/>
    <n v="0.60699999999999998"/>
    <n v="0.17799999999999999"/>
    <n v="11"/>
    <n v="-15.471"/>
    <n v="1"/>
    <n v="4.99E-2"/>
    <n v="0.73699999999999999"/>
    <n v="0"/>
    <n v="0.38700000000000001"/>
    <n v="0.42199999999999999"/>
    <n v="127.956"/>
    <n v="4"/>
    <x v="0"/>
  </r>
  <r>
    <x v="508"/>
    <s v="Greg Laswell"/>
    <s v="Three Flights From Alto Nido"/>
    <x v="453"/>
    <n v="47"/>
    <n v="209583"/>
    <x v="0"/>
    <n v="0.63"/>
    <n v="0.34200000000000003"/>
    <n v="7"/>
    <n v="-13.377000000000001"/>
    <n v="1"/>
    <n v="2.4500000000000001E-2"/>
    <n v="0.81699999999999995"/>
    <n v="4.3200000000000001E-3"/>
    <n v="9.6500000000000002E-2"/>
    <n v="0.55200000000000005"/>
    <n v="77.515000000000001"/>
    <n v="4"/>
    <x v="0"/>
  </r>
  <r>
    <x v="509"/>
    <s v="Daniel Robinson"/>
    <s v="Here With Me (Acoustic)"/>
    <x v="454"/>
    <n v="55"/>
    <n v="164478"/>
    <x v="0"/>
    <n v="0.68899999999999995"/>
    <n v="0.29899999999999999"/>
    <n v="7"/>
    <n v="-9.4309999999999992"/>
    <n v="1"/>
    <n v="3.0099999999999998E-2"/>
    <n v="0.83299999999999996"/>
    <n v="0"/>
    <n v="0.115"/>
    <n v="0.52"/>
    <n v="96.825000000000003"/>
    <n v="4"/>
    <x v="0"/>
  </r>
  <r>
    <x v="510"/>
    <s v="Boyce Avenue"/>
    <s v="Cover Sessions, Vol. 3"/>
    <x v="455"/>
    <n v="45"/>
    <n v="138201"/>
    <x v="0"/>
    <n v="0.47299999999999998"/>
    <n v="0.30499999999999999"/>
    <n v="11"/>
    <n v="-8.48"/>
    <n v="0"/>
    <n v="3.1099999999999999E-2"/>
    <n v="0.83299999999999996"/>
    <n v="0"/>
    <n v="0.109"/>
    <n v="0.52400000000000002"/>
    <n v="81.153000000000006"/>
    <n v="4"/>
    <x v="0"/>
  </r>
  <r>
    <x v="511"/>
    <s v="Zack Tabudlo"/>
    <s v="Habang Buhay"/>
    <x v="180"/>
    <n v="69"/>
    <n v="244067"/>
    <x v="0"/>
    <n v="0.62"/>
    <n v="0.66800000000000004"/>
    <n v="9"/>
    <n v="-5.7190000000000003"/>
    <n v="1"/>
    <n v="3.0499999999999999E-2"/>
    <n v="8.7999999999999995E-2"/>
    <n v="0"/>
    <n v="0.36199999999999999"/>
    <n v="0.183"/>
    <n v="118.01300000000001"/>
    <n v="4"/>
    <x v="0"/>
  </r>
  <r>
    <x v="512"/>
    <s v="Gabrielle Aplin"/>
    <s v="Dear Happy"/>
    <x v="456"/>
    <n v="37"/>
    <n v="198040"/>
    <x v="0"/>
    <n v="0.751"/>
    <n v="0.56499999999999995"/>
    <n v="5"/>
    <n v="-9.1059999999999999"/>
    <n v="1"/>
    <n v="5.1299999999999998E-2"/>
    <n v="7.7700000000000005E-2"/>
    <n v="1.21E-2"/>
    <n v="8.5500000000000007E-2"/>
    <n v="0.67900000000000005"/>
    <n v="119.996"/>
    <n v="4"/>
    <x v="0"/>
  </r>
  <r>
    <x v="513"/>
    <s v="Colin &amp; Caroline"/>
    <s v="More Than Gravity"/>
    <x v="457"/>
    <n v="34"/>
    <n v="266078"/>
    <x v="0"/>
    <n v="0.62"/>
    <n v="0.46800000000000003"/>
    <n v="4"/>
    <n v="-9.6479999999999997"/>
    <n v="1"/>
    <n v="2.6800000000000001E-2"/>
    <n v="0.71499999999999997"/>
    <s v="3.93e-05"/>
    <n v="0.106"/>
    <n v="0.217"/>
    <n v="110.96899999999999"/>
    <n v="4"/>
    <x v="0"/>
  </r>
  <r>
    <x v="514"/>
    <s v="Andrew Belle"/>
    <s v="Fade into You"/>
    <x v="458"/>
    <n v="53"/>
    <n v="291676"/>
    <x v="0"/>
    <n v="0.47799999999999998"/>
    <n v="0.39800000000000002"/>
    <n v="2"/>
    <n v="-10.124000000000001"/>
    <n v="1"/>
    <n v="2.86E-2"/>
    <n v="2.2200000000000001E-2"/>
    <n v="1.83E-2"/>
    <n v="8.2600000000000007E-2"/>
    <n v="0.371"/>
    <n v="159.90600000000001"/>
    <n v="3"/>
    <x v="0"/>
  </r>
  <r>
    <x v="515"/>
    <s v="Masaharu Fukuyama"/>
    <s v="æ±äº¬ã«ã‚‚ã‚ã£ãŸã‚“ã  / ç„¡æ•µã®ã‚­ãƒŸ"/>
    <x v="459"/>
    <n v="31"/>
    <n v="382786"/>
    <x v="0"/>
    <n v="0.376"/>
    <n v="0.70199999999999996"/>
    <n v="3"/>
    <n v="-5.7329999999999997"/>
    <n v="1"/>
    <n v="2.9899999999999999E-2"/>
    <n v="3.7299999999999998E-3"/>
    <n v="1.16E-3"/>
    <n v="0.13800000000000001"/>
    <n v="0.24099999999999999"/>
    <n v="134.81700000000001"/>
    <n v="4"/>
    <x v="0"/>
  </r>
  <r>
    <x v="516"/>
    <s v="Masaharu Fukuyama"/>
    <s v="5å¹´ãƒ¢ãƒŽ"/>
    <x v="460"/>
    <n v="31"/>
    <n v="322906"/>
    <x v="0"/>
    <n v="0.40300000000000002"/>
    <n v="0.63100000000000001"/>
    <n v="7"/>
    <n v="-5.94"/>
    <n v="1"/>
    <n v="3.56E-2"/>
    <n v="5.0200000000000002E-2"/>
    <s v="3.97e-05"/>
    <n v="0.193"/>
    <n v="0.32800000000000001"/>
    <n v="78.522000000000006"/>
    <n v="4"/>
    <x v="0"/>
  </r>
  <r>
    <x v="517"/>
    <s v="Bailey Jehl"/>
    <s v="21 Guns"/>
    <x v="461"/>
    <n v="47"/>
    <n v="243979"/>
    <x v="0"/>
    <n v="0.44"/>
    <n v="0.11899999999999999"/>
    <n v="10"/>
    <n v="-12.574"/>
    <n v="1"/>
    <n v="3.1800000000000002E-2"/>
    <n v="0.92700000000000005"/>
    <s v="1.26e-06"/>
    <n v="0.13700000000000001"/>
    <n v="0.27900000000000003"/>
    <n v="145.18600000000001"/>
    <n v="4"/>
    <x v="0"/>
  </r>
  <r>
    <x v="518"/>
    <s v="Canyon City"/>
    <s v="Midnight Waves"/>
    <x v="462"/>
    <n v="45"/>
    <n v="262954"/>
    <x v="0"/>
    <n v="0.40699999999999997"/>
    <n v="0.35699999999999998"/>
    <n v="1"/>
    <n v="-11.659000000000001"/>
    <n v="1"/>
    <n v="4.36E-2"/>
    <n v="0.77500000000000002"/>
    <n v="1.0499999999999999E-3"/>
    <n v="0.94"/>
    <n v="0.253"/>
    <n v="112.20699999999999"/>
    <n v="4"/>
    <x v="0"/>
  </r>
  <r>
    <x v="519"/>
    <s v="Jonah Baker"/>
    <s v="Running Up That Hill (A Deal With God) [Acoustic]"/>
    <x v="463"/>
    <n v="51"/>
    <n v="168042"/>
    <x v="0"/>
    <n v="0.38500000000000001"/>
    <n v="0.13400000000000001"/>
    <n v="5"/>
    <n v="-14.672000000000001"/>
    <n v="0"/>
    <n v="4.7600000000000003E-2"/>
    <n v="0.89900000000000002"/>
    <n v="0"/>
    <n v="0.113"/>
    <n v="0.42699999999999999"/>
    <n v="203.816"/>
    <n v="4"/>
    <x v="0"/>
  </r>
  <r>
    <x v="520"/>
    <s v="Kurt Cobain"/>
    <s v="Montage Of Heck: The Home Recordings (Deluxe Soundtrack)"/>
    <x v="464"/>
    <n v="51"/>
    <n v="131800"/>
    <x v="0"/>
    <n v="0.42899999999999999"/>
    <n v="0.25800000000000001"/>
    <n v="5"/>
    <n v="-12.407999999999999"/>
    <n v="1"/>
    <n v="3.1699999999999999E-2"/>
    <n v="0.86799999999999999"/>
    <n v="0.88800000000000001"/>
    <n v="0.108"/>
    <n v="8.9700000000000002E-2"/>
    <n v="108.79600000000001"/>
    <n v="4"/>
    <x v="0"/>
  </r>
  <r>
    <x v="521"/>
    <s v="Masaharu Fukuyama"/>
    <s v="æ®‹éŸ¿"/>
    <x v="465"/>
    <n v="31"/>
    <n v="326600"/>
    <x v="0"/>
    <n v="0.60899999999999999"/>
    <n v="0.76"/>
    <n v="0"/>
    <n v="-5.16"/>
    <n v="1"/>
    <n v="2.8299999999999999E-2"/>
    <n v="0.13100000000000001"/>
    <n v="0"/>
    <n v="0.41"/>
    <n v="0.44"/>
    <n v="117.13500000000001"/>
    <n v="4"/>
    <x v="0"/>
  </r>
  <r>
    <x v="522"/>
    <s v="Kina Grannis"/>
    <s v="Build Me Up Buttercup"/>
    <x v="466"/>
    <n v="48"/>
    <n v="166320"/>
    <x v="0"/>
    <n v="0.72099999999999997"/>
    <n v="9.6299999999999997E-2"/>
    <n v="0"/>
    <n v="-15.973000000000001"/>
    <n v="1"/>
    <n v="5.0200000000000002E-2"/>
    <n v="0.94499999999999995"/>
    <s v="1.03e-06"/>
    <n v="0.13300000000000001"/>
    <n v="0.57599999999999996"/>
    <n v="124.86799999999999"/>
    <n v="4"/>
    <x v="0"/>
  </r>
  <r>
    <x v="523"/>
    <s v="The Mayries"/>
    <s v="#Acoustic"/>
    <x v="467"/>
    <n v="48"/>
    <n v="178319"/>
    <x v="0"/>
    <n v="0.67500000000000004"/>
    <n v="0.27800000000000002"/>
    <n v="3"/>
    <n v="-9.5690000000000008"/>
    <n v="1"/>
    <n v="3.4299999999999997E-2"/>
    <n v="0.84499999999999997"/>
    <n v="0"/>
    <n v="0.114"/>
    <n v="0.35299999999999998"/>
    <n v="123.962"/>
    <n v="4"/>
    <x v="0"/>
  </r>
  <r>
    <x v="524"/>
    <s v="Gabrielle Aplin"/>
    <s v="English Rain"/>
    <x v="468"/>
    <n v="51"/>
    <n v="249386"/>
    <x v="0"/>
    <n v="0.40300000000000002"/>
    <n v="0.28999999999999998"/>
    <n v="2"/>
    <n v="-10.262"/>
    <n v="1"/>
    <n v="3.2800000000000003E-2"/>
    <n v="0.75700000000000001"/>
    <n v="0"/>
    <n v="9.7199999999999995E-2"/>
    <n v="0.248"/>
    <n v="139.482"/>
    <n v="4"/>
    <x v="0"/>
  </r>
  <r>
    <x v="525"/>
    <s v="Joshua Radin"/>
    <s v="The Ghost and the Wall"/>
    <x v="469"/>
    <n v="55"/>
    <n v="200893"/>
    <x v="0"/>
    <n v="0.627"/>
    <n v="0.51800000000000002"/>
    <n v="8"/>
    <n v="-7.1779999999999999"/>
    <n v="1"/>
    <n v="2.86E-2"/>
    <n v="0.436"/>
    <n v="0"/>
    <n v="0.128"/>
    <n v="0.33700000000000002"/>
    <n v="95.991"/>
    <n v="4"/>
    <x v="0"/>
  </r>
  <r>
    <x v="526"/>
    <s v="Masaharu Fukuyama"/>
    <s v="vs.2013 ~çŸ¥è¦šã¨å¿«æ¥½ã®èžºæ—‹~"/>
    <x v="470"/>
    <n v="32"/>
    <n v="292493"/>
    <x v="0"/>
    <n v="0.40300000000000002"/>
    <n v="0.92500000000000004"/>
    <n v="9"/>
    <n v="-3.1659999999999999"/>
    <n v="1"/>
    <n v="5.3699999999999998E-2"/>
    <n v="4.35E-4"/>
    <n v="0.755"/>
    <n v="0.32300000000000001"/>
    <n v="0.54300000000000004"/>
    <n v="169.97800000000001"/>
    <n v="4"/>
    <x v="0"/>
  </r>
  <r>
    <x v="527"/>
    <s v="Ysabelle Cuevas"/>
    <s v="Ysabelle"/>
    <x v="217"/>
    <n v="54"/>
    <n v="189673"/>
    <x v="0"/>
    <n v="0.44900000000000001"/>
    <n v="0.20899999999999999"/>
    <n v="10"/>
    <n v="-14.494"/>
    <n v="1"/>
    <n v="8.9599999999999999E-2"/>
    <n v="0.89600000000000002"/>
    <n v="0"/>
    <n v="0.156"/>
    <n v="0.43099999999999999"/>
    <n v="93.617999999999995"/>
    <n v="4"/>
    <x v="0"/>
  </r>
  <r>
    <x v="528"/>
    <s v="Jason Mraz"/>
    <s v="Waiting for My Rocket to Come"/>
    <x v="111"/>
    <n v="60"/>
    <n v="256440"/>
    <x v="0"/>
    <n v="0.58899999999999997"/>
    <n v="0.86699999999999999"/>
    <n v="10"/>
    <n v="-4.5229999999999997"/>
    <n v="1"/>
    <n v="3.85E-2"/>
    <n v="4.1000000000000002E-2"/>
    <n v="0"/>
    <n v="0.30599999999999999"/>
    <n v="0.79500000000000004"/>
    <n v="94.52"/>
    <n v="4"/>
    <x v="0"/>
  </r>
  <r>
    <x v="529"/>
    <s v="Bailey Pelkman;Randy Rektor"/>
    <s v="Acoustic Duets"/>
    <x v="471"/>
    <n v="47"/>
    <n v="147809"/>
    <x v="0"/>
    <n v="0.78900000000000003"/>
    <n v="0.26100000000000001"/>
    <n v="7"/>
    <n v="-14.396000000000001"/>
    <n v="1"/>
    <n v="4.5600000000000002E-2"/>
    <n v="0.80300000000000005"/>
    <n v="0"/>
    <n v="9.6199999999999994E-2"/>
    <n v="0.49099999999999999"/>
    <n v="117.961"/>
    <n v="4"/>
    <x v="0"/>
  </r>
  <r>
    <x v="530"/>
    <s v="Ethan Loukas;Janine TeÃ±oso"/>
    <s v="Hanap-Hanap"/>
    <x v="472"/>
    <n v="29"/>
    <n v="246644"/>
    <x v="0"/>
    <n v="0.66300000000000003"/>
    <n v="0.23899999999999999"/>
    <n v="9"/>
    <n v="-9.5169999999999995"/>
    <n v="1"/>
    <n v="3.0800000000000001E-2"/>
    <n v="0.82699999999999996"/>
    <n v="0"/>
    <n v="0.109"/>
    <n v="0.48799999999999999"/>
    <n v="83.102000000000004"/>
    <n v="4"/>
    <x v="0"/>
  </r>
  <r>
    <x v="531"/>
    <s v="John Frusciante"/>
    <s v="The Will To Death"/>
    <x v="473"/>
    <n v="51"/>
    <n v="228426"/>
    <x v="0"/>
    <n v="0.498"/>
    <n v="0.113"/>
    <n v="6"/>
    <n v="-16.097000000000001"/>
    <n v="0"/>
    <n v="3.3300000000000003E-2"/>
    <n v="0.69099999999999995"/>
    <n v="2.8699999999999998E-4"/>
    <n v="0.108"/>
    <n v="0.29599999999999999"/>
    <n v="168.38300000000001"/>
    <n v="4"/>
    <x v="0"/>
  </r>
  <r>
    <x v="532"/>
    <s v="Adam Christopher"/>
    <s v="Boulevard of Broken Dreams (Acoustic)"/>
    <x v="474"/>
    <n v="41"/>
    <n v="207400"/>
    <x v="0"/>
    <n v="0.58599999999999997"/>
    <n v="0.14899999999999999"/>
    <n v="5"/>
    <n v="-13.369"/>
    <n v="1"/>
    <n v="3.4799999999999998E-2"/>
    <n v="0.88100000000000001"/>
    <n v="0"/>
    <n v="0.187"/>
    <n v="0.34100000000000003"/>
    <n v="75.120999999999995"/>
    <n v="4"/>
    <x v="0"/>
  </r>
  <r>
    <x v="533"/>
    <s v="Kina Grannis"/>
    <s v="The Living Room Sessions Vol. 3"/>
    <x v="3"/>
    <n v="48"/>
    <n v="188354"/>
    <x v="0"/>
    <n v="0.44400000000000001"/>
    <n v="0.14299999999999999"/>
    <n v="0"/>
    <n v="-11.449"/>
    <n v="1"/>
    <n v="3.0200000000000001E-2"/>
    <n v="0.92500000000000004"/>
    <s v="6.92e-05"/>
    <n v="0.11799999999999999"/>
    <n v="0.13200000000000001"/>
    <n v="100.34099999999999"/>
    <n v="3"/>
    <x v="0"/>
  </r>
  <r>
    <x v="534"/>
    <s v="Penny and Sparrow"/>
    <s v="Finch"/>
    <x v="475"/>
    <n v="61"/>
    <n v="168712"/>
    <x v="0"/>
    <n v="0.60599999999999998"/>
    <n v="0.41499999999999998"/>
    <n v="7"/>
    <n v="-8.3170000000000002"/>
    <n v="0"/>
    <n v="4.7500000000000001E-2"/>
    <n v="0.69499999999999995"/>
    <n v="1.49E-3"/>
    <n v="0.17399999999999999"/>
    <n v="0.40500000000000003"/>
    <n v="137.77500000000001"/>
    <n v="4"/>
    <x v="0"/>
  </r>
  <r>
    <x v="535"/>
    <s v="Sonny Boy Williamson II"/>
    <s v="More Real Folk Blues"/>
    <x v="476"/>
    <n v="60"/>
    <n v="188200"/>
    <x v="0"/>
    <n v="0.745"/>
    <n v="0.436"/>
    <n v="5"/>
    <n v="-9.6170000000000009"/>
    <n v="0"/>
    <n v="4.2999999999999997E-2"/>
    <n v="0.59699999999999998"/>
    <n v="2.1299999999999999E-2"/>
    <n v="0.61"/>
    <n v="0.77100000000000002"/>
    <n v="114.21599999999999"/>
    <n v="4"/>
    <x v="0"/>
  </r>
  <r>
    <x v="536"/>
    <s v="Shannon &amp; Keast"/>
    <s v="Acoustic Love"/>
    <x v="477"/>
    <n v="45"/>
    <n v="181496"/>
    <x v="0"/>
    <n v="0.52600000000000002"/>
    <n v="0.13900000000000001"/>
    <n v="9"/>
    <n v="-11.316000000000001"/>
    <n v="1"/>
    <n v="3.2500000000000001E-2"/>
    <n v="0.879"/>
    <n v="0"/>
    <n v="0.109"/>
    <n v="0.20300000000000001"/>
    <n v="100.852"/>
    <n v="4"/>
    <x v="0"/>
  </r>
  <r>
    <x v="537"/>
    <s v="Ray LaMontagne"/>
    <s v="Gossip In The Grain"/>
    <x v="478"/>
    <n v="58"/>
    <n v="280226"/>
    <x v="0"/>
    <n v="0.61399999999999999"/>
    <n v="0.28299999999999997"/>
    <n v="0"/>
    <n v="-8.0079999999999991"/>
    <n v="1"/>
    <n v="2.7E-2"/>
    <n v="0.47199999999999998"/>
    <n v="0"/>
    <n v="0.114"/>
    <n v="0.33100000000000002"/>
    <n v="107.673"/>
    <n v="3"/>
    <x v="0"/>
  </r>
  <r>
    <x v="538"/>
    <s v="Mia Rollo"/>
    <s v="Saktong Akustik"/>
    <x v="479"/>
    <n v="29"/>
    <n v="254306"/>
    <x v="0"/>
    <n v="0.47299999999999998"/>
    <n v="0.49299999999999999"/>
    <n v="11"/>
    <n v="-6.7329999999999997"/>
    <n v="1"/>
    <n v="3.0200000000000001E-2"/>
    <n v="0.84"/>
    <s v="6.57e-06"/>
    <n v="9.1499999999999998E-2"/>
    <n v="0.54"/>
    <n v="169.99799999999999"/>
    <n v="4"/>
    <x v="0"/>
  </r>
  <r>
    <x v="539"/>
    <s v="Boyce Avenue"/>
    <s v="Cover Sessions, Vol. 2"/>
    <x v="480"/>
    <n v="57"/>
    <n v="276146"/>
    <x v="0"/>
    <n v="0.439"/>
    <n v="0.20699999999999999"/>
    <n v="1"/>
    <n v="-9.5730000000000004"/>
    <n v="1"/>
    <n v="2.9700000000000001E-2"/>
    <n v="0.60799999999999998"/>
    <n v="0"/>
    <n v="0.186"/>
    <n v="0.26400000000000001"/>
    <n v="136.51400000000001"/>
    <n v="4"/>
    <x v="0"/>
  </r>
  <r>
    <x v="540"/>
    <s v="Suy Galvez"/>
    <s v="Bossa Best"/>
    <x v="481"/>
    <n v="29"/>
    <n v="274720"/>
    <x v="0"/>
    <n v="0.66500000000000004"/>
    <n v="0.48699999999999999"/>
    <n v="7"/>
    <n v="-9.4090000000000007"/>
    <n v="1"/>
    <n v="2.4299999999999999E-2"/>
    <n v="0.63900000000000001"/>
    <s v="6.75e-05"/>
    <n v="9.0999999999999998E-2"/>
    <n v="0.32600000000000001"/>
    <n v="94.977999999999994"/>
    <n v="4"/>
    <x v="0"/>
  </r>
  <r>
    <x v="541"/>
    <s v="JJ Heller"/>
    <s v="This Little Light of Mine"/>
    <x v="482"/>
    <n v="49"/>
    <n v="159820"/>
    <x v="0"/>
    <n v="0.53400000000000003"/>
    <n v="0.26"/>
    <n v="1"/>
    <n v="-12.406000000000001"/>
    <n v="1"/>
    <n v="3.1899999999999998E-2"/>
    <n v="0.83399999999999996"/>
    <n v="4.0499999999999998E-3"/>
    <n v="0.10199999999999999"/>
    <n v="0.151"/>
    <n v="113.877"/>
    <n v="4"/>
    <x v="0"/>
  </r>
  <r>
    <x v="542"/>
    <s v="Takehara Pistol"/>
    <s v="GOOD LUCK TRACK"/>
    <x v="483"/>
    <n v="30"/>
    <n v="178573"/>
    <x v="0"/>
    <n v="0.45700000000000002"/>
    <n v="0.26"/>
    <n v="7"/>
    <n v="-7.952"/>
    <n v="1"/>
    <n v="4.0599999999999997E-2"/>
    <n v="5.9400000000000001E-2"/>
    <n v="0"/>
    <n v="0.34599999999999997"/>
    <n v="0.38"/>
    <n v="106.756"/>
    <n v="4"/>
    <x v="0"/>
  </r>
  <r>
    <x v="543"/>
    <s v="Days N Daze"/>
    <s v="Rogue Taxidermy"/>
    <x v="484"/>
    <n v="30"/>
    <n v="175046"/>
    <x v="1"/>
    <n v="0.5"/>
    <n v="0.61099999999999999"/>
    <n v="0"/>
    <n v="-10.826000000000001"/>
    <n v="1"/>
    <n v="7.8799999999999995E-2"/>
    <n v="0.83399999999999996"/>
    <s v="1.41e-05"/>
    <n v="0.24099999999999999"/>
    <n v="0.89400000000000002"/>
    <n v="88.372"/>
    <n v="4"/>
    <x v="0"/>
  </r>
  <r>
    <x v="544"/>
    <s v="AJJ"/>
    <s v="Christmas Island"/>
    <x v="485"/>
    <n v="31"/>
    <n v="180771"/>
    <x v="0"/>
    <n v="0.44800000000000001"/>
    <n v="0.51600000000000001"/>
    <n v="0"/>
    <n v="-7.4489999999999998"/>
    <n v="1"/>
    <n v="2.92E-2"/>
    <n v="0.34100000000000003"/>
    <n v="4.9699999999999996E-3"/>
    <n v="9.2899999999999996E-2"/>
    <n v="0.28999999999999998"/>
    <n v="100.672"/>
    <n v="4"/>
    <x v="0"/>
  </r>
  <r>
    <x v="545"/>
    <s v="SANNA NORTH"/>
    <s v="Chill Out Covers - Chillout Covers - Chill Acoustic - Relaxing Songs - Calming Acoustic Songs"/>
    <x v="486"/>
    <n v="29"/>
    <n v="191052"/>
    <x v="0"/>
    <n v="0.69899999999999995"/>
    <n v="0.34300000000000003"/>
    <n v="2"/>
    <n v="-6.0519999999999996"/>
    <n v="1"/>
    <n v="2.9600000000000001E-2"/>
    <n v="0.50600000000000001"/>
    <n v="0"/>
    <n v="0.56000000000000005"/>
    <n v="0.38300000000000001"/>
    <n v="114.021"/>
    <n v="4"/>
    <x v="0"/>
  </r>
  <r>
    <x v="546"/>
    <s v="Brandi Carlile"/>
    <s v="Bear Creek"/>
    <x v="487"/>
    <n v="59"/>
    <n v="214666"/>
    <x v="0"/>
    <n v="0.56399999999999995"/>
    <n v="0.20899999999999999"/>
    <n v="3"/>
    <n v="-8.9220000000000006"/>
    <n v="1"/>
    <n v="3.1699999999999999E-2"/>
    <n v="0.72399999999999998"/>
    <s v="3.99e-05"/>
    <n v="0.107"/>
    <n v="0.40200000000000002"/>
    <n v="109.024"/>
    <n v="4"/>
    <x v="0"/>
  </r>
  <r>
    <x v="547"/>
    <s v="The Bridge City Sinners"/>
    <s v="Unholy Hymns"/>
    <x v="488"/>
    <n v="30"/>
    <n v="167466"/>
    <x v="1"/>
    <n v="0.40400000000000003"/>
    <n v="0.57699999999999996"/>
    <n v="2"/>
    <n v="-8.2720000000000002"/>
    <n v="0"/>
    <n v="2.9399999999999999E-2"/>
    <n v="0.60499999999999998"/>
    <n v="0.249"/>
    <n v="7.1199999999999999E-2"/>
    <n v="0.63700000000000001"/>
    <n v="112.215"/>
    <n v="3"/>
    <x v="0"/>
  </r>
  <r>
    <x v="548"/>
    <s v="Pigeon Pit"/>
    <s v="Treehouse"/>
    <x v="489"/>
    <n v="30"/>
    <n v="252760"/>
    <x v="1"/>
    <n v="0.501"/>
    <n v="0.44"/>
    <n v="6"/>
    <n v="-8.1669999999999998"/>
    <n v="1"/>
    <n v="3.5200000000000002E-2"/>
    <n v="0.81799999999999995"/>
    <n v="0"/>
    <n v="0.104"/>
    <n v="0.311"/>
    <n v="89.881"/>
    <n v="4"/>
    <x v="0"/>
  </r>
  <r>
    <x v="549"/>
    <s v="Get Dead"/>
    <s v="Dancing with the Curse"/>
    <x v="490"/>
    <n v="29"/>
    <n v="136815"/>
    <x v="1"/>
    <n v="0.46100000000000002"/>
    <n v="0.89300000000000002"/>
    <n v="9"/>
    <n v="-6.0279999999999996"/>
    <n v="1"/>
    <n v="0.121"/>
    <n v="3.2299999999999998E-3"/>
    <n v="0"/>
    <n v="0.65400000000000003"/>
    <n v="0.4"/>
    <n v="179.92"/>
    <n v="4"/>
    <x v="0"/>
  </r>
  <r>
    <x v="550"/>
    <s v="Adam Christopher"/>
    <s v="Peaches (Acoustic)"/>
    <x v="491"/>
    <n v="55"/>
    <n v="190909"/>
    <x v="1"/>
    <n v="0.67500000000000004"/>
    <n v="0.24299999999999999"/>
    <n v="0"/>
    <n v="-13.391999999999999"/>
    <n v="1"/>
    <n v="4.1300000000000003E-2"/>
    <n v="0.79700000000000004"/>
    <n v="0"/>
    <n v="0.214"/>
    <n v="0.70699999999999996"/>
    <n v="142.87"/>
    <n v="4"/>
    <x v="0"/>
  </r>
  <r>
    <x v="551"/>
    <s v="A Great Big World"/>
    <s v="You"/>
    <x v="492"/>
    <n v="49"/>
    <n v="218133"/>
    <x v="0"/>
    <n v="0.505"/>
    <n v="0.31"/>
    <n v="5"/>
    <n v="-10.423"/>
    <n v="1"/>
    <n v="0.03"/>
    <n v="0.88500000000000001"/>
    <n v="3.5899999999999999E-3"/>
    <n v="9.9599999999999994E-2"/>
    <n v="0.34"/>
    <n v="82.590999999999994"/>
    <n v="4"/>
    <x v="0"/>
  </r>
  <r>
    <x v="552"/>
    <s v="Andrew Belle"/>
    <s v="Nightshade"/>
    <x v="493"/>
    <n v="50"/>
    <n v="181093"/>
    <x v="0"/>
    <n v="0.54700000000000004"/>
    <n v="0.59899999999999998"/>
    <n v="11"/>
    <n v="-8.1739999999999995"/>
    <n v="0"/>
    <n v="3.0099999999999998E-2"/>
    <n v="3.96E-3"/>
    <n v="0.40899999999999997"/>
    <n v="8.4699999999999998E-2"/>
    <n v="5.7099999999999998E-2"/>
    <n v="120.054"/>
    <n v="4"/>
    <x v="0"/>
  </r>
  <r>
    <x v="553"/>
    <s v="Kris Allen"/>
    <s v="Kris Allen"/>
    <x v="494"/>
    <n v="55"/>
    <n v="212506"/>
    <x v="0"/>
    <n v="0.58899999999999997"/>
    <n v="0.89300000000000002"/>
    <n v="0"/>
    <n v="-2.948"/>
    <n v="1"/>
    <n v="3.9699999999999999E-2"/>
    <n v="2.7300000000000001E-2"/>
    <n v="0"/>
    <n v="0.34300000000000003"/>
    <n v="0.94"/>
    <n v="92.010999999999996"/>
    <n v="4"/>
    <x v="0"/>
  </r>
  <r>
    <x v="554"/>
    <s v="LÃºc"/>
    <s v="Somebody That I Used To Know"/>
    <x v="495"/>
    <n v="49"/>
    <n v="172454"/>
    <x v="0"/>
    <n v="0.503"/>
    <n v="0.123"/>
    <n v="2"/>
    <n v="-14.311999999999999"/>
    <n v="0"/>
    <n v="3.27E-2"/>
    <n v="0.86799999999999999"/>
    <s v="2.56e-05"/>
    <n v="0.111"/>
    <n v="0.34300000000000003"/>
    <n v="183.571"/>
    <n v="4"/>
    <x v="0"/>
  </r>
  <r>
    <x v="555"/>
    <s v="Ben Woodward"/>
    <s v="Lost Without You"/>
    <x v="496"/>
    <n v="32"/>
    <n v="234046"/>
    <x v="0"/>
    <n v="0.61099999999999999"/>
    <n v="0.53400000000000003"/>
    <n v="7"/>
    <n v="-8.8989999999999991"/>
    <n v="1"/>
    <n v="7.4399999999999994E-2"/>
    <n v="0.42299999999999999"/>
    <n v="0"/>
    <n v="0.14499999999999999"/>
    <n v="0.38"/>
    <n v="159.98500000000001"/>
    <n v="4"/>
    <x v="0"/>
  </r>
  <r>
    <x v="556"/>
    <s v="Masayoshi Yamazaki"/>
    <s v="HOME"/>
    <x v="497"/>
    <n v="53"/>
    <n v="330200"/>
    <x v="0"/>
    <n v="0.55000000000000004"/>
    <n v="0.40799999999999997"/>
    <n v="11"/>
    <n v="-8.4039999999999999"/>
    <n v="0"/>
    <n v="3.1800000000000002E-2"/>
    <n v="0.71899999999999997"/>
    <n v="0"/>
    <n v="0.11"/>
    <n v="0.33100000000000002"/>
    <n v="129.15199999999999"/>
    <n v="4"/>
    <x v="0"/>
  </r>
  <r>
    <x v="557"/>
    <s v="The Mayries"/>
    <s v="you broke me first"/>
    <x v="244"/>
    <n v="46"/>
    <n v="190981"/>
    <x v="0"/>
    <n v="0.65600000000000003"/>
    <n v="0.3"/>
    <n v="4"/>
    <n v="-9.9049999999999994"/>
    <n v="1"/>
    <n v="3.49E-2"/>
    <n v="0.87"/>
    <n v="0"/>
    <n v="9.5600000000000004E-2"/>
    <n v="0.36899999999999999"/>
    <n v="120.006"/>
    <n v="4"/>
    <x v="0"/>
  </r>
  <r>
    <x v="558"/>
    <s v="Gabrielle Aplin"/>
    <s v="Never Be the Same"/>
    <x v="498"/>
    <n v="23"/>
    <n v="240449"/>
    <x v="0"/>
    <n v="0.52400000000000002"/>
    <n v="0.56599999999999995"/>
    <n v="1"/>
    <n v="-5.4429999999999996"/>
    <n v="1"/>
    <n v="3.6400000000000002E-2"/>
    <n v="4.1099999999999998E-2"/>
    <n v="0"/>
    <n v="0.25"/>
    <n v="0.36199999999999999"/>
    <n v="159.91399999999999"/>
    <n v="4"/>
    <x v="0"/>
  </r>
  <r>
    <x v="559"/>
    <s v="Edy Hafler"/>
    <s v="Game of Thrones"/>
    <x v="499"/>
    <n v="41"/>
    <n v="89268"/>
    <x v="0"/>
    <n v="0.34"/>
    <n v="0.309"/>
    <n v="11"/>
    <n v="-12.98"/>
    <n v="0"/>
    <n v="0.05"/>
    <n v="0.85499999999999998"/>
    <n v="0.90300000000000002"/>
    <n v="0.16800000000000001"/>
    <n v="0.153"/>
    <n v="176.899"/>
    <n v="3"/>
    <x v="0"/>
  </r>
  <r>
    <x v="560"/>
    <s v="The Perishers"/>
    <s v="Let There Be Morning (Bonus Track Version)"/>
    <x v="500"/>
    <n v="49"/>
    <n v="213453"/>
    <x v="0"/>
    <n v="0.59799999999999998"/>
    <n v="0.29099999999999998"/>
    <n v="2"/>
    <n v="-8.6270000000000007"/>
    <n v="1"/>
    <n v="3.2800000000000003E-2"/>
    <n v="0.46600000000000003"/>
    <s v="6.52e-05"/>
    <n v="0.12"/>
    <n v="0.38"/>
    <n v="123.97799999999999"/>
    <n v="4"/>
    <x v="0"/>
  </r>
  <r>
    <x v="561"/>
    <s v="Mat Kearney"/>
    <s v="CRAZYTALK"/>
    <x v="501"/>
    <n v="59"/>
    <n v="235106"/>
    <x v="0"/>
    <n v="0.51400000000000001"/>
    <n v="0.31900000000000001"/>
    <n v="3"/>
    <n v="-8.9779999999999998"/>
    <n v="1"/>
    <n v="9.4100000000000003E-2"/>
    <n v="0.80500000000000005"/>
    <n v="0"/>
    <n v="0.21099999999999999"/>
    <n v="0.67700000000000005"/>
    <n v="203.65100000000001"/>
    <n v="4"/>
    <x v="0"/>
  </r>
  <r>
    <x v="562"/>
    <s v="The Mayries"/>
    <s v="Back To You"/>
    <x v="502"/>
    <n v="43"/>
    <n v="219976"/>
    <x v="0"/>
    <n v="0.44800000000000001"/>
    <n v="0.25600000000000001"/>
    <n v="5"/>
    <n v="-10.17"/>
    <n v="1"/>
    <n v="4.8300000000000003E-2"/>
    <n v="0.875"/>
    <n v="0"/>
    <n v="0.113"/>
    <n v="0.17399999999999999"/>
    <n v="77.272000000000006"/>
    <n v="4"/>
    <x v="0"/>
  </r>
  <r>
    <x v="563"/>
    <s v="Masaharu Fukuyama"/>
    <s v="ä½•åº¦ã§ã‚‚èŠ±ãŒå’²ãã‚ˆã†ã«ç§ã‚’ç”Ÿãã‚ˆã†"/>
    <x v="503"/>
    <n v="31"/>
    <n v="259493"/>
    <x v="0"/>
    <n v="0.441"/>
    <n v="0.42299999999999999"/>
    <n v="0"/>
    <n v="-7.5720000000000001"/>
    <n v="1"/>
    <n v="2.8199999999999999E-2"/>
    <n v="0.83899999999999997"/>
    <n v="3.59E-4"/>
    <n v="0.122"/>
    <n v="0.153"/>
    <n v="88.864999999999995"/>
    <n v="4"/>
    <x v="0"/>
  </r>
  <r>
    <x v="564"/>
    <s v="Boyce Avenue"/>
    <s v="Cover Sessions, Vol. 4"/>
    <x v="504"/>
    <n v="46"/>
    <n v="222052"/>
    <x v="0"/>
    <n v="0.63600000000000001"/>
    <n v="0.16900000000000001"/>
    <n v="11"/>
    <n v="-11.191000000000001"/>
    <n v="1"/>
    <n v="3.5000000000000003E-2"/>
    <n v="0.88700000000000001"/>
    <n v="0"/>
    <n v="0.124"/>
    <n v="0.46700000000000003"/>
    <n v="138.23599999999999"/>
    <n v="4"/>
    <x v="0"/>
  </r>
  <r>
    <x v="565"/>
    <s v="Kurt Cobain"/>
    <s v="Montage Of Heck: The Home Recordings"/>
    <x v="505"/>
    <n v="50"/>
    <n v="148573"/>
    <x v="0"/>
    <n v="0.44500000000000001"/>
    <n v="0.28899999999999998"/>
    <n v="11"/>
    <n v="-19.113"/>
    <n v="0"/>
    <n v="3.2899999999999999E-2"/>
    <n v="0.437"/>
    <n v="6.4099999999999999E-3"/>
    <n v="9.8799999999999999E-2"/>
    <n v="0.17199999999999999"/>
    <n v="104.006"/>
    <n v="4"/>
    <x v="0"/>
  </r>
  <r>
    <x v="566"/>
    <s v="Allman Brown"/>
    <s v="1000 Years"/>
    <x v="506"/>
    <n v="41"/>
    <n v="244900"/>
    <x v="0"/>
    <n v="0.435"/>
    <n v="0.20799999999999999"/>
    <n v="1"/>
    <n v="-15.75"/>
    <n v="0"/>
    <n v="5.5800000000000002E-2"/>
    <n v="0.64700000000000002"/>
    <n v="9.2100000000000005E-4"/>
    <n v="0.14699999999999999"/>
    <n v="0.189"/>
    <n v="69.027000000000001"/>
    <n v="4"/>
    <x v="0"/>
  </r>
  <r>
    <x v="567"/>
    <s v="Sara Farell;Simon Samaeng"/>
    <s v="#Covers"/>
    <x v="507"/>
    <n v="48"/>
    <n v="232500"/>
    <x v="0"/>
    <n v="0.65600000000000003"/>
    <n v="0.34899999999999998"/>
    <n v="0"/>
    <n v="-6.8410000000000002"/>
    <n v="1"/>
    <n v="2.8899999999999999E-2"/>
    <n v="0.78400000000000003"/>
    <n v="0"/>
    <n v="0.13800000000000001"/>
    <n v="0.28899999999999998"/>
    <n v="118.026"/>
    <n v="4"/>
    <x v="0"/>
  </r>
  <r>
    <x v="568"/>
    <s v="Andrew Foy;Renee Foy"/>
    <s v="Before You Go"/>
    <x v="508"/>
    <n v="36"/>
    <n v="195535"/>
    <x v="0"/>
    <n v="0.60899999999999999"/>
    <n v="8.6599999999999996E-2"/>
    <n v="4"/>
    <n v="-19.163"/>
    <n v="1"/>
    <n v="4.1200000000000001E-2"/>
    <n v="0.91200000000000003"/>
    <n v="0"/>
    <n v="0.113"/>
    <n v="0.41099999999999998"/>
    <n v="167.892"/>
    <n v="3"/>
    <x v="0"/>
  </r>
  <r>
    <x v="569"/>
    <s v="Mat Kearney"/>
    <s v="Young Love"/>
    <x v="509"/>
    <n v="44"/>
    <n v="255893"/>
    <x v="0"/>
    <n v="0.44800000000000001"/>
    <n v="0.88500000000000001"/>
    <n v="9"/>
    <n v="-3.7549999999999999"/>
    <n v="1"/>
    <n v="5.62E-2"/>
    <n v="0.111"/>
    <s v="3.65e-06"/>
    <n v="4.7600000000000003E-2"/>
    <n v="0.13400000000000001"/>
    <n v="178.15100000000001"/>
    <n v="4"/>
    <x v="0"/>
  </r>
  <r>
    <x v="570"/>
    <s v="Joshua Radin"/>
    <s v="We Were Here"/>
    <x v="510"/>
    <n v="56"/>
    <n v="149013"/>
    <x v="0"/>
    <n v="0.54500000000000004"/>
    <n v="0.255"/>
    <n v="8"/>
    <n v="-14.843999999999999"/>
    <n v="1"/>
    <n v="3.1099999999999999E-2"/>
    <n v="0.36199999999999999"/>
    <s v="1.77e-05"/>
    <n v="8.4099999999999994E-2"/>
    <n v="0.83099999999999996"/>
    <n v="98.087999999999994"/>
    <n v="4"/>
    <x v="0"/>
  </r>
  <r>
    <x v="571"/>
    <s v="Sakura Fujiwara"/>
    <s v="SUPERMARKET"/>
    <x v="511"/>
    <n v="29"/>
    <n v="207933"/>
    <x v="0"/>
    <n v="0.626"/>
    <n v="0.68200000000000005"/>
    <n v="6"/>
    <n v="-5.6559999999999997"/>
    <n v="1"/>
    <n v="3.9699999999999999E-2"/>
    <n v="0.27700000000000002"/>
    <n v="3.2499999999999999E-4"/>
    <n v="9.8500000000000004E-2"/>
    <n v="0.63600000000000001"/>
    <n v="75.02"/>
    <n v="4"/>
    <x v="0"/>
  </r>
  <r>
    <x v="572"/>
    <s v="JJ Heller"/>
    <s v="Missing Peace"/>
    <x v="512"/>
    <n v="52"/>
    <n v="238733"/>
    <x v="0"/>
    <n v="0.57199999999999995"/>
    <n v="0.317"/>
    <n v="0"/>
    <n v="-9.1080000000000005"/>
    <n v="1"/>
    <n v="2.41E-2"/>
    <n v="0.70499999999999996"/>
    <n v="3.8500000000000001E-3"/>
    <n v="0.52800000000000002"/>
    <n v="0.38"/>
    <n v="78.009"/>
    <n v="4"/>
    <x v="0"/>
  </r>
  <r>
    <x v="573"/>
    <s v="Masaharu Fukuyama"/>
    <s v="è–åŸŸ"/>
    <x v="513"/>
    <n v="31"/>
    <n v="236853"/>
    <x v="0"/>
    <n v="0.36799999999999999"/>
    <n v="0.871"/>
    <n v="9"/>
    <n v="-3.032"/>
    <n v="0"/>
    <n v="6.6100000000000006E-2"/>
    <n v="3.56E-2"/>
    <n v="0"/>
    <n v="0.14899999999999999"/>
    <n v="0.63600000000000001"/>
    <n v="107.721"/>
    <n v="4"/>
    <x v="0"/>
  </r>
  <r>
    <x v="574"/>
    <s v="Canyon City"/>
    <s v="Midnight Waves"/>
    <x v="514"/>
    <n v="47"/>
    <n v="182744"/>
    <x v="0"/>
    <n v="0.51"/>
    <n v="0.32"/>
    <n v="1"/>
    <n v="-10.371"/>
    <n v="1"/>
    <n v="3.9199999999999999E-2"/>
    <n v="0.82299999999999995"/>
    <n v="1.93E-4"/>
    <n v="0.124"/>
    <n v="0.42499999999999999"/>
    <n v="92.385000000000005"/>
    <n v="4"/>
    <x v="0"/>
  </r>
  <r>
    <x v="575"/>
    <s v="Ray LaMontagne"/>
    <s v="Spotify Singles"/>
    <x v="515"/>
    <n v="56"/>
    <n v="307534"/>
    <x v="0"/>
    <n v="0.55000000000000004"/>
    <n v="0.33400000000000002"/>
    <n v="10"/>
    <n v="-10.73"/>
    <n v="1"/>
    <n v="2.8799999999999999E-2"/>
    <n v="0.51700000000000002"/>
    <n v="1.6899999999999999E-4"/>
    <n v="0.10100000000000001"/>
    <n v="0.14299999999999999"/>
    <n v="72.234999999999999"/>
    <n v="4"/>
    <x v="0"/>
  </r>
  <r>
    <x v="576"/>
    <s v="Eddie van der Meer"/>
    <s v="Anime Songs #3"/>
    <x v="516"/>
    <n v="37"/>
    <n v="81000"/>
    <x v="0"/>
    <n v="0.48699999999999999"/>
    <n v="0.16200000000000001"/>
    <n v="11"/>
    <n v="-11.238"/>
    <n v="0"/>
    <n v="0.106"/>
    <n v="0.93300000000000005"/>
    <n v="0.82899999999999996"/>
    <n v="0.11700000000000001"/>
    <n v="0.49"/>
    <n v="82.33"/>
    <n v="4"/>
    <x v="0"/>
  </r>
  <r>
    <x v="577"/>
    <s v="Gabrielle Aplin"/>
    <s v="Never Be the Same"/>
    <x v="517"/>
    <n v="24"/>
    <n v="145720"/>
    <x v="0"/>
    <n v="0.309"/>
    <n v="0.34899999999999998"/>
    <n v="2"/>
    <n v="-8.4019999999999992"/>
    <n v="1"/>
    <n v="3.2199999999999999E-2"/>
    <n v="0.82799999999999996"/>
    <s v="2.7e-06"/>
    <n v="9.0700000000000003E-2"/>
    <n v="0.192"/>
    <n v="180.07499999999999"/>
    <n v="4"/>
    <x v="0"/>
  </r>
  <r>
    <x v="578"/>
    <s v="Gabrielle Aplin"/>
    <s v="Never Be the Same"/>
    <x v="518"/>
    <n v="23"/>
    <n v="208400"/>
    <x v="0"/>
    <n v="0.38"/>
    <n v="0.46800000000000003"/>
    <n v="1"/>
    <n v="-4.2450000000000001"/>
    <n v="1"/>
    <n v="3.1800000000000002E-2"/>
    <n v="0.24299999999999999"/>
    <n v="0"/>
    <n v="9.7299999999999998E-2"/>
    <n v="0.30299999999999999"/>
    <n v="143.50399999999999"/>
    <n v="4"/>
    <x v="0"/>
  </r>
  <r>
    <x v="579"/>
    <s v="Suy Galvez"/>
    <s v="Bossa Best"/>
    <x v="519"/>
    <n v="28"/>
    <n v="287760"/>
    <x v="0"/>
    <n v="0.71599999999999997"/>
    <n v="0.52500000000000002"/>
    <n v="3"/>
    <n v="-8.7330000000000005"/>
    <n v="1"/>
    <n v="2.7E-2"/>
    <n v="0.64700000000000002"/>
    <n v="8.6800000000000002E-3"/>
    <n v="8.9300000000000004E-2"/>
    <n v="0.42299999999999999"/>
    <n v="96.992999999999995"/>
    <n v="4"/>
    <x v="0"/>
  </r>
  <r>
    <x v="580"/>
    <s v="Boyce Avenue;Rachel Grae"/>
    <s v="I Can't Make You Love Me"/>
    <x v="520"/>
    <n v="51"/>
    <n v="243680"/>
    <x v="0"/>
    <n v="0.40699999999999997"/>
    <n v="0.222"/>
    <n v="5"/>
    <n v="-7.9909999999999997"/>
    <n v="0"/>
    <n v="3.2399999999999998E-2"/>
    <n v="0.85299999999999998"/>
    <s v="2.03e-06"/>
    <n v="0.11"/>
    <n v="0.20399999999999999"/>
    <n v="123.61799999999999"/>
    <n v="4"/>
    <x v="0"/>
  </r>
  <r>
    <x v="581"/>
    <s v="Tristan Prettyman"/>
    <s v="Cedar + Gold"/>
    <x v="521"/>
    <n v="51"/>
    <n v="236379"/>
    <x v="0"/>
    <n v="0.65700000000000003"/>
    <n v="0.43"/>
    <n v="1"/>
    <n v="-10.202"/>
    <n v="1"/>
    <n v="3.1399999999999997E-2"/>
    <n v="0.53400000000000003"/>
    <n v="2.3800000000000001E-4"/>
    <n v="0.12"/>
    <n v="0.33500000000000002"/>
    <n v="91.966999999999999"/>
    <n v="4"/>
    <x v="0"/>
  </r>
  <r>
    <x v="582"/>
    <s v="Matt Nathanson"/>
    <s v="Some Mad Hope"/>
    <x v="522"/>
    <n v="51"/>
    <n v="216933"/>
    <x v="0"/>
    <n v="0.53400000000000003"/>
    <n v="0.49199999999999999"/>
    <n v="4"/>
    <n v="-8.9049999999999994"/>
    <n v="1"/>
    <n v="2.6100000000000002E-2"/>
    <n v="0.58399999999999996"/>
    <s v="1.12e-06"/>
    <n v="0.185"/>
    <n v="0.32800000000000001"/>
    <n v="82.465000000000003"/>
    <n v="3"/>
    <x v="0"/>
  </r>
  <r>
    <x v="583"/>
    <s v="Joshua Hyslop"/>
    <s v="Ash &amp; Stone"/>
    <x v="523"/>
    <n v="50"/>
    <n v="265173"/>
    <x v="0"/>
    <n v="0.60299999999999998"/>
    <n v="0.374"/>
    <n v="1"/>
    <n v="-10.875"/>
    <n v="1"/>
    <n v="2.58E-2"/>
    <n v="0.25600000000000001"/>
    <n v="3.56E-2"/>
    <n v="0.127"/>
    <n v="0.54200000000000004"/>
    <n v="135.946"/>
    <n v="4"/>
    <x v="0"/>
  </r>
  <r>
    <x v="584"/>
    <s v="Masaharu Fukuyama"/>
    <s v="Calling"/>
    <x v="524"/>
    <n v="31"/>
    <n v="245800"/>
    <x v="0"/>
    <n v="0.72499999999999998"/>
    <n v="0.746"/>
    <n v="9"/>
    <n v="-8.2140000000000004"/>
    <n v="1"/>
    <n v="3.3799999999999997E-2"/>
    <n v="7.2100000000000003E-3"/>
    <n v="0"/>
    <n v="5.7500000000000002E-2"/>
    <n v="0.65600000000000003"/>
    <n v="102.87"/>
    <n v="4"/>
    <x v="0"/>
  </r>
  <r>
    <x v="585"/>
    <s v="Masayoshi Yamazaki"/>
    <s v="COVER ALL HO!"/>
    <x v="525"/>
    <n v="30"/>
    <n v="358040"/>
    <x v="0"/>
    <n v="0.44800000000000001"/>
    <n v="0.755"/>
    <n v="2"/>
    <n v="-5.7190000000000003"/>
    <n v="0"/>
    <n v="4.2900000000000001E-2"/>
    <n v="2.8000000000000001E-2"/>
    <n v="0"/>
    <n v="0.27300000000000002"/>
    <n v="0.57499999999999996"/>
    <n v="156.04499999999999"/>
    <n v="4"/>
    <x v="0"/>
  </r>
  <r>
    <x v="586"/>
    <s v="Masaharu Fukuyama"/>
    <s v="æƒ³ -new love new world-"/>
    <x v="526"/>
    <n v="31"/>
    <n v="280546"/>
    <x v="0"/>
    <n v="0.59499999999999997"/>
    <n v="0.879"/>
    <n v="8"/>
    <n v="-4.8490000000000002"/>
    <n v="1"/>
    <n v="4.0500000000000001E-2"/>
    <n v="3.1899999999999998E-2"/>
    <n v="0"/>
    <n v="0.34399999999999997"/>
    <n v="0.83899999999999997"/>
    <n v="124.78400000000001"/>
    <n v="4"/>
    <x v="0"/>
  </r>
  <r>
    <x v="587"/>
    <s v="Drei Rana"/>
    <s v="Last Christmas"/>
    <x v="527"/>
    <n v="29"/>
    <n v="230915"/>
    <x v="0"/>
    <n v="0.68600000000000005"/>
    <n v="0.28499999999999998"/>
    <n v="5"/>
    <n v="-10.912000000000001"/>
    <n v="1"/>
    <n v="2.9100000000000001E-2"/>
    <n v="0.68899999999999995"/>
    <n v="0"/>
    <n v="0.129"/>
    <n v="0.67200000000000004"/>
    <n v="103.995"/>
    <n v="4"/>
    <x v="0"/>
  </r>
  <r>
    <x v="588"/>
    <s v="Trevor Hall"/>
    <s v="Chapter Of The Forest"/>
    <x v="528"/>
    <n v="61"/>
    <n v="274632"/>
    <x v="0"/>
    <n v="0.69299999999999995"/>
    <n v="0.36699999999999999"/>
    <n v="3"/>
    <n v="-11.66"/>
    <n v="1"/>
    <n v="3.2300000000000002E-2"/>
    <n v="0.35099999999999998"/>
    <s v="2.9e-05"/>
    <n v="0.111"/>
    <n v="0.28599999999999998"/>
    <n v="129.87899999999999"/>
    <n v="4"/>
    <x v="0"/>
  </r>
  <r>
    <x v="589"/>
    <s v="Maris Racal"/>
    <s v="Ate Sandali"/>
    <x v="529"/>
    <n v="28"/>
    <n v="244528"/>
    <x v="0"/>
    <n v="0.71"/>
    <n v="0.40200000000000002"/>
    <n v="0"/>
    <n v="-9.91"/>
    <n v="1"/>
    <n v="2.7400000000000001E-2"/>
    <n v="0.873"/>
    <n v="0.23200000000000001"/>
    <n v="0.10299999999999999"/>
    <n v="0.13600000000000001"/>
    <n v="106.024"/>
    <n v="4"/>
    <x v="0"/>
  </r>
  <r>
    <x v="590"/>
    <s v="The Weepies;Deb Talan;Steve Tannen"/>
    <s v="Hideaway"/>
    <x v="530"/>
    <n v="55"/>
    <n v="137880"/>
    <x v="0"/>
    <n v="0.69099999999999995"/>
    <n v="0.55200000000000005"/>
    <n v="5"/>
    <n v="-9.1140000000000008"/>
    <n v="1"/>
    <n v="2.64E-2"/>
    <n v="0.497"/>
    <n v="5.8900000000000001E-4"/>
    <n v="0.19700000000000001"/>
    <n v="0.68500000000000005"/>
    <n v="119.931"/>
    <n v="4"/>
    <x v="0"/>
  </r>
  <r>
    <x v="591"/>
    <s v="Hanare Gumi"/>
    <s v="ã ã‚Œãã‹ã‚Œã"/>
    <x v="531"/>
    <n v="29"/>
    <n v="152100"/>
    <x v="0"/>
    <n v="0.64200000000000002"/>
    <n v="0.23699999999999999"/>
    <n v="7"/>
    <n v="-16.141999999999999"/>
    <n v="0"/>
    <n v="3.8699999999999998E-2"/>
    <n v="0.72399999999999998"/>
    <s v="1.71e-06"/>
    <n v="5.74E-2"/>
    <n v="0.69399999999999995"/>
    <n v="137.4"/>
    <n v="4"/>
    <x v="0"/>
  </r>
  <r>
    <x v="592"/>
    <s v="Days N Daze"/>
    <s v="Show Me the Blueprints."/>
    <x v="532"/>
    <n v="30"/>
    <n v="162282"/>
    <x v="1"/>
    <n v="0.48"/>
    <n v="0.77"/>
    <n v="10"/>
    <n v="-3.5470000000000002"/>
    <n v="1"/>
    <n v="5.4199999999999998E-2"/>
    <n v="0.39700000000000002"/>
    <n v="0"/>
    <n v="0.254"/>
    <n v="0.74399999999999999"/>
    <n v="126.22499999999999"/>
    <n v="4"/>
    <x v="0"/>
  </r>
  <r>
    <x v="593"/>
    <s v="Eric Hutchinson"/>
    <s v="Sounds Like This"/>
    <x v="533"/>
    <n v="29"/>
    <n v="255680"/>
    <x v="0"/>
    <n v="0.78500000000000003"/>
    <n v="0.73199999999999998"/>
    <n v="5"/>
    <n v="-6.1769999999999996"/>
    <n v="1"/>
    <n v="5.1299999999999998E-2"/>
    <n v="5.8999999999999997E-2"/>
    <s v="3.74e-06"/>
    <n v="0.52400000000000002"/>
    <n v="0.79800000000000004"/>
    <n v="137.946"/>
    <n v="4"/>
    <x v="0"/>
  </r>
  <r>
    <x v="594"/>
    <s v="Apes of the State"/>
    <s v="This City Isn't Big Enough"/>
    <x v="534"/>
    <n v="30"/>
    <n v="216894"/>
    <x v="1"/>
    <n v="0.66800000000000004"/>
    <n v="0.30399999999999999"/>
    <n v="9"/>
    <n v="-9.4149999999999991"/>
    <n v="1"/>
    <n v="3.5400000000000001E-2"/>
    <n v="0.81100000000000005"/>
    <n v="0"/>
    <n v="8.2600000000000007E-2"/>
    <n v="0.56699999999999995"/>
    <n v="112.33799999999999"/>
    <n v="4"/>
    <x v="0"/>
  </r>
  <r>
    <x v="595"/>
    <s v="Gail Blanco"/>
    <s v="In Love With Bacharach"/>
    <x v="535"/>
    <n v="29"/>
    <n v="239000"/>
    <x v="0"/>
    <n v="0.75800000000000001"/>
    <n v="0.40600000000000003"/>
    <n v="10"/>
    <n v="-10.474"/>
    <n v="1"/>
    <n v="3.0599999999999999E-2"/>
    <n v="0.90100000000000002"/>
    <s v="4.3e-05"/>
    <n v="9.0800000000000006E-2"/>
    <n v="0.38300000000000001"/>
    <n v="109.98399999999999"/>
    <n v="4"/>
    <x v="0"/>
  </r>
  <r>
    <x v="596"/>
    <s v="The Bridge City Sinners"/>
    <s v="Bridge City Sinners"/>
    <x v="536"/>
    <n v="29"/>
    <n v="128731"/>
    <x v="0"/>
    <n v="0.49"/>
    <n v="0.749"/>
    <n v="9"/>
    <n v="-2.2440000000000002"/>
    <n v="0"/>
    <n v="6.4899999999999999E-2"/>
    <n v="0.38900000000000001"/>
    <n v="0"/>
    <n v="7.9200000000000007E-2"/>
    <n v="0.73899999999999999"/>
    <n v="144.87"/>
    <n v="4"/>
    <x v="0"/>
  </r>
  <r>
    <x v="597"/>
    <s v="Days N Daze"/>
    <s v="Show Me the Blueprints."/>
    <x v="537"/>
    <n v="30"/>
    <n v="381910"/>
    <x v="0"/>
    <n v="0.38900000000000001"/>
    <n v="0.86399999999999999"/>
    <n v="9"/>
    <n v="-3.218"/>
    <n v="1"/>
    <n v="0.11700000000000001"/>
    <n v="3.6200000000000003E-2"/>
    <s v="6.31e-06"/>
    <n v="0.193"/>
    <n v="0.54800000000000004"/>
    <n v="98.11"/>
    <n v="3"/>
    <x v="0"/>
  </r>
  <r>
    <x v="598"/>
    <s v="Days N Daze"/>
    <s v="Crustfall"/>
    <x v="538"/>
    <n v="29"/>
    <n v="196161"/>
    <x v="1"/>
    <n v="0.38700000000000001"/>
    <n v="0.52400000000000002"/>
    <n v="3"/>
    <n v="-9.6329999999999991"/>
    <n v="1"/>
    <n v="4.9299999999999997E-2"/>
    <n v="0.77700000000000002"/>
    <s v="5.74e-06"/>
    <n v="0.71799999999999997"/>
    <n v="0.85799999999999998"/>
    <n v="95.623000000000005"/>
    <n v="4"/>
    <x v="0"/>
  </r>
  <r>
    <x v="599"/>
    <s v="Get Dead"/>
    <s v="Dancing with the Curse"/>
    <x v="539"/>
    <n v="28"/>
    <n v="156533"/>
    <x v="0"/>
    <n v="0.40799999999999997"/>
    <n v="0.97399999999999998"/>
    <n v="1"/>
    <n v="-5.5010000000000003"/>
    <n v="1"/>
    <n v="0.15"/>
    <s v="8.77e-05"/>
    <n v="0"/>
    <n v="0.27800000000000002"/>
    <n v="0.57799999999999996"/>
    <n v="197.00800000000001"/>
    <n v="4"/>
    <x v="0"/>
  </r>
  <r>
    <x v="600"/>
    <s v="Jonah Baker"/>
    <s v="Ghost - Acoustic"/>
    <x v="1"/>
    <n v="42"/>
    <n v="155050"/>
    <x v="0"/>
    <n v="0.48599999999999999"/>
    <n v="7.4499999999999997E-2"/>
    <n v="10"/>
    <n v="-14.271000000000001"/>
    <n v="1"/>
    <n v="5.9900000000000002E-2"/>
    <n v="0.92200000000000004"/>
    <n v="0"/>
    <n v="0.104"/>
    <n v="0.39600000000000002"/>
    <n v="145.91200000000001"/>
    <n v="4"/>
    <x v="0"/>
  </r>
  <r>
    <x v="601"/>
    <s v="Eden Elf;Ren Avel"/>
    <s v="4am"/>
    <x v="540"/>
    <n v="49"/>
    <n v="125677"/>
    <x v="0"/>
    <n v="0.63800000000000001"/>
    <n v="0.32900000000000001"/>
    <n v="3"/>
    <n v="-13.683"/>
    <n v="1"/>
    <n v="4.2200000000000001E-2"/>
    <n v="0.97899999999999998"/>
    <n v="5.9700000000000003E-2"/>
    <n v="0.33800000000000002"/>
    <n v="0.47499999999999998"/>
    <n v="94.125"/>
    <n v="4"/>
    <x v="0"/>
  </r>
  <r>
    <x v="602"/>
    <s v="Adam Christopher;Dan Berk"/>
    <s v="10,000 Hours (Acoustic)"/>
    <x v="541"/>
    <n v="53"/>
    <n v="169058"/>
    <x v="0"/>
    <n v="0.52200000000000002"/>
    <n v="0.38200000000000001"/>
    <n v="10"/>
    <n v="-6.7649999999999997"/>
    <n v="1"/>
    <n v="3.1E-2"/>
    <n v="0.38900000000000001"/>
    <n v="0"/>
    <n v="0.13300000000000001"/>
    <n v="0.51900000000000002"/>
    <n v="169.86099999999999"/>
    <n v="4"/>
    <x v="0"/>
  </r>
  <r>
    <x v="603"/>
    <s v="Amber Leigh Irish"/>
    <s v="Simply Acoustic"/>
    <x v="542"/>
    <n v="50"/>
    <n v="196724"/>
    <x v="0"/>
    <n v="0.49"/>
    <n v="0.20399999999999999"/>
    <n v="11"/>
    <n v="-10.992000000000001"/>
    <n v="1"/>
    <n v="3.15E-2"/>
    <n v="0.90100000000000002"/>
    <n v="0"/>
    <n v="8.9300000000000004E-2"/>
    <n v="0.373"/>
    <n v="167.57300000000001"/>
    <n v="4"/>
    <x v="0"/>
  </r>
  <r>
    <x v="604"/>
    <s v="LÃºc"/>
    <s v="No Air"/>
    <x v="543"/>
    <n v="52"/>
    <n v="199114"/>
    <x v="0"/>
    <n v="0.67400000000000004"/>
    <n v="0.11600000000000001"/>
    <n v="9"/>
    <n v="-13.448"/>
    <n v="1"/>
    <n v="3.7499999999999999E-2"/>
    <n v="0.86199999999999999"/>
    <n v="0"/>
    <n v="9.7900000000000001E-2"/>
    <n v="0.21"/>
    <n v="129.976"/>
    <n v="4"/>
    <x v="0"/>
  </r>
  <r>
    <x v="605"/>
    <s v="Anna Hamilton"/>
    <s v="Self Help"/>
    <x v="544"/>
    <n v="36"/>
    <n v="156923"/>
    <x v="0"/>
    <n v="0.77800000000000002"/>
    <n v="0.44500000000000001"/>
    <n v="7"/>
    <n v="-8.2279999999999998"/>
    <n v="1"/>
    <n v="4.6800000000000001E-2"/>
    <n v="0.45"/>
    <s v="1.28e-06"/>
    <n v="0.11899999999999999"/>
    <n v="0.502"/>
    <n v="130.01"/>
    <n v="4"/>
    <x v="0"/>
  </r>
  <r>
    <x v="606"/>
    <s v="Lee DeWyze"/>
    <s v="Blackbird Song"/>
    <x v="545"/>
    <n v="49"/>
    <n v="254615"/>
    <x v="0"/>
    <n v="0.25900000000000001"/>
    <n v="0.19500000000000001"/>
    <n v="9"/>
    <n v="-13.638999999999999"/>
    <n v="0"/>
    <n v="3.3099999999999997E-2"/>
    <n v="0.26400000000000001"/>
    <n v="0.433"/>
    <n v="0.35199999999999998"/>
    <n v="0.183"/>
    <n v="146.011"/>
    <n v="4"/>
    <x v="0"/>
  </r>
  <r>
    <x v="607"/>
    <s v="Jonah Baker"/>
    <s v="Easy On Me - Acoustic"/>
    <x v="546"/>
    <n v="40"/>
    <n v="222186"/>
    <x v="0"/>
    <n v="0.40799999999999997"/>
    <n v="9.5000000000000001E-2"/>
    <n v="1"/>
    <n v="-18.102"/>
    <n v="1"/>
    <n v="3.9699999999999999E-2"/>
    <n v="0.94799999999999995"/>
    <n v="0"/>
    <n v="0.106"/>
    <n v="0.35699999999999998"/>
    <n v="137.54599999999999"/>
    <n v="4"/>
    <x v="0"/>
  </r>
  <r>
    <x v="608"/>
    <s v="Bailey Rushlow"/>
    <s v="Chasing Cars (Acoustic)"/>
    <x v="547"/>
    <n v="51"/>
    <n v="236298"/>
    <x v="0"/>
    <n v="0.66300000000000003"/>
    <n v="0.26"/>
    <n v="11"/>
    <n v="-9.5869999999999997"/>
    <n v="1"/>
    <n v="3.0300000000000001E-2"/>
    <n v="0.86499999999999999"/>
    <n v="0"/>
    <n v="0.10100000000000001"/>
    <n v="0.24299999999999999"/>
    <n v="107.931"/>
    <n v="4"/>
    <x v="0"/>
  </r>
  <r>
    <x v="609"/>
    <s v="Emilie Mover"/>
    <s v="Can't Take My Eyes Off of You"/>
    <x v="548"/>
    <n v="41"/>
    <n v="203024"/>
    <x v="0"/>
    <n v="0.625"/>
    <n v="0.81799999999999995"/>
    <n v="6"/>
    <n v="-6.2960000000000003"/>
    <n v="0"/>
    <n v="6.6900000000000001E-2"/>
    <n v="5.16E-2"/>
    <s v="1.13e-05"/>
    <n v="0.13200000000000001"/>
    <n v="0.307"/>
    <n v="123.905"/>
    <n v="4"/>
    <x v="0"/>
  </r>
  <r>
    <x v="610"/>
    <s v="William Fitzsimmons"/>
    <s v="Acoustic Sessions"/>
    <x v="549"/>
    <n v="55"/>
    <n v="228013"/>
    <x v="0"/>
    <n v="0.52900000000000003"/>
    <n v="5.4600000000000003E-2"/>
    <n v="1"/>
    <n v="-23.684000000000001"/>
    <n v="1"/>
    <n v="3.6400000000000002E-2"/>
    <n v="0.92400000000000004"/>
    <n v="4.2799999999999998E-2"/>
    <n v="0.108"/>
    <n v="0.51700000000000002"/>
    <n v="78.450999999999993"/>
    <n v="4"/>
    <x v="0"/>
  </r>
  <r>
    <x v="611"/>
    <s v="Vivid Color"/>
    <s v="Lot To Learn"/>
    <x v="550"/>
    <n v="52"/>
    <n v="226470"/>
    <x v="0"/>
    <n v="0.56999999999999995"/>
    <n v="0.46800000000000003"/>
    <n v="6"/>
    <n v="-4.1920000000000002"/>
    <n v="1"/>
    <n v="4.7E-2"/>
    <n v="0.75800000000000001"/>
    <n v="0"/>
    <n v="0.20599999999999999"/>
    <n v="0.33500000000000002"/>
    <n v="137.85499999999999"/>
    <n v="4"/>
    <x v="0"/>
  </r>
  <r>
    <x v="612"/>
    <s v="Bailey Jehl"/>
    <s v="Apologize"/>
    <x v="551"/>
    <n v="51"/>
    <n v="181596"/>
    <x v="0"/>
    <n v="0.56599999999999995"/>
    <n v="0.16800000000000001"/>
    <n v="3"/>
    <n v="-12.483000000000001"/>
    <n v="1"/>
    <n v="3.7199999999999997E-2"/>
    <n v="0.81200000000000006"/>
    <n v="0"/>
    <n v="0.125"/>
    <n v="0.23799999999999999"/>
    <n v="116.286"/>
    <n v="4"/>
    <x v="0"/>
  </r>
  <r>
    <x v="613"/>
    <s v="Zack Tabudlo"/>
    <s v="Episode"/>
    <x v="552"/>
    <n v="49"/>
    <n v="192631"/>
    <x v="0"/>
    <n v="0.59799999999999998"/>
    <n v="0.249"/>
    <n v="11"/>
    <n v="-10.847"/>
    <n v="1"/>
    <n v="6.0299999999999999E-2"/>
    <n v="0.19400000000000001"/>
    <n v="0"/>
    <n v="8.9200000000000002E-2"/>
    <n v="0.29199999999999998"/>
    <n v="113.82899999999999"/>
    <n v="3"/>
    <x v="0"/>
  </r>
  <r>
    <x v="614"/>
    <s v="Albert Collins"/>
    <s v="Ice Pickin'"/>
    <x v="553"/>
    <n v="54"/>
    <n v="318840"/>
    <x v="0"/>
    <n v="0.71299999999999997"/>
    <n v="0.28100000000000003"/>
    <n v="3"/>
    <n v="-11.057"/>
    <n v="0"/>
    <n v="3.7900000000000003E-2"/>
    <n v="0.13700000000000001"/>
    <n v="2.58E-2"/>
    <n v="0.111"/>
    <n v="0.39700000000000002"/>
    <n v="148.30099999999999"/>
    <n v="3"/>
    <x v="0"/>
  </r>
  <r>
    <x v="615"/>
    <s v="Phillip LaRue"/>
    <s v="You"/>
    <x v="554"/>
    <n v="46"/>
    <n v="267862"/>
    <x v="0"/>
    <n v="0.54700000000000004"/>
    <n v="0.32800000000000001"/>
    <n v="8"/>
    <n v="-11.118"/>
    <n v="1"/>
    <n v="3.2099999999999997E-2"/>
    <n v="0.16300000000000001"/>
    <n v="9.2600000000000002E-2"/>
    <n v="8.8400000000000006E-2"/>
    <n v="0.186"/>
    <n v="139.959"/>
    <n v="4"/>
    <x v="0"/>
  </r>
  <r>
    <x v="616"/>
    <s v="Us The Duo"/>
    <s v="Shotgun"/>
    <x v="555"/>
    <n v="45"/>
    <n v="174884"/>
    <x v="0"/>
    <n v="0.80600000000000005"/>
    <n v="0.26300000000000001"/>
    <n v="5"/>
    <n v="-10.43"/>
    <n v="1"/>
    <n v="5.0200000000000002E-2"/>
    <n v="0.78700000000000003"/>
    <n v="0"/>
    <n v="0.182"/>
    <n v="0.86799999999999999"/>
    <n v="115.854"/>
    <n v="4"/>
    <x v="0"/>
  </r>
  <r>
    <x v="617"/>
    <s v="Masaharu Fukuyama"/>
    <s v="HEY!"/>
    <x v="556"/>
    <n v="30"/>
    <n v="347200"/>
    <x v="0"/>
    <n v="0.54800000000000004"/>
    <n v="0.88900000000000001"/>
    <n v="0"/>
    <n v="-6.1059999999999999"/>
    <n v="1"/>
    <n v="3.09E-2"/>
    <n v="3.2399999999999998E-2"/>
    <n v="0"/>
    <n v="0.35899999999999999"/>
    <n v="0.78900000000000003"/>
    <n v="95.289000000000001"/>
    <n v="4"/>
    <x v="0"/>
  </r>
  <r>
    <x v="618"/>
    <s v="Jason Mraz"/>
    <s v="Have It All"/>
    <x v="61"/>
    <n v="53"/>
    <n v="226098"/>
    <x v="0"/>
    <n v="0.64300000000000002"/>
    <n v="0.61699999999999999"/>
    <n v="1"/>
    <n v="-4.95"/>
    <n v="0"/>
    <n v="4.1000000000000002E-2"/>
    <n v="0.19400000000000001"/>
    <n v="0"/>
    <n v="9.8900000000000002E-2"/>
    <n v="0.59199999999999997"/>
    <n v="82.028999999999996"/>
    <n v="4"/>
    <x v="0"/>
  </r>
  <r>
    <x v="619"/>
    <s v="The Perishers"/>
    <s v="Let There Be Morning (Bonus Track Version)"/>
    <x v="557"/>
    <n v="48"/>
    <n v="282133"/>
    <x v="0"/>
    <n v="0.42799999999999999"/>
    <n v="0.81299999999999994"/>
    <n v="7"/>
    <n v="-4.4779999999999998"/>
    <n v="0"/>
    <n v="2.5000000000000001E-2"/>
    <n v="6.2199999999999998E-2"/>
    <n v="3.8800000000000002E-3"/>
    <n v="0.154"/>
    <n v="0.34699999999999998"/>
    <n v="91.052999999999997"/>
    <n v="4"/>
    <x v="0"/>
  </r>
  <r>
    <x v="620"/>
    <s v="Jon McLaughlin"/>
    <s v="Indiana"/>
    <x v="368"/>
    <n v="52"/>
    <n v="251640"/>
    <x v="0"/>
    <n v="0.432"/>
    <n v="0.66400000000000003"/>
    <n v="7"/>
    <n v="-4.6619999999999999"/>
    <n v="1"/>
    <n v="3.0200000000000001E-2"/>
    <n v="0.215"/>
    <n v="0"/>
    <n v="0.15"/>
    <n v="0.29399999999999998"/>
    <n v="156.21600000000001"/>
    <n v="4"/>
    <x v="0"/>
  </r>
  <r>
    <x v="621"/>
    <s v="Sara Bareilles"/>
    <s v="Kaleidoscope Heart"/>
    <x v="558"/>
    <n v="51"/>
    <n v="298280"/>
    <x v="0"/>
    <n v="0.36599999999999999"/>
    <n v="0.48199999999999998"/>
    <n v="5"/>
    <n v="-7.9"/>
    <n v="1"/>
    <n v="2.7799999999999998E-2"/>
    <n v="0.28799999999999998"/>
    <n v="6.5500000000000003E-3"/>
    <n v="0.11700000000000001"/>
    <n v="0.27800000000000002"/>
    <n v="169.67699999999999"/>
    <n v="4"/>
    <x v="0"/>
  </r>
  <r>
    <x v="622"/>
    <s v="Ray LaMontagne"/>
    <s v="Trouble"/>
    <x v="559"/>
    <n v="59"/>
    <n v="241546"/>
    <x v="0"/>
    <n v="0.32500000000000001"/>
    <n v="0.42399999999999999"/>
    <n v="7"/>
    <n v="-12.733000000000001"/>
    <n v="1"/>
    <n v="4.3799999999999999E-2"/>
    <n v="0.34100000000000003"/>
    <n v="2.6699999999999998E-4"/>
    <n v="0.23"/>
    <n v="0.49399999999999999"/>
    <n v="173.352"/>
    <n v="3"/>
    <x v="0"/>
  </r>
  <r>
    <x v="623"/>
    <s v="Boyce Avenue"/>
    <s v="Cover Sessions, Vol. 6"/>
    <x v="560"/>
    <n v="53"/>
    <n v="197170"/>
    <x v="0"/>
    <n v="0.46"/>
    <n v="0.19500000000000001"/>
    <n v="10"/>
    <n v="-12.093"/>
    <n v="1"/>
    <n v="4.5900000000000003E-2"/>
    <n v="0.86699999999999999"/>
    <s v="1.65e-05"/>
    <n v="0.112"/>
    <n v="0.38400000000000001"/>
    <n v="176.119"/>
    <n v="4"/>
    <x v="0"/>
  </r>
  <r>
    <x v="624"/>
    <s v="Tyrone Wells"/>
    <s v="Remain"/>
    <x v="561"/>
    <n v="47"/>
    <n v="178093"/>
    <x v="0"/>
    <n v="0.61299999999999999"/>
    <n v="0.81200000000000006"/>
    <n v="2"/>
    <n v="-3.524"/>
    <n v="1"/>
    <n v="3.5499999999999997E-2"/>
    <n v="0.25900000000000001"/>
    <n v="0"/>
    <n v="0.185"/>
    <n v="0.39400000000000002"/>
    <n v="119.979"/>
    <n v="4"/>
    <x v="0"/>
  </r>
  <r>
    <x v="625"/>
    <s v="EJ De Perio"/>
    <s v="Tama Na"/>
    <x v="562"/>
    <n v="28"/>
    <n v="230545"/>
    <x v="0"/>
    <n v="0.49199999999999999"/>
    <n v="0.33"/>
    <n v="4"/>
    <n v="-8.9670000000000005"/>
    <n v="1"/>
    <n v="2.8500000000000001E-2"/>
    <n v="0.26600000000000001"/>
    <n v="0"/>
    <n v="0.29699999999999999"/>
    <n v="0.109"/>
    <n v="132.005"/>
    <n v="4"/>
    <x v="0"/>
  </r>
  <r>
    <x v="626"/>
    <s v="Beyond The Guitar"/>
    <s v="Guitar Covers, Vol. 2"/>
    <x v="563"/>
    <n v="30"/>
    <n v="163813"/>
    <x v="0"/>
    <n v="0.56999999999999995"/>
    <n v="0.45400000000000001"/>
    <n v="2"/>
    <n v="-7.6130000000000004"/>
    <n v="0"/>
    <n v="9.8699999999999996E-2"/>
    <n v="0.88100000000000001"/>
    <n v="0.88900000000000001"/>
    <n v="9.8299999999999998E-2"/>
    <n v="0.38100000000000001"/>
    <n v="101.476"/>
    <n v="4"/>
    <x v="0"/>
  </r>
  <r>
    <x v="627"/>
    <s v="Yosui Inoue"/>
    <s v="é™½æ°´II ã‚»ãƒ³ãƒãƒ¡ãƒ³ã‚¿ãƒ« (Remastered 2018)"/>
    <x v="564"/>
    <n v="29"/>
    <n v="212080"/>
    <x v="0"/>
    <n v="0.49399999999999999"/>
    <n v="0.46500000000000002"/>
    <n v="6"/>
    <n v="-6.0949999999999998"/>
    <n v="1"/>
    <n v="2.7E-2"/>
    <n v="0.70499999999999996"/>
    <n v="0"/>
    <n v="6.93E-2"/>
    <n v="0.27500000000000002"/>
    <n v="132.501"/>
    <n v="4"/>
    <x v="0"/>
  </r>
  <r>
    <x v="628"/>
    <s v="Zee Avi"/>
    <s v="Zee Avi"/>
    <x v="565"/>
    <n v="48"/>
    <n v="156773"/>
    <x v="0"/>
    <n v="0.74"/>
    <n v="0.377"/>
    <n v="2"/>
    <n v="-10.013"/>
    <n v="1"/>
    <n v="5.8299999999999998E-2"/>
    <n v="0.65"/>
    <n v="0"/>
    <n v="0.17799999999999999"/>
    <n v="0.40799999999999997"/>
    <n v="78.988"/>
    <n v="4"/>
    <x v="0"/>
  </r>
  <r>
    <x v="629"/>
    <s v="Hannah's Yard"/>
    <s v="I Want to Know What Love Is (Acoustic)"/>
    <x v="566"/>
    <n v="52"/>
    <n v="171486"/>
    <x v="0"/>
    <n v="0.49"/>
    <n v="0.26300000000000001"/>
    <n v="5"/>
    <n v="-9.2479999999999993"/>
    <n v="0"/>
    <n v="4.6199999999999998E-2"/>
    <n v="0.92"/>
    <n v="0"/>
    <n v="0.10299999999999999"/>
    <n v="0.36099999999999999"/>
    <n v="73.834000000000003"/>
    <n v="4"/>
    <x v="0"/>
  </r>
  <r>
    <x v="630"/>
    <s v="Hanare Gumi"/>
    <s v="æ—¥ã€…ã®ã‚ã‚"/>
    <x v="567"/>
    <n v="28"/>
    <n v="312133"/>
    <x v="0"/>
    <n v="0.46500000000000002"/>
    <n v="0.21099999999999999"/>
    <n v="7"/>
    <n v="-14.143000000000001"/>
    <n v="1"/>
    <n v="3.8399999999999997E-2"/>
    <n v="0.81200000000000006"/>
    <n v="1.99E-3"/>
    <n v="0.10199999999999999"/>
    <n v="0.25600000000000001"/>
    <n v="83.257000000000005"/>
    <n v="4"/>
    <x v="0"/>
  </r>
  <r>
    <x v="631"/>
    <s v="JJ Heller"/>
    <s v="Ordinary Days"/>
    <x v="568"/>
    <n v="51"/>
    <n v="248386"/>
    <x v="0"/>
    <n v="0.47699999999999998"/>
    <n v="0.34"/>
    <n v="0"/>
    <n v="-11.666"/>
    <n v="1"/>
    <n v="3.1899999999999998E-2"/>
    <n v="0.84899999999999998"/>
    <n v="4.8799999999999999E-4"/>
    <n v="9.9199999999999997E-2"/>
    <n v="0.26100000000000001"/>
    <n v="173.86"/>
    <n v="4"/>
    <x v="0"/>
  </r>
  <r>
    <x v="632"/>
    <s v="JJ Heller"/>
    <s v="I Dream of You: CALM"/>
    <x v="569"/>
    <n v="53"/>
    <n v="291386"/>
    <x v="0"/>
    <n v="0.41099999999999998"/>
    <n v="0.191"/>
    <n v="7"/>
    <n v="-10.178000000000001"/>
    <n v="1"/>
    <n v="3.0800000000000001E-2"/>
    <n v="0.91600000000000004"/>
    <n v="0"/>
    <n v="0.1"/>
    <n v="0.155"/>
    <n v="74.92"/>
    <n v="3"/>
    <x v="0"/>
  </r>
  <r>
    <x v="633"/>
    <s v="Ben Rector"/>
    <s v="The Walking in Between"/>
    <x v="570"/>
    <n v="52"/>
    <n v="254026"/>
    <x v="0"/>
    <n v="0.59199999999999997"/>
    <n v="0.30399999999999999"/>
    <n v="8"/>
    <n v="-9.8330000000000002"/>
    <n v="1"/>
    <n v="2.98E-2"/>
    <n v="0.56399999999999995"/>
    <n v="0"/>
    <n v="0.107"/>
    <n v="0.307"/>
    <n v="114.72"/>
    <n v="3"/>
    <x v="0"/>
  </r>
  <r>
    <x v="634"/>
    <s v="JJ Heller"/>
    <s v="Neighbor"/>
    <x v="571"/>
    <n v="42"/>
    <n v="236000"/>
    <x v="0"/>
    <n v="0.439"/>
    <n v="0.29199999999999998"/>
    <n v="0"/>
    <n v="-10.92"/>
    <n v="1"/>
    <n v="3.0800000000000001E-2"/>
    <n v="0.74399999999999999"/>
    <s v="6.27e-05"/>
    <n v="9.8699999999999996E-2"/>
    <n v="0.153"/>
    <n v="82.221999999999994"/>
    <n v="4"/>
    <x v="0"/>
  </r>
  <r>
    <x v="635"/>
    <s v="Takehara Pistol"/>
    <s v="PEACE OUT"/>
    <x v="572"/>
    <n v="29"/>
    <n v="133840"/>
    <x v="0"/>
    <n v="0.65900000000000003"/>
    <n v="0.83"/>
    <n v="5"/>
    <n v="-4.6589999999999998"/>
    <n v="1"/>
    <n v="4.4499999999999998E-2"/>
    <n v="0.58799999999999997"/>
    <n v="0"/>
    <n v="0.111"/>
    <n v="0.93700000000000006"/>
    <n v="127.014"/>
    <n v="4"/>
    <x v="0"/>
  </r>
  <r>
    <x v="636"/>
    <s v="Hanare Gumi"/>
    <s v="éŸ³ã‚¿ã‚¤ãƒ "/>
    <x v="573"/>
    <n v="29"/>
    <n v="229533"/>
    <x v="0"/>
    <n v="0.373"/>
    <n v="0.71599999999999997"/>
    <n v="5"/>
    <n v="-7.3579999999999997"/>
    <n v="1"/>
    <n v="3.1300000000000001E-2"/>
    <n v="8.2000000000000003E-2"/>
    <n v="2.3900000000000001E-4"/>
    <n v="0.105"/>
    <n v="0.374"/>
    <n v="134.76400000000001"/>
    <n v="4"/>
    <x v="0"/>
  </r>
  <r>
    <x v="637"/>
    <s v="Brandi Carlile"/>
    <s v="By The Way, I Forgive You"/>
    <x v="574"/>
    <n v="60"/>
    <n v="279373"/>
    <x v="0"/>
    <n v="0.23599999999999999"/>
    <n v="0.57799999999999996"/>
    <n v="7"/>
    <n v="-5.4770000000000003"/>
    <n v="1"/>
    <n v="4.0399999999999998E-2"/>
    <n v="0.32700000000000001"/>
    <n v="1.4999999999999999E-4"/>
    <n v="0.20599999999999999"/>
    <n v="0.22700000000000001"/>
    <n v="75.367000000000004"/>
    <n v="4"/>
    <x v="0"/>
  </r>
  <r>
    <x v="638"/>
    <s v="Eddie Vedder"/>
    <s v="Into The Wild (Music For The Motion Picture)"/>
    <x v="575"/>
    <n v="51"/>
    <n v="60306"/>
    <x v="0"/>
    <n v="0.33700000000000002"/>
    <n v="0.28699999999999998"/>
    <n v="0"/>
    <n v="-15.051"/>
    <n v="1"/>
    <n v="3.32E-2"/>
    <n v="0.89800000000000002"/>
    <n v="0.97799999999999998"/>
    <n v="0.12"/>
    <n v="0.39300000000000002"/>
    <n v="107.03100000000001"/>
    <n v="4"/>
    <x v="0"/>
  </r>
  <r>
    <x v="639"/>
    <s v="Vendredi;Son&amp;Dad"/>
    <s v="Chill Out Covers - Chillout Covers - Chill Acoustic - Relaxing Songs - Calming Acoustic Songs"/>
    <x v="576"/>
    <n v="28"/>
    <n v="124742"/>
    <x v="0"/>
    <n v="0.46200000000000002"/>
    <n v="0.42399999999999999"/>
    <n v="5"/>
    <n v="-7.0380000000000003"/>
    <n v="0"/>
    <n v="3.0099999999999998E-2"/>
    <n v="0.88300000000000001"/>
    <n v="0"/>
    <n v="0.14699999999999999"/>
    <n v="0.56399999999999995"/>
    <n v="97.674999999999997"/>
    <n v="4"/>
    <x v="0"/>
  </r>
  <r>
    <x v="640"/>
    <s v="Chris Cresswell"/>
    <s v="One Week Record"/>
    <x v="577"/>
    <n v="27"/>
    <n v="169000"/>
    <x v="0"/>
    <n v="0.51"/>
    <n v="0.48499999999999999"/>
    <n v="9"/>
    <n v="-4.4320000000000004"/>
    <n v="0"/>
    <n v="3.3399999999999999E-2"/>
    <n v="0.61199999999999999"/>
    <s v="5.08e-06"/>
    <n v="0.126"/>
    <n v="0.45100000000000001"/>
    <n v="154.97"/>
    <n v="4"/>
    <x v="0"/>
  </r>
  <r>
    <x v="641"/>
    <s v="Chuck Ragan"/>
    <s v="The Blueprint Sessions"/>
    <x v="578"/>
    <n v="28"/>
    <n v="196213"/>
    <x v="0"/>
    <n v="0.56000000000000005"/>
    <n v="0.755"/>
    <n v="1"/>
    <n v="-3.923"/>
    <n v="0"/>
    <n v="2.7799999999999998E-2"/>
    <n v="0.28599999999999998"/>
    <n v="4.9799999999999996E-4"/>
    <n v="0.24299999999999999"/>
    <n v="0.49099999999999999"/>
    <n v="147.13800000000001"/>
    <n v="4"/>
    <x v="0"/>
  </r>
  <r>
    <x v="642"/>
    <s v="Albert King"/>
    <s v="Born Under A Bad Sign (Mono)"/>
    <x v="579"/>
    <n v="58"/>
    <n v="169997"/>
    <x v="0"/>
    <n v="0.71099999999999997"/>
    <n v="0.48299999999999998"/>
    <n v="11"/>
    <n v="-11.211"/>
    <n v="1"/>
    <n v="2.98E-2"/>
    <n v="0.434"/>
    <n v="1.2E-2"/>
    <n v="2.8400000000000002E-2"/>
    <n v="0.88400000000000001"/>
    <n v="91.652000000000001"/>
    <n v="4"/>
    <x v="0"/>
  </r>
  <r>
    <x v="643"/>
    <s v="The Weepies;Deb Talan;Steve Tannen"/>
    <s v="Say I Am You"/>
    <x v="580"/>
    <n v="54"/>
    <n v="120720"/>
    <x v="0"/>
    <n v="0.75900000000000001"/>
    <n v="0.159"/>
    <n v="11"/>
    <n v="-13.035"/>
    <n v="1"/>
    <n v="4.53E-2"/>
    <n v="0.95699999999999996"/>
    <n v="4.7199999999999998E-4"/>
    <n v="0.10299999999999999"/>
    <n v="0.32900000000000001"/>
    <n v="115.94499999999999"/>
    <n v="3"/>
    <x v="0"/>
  </r>
  <r>
    <x v="644"/>
    <s v="Tim Vantol"/>
    <s v="If We Go Down, We Will Go Together!"/>
    <x v="581"/>
    <n v="28"/>
    <n v="149274"/>
    <x v="0"/>
    <n v="0.38"/>
    <n v="0.39600000000000002"/>
    <n v="6"/>
    <n v="-6.5069999999999997"/>
    <n v="1"/>
    <n v="3.6600000000000001E-2"/>
    <n v="0.20200000000000001"/>
    <n v="0"/>
    <n v="0.13300000000000001"/>
    <n v="0.192"/>
    <n v="103.621"/>
    <n v="4"/>
    <x v="0"/>
  </r>
  <r>
    <x v="645"/>
    <s v="Days N Daze"/>
    <s v="Rogue Taxidermy"/>
    <x v="582"/>
    <n v="29"/>
    <n v="127033"/>
    <x v="1"/>
    <n v="0.59799999999999998"/>
    <n v="0.59899999999999998"/>
    <n v="3"/>
    <n v="-10.265000000000001"/>
    <n v="1"/>
    <n v="8.2299999999999998E-2"/>
    <n v="0.32600000000000001"/>
    <s v="1.49e-05"/>
    <n v="0.11700000000000001"/>
    <n v="0.94"/>
    <n v="90.206000000000003"/>
    <n v="4"/>
    <x v="0"/>
  </r>
  <r>
    <x v="646"/>
    <s v="Vendredi;Son&amp;Dad"/>
    <s v="Chill Out Covers - Chillout Covers - Chill Acoustic - Relaxing Songs - Calming Acoustic Songs"/>
    <x v="583"/>
    <n v="28"/>
    <n v="169404"/>
    <x v="0"/>
    <n v="0.65100000000000002"/>
    <n v="0.42499999999999999"/>
    <n v="3"/>
    <n v="-6.0019999999999998"/>
    <n v="1"/>
    <n v="3.09E-2"/>
    <n v="0.879"/>
    <s v="4.54e-06"/>
    <n v="0.156"/>
    <n v="0.30199999999999999"/>
    <n v="104.819"/>
    <n v="4"/>
    <x v="0"/>
  </r>
  <r>
    <x v="647"/>
    <s v="The Bridge City Sinners"/>
    <s v="Bridge City Sinners"/>
    <x v="584"/>
    <n v="28"/>
    <n v="202594"/>
    <x v="0"/>
    <n v="0.30599999999999999"/>
    <n v="0.94799999999999995"/>
    <n v="0"/>
    <n v="-2.8769999999999998"/>
    <n v="1"/>
    <n v="9.8900000000000002E-2"/>
    <n v="0.64"/>
    <n v="0"/>
    <n v="0.35299999999999998"/>
    <n v="0.90300000000000002"/>
    <n v="135.76"/>
    <n v="4"/>
    <x v="0"/>
  </r>
  <r>
    <x v="648"/>
    <s v="Chad Hates George"/>
    <s v="Chad Hates George"/>
    <x v="585"/>
    <n v="28"/>
    <n v="125100"/>
    <x v="1"/>
    <n v="0.46899999999999997"/>
    <n v="0.45700000000000002"/>
    <n v="5"/>
    <n v="-10.102"/>
    <n v="1"/>
    <n v="4.1200000000000001E-2"/>
    <n v="0.69199999999999995"/>
    <n v="0"/>
    <n v="5.3100000000000001E-2"/>
    <n v="0.89300000000000002"/>
    <n v="84.063999999999993"/>
    <n v="4"/>
    <x v="0"/>
  </r>
  <r>
    <x v="649"/>
    <s v="Frank Turner"/>
    <s v="Positive Songs For Negative People"/>
    <x v="586"/>
    <n v="28"/>
    <n v="202400"/>
    <x v="0"/>
    <n v="0.442"/>
    <n v="0.89800000000000002"/>
    <n v="5"/>
    <n v="-4.6619999999999999"/>
    <n v="1"/>
    <n v="6.13E-2"/>
    <n v="1.5799999999999999E-4"/>
    <s v="4.11e-06"/>
    <n v="0.1"/>
    <n v="0.44600000000000001"/>
    <n v="144.29900000000001"/>
    <n v="4"/>
    <x v="0"/>
  </r>
  <r>
    <x v="650"/>
    <s v="Ichiko Aoba"/>
    <n v="0"/>
    <x v="587"/>
    <n v="52"/>
    <n v="406103"/>
    <x v="0"/>
    <n v="0.59199999999999997"/>
    <n v="8.3299999999999999E-2"/>
    <n v="0"/>
    <n v="-16.516999999999999"/>
    <n v="0"/>
    <n v="8.3500000000000005E-2"/>
    <n v="0.94599999999999995"/>
    <n v="7.9100000000000004E-2"/>
    <n v="9.4100000000000003E-2"/>
    <n v="0.20499999999999999"/>
    <n v="143.24299999999999"/>
    <n v="4"/>
    <x v="0"/>
  </r>
  <r>
    <x v="651"/>
    <s v="Boyce Avenue"/>
    <s v="Careless Whisper"/>
    <x v="588"/>
    <n v="46"/>
    <n v="247805"/>
    <x v="0"/>
    <n v="0.69799999999999995"/>
    <n v="0.38900000000000001"/>
    <n v="2"/>
    <n v="-6.2460000000000004"/>
    <n v="0"/>
    <n v="3.2099999999999997E-2"/>
    <n v="0.88500000000000001"/>
    <n v="0"/>
    <n v="0.13600000000000001"/>
    <n v="0.70399999999999996"/>
    <n v="76.897000000000006"/>
    <n v="4"/>
    <x v="0"/>
  </r>
  <r>
    <x v="652"/>
    <s v="Aron Wright"/>
    <s v="Look After You"/>
    <x v="589"/>
    <n v="47"/>
    <n v="191765"/>
    <x v="0"/>
    <n v="0.39600000000000002"/>
    <n v="0.29299999999999998"/>
    <n v="1"/>
    <n v="-10.739000000000001"/>
    <n v="0"/>
    <n v="3.6700000000000003E-2"/>
    <n v="0.73199999999999998"/>
    <n v="0.11600000000000001"/>
    <n v="0.10199999999999999"/>
    <n v="0.19900000000000001"/>
    <n v="145.55600000000001"/>
    <n v="3"/>
    <x v="0"/>
  </r>
  <r>
    <x v="653"/>
    <s v="Acoustic Guitar Collective"/>
    <s v="Golden Covers, Vol. 2"/>
    <x v="590"/>
    <n v="39"/>
    <n v="192397"/>
    <x v="0"/>
    <n v="0.55900000000000005"/>
    <n v="0.11799999999999999"/>
    <n v="7"/>
    <n v="-16.34"/>
    <n v="1"/>
    <n v="4.2099999999999999E-2"/>
    <n v="0.97899999999999998"/>
    <n v="0.93500000000000005"/>
    <n v="0.109"/>
    <n v="0.28899999999999998"/>
    <n v="97.1"/>
    <n v="4"/>
    <x v="0"/>
  </r>
  <r>
    <x v="654"/>
    <s v="Kina Grannis"/>
    <s v="When the Party's Over"/>
    <x v="591"/>
    <n v="50"/>
    <n v="154732"/>
    <x v="0"/>
    <n v="0.52"/>
    <n v="0.17100000000000001"/>
    <n v="1"/>
    <n v="-14.5"/>
    <n v="0"/>
    <n v="4.2299999999999997E-2"/>
    <n v="0.85299999999999998"/>
    <n v="0"/>
    <n v="0.17399999999999999"/>
    <n v="0.23"/>
    <n v="123.565"/>
    <n v="3"/>
    <x v="0"/>
  </r>
  <r>
    <x v="655"/>
    <s v="Howie Day"/>
    <s v="Sound The Alarm"/>
    <x v="592"/>
    <n v="43"/>
    <n v="215746"/>
    <x v="0"/>
    <n v="0.23100000000000001"/>
    <n v="0.63600000000000001"/>
    <n v="11"/>
    <n v="-7.2569999999999997"/>
    <n v="1"/>
    <n v="3.39E-2"/>
    <n v="4.0200000000000001E-3"/>
    <n v="0"/>
    <n v="5.04E-2"/>
    <n v="0.24399999999999999"/>
    <n v="202.09800000000001"/>
    <n v="3"/>
    <x v="0"/>
  </r>
  <r>
    <x v="656"/>
    <s v="Andrew Foy;Renee Foy"/>
    <s v="Photograph"/>
    <x v="18"/>
    <n v="30"/>
    <n v="218590"/>
    <x v="0"/>
    <n v="0.80700000000000005"/>
    <n v="4.5900000000000003E-2"/>
    <n v="4"/>
    <n v="-19.882999999999999"/>
    <n v="1"/>
    <n v="4.8099999999999997E-2"/>
    <n v="0.85199999999999998"/>
    <s v="6.14e-06"/>
    <n v="0.10199999999999999"/>
    <n v="0.27500000000000002"/>
    <n v="110.512"/>
    <n v="4"/>
    <x v="0"/>
  </r>
  <r>
    <x v="657"/>
    <s v="Ciaran Lavery"/>
    <s v="Not Nearly Dark"/>
    <x v="593"/>
    <n v="53"/>
    <n v="251960"/>
    <x v="0"/>
    <n v="0.61899999999999999"/>
    <n v="0.29899999999999999"/>
    <n v="2"/>
    <n v="-7.7439999999999998"/>
    <n v="1"/>
    <n v="2.7900000000000001E-2"/>
    <n v="0.84599999999999997"/>
    <s v="4.99e-05"/>
    <n v="0.24299999999999999"/>
    <n v="0.31"/>
    <n v="115.405"/>
    <n v="4"/>
    <x v="0"/>
  </r>
  <r>
    <x v="658"/>
    <s v="Bailey Jehl"/>
    <s v="Iris"/>
    <x v="145"/>
    <n v="51"/>
    <n v="165223"/>
    <x v="0"/>
    <n v="0.60499999999999998"/>
    <n v="0.316"/>
    <n v="0"/>
    <n v="-8.9239999999999995"/>
    <n v="1"/>
    <n v="3.1899999999999998E-2"/>
    <n v="0.86899999999999999"/>
    <s v="2.87e-05"/>
    <n v="0.14000000000000001"/>
    <n v="0.34399999999999997"/>
    <n v="134.054"/>
    <n v="3"/>
    <x v="0"/>
  </r>
  <r>
    <x v="659"/>
    <s v="Jules Larson"/>
    <s v="Let's Stay Young"/>
    <x v="594"/>
    <n v="31"/>
    <n v="228387"/>
    <x v="0"/>
    <n v="0.52900000000000003"/>
    <n v="0.66300000000000003"/>
    <n v="1"/>
    <n v="-7.0359999999999996"/>
    <n v="1"/>
    <n v="2.5100000000000001E-2"/>
    <n v="0.36799999999999999"/>
    <n v="2.2499999999999998E-3"/>
    <n v="0.107"/>
    <n v="0.223"/>
    <n v="96.991"/>
    <n v="4"/>
    <x v="0"/>
  </r>
  <r>
    <x v="660"/>
    <s v="Masaharu Fukuyama"/>
    <s v="AKIRA"/>
    <x v="595"/>
    <n v="29"/>
    <n v="272320"/>
    <x v="0"/>
    <n v="0.45900000000000002"/>
    <n v="0.56999999999999995"/>
    <n v="4"/>
    <n v="-5.6719999999999997"/>
    <n v="1"/>
    <n v="2.93E-2"/>
    <n v="0.19900000000000001"/>
    <n v="0"/>
    <n v="0.13700000000000001"/>
    <n v="0.36099999999999999"/>
    <n v="72.977999999999994"/>
    <n v="4"/>
    <x v="0"/>
  </r>
  <r>
    <x v="661"/>
    <s v="Rosi Golan"/>
    <s v="The Drifter and the Gypsy"/>
    <x v="596"/>
    <n v="43"/>
    <n v="235960"/>
    <x v="0"/>
    <n v="0.51500000000000001"/>
    <n v="6.8599999999999994E-2"/>
    <n v="0"/>
    <n v="-17.61"/>
    <n v="1"/>
    <n v="4.0099999999999997E-2"/>
    <n v="0.93600000000000005"/>
    <n v="1.2899999999999999E-4"/>
    <n v="0.11700000000000001"/>
    <n v="0.33"/>
    <n v="113.185"/>
    <n v="5"/>
    <x v="0"/>
  </r>
  <r>
    <x v="662"/>
    <s v="Colin &amp; Caroline"/>
    <s v="Let It Go"/>
    <x v="124"/>
    <n v="55"/>
    <n v="194129"/>
    <x v="0"/>
    <n v="0.46"/>
    <n v="0.31900000000000001"/>
    <n v="1"/>
    <n v="-8.6210000000000004"/>
    <n v="1"/>
    <n v="3.56E-2"/>
    <n v="0.86099999999999999"/>
    <n v="0"/>
    <n v="0.11799999999999999"/>
    <n v="0.32900000000000001"/>
    <n v="145.76499999999999"/>
    <n v="4"/>
    <x v="0"/>
  </r>
  <r>
    <x v="663"/>
    <s v="Gen Hoshino"/>
    <s v="I Wanna Be Your Ghost (feat. Ghosts)"/>
    <x v="597"/>
    <n v="50"/>
    <n v="225533"/>
    <x v="0"/>
    <n v="0.82899999999999996"/>
    <n v="0.751"/>
    <n v="11"/>
    <n v="-4.9370000000000003"/>
    <n v="0"/>
    <n v="6.4500000000000002E-2"/>
    <n v="1.4200000000000001E-2"/>
    <n v="1.4E-2"/>
    <n v="4.1399999999999999E-2"/>
    <n v="0.96"/>
    <n v="129.99299999999999"/>
    <n v="4"/>
    <x v="0"/>
  </r>
  <r>
    <x v="664"/>
    <s v="Masaharu Fukuyama"/>
    <s v="ç´„æŸã®ä¸˜"/>
    <x v="598"/>
    <n v="30"/>
    <n v="326413"/>
    <x v="0"/>
    <n v="0.52400000000000002"/>
    <n v="0.85199999999999998"/>
    <n v="11"/>
    <n v="-4.7080000000000002"/>
    <n v="1"/>
    <n v="2.98E-2"/>
    <n v="1.5900000000000001E-2"/>
    <s v="6.35e-06"/>
    <n v="0.112"/>
    <n v="0.63500000000000001"/>
    <n v="92.748000000000005"/>
    <n v="4"/>
    <x v="0"/>
  </r>
  <r>
    <x v="665"/>
    <s v="Ingrid Michaelson"/>
    <s v="Stranger Songs"/>
    <x v="599"/>
    <n v="46"/>
    <n v="208226"/>
    <x v="0"/>
    <n v="0.626"/>
    <n v="0.57499999999999996"/>
    <n v="4"/>
    <n v="-7.5069999999999997"/>
    <n v="1"/>
    <n v="5.3499999999999999E-2"/>
    <n v="6.9400000000000003E-2"/>
    <s v="3.34e-06"/>
    <n v="0.114"/>
    <n v="0.222"/>
    <n v="119.97"/>
    <n v="4"/>
    <x v="0"/>
  </r>
  <r>
    <x v="666"/>
    <s v="Jason Mraz"/>
    <s v="Know."/>
    <x v="600"/>
    <n v="46"/>
    <n v="148000"/>
    <x v="0"/>
    <n v="0.49099999999999999"/>
    <n v="0.30399999999999999"/>
    <n v="9"/>
    <n v="-9.3789999999999996"/>
    <n v="1"/>
    <n v="2.9100000000000001E-2"/>
    <n v="0.5"/>
    <n v="0"/>
    <n v="9.7500000000000003E-2"/>
    <n v="0.45900000000000002"/>
    <n v="149.28800000000001"/>
    <n v="4"/>
    <x v="0"/>
  </r>
  <r>
    <x v="667"/>
    <s v="Boyce Avenue"/>
    <s v="Easy on Me"/>
    <x v="601"/>
    <n v="52"/>
    <n v="260040"/>
    <x v="0"/>
    <n v="0.58599999999999997"/>
    <n v="0.51400000000000001"/>
    <n v="2"/>
    <n v="-6.2670000000000003"/>
    <n v="1"/>
    <n v="2.69E-2"/>
    <n v="0.56000000000000005"/>
    <n v="3.4699999999999998E-4"/>
    <n v="0.122"/>
    <n v="0.27"/>
    <n v="142.02099999999999"/>
    <n v="4"/>
    <x v="0"/>
  </r>
  <r>
    <x v="668"/>
    <s v="Eddie Vedder;Cat Power"/>
    <s v="Ukulele Songs"/>
    <x v="602"/>
    <n v="44"/>
    <n v="101539"/>
    <x v="0"/>
    <n v="0.65300000000000002"/>
    <n v="0.17399999999999999"/>
    <n v="7"/>
    <n v="-11.07"/>
    <n v="1"/>
    <n v="5.1999999999999998E-2"/>
    <n v="0.99099999999999999"/>
    <n v="2.48E-3"/>
    <n v="0.106"/>
    <n v="0.61099999999999999"/>
    <n v="138.98099999999999"/>
    <n v="3"/>
    <x v="0"/>
  </r>
  <r>
    <x v="669"/>
    <s v="Ysabelle Cuevas"/>
    <s v="Closer"/>
    <x v="263"/>
    <n v="51"/>
    <n v="178666"/>
    <x v="0"/>
    <n v="0.55800000000000005"/>
    <n v="0.17199999999999999"/>
    <n v="8"/>
    <n v="-13.379"/>
    <n v="1"/>
    <n v="5.1299999999999998E-2"/>
    <n v="0.874"/>
    <n v="0"/>
    <n v="0.1"/>
    <n v="0.51800000000000002"/>
    <n v="90.146000000000001"/>
    <n v="4"/>
    <x v="0"/>
  </r>
  <r>
    <x v="670"/>
    <s v="Boyce Avenue"/>
    <s v="One Last Breath"/>
    <x v="603"/>
    <n v="53"/>
    <n v="236800"/>
    <x v="0"/>
    <n v="0.45"/>
    <n v="0.33500000000000002"/>
    <n v="2"/>
    <n v="-6.8330000000000002"/>
    <n v="1"/>
    <n v="3.0099999999999998E-2"/>
    <n v="0.78800000000000003"/>
    <s v="1.66e-06"/>
    <n v="0.115"/>
    <n v="0.16600000000000001"/>
    <n v="125.48399999999999"/>
    <n v="4"/>
    <x v="0"/>
  </r>
  <r>
    <x v="671"/>
    <s v="The Civil Wars"/>
    <s v="The Civil Wars"/>
    <x v="604"/>
    <n v="47"/>
    <n v="149426"/>
    <x v="0"/>
    <n v="0.254"/>
    <n v="0.34899999999999998"/>
    <n v="4"/>
    <n v="-10.02"/>
    <n v="0"/>
    <n v="3.7900000000000003E-2"/>
    <n v="0.85"/>
    <s v="2.95e-05"/>
    <n v="0.23400000000000001"/>
    <n v="0.30299999999999999"/>
    <n v="170.214"/>
    <n v="3"/>
    <x v="0"/>
  </r>
  <r>
    <x v="672"/>
    <s v="Will Moore"/>
    <s v="Classical Guitar Lullabies Volume 1"/>
    <x v="605"/>
    <n v="48"/>
    <n v="148127"/>
    <x v="0"/>
    <n v="0.625"/>
    <n v="0.28499999999999998"/>
    <n v="0"/>
    <n v="-13.819000000000001"/>
    <n v="1"/>
    <n v="5.2400000000000002E-2"/>
    <n v="0.89700000000000002"/>
    <n v="0.91"/>
    <n v="0.108"/>
    <n v="0.17299999999999999"/>
    <n v="141.61099999999999"/>
    <n v="4"/>
    <x v="0"/>
  </r>
  <r>
    <x v="673"/>
    <s v="Ingrid Michaelson"/>
    <s v="Lights Out"/>
    <x v="606"/>
    <n v="56"/>
    <n v="221413"/>
    <x v="0"/>
    <n v="0.51800000000000002"/>
    <n v="0.82799999999999996"/>
    <n v="8"/>
    <n v="-5.7249999999999996"/>
    <n v="1"/>
    <n v="0.04"/>
    <n v="0.03"/>
    <s v="1.33e-05"/>
    <n v="4.5600000000000002E-2"/>
    <n v="0.69"/>
    <n v="84.834999999999994"/>
    <n v="4"/>
    <x v="0"/>
  </r>
  <r>
    <x v="674"/>
    <s v="Jason Mraz"/>
    <s v="Love Is a Four Letter Word"/>
    <x v="607"/>
    <n v="48"/>
    <n v="190751"/>
    <x v="0"/>
    <n v="0.59099999999999997"/>
    <n v="0.64700000000000002"/>
    <n v="4"/>
    <n v="-8.34"/>
    <n v="1"/>
    <n v="2.7699999999999999E-2"/>
    <n v="6.7000000000000004E-2"/>
    <s v="6.57e-05"/>
    <n v="0.23100000000000001"/>
    <n v="0.67800000000000005"/>
    <n v="79.680000000000007"/>
    <n v="4"/>
    <x v="0"/>
  </r>
  <r>
    <x v="675"/>
    <s v="C.W. Stoneking"/>
    <s v="Jungle Blues"/>
    <x v="608"/>
    <n v="47"/>
    <n v="234600"/>
    <x v="0"/>
    <n v="0.60899999999999999"/>
    <n v="0.53"/>
    <n v="3"/>
    <n v="-5.4649999999999999"/>
    <n v="0"/>
    <n v="6.4799999999999996E-2"/>
    <n v="0.84"/>
    <s v="2.02e-05"/>
    <n v="0.13300000000000001"/>
    <n v="0.91900000000000004"/>
    <n v="150.405"/>
    <n v="4"/>
    <x v="0"/>
  </r>
  <r>
    <x v="676"/>
    <s v="Masaharu Fukuyama"/>
    <s v="milk tea/ç¾Žã—ãèŠ±"/>
    <x v="609"/>
    <n v="29"/>
    <n v="330026"/>
    <x v="0"/>
    <n v="0.52400000000000002"/>
    <n v="0.79700000000000004"/>
    <n v="7"/>
    <n v="-6.6109999999999998"/>
    <n v="1"/>
    <n v="2.98E-2"/>
    <n v="5.67E-2"/>
    <n v="0"/>
    <n v="7.9600000000000004E-2"/>
    <n v="0.76600000000000001"/>
    <n v="105.901"/>
    <n v="4"/>
    <x v="0"/>
  </r>
  <r>
    <x v="677"/>
    <s v="Suy Galvez"/>
    <s v="Bossa Best"/>
    <x v="610"/>
    <n v="28"/>
    <n v="181466"/>
    <x v="0"/>
    <n v="0.71"/>
    <n v="0.64600000000000002"/>
    <n v="3"/>
    <n v="-5.9450000000000003"/>
    <n v="1"/>
    <n v="3.1300000000000001E-2"/>
    <n v="0.78900000000000003"/>
    <s v="3.75e-06"/>
    <n v="0.106"/>
    <n v="0.61499999999999999"/>
    <n v="120.02800000000001"/>
    <n v="4"/>
    <x v="0"/>
  </r>
  <r>
    <x v="678"/>
    <s v="Mone Kamishiraishi"/>
    <s v="ä¸–ç•Œä¸­ã®èª°ã‚ˆã‚Šãã£ã¨"/>
    <x v="611"/>
    <n v="28"/>
    <n v="217466"/>
    <x v="0"/>
    <n v="0.57799999999999996"/>
    <n v="0.63600000000000001"/>
    <n v="2"/>
    <n v="-5.5060000000000002"/>
    <n v="1"/>
    <n v="3.4200000000000001E-2"/>
    <n v="8.7400000000000005E-2"/>
    <n v="0"/>
    <n v="0.124"/>
    <n v="0.55600000000000005"/>
    <n v="124.9"/>
    <n v="4"/>
    <x v="0"/>
  </r>
  <r>
    <x v="679"/>
    <s v="KT Tunstall"/>
    <s v="Eye To The Telescope"/>
    <x v="612"/>
    <n v="67"/>
    <n v="172373"/>
    <x v="0"/>
    <n v="0.748"/>
    <n v="0.78600000000000003"/>
    <n v="4"/>
    <n v="-7.7880000000000003"/>
    <n v="0"/>
    <n v="6.4100000000000004E-2"/>
    <n v="0.32800000000000001"/>
    <n v="0"/>
    <n v="0.34"/>
    <n v="0.91700000000000004"/>
    <n v="104.833"/>
    <n v="4"/>
    <x v="0"/>
  </r>
  <r>
    <x v="680"/>
    <s v="Johnnyswim"/>
    <s v="Georgica Pond"/>
    <x v="613"/>
    <n v="29"/>
    <n v="279068"/>
    <x v="0"/>
    <n v="0.39900000000000002"/>
    <n v="0.46100000000000002"/>
    <n v="3"/>
    <n v="-10.694000000000001"/>
    <n v="1"/>
    <n v="4.1099999999999998E-2"/>
    <n v="0.157"/>
    <s v="5.52e-05"/>
    <n v="0.11600000000000001"/>
    <n v="0.20499999999999999"/>
    <n v="96.590999999999994"/>
    <n v="4"/>
    <x v="0"/>
  </r>
  <r>
    <x v="681"/>
    <s v="Drew Holcomb;Ellie Holcomb;Drew Holcomb &amp; The Neighbors"/>
    <s v="Coming Home: A Collection of Songs"/>
    <x v="614"/>
    <n v="56"/>
    <n v="146360"/>
    <x v="0"/>
    <n v="0.625"/>
    <n v="0.81"/>
    <n v="10"/>
    <n v="-5.9950000000000001"/>
    <n v="1"/>
    <n v="3.3000000000000002E-2"/>
    <n v="0.14599999999999999"/>
    <s v="2.72e-05"/>
    <n v="0.13500000000000001"/>
    <n v="0.74099999999999999"/>
    <n v="104.066"/>
    <n v="4"/>
    <x v="0"/>
  </r>
  <r>
    <x v="682"/>
    <s v="Freddie King"/>
    <s v="Getting Ready... (World)"/>
    <x v="615"/>
    <n v="54"/>
    <n v="253333"/>
    <x v="0"/>
    <n v="0.64"/>
    <n v="0.496"/>
    <n v="2"/>
    <n v="-11.124000000000001"/>
    <n v="1"/>
    <n v="4.1300000000000003E-2"/>
    <n v="0.61599999999999999"/>
    <s v="4.63e-05"/>
    <n v="0.183"/>
    <n v="0.95399999999999996"/>
    <n v="116.63200000000001"/>
    <n v="4"/>
    <x v="0"/>
  </r>
  <r>
    <x v="683"/>
    <s v="JJ Heller"/>
    <s v="Neighbor"/>
    <x v="616"/>
    <n v="25"/>
    <n v="236000"/>
    <x v="0"/>
    <n v="0.44600000000000001"/>
    <n v="0.14199999999999999"/>
    <n v="0"/>
    <n v="-12.119"/>
    <n v="1"/>
    <n v="3.73E-2"/>
    <n v="0.91"/>
    <s v="1.57e-06"/>
    <n v="9.4299999999999995E-2"/>
    <n v="0.192"/>
    <n v="115.911"/>
    <n v="3"/>
    <x v="0"/>
  </r>
  <r>
    <x v="684"/>
    <s v="Ben Rector"/>
    <s v="Magic"/>
    <x v="617"/>
    <n v="49"/>
    <n v="226826"/>
    <x v="0"/>
    <n v="0.44400000000000001"/>
    <n v="0.77100000000000002"/>
    <n v="0"/>
    <n v="-4.6070000000000002"/>
    <n v="1"/>
    <n v="4.8500000000000001E-2"/>
    <n v="0.13"/>
    <n v="0"/>
    <n v="0.27300000000000002"/>
    <n v="0.45"/>
    <n v="148.02799999999999"/>
    <n v="4"/>
    <x v="0"/>
  </r>
  <r>
    <x v="685"/>
    <s v="Days N Daze"/>
    <s v="The Oogle Deathmachine"/>
    <x v="618"/>
    <n v="28"/>
    <n v="269139"/>
    <x v="0"/>
    <n v="0.40799999999999997"/>
    <n v="0.68500000000000005"/>
    <n v="9"/>
    <n v="-10.773"/>
    <n v="0"/>
    <n v="7.5399999999999995E-2"/>
    <n v="0.84"/>
    <n v="1.3299999999999999E-2"/>
    <n v="0.61399999999999999"/>
    <n v="0.90500000000000003"/>
    <n v="159.83099999999999"/>
    <n v="4"/>
    <x v="0"/>
  </r>
  <r>
    <x v="686"/>
    <s v="Frank Turner"/>
    <s v="England Keep My Bones (Deluxe Edition)"/>
    <x v="619"/>
    <n v="28"/>
    <n v="288133"/>
    <x v="0"/>
    <n v="0.65800000000000003"/>
    <n v="0.67800000000000005"/>
    <n v="4"/>
    <n v="-6.8070000000000004"/>
    <n v="1"/>
    <n v="2.8400000000000002E-2"/>
    <n v="8.9700000000000005E-3"/>
    <n v="0"/>
    <n v="9.1399999999999995E-2"/>
    <n v="0.63"/>
    <n v="131.976"/>
    <n v="4"/>
    <x v="0"/>
  </r>
  <r>
    <x v="687"/>
    <s v="KT Tunstall"/>
    <s v="Eye To The Telescope"/>
    <x v="620"/>
    <n v="29"/>
    <n v="214560"/>
    <x v="0"/>
    <n v="0.42699999999999999"/>
    <n v="0.69499999999999995"/>
    <n v="2"/>
    <n v="-5.3780000000000001"/>
    <n v="1"/>
    <n v="3.4299999999999997E-2"/>
    <n v="0.48699999999999999"/>
    <n v="0"/>
    <n v="8.3599999999999994E-2"/>
    <n v="0.36799999999999999"/>
    <n v="160.142"/>
    <n v="4"/>
    <x v="0"/>
  </r>
  <r>
    <x v="688"/>
    <s v="Eddie Vedder"/>
    <s v="Into The Wild (Music For The Motion Picture)"/>
    <x v="621"/>
    <n v="53"/>
    <n v="97866"/>
    <x v="0"/>
    <n v="0.54900000000000004"/>
    <n v="0.78"/>
    <n v="2"/>
    <n v="-5.08"/>
    <n v="1"/>
    <n v="2.9100000000000001E-2"/>
    <n v="1.1599999999999999E-2"/>
    <n v="0"/>
    <n v="0.19500000000000001"/>
    <n v="0.80400000000000005"/>
    <n v="119.369"/>
    <n v="4"/>
    <x v="0"/>
  </r>
  <r>
    <x v="689"/>
    <s v="Frank Turner"/>
    <s v="England Keep My Bones (Deluxe Edition)"/>
    <x v="622"/>
    <n v="28"/>
    <n v="94466"/>
    <x v="0"/>
    <n v="0.28399999999999997"/>
    <n v="0.108"/>
    <n v="7"/>
    <n v="-9.3520000000000003"/>
    <n v="1"/>
    <n v="4.7300000000000002E-2"/>
    <n v="0.67400000000000004"/>
    <s v="4.65e-06"/>
    <n v="0.20399999999999999"/>
    <n v="0.28199999999999997"/>
    <n v="148.95599999999999"/>
    <n v="3"/>
    <x v="0"/>
  </r>
  <r>
    <x v="690"/>
    <s v="Days N Daze"/>
    <s v="Rogue Taxidermy"/>
    <x v="623"/>
    <n v="28"/>
    <n v="148035"/>
    <x v="0"/>
    <n v="0.52200000000000002"/>
    <n v="0.40300000000000002"/>
    <n v="5"/>
    <n v="-10.989000000000001"/>
    <n v="1"/>
    <n v="3.5799999999999998E-2"/>
    <n v="0.64200000000000002"/>
    <n v="6.0499999999999998E-3"/>
    <n v="0.152"/>
    <n v="0.621"/>
    <n v="123.196"/>
    <n v="4"/>
    <x v="0"/>
  </r>
  <r>
    <x v="691"/>
    <s v="Marc Broussard"/>
    <s v="Carencro"/>
    <x v="624"/>
    <n v="28"/>
    <n v="243840"/>
    <x v="0"/>
    <n v="0.71899999999999997"/>
    <n v="0.84899999999999998"/>
    <n v="1"/>
    <n v="-4.2329999999999997"/>
    <n v="0"/>
    <n v="3.5200000000000002E-2"/>
    <n v="1.7999999999999999E-2"/>
    <s v="1.37e-06"/>
    <n v="3.7900000000000003E-2"/>
    <n v="0.88600000000000001"/>
    <n v="120.063"/>
    <n v="4"/>
    <x v="0"/>
  </r>
  <r>
    <x v="692"/>
    <s v="The Bridge City Sinners"/>
    <s v="Bridge City Sinners"/>
    <x v="625"/>
    <n v="28"/>
    <n v="204926"/>
    <x v="0"/>
    <n v="0.54400000000000004"/>
    <n v="0.91100000000000003"/>
    <n v="9"/>
    <n v="-2.73"/>
    <n v="1"/>
    <n v="0.20399999999999999"/>
    <n v="0.66100000000000003"/>
    <n v="0"/>
    <n v="0.34399999999999997"/>
    <n v="0.85099999999999998"/>
    <n v="114.776"/>
    <n v="4"/>
    <x v="0"/>
  </r>
  <r>
    <x v="693"/>
    <s v="The Bridge City Sinners"/>
    <s v="Bridge City Sinners"/>
    <x v="626"/>
    <n v="28"/>
    <n v="168118"/>
    <x v="0"/>
    <n v="0.67200000000000004"/>
    <n v="0.879"/>
    <n v="9"/>
    <n v="-3.6930000000000001"/>
    <n v="1"/>
    <n v="0.114"/>
    <n v="0.629"/>
    <s v="4.09e-06"/>
    <n v="0.16900000000000001"/>
    <n v="0.74"/>
    <n v="119.996"/>
    <n v="4"/>
    <x v="0"/>
  </r>
  <r>
    <x v="694"/>
    <s v="Frank Turner"/>
    <s v="FTHC (Deluxe)"/>
    <x v="627"/>
    <n v="28"/>
    <n v="174466"/>
    <x v="1"/>
    <n v="0.57299999999999995"/>
    <n v="0.78900000000000003"/>
    <n v="11"/>
    <n v="-5.4349999999999996"/>
    <n v="1"/>
    <n v="0.05"/>
    <n v="4.8799999999999999E-4"/>
    <n v="9.6500000000000006E-3"/>
    <n v="0.126"/>
    <n v="0.33200000000000002"/>
    <n v="128.077"/>
    <n v="4"/>
    <x v="0"/>
  </r>
  <r>
    <x v="695"/>
    <s v="Harley Poe"/>
    <s v="Pinocchio Pariah"/>
    <x v="628"/>
    <n v="28"/>
    <n v="272100"/>
    <x v="1"/>
    <n v="0.495"/>
    <n v="0.81100000000000005"/>
    <n v="9"/>
    <n v="-3.1"/>
    <n v="1"/>
    <n v="4.1099999999999998E-2"/>
    <n v="0.53400000000000003"/>
    <n v="2.8600000000000001E-4"/>
    <n v="0.13600000000000001"/>
    <n v="0.9"/>
    <n v="173.56"/>
    <n v="4"/>
    <x v="0"/>
  </r>
  <r>
    <x v="696"/>
    <s v="Days N Daze;Juicy Karkass"/>
    <s v="Crustfall"/>
    <x v="629"/>
    <n v="29"/>
    <n v="157000"/>
    <x v="0"/>
    <n v="0.48"/>
    <n v="0.6"/>
    <n v="0"/>
    <n v="-8.9760000000000009"/>
    <n v="1"/>
    <n v="3.9800000000000002E-2"/>
    <n v="0.24"/>
    <n v="0"/>
    <n v="0.53300000000000003"/>
    <n v="0.94399999999999995"/>
    <n v="92.545000000000002"/>
    <n v="4"/>
    <x v="0"/>
  </r>
  <r>
    <x v="697"/>
    <s v="Mindy Smith"/>
    <s v="Country Holiday"/>
    <x v="207"/>
    <n v="0"/>
    <n v="216093"/>
    <x v="0"/>
    <n v="0.56999999999999995"/>
    <n v="0.42699999999999999"/>
    <n v="6"/>
    <n v="-5.8730000000000002"/>
    <n v="1"/>
    <n v="2.9600000000000001E-2"/>
    <n v="0.36799999999999999"/>
    <s v="1.73e-05"/>
    <n v="0.156"/>
    <n v="0.186"/>
    <n v="98.995000000000005"/>
    <n v="4"/>
    <x v="0"/>
  </r>
  <r>
    <x v="698"/>
    <s v="Mindy Smith"/>
    <s v="Happy Country Christmas"/>
    <x v="207"/>
    <n v="0"/>
    <n v="216093"/>
    <x v="0"/>
    <n v="0.56999999999999995"/>
    <n v="0.42699999999999999"/>
    <n v="6"/>
    <n v="-5.8730000000000002"/>
    <n v="1"/>
    <n v="2.9600000000000001E-2"/>
    <n v="0.36799999999999999"/>
    <s v="1.73e-05"/>
    <n v="0.156"/>
    <n v="0.186"/>
    <n v="98.995000000000005"/>
    <n v="4"/>
    <x v="0"/>
  </r>
  <r>
    <x v="699"/>
    <s v="Mindy Smith"/>
    <s v="Chillin' It - Mellow Day Country"/>
    <x v="630"/>
    <n v="0"/>
    <n v="220213"/>
    <x v="0"/>
    <n v="0.61199999999999999"/>
    <n v="0.48399999999999999"/>
    <n v="9"/>
    <n v="-9.7729999999999997"/>
    <n v="1"/>
    <n v="3.1899999999999998E-2"/>
    <n v="0.64300000000000002"/>
    <n v="0"/>
    <n v="0.11799999999999999"/>
    <n v="0.254"/>
    <n v="138.96100000000001"/>
    <n v="4"/>
    <x v="0"/>
  </r>
  <r>
    <x v="700"/>
    <s v="Anya Marina"/>
    <s v="Over You (Deluxe Edition)"/>
    <x v="631"/>
    <n v="32"/>
    <n v="245726"/>
    <x v="0"/>
    <n v="0.40100000000000002"/>
    <n v="0.54600000000000004"/>
    <n v="11"/>
    <n v="-5.8460000000000001"/>
    <n v="0"/>
    <n v="3.1899999999999998E-2"/>
    <n v="0.39500000000000002"/>
    <s v="5.03e-05"/>
    <n v="0.12"/>
    <n v="0.15"/>
    <n v="89.331000000000003"/>
    <n v="4"/>
    <x v="0"/>
  </r>
  <r>
    <x v="701"/>
    <s v="Adam Christopher"/>
    <s v="THATS WHAT I WANT (Acoustic)"/>
    <x v="632"/>
    <n v="35"/>
    <n v="172857"/>
    <x v="1"/>
    <n v="0.75900000000000001"/>
    <n v="0.27500000000000002"/>
    <n v="0"/>
    <n v="-10.707000000000001"/>
    <n v="1"/>
    <n v="6.2600000000000003E-2"/>
    <n v="0.81"/>
    <n v="0"/>
    <n v="0.17699999999999999"/>
    <n v="0.45700000000000002"/>
    <n v="73.552999999999997"/>
    <n v="4"/>
    <x v="0"/>
  </r>
  <r>
    <x v="702"/>
    <s v="Hannah's Yard"/>
    <s v="Dynamite (Acoustic)"/>
    <x v="633"/>
    <n v="49"/>
    <n v="155904"/>
    <x v="0"/>
    <n v="0.73699999999999999"/>
    <n v="0.39100000000000001"/>
    <n v="2"/>
    <n v="-7.9340000000000002"/>
    <n v="1"/>
    <n v="6.8000000000000005E-2"/>
    <n v="0.80700000000000005"/>
    <n v="0"/>
    <n v="0.36699999999999999"/>
    <n v="0.83599999999999997"/>
    <n v="93.936000000000007"/>
    <n v="4"/>
    <x v="0"/>
  </r>
  <r>
    <x v="703"/>
    <s v="SafetySuit"/>
    <s v="Hallelujah"/>
    <x v="634"/>
    <n v="52"/>
    <n v="175200"/>
    <x v="0"/>
    <n v="0.63900000000000001"/>
    <n v="0.439"/>
    <n v="0"/>
    <n v="-7.157"/>
    <n v="1"/>
    <n v="4.8899999999999999E-2"/>
    <n v="0.872"/>
    <n v="0"/>
    <n v="9.1800000000000007E-2"/>
    <n v="0.51"/>
    <n v="133.87"/>
    <n v="4"/>
    <x v="0"/>
  </r>
  <r>
    <x v="704"/>
    <s v="Meiko"/>
    <s v="Lovers &amp; Fighters"/>
    <x v="635"/>
    <n v="31"/>
    <n v="208386"/>
    <x v="0"/>
    <n v="0.53200000000000003"/>
    <n v="0.66700000000000004"/>
    <n v="11"/>
    <n v="-7.0650000000000004"/>
    <n v="0"/>
    <n v="2.9499999999999998E-2"/>
    <n v="0.14000000000000001"/>
    <n v="1.9400000000000001E-2"/>
    <n v="0.193"/>
    <n v="0.67"/>
    <n v="144.90100000000001"/>
    <n v="4"/>
    <x v="0"/>
  </r>
  <r>
    <x v="705"/>
    <s v="Yosui Inoue;Tamio Okuda"/>
    <s v="ãƒ€ãƒ–ãƒ«ãƒ‰ãƒ©ã‚¤ãƒ–"/>
    <x v="636"/>
    <n v="28"/>
    <n v="246786"/>
    <x v="0"/>
    <n v="0.65600000000000003"/>
    <n v="0.82599999999999996"/>
    <n v="4"/>
    <n v="-3.9289999999999998"/>
    <n v="1"/>
    <n v="3.2300000000000002E-2"/>
    <n v="4.5300000000000002E-3"/>
    <s v="3.65e-06"/>
    <n v="7.9100000000000004E-2"/>
    <n v="0.89400000000000002"/>
    <n v="117.648"/>
    <n v="4"/>
    <x v="0"/>
  </r>
  <r>
    <x v="706"/>
    <s v="Boyce Avenue;Hannah Trigwell"/>
    <s v="Cover Sessions, Vol. 3"/>
    <x v="137"/>
    <n v="48"/>
    <n v="219650"/>
    <x v="0"/>
    <n v="0.59699999999999998"/>
    <n v="0.33400000000000002"/>
    <n v="11"/>
    <n v="-8.5589999999999993"/>
    <n v="1"/>
    <n v="2.7900000000000001E-2"/>
    <n v="0.86"/>
    <n v="0"/>
    <n v="0.123"/>
    <n v="0.34200000000000003"/>
    <n v="134.94"/>
    <n v="4"/>
    <x v="0"/>
  </r>
  <r>
    <x v="707"/>
    <s v="Canyon City"/>
    <s v="MatinÃ©e"/>
    <x v="637"/>
    <n v="48"/>
    <n v="252640"/>
    <x v="0"/>
    <n v="0.496"/>
    <n v="0.11"/>
    <n v="1"/>
    <n v="-15.584"/>
    <n v="1"/>
    <n v="4.2000000000000003E-2"/>
    <n v="0.91100000000000003"/>
    <s v="1.44e-05"/>
    <n v="8.2900000000000001E-2"/>
    <n v="0.23499999999999999"/>
    <n v="145.27699999999999"/>
    <n v="4"/>
    <x v="0"/>
  </r>
  <r>
    <x v="708"/>
    <s v="Eddy Tyler"/>
    <s v="Guitar Covers"/>
    <x v="638"/>
    <n v="41"/>
    <n v="214784"/>
    <x v="0"/>
    <n v="0.61299999999999999"/>
    <n v="0.34599999999999997"/>
    <n v="7"/>
    <n v="-11.33"/>
    <n v="1"/>
    <n v="3.9800000000000002E-2"/>
    <n v="0.89"/>
    <n v="0.91300000000000003"/>
    <n v="9.9400000000000002E-2"/>
    <n v="0.128"/>
    <n v="95.980999999999995"/>
    <n v="4"/>
    <x v="0"/>
  </r>
  <r>
    <x v="709"/>
    <s v="A Great Big World;Futuristic"/>
    <s v="When the Morning Comes"/>
    <x v="639"/>
    <n v="47"/>
    <n v="216040"/>
    <x v="0"/>
    <n v="0.61"/>
    <n v="0.79600000000000004"/>
    <n v="10"/>
    <n v="-5.431"/>
    <n v="1"/>
    <n v="6.5600000000000006E-2"/>
    <n v="3.6499999999999998E-2"/>
    <n v="0"/>
    <n v="0.27400000000000002"/>
    <n v="0.51"/>
    <n v="159.94399999999999"/>
    <n v="4"/>
    <x v="0"/>
  </r>
  <r>
    <x v="710"/>
    <s v="Hanare Gumi"/>
    <s v="æ·±å‘¼å¸"/>
    <x v="640"/>
    <n v="28"/>
    <n v="274133"/>
    <x v="0"/>
    <n v="0.63"/>
    <n v="0.36699999999999999"/>
    <n v="1"/>
    <n v="-11.054"/>
    <n v="1"/>
    <n v="2.3199999999999998E-2"/>
    <n v="5.1999999999999998E-2"/>
    <n v="2.02E-4"/>
    <n v="0.10299999999999999"/>
    <n v="0.54700000000000004"/>
    <n v="98.995000000000005"/>
    <n v="4"/>
    <x v="0"/>
  </r>
  <r>
    <x v="711"/>
    <s v="Ray LaMontagne"/>
    <s v="MONOVISION"/>
    <x v="90"/>
    <n v="60"/>
    <n v="251933"/>
    <x v="0"/>
    <n v="0.65900000000000003"/>
    <n v="0.23599999999999999"/>
    <n v="9"/>
    <n v="-12.56"/>
    <n v="1"/>
    <n v="3.04E-2"/>
    <n v="0.84"/>
    <s v="6.32e-05"/>
    <n v="0.20599999999999999"/>
    <n v="0.216"/>
    <n v="78.087999999999994"/>
    <n v="4"/>
    <x v="0"/>
  </r>
  <r>
    <x v="712"/>
    <s v="Aimyon"/>
    <s v="Heard that there's good pasta"/>
    <x v="641"/>
    <n v="47"/>
    <n v="296653"/>
    <x v="0"/>
    <n v="0.55900000000000005"/>
    <n v="0.44800000000000001"/>
    <n v="8"/>
    <n v="-4.1100000000000003"/>
    <n v="1"/>
    <n v="2.75E-2"/>
    <n v="0.53700000000000003"/>
    <s v="1.85e-05"/>
    <n v="9.1499999999999998E-2"/>
    <n v="0.35399999999999998"/>
    <n v="148.02000000000001"/>
    <n v="4"/>
    <x v="0"/>
  </r>
  <r>
    <x v="713"/>
    <s v="Tyrone Wells"/>
    <s v="The &quot;Hits&quot; | Acoustic"/>
    <x v="5"/>
    <n v="30"/>
    <n v="201506"/>
    <x v="0"/>
    <n v="0.80400000000000005"/>
    <n v="0.45700000000000002"/>
    <n v="6"/>
    <n v="-7.8449999999999998"/>
    <n v="1"/>
    <n v="0.19700000000000001"/>
    <n v="0.6"/>
    <n v="0"/>
    <n v="0.15"/>
    <n v="0.55200000000000005"/>
    <n v="98.034999999999997"/>
    <n v="4"/>
    <x v="0"/>
  </r>
  <r>
    <x v="714"/>
    <s v="Kaiak"/>
    <s v="River Love"/>
    <x v="642"/>
    <n v="49"/>
    <n v="201861"/>
    <x v="0"/>
    <n v="0.63700000000000001"/>
    <n v="0.46"/>
    <n v="3"/>
    <n v="-9.07"/>
    <n v="1"/>
    <n v="3.8399999999999997E-2"/>
    <n v="0.85499999999999998"/>
    <s v="4.8e-05"/>
    <n v="0.114"/>
    <n v="0.34499999999999997"/>
    <n v="93.954999999999998"/>
    <n v="4"/>
    <x v="0"/>
  </r>
  <r>
    <x v="715"/>
    <s v="Jason Mraz"/>
    <s v="Know."/>
    <x v="21"/>
    <n v="51"/>
    <n v="231266"/>
    <x v="0"/>
    <n v="0.79500000000000004"/>
    <n v="0.66700000000000004"/>
    <n v="5"/>
    <n v="-4.8310000000000004"/>
    <n v="0"/>
    <n v="3.9199999999999999E-2"/>
    <n v="0.379"/>
    <n v="0"/>
    <n v="0.221"/>
    <n v="0.754"/>
    <n v="97.986999999999995"/>
    <n v="4"/>
    <x v="0"/>
  </r>
  <r>
    <x v="716"/>
    <s v="Boyce Avenue;Bea Miller"/>
    <s v="Cover Sessions, Vol. 4"/>
    <x v="643"/>
    <n v="50"/>
    <n v="239802"/>
    <x v="0"/>
    <n v="0.56999999999999995"/>
    <n v="0.41299999999999998"/>
    <n v="9"/>
    <n v="-7.0339999999999998"/>
    <n v="1"/>
    <n v="3.4500000000000003E-2"/>
    <n v="0.53500000000000003"/>
    <n v="0"/>
    <n v="7.5999999999999998E-2"/>
    <n v="0.27800000000000002"/>
    <n v="152.03200000000001"/>
    <n v="4"/>
    <x v="0"/>
  </r>
  <r>
    <x v="717"/>
    <s v="Sakura Fujiwara"/>
    <s v="SUPERMARKET"/>
    <x v="644"/>
    <n v="28"/>
    <n v="247666"/>
    <x v="0"/>
    <n v="0.56499999999999995"/>
    <n v="0.56599999999999995"/>
    <n v="6"/>
    <n v="-7.258"/>
    <n v="1"/>
    <n v="2.7199999999999998E-2"/>
    <n v="0.47199999999999998"/>
    <n v="4.26E-4"/>
    <n v="0.14799999999999999"/>
    <n v="0.55100000000000005"/>
    <n v="92.016999999999996"/>
    <n v="4"/>
    <x v="0"/>
  </r>
  <r>
    <x v="718"/>
    <s v="Filip Nordin"/>
    <s v="Acustic Covers of Popular Songs"/>
    <x v="645"/>
    <n v="51"/>
    <n v="155510"/>
    <x v="0"/>
    <n v="0.77600000000000002"/>
    <n v="0.31900000000000001"/>
    <n v="8"/>
    <n v="-7.4960000000000004"/>
    <n v="1"/>
    <n v="3.1E-2"/>
    <n v="0.79100000000000004"/>
    <n v="0"/>
    <n v="0.159"/>
    <n v="0.501"/>
    <n v="98.016000000000005"/>
    <n v="4"/>
    <x v="0"/>
  </r>
  <r>
    <x v="719"/>
    <s v="Gabrielle Aplin"/>
    <s v="Dear Happy"/>
    <x v="646"/>
    <n v="45"/>
    <n v="164786"/>
    <x v="0"/>
    <n v="0.32800000000000001"/>
    <n v="0.53"/>
    <n v="5"/>
    <n v="-8.1240000000000006"/>
    <n v="1"/>
    <n v="5.0900000000000001E-2"/>
    <n v="6.0199999999999997E-2"/>
    <n v="0"/>
    <n v="5.7000000000000002E-2"/>
    <n v="0.753"/>
    <n v="162.03100000000001"/>
    <n v="4"/>
    <x v="0"/>
  </r>
  <r>
    <x v="720"/>
    <s v="The Mayries"/>
    <s v="#Acoustic"/>
    <x v="647"/>
    <n v="54"/>
    <n v="183472"/>
    <x v="0"/>
    <n v="0.438"/>
    <n v="0.44800000000000001"/>
    <n v="1"/>
    <n v="-7.6760000000000002"/>
    <n v="1"/>
    <n v="6.6600000000000006E-2"/>
    <n v="0.70599999999999996"/>
    <n v="0"/>
    <n v="0.159"/>
    <n v="0.36599999999999999"/>
    <n v="118.37"/>
    <n v="5"/>
    <x v="0"/>
  </r>
  <r>
    <x v="721"/>
    <s v="Allman Brown"/>
    <s v="1000 Years"/>
    <x v="648"/>
    <n v="54"/>
    <n v="218502"/>
    <x v="0"/>
    <n v="0.54600000000000004"/>
    <n v="0.41099999999999998"/>
    <n v="2"/>
    <n v="-9.3079999999999998"/>
    <n v="1"/>
    <n v="4.7500000000000001E-2"/>
    <n v="0.70099999999999996"/>
    <s v="9.73e-05"/>
    <n v="9.5500000000000002E-2"/>
    <n v="0.52800000000000002"/>
    <n v="79.784999999999997"/>
    <n v="4"/>
    <x v="0"/>
  </r>
  <r>
    <x v="722"/>
    <s v="Sara Bareilles;John Legend"/>
    <s v="Amidst the Chaos (Bonus Version)"/>
    <x v="649"/>
    <n v="57"/>
    <n v="269209"/>
    <x v="0"/>
    <n v="0.42399999999999999"/>
    <n v="0.253"/>
    <n v="10"/>
    <n v="-13.259"/>
    <n v="1"/>
    <n v="3.6600000000000001E-2"/>
    <n v="0.82499999999999996"/>
    <n v="0"/>
    <n v="0.11700000000000001"/>
    <n v="0.16"/>
    <n v="129.81200000000001"/>
    <n v="3"/>
    <x v="0"/>
  </r>
  <r>
    <x v="723"/>
    <s v="Suy Galvez"/>
    <s v="Bossa Best"/>
    <x v="650"/>
    <n v="27"/>
    <n v="242880"/>
    <x v="0"/>
    <n v="0.58599999999999997"/>
    <n v="0.41499999999999998"/>
    <n v="11"/>
    <n v="-7.8339999999999996"/>
    <n v="1"/>
    <n v="2.76E-2"/>
    <n v="0.83599999999999997"/>
    <s v="6.01e-05"/>
    <n v="0.122"/>
    <n v="0.70399999999999996"/>
    <n v="140.005"/>
    <n v="4"/>
    <x v="0"/>
  </r>
  <r>
    <x v="724"/>
    <s v="The Civil Wars"/>
    <s v="Between The Bars (EP)"/>
    <x v="651"/>
    <n v="57"/>
    <n v="259920"/>
    <x v="0"/>
    <n v="0.53200000000000003"/>
    <n v="0.20300000000000001"/>
    <n v="9"/>
    <n v="-8.5239999999999991"/>
    <n v="0"/>
    <n v="6.6799999999999998E-2"/>
    <n v="0.82899999999999996"/>
    <n v="0"/>
    <n v="0.108"/>
    <n v="0.54300000000000004"/>
    <n v="89.646000000000001"/>
    <n v="4"/>
    <x v="0"/>
  </r>
  <r>
    <x v="725"/>
    <s v="Melvin Taylor;Lucky Peterson;Titus Williams;Ray &quot;Killer&quot; Allison"/>
    <s v="Plays the Blues for You (feat. Lucky Peterson, Titus Williams, Ray &quot;Killer&quot; Allison) [Blues Power]"/>
    <x v="652"/>
    <n v="55"/>
    <n v="318333"/>
    <x v="0"/>
    <n v="0.73499999999999999"/>
    <n v="0.35499999999999998"/>
    <n v="9"/>
    <n v="-19.032"/>
    <n v="0"/>
    <n v="3.8699999999999998E-2"/>
    <n v="0.65600000000000003"/>
    <n v="9.4E-2"/>
    <n v="0.11899999999999999"/>
    <n v="0.72399999999999998"/>
    <n v="93.552999999999997"/>
    <n v="4"/>
    <x v="0"/>
  </r>
  <r>
    <x v="726"/>
    <s v="Eddie van der Meer"/>
    <s v="Cover Songs, #1"/>
    <x v="653"/>
    <n v="30"/>
    <n v="98000"/>
    <x v="0"/>
    <n v="0.315"/>
    <n v="0.51600000000000001"/>
    <n v="1"/>
    <n v="-8.1120000000000001"/>
    <n v="0"/>
    <n v="6.2199999999999998E-2"/>
    <n v="0.85899999999999999"/>
    <n v="0.94699999999999995"/>
    <n v="0.115"/>
    <n v="0.184"/>
    <n v="188.32499999999999"/>
    <n v="3"/>
    <x v="0"/>
  </r>
  <r>
    <x v="727"/>
    <s v="Takehara Pistol"/>
    <s v="youth"/>
    <x v="654"/>
    <n v="27"/>
    <n v="182306"/>
    <x v="0"/>
    <n v="0.625"/>
    <n v="0.77600000000000002"/>
    <n v="9"/>
    <n v="-7.3540000000000001"/>
    <n v="1"/>
    <n v="3.5400000000000001E-2"/>
    <n v="2.9899999999999999E-2"/>
    <n v="0"/>
    <n v="0.23"/>
    <n v="0.61699999999999999"/>
    <n v="88.001999999999995"/>
    <n v="4"/>
    <x v="0"/>
  </r>
  <r>
    <x v="728"/>
    <s v="Luther Allison"/>
    <s v="Serious"/>
    <x v="655"/>
    <n v="41"/>
    <n v="219640"/>
    <x v="0"/>
    <n v="0.59399999999999997"/>
    <n v="0.74399999999999999"/>
    <n v="6"/>
    <n v="-10.096"/>
    <n v="0"/>
    <n v="3.04E-2"/>
    <n v="0.64800000000000002"/>
    <n v="3.0500000000000002E-3"/>
    <n v="0.26100000000000001"/>
    <n v="0.77800000000000002"/>
    <n v="102.34399999999999"/>
    <n v="4"/>
    <x v="0"/>
  </r>
  <r>
    <x v="729"/>
    <s v="Takehara Pistol"/>
    <s v="ROUTE to ROOTS"/>
    <x v="656"/>
    <n v="28"/>
    <n v="361693"/>
    <x v="0"/>
    <n v="0.41399999999999998"/>
    <n v="0.42"/>
    <n v="10"/>
    <n v="-5.6470000000000002"/>
    <n v="1"/>
    <n v="3.0099999999999998E-2"/>
    <n v="0.30299999999999999"/>
    <s v="9.13e-06"/>
    <n v="0.19400000000000001"/>
    <n v="0.376"/>
    <n v="97.135999999999996"/>
    <n v="4"/>
    <x v="0"/>
  </r>
  <r>
    <x v="730"/>
    <s v="Jason Mraz"/>
    <s v="Waiting for My Rocket to Come"/>
    <x v="105"/>
    <n v="57"/>
    <n v="218240"/>
    <x v="0"/>
    <n v="0.61499999999999999"/>
    <n v="0.81200000000000006"/>
    <n v="7"/>
    <n v="-6.5730000000000004"/>
    <n v="1"/>
    <n v="4.58E-2"/>
    <n v="0.184"/>
    <n v="0"/>
    <n v="0.32800000000000001"/>
    <n v="0.74"/>
    <n v="98.953999999999994"/>
    <n v="4"/>
    <x v="0"/>
  </r>
  <r>
    <x v="731"/>
    <s v="John Frusciante"/>
    <s v="Curtains"/>
    <x v="657"/>
    <n v="51"/>
    <n v="233626"/>
    <x v="0"/>
    <n v="0.38100000000000001"/>
    <n v="0.33400000000000002"/>
    <n v="7"/>
    <n v="-11.36"/>
    <n v="1"/>
    <n v="2.7099999999999999E-2"/>
    <n v="0.20200000000000001"/>
    <n v="2.03E-4"/>
    <n v="0.41099999999999998"/>
    <n v="0.17100000000000001"/>
    <n v="102.63200000000001"/>
    <n v="4"/>
    <x v="0"/>
  </r>
  <r>
    <x v="732"/>
    <s v="Maris Racal"/>
    <s v="Ate Sandali"/>
    <x v="658"/>
    <n v="27"/>
    <n v="174124"/>
    <x v="0"/>
    <n v="0.46600000000000003"/>
    <n v="0.14000000000000001"/>
    <n v="9"/>
    <n v="-13.118"/>
    <n v="1"/>
    <n v="3.0099999999999998E-2"/>
    <n v="0.92100000000000004"/>
    <n v="6.5900000000000004E-3"/>
    <n v="0.35799999999999998"/>
    <n v="0.35099999999999998"/>
    <n v="147.328"/>
    <n v="3"/>
    <x v="0"/>
  </r>
  <r>
    <x v="733"/>
    <s v="Front Porch Step"/>
    <s v="I Never Loved Before I Found You"/>
    <x v="659"/>
    <n v="27"/>
    <n v="250987"/>
    <x v="0"/>
    <n v="0.63600000000000001"/>
    <n v="0.77600000000000002"/>
    <n v="7"/>
    <n v="-4.7649999999999997"/>
    <n v="1"/>
    <n v="3.6200000000000003E-2"/>
    <n v="6.62E-3"/>
    <s v="5.47e-06"/>
    <n v="7.4099999999999999E-2"/>
    <n v="0.40200000000000002"/>
    <n v="95.998999999999995"/>
    <n v="4"/>
    <x v="0"/>
  </r>
  <r>
    <x v="734"/>
    <s v="Penny and Sparrow"/>
    <s v="Olly Olly"/>
    <x v="660"/>
    <n v="58"/>
    <n v="189282"/>
    <x v="0"/>
    <n v="0.54500000000000004"/>
    <n v="0.64200000000000002"/>
    <n v="10"/>
    <n v="-7.3440000000000003"/>
    <n v="1"/>
    <n v="2.7900000000000001E-2"/>
    <n v="0.51700000000000002"/>
    <s v="1.75e-06"/>
    <n v="0.11600000000000001"/>
    <n v="0.55500000000000005"/>
    <n v="78.510000000000005"/>
    <n v="4"/>
    <x v="0"/>
  </r>
  <r>
    <x v="735"/>
    <s v="We The Heathens"/>
    <s v="Regicide"/>
    <x v="661"/>
    <n v="27"/>
    <n v="209606"/>
    <x v="1"/>
    <n v="0.53200000000000003"/>
    <n v="0.54"/>
    <n v="10"/>
    <n v="-6.3040000000000003"/>
    <n v="1"/>
    <n v="3.4599999999999999E-2"/>
    <n v="0.72399999999999998"/>
    <n v="3.7599999999999998E-4"/>
    <n v="4.6399999999999997E-2"/>
    <n v="0.76500000000000001"/>
    <n v="169.82599999999999"/>
    <n v="4"/>
    <x v="0"/>
  </r>
  <r>
    <x v="736"/>
    <s v="Front Porch Step"/>
    <s v="Whole Again"/>
    <x v="662"/>
    <n v="27"/>
    <n v="212960"/>
    <x v="0"/>
    <n v="0.61499999999999999"/>
    <n v="0.312"/>
    <n v="2"/>
    <n v="-10.054"/>
    <n v="1"/>
    <n v="3.0099999999999998E-2"/>
    <n v="0.72699999999999998"/>
    <s v="8.29e-05"/>
    <n v="0.25600000000000001"/>
    <n v="0.35399999999999998"/>
    <n v="135.14500000000001"/>
    <n v="4"/>
    <x v="0"/>
  </r>
  <r>
    <x v="737"/>
    <s v="Gail Blanco"/>
    <s v="Love Love Love"/>
    <x v="663"/>
    <n v="27"/>
    <n v="294853"/>
    <x v="0"/>
    <n v="0.66400000000000003"/>
    <n v="0.45"/>
    <n v="1"/>
    <n v="-7.0069999999999997"/>
    <n v="1"/>
    <n v="2.5700000000000001E-2"/>
    <n v="0.78100000000000003"/>
    <s v="1.71e-05"/>
    <n v="0.311"/>
    <n v="0.26"/>
    <n v="83.986999999999995"/>
    <n v="4"/>
    <x v="0"/>
  </r>
  <r>
    <x v="738"/>
    <s v="Ramshackle Glory"/>
    <s v="One Last Big Job"/>
    <x v="664"/>
    <n v="28"/>
    <n v="179920"/>
    <x v="0"/>
    <n v="0.46600000000000003"/>
    <n v="0.42099999999999999"/>
    <n v="7"/>
    <n v="-7.4279999999999999"/>
    <n v="1"/>
    <n v="3.1800000000000002E-2"/>
    <n v="7.9799999999999992E-3"/>
    <s v="1.09e-05"/>
    <n v="7.17E-2"/>
    <n v="0.78800000000000003"/>
    <n v="146.791"/>
    <n v="4"/>
    <x v="0"/>
  </r>
  <r>
    <x v="739"/>
    <s v="RENT STRIKE"/>
    <s v="IX"/>
    <x v="665"/>
    <n v="27"/>
    <n v="330454"/>
    <x v="0"/>
    <n v="0.34200000000000003"/>
    <n v="0.73099999999999998"/>
    <n v="3"/>
    <n v="-6.0149999999999997"/>
    <n v="1"/>
    <n v="5.45E-2"/>
    <n v="6.7500000000000004E-2"/>
    <s v="6.24e-05"/>
    <n v="0.191"/>
    <n v="0.66500000000000004"/>
    <n v="181.81"/>
    <n v="4"/>
    <x v="0"/>
  </r>
  <r>
    <x v="740"/>
    <s v="Days N Daze"/>
    <s v="Rogue Taxidermy"/>
    <x v="666"/>
    <n v="28"/>
    <n v="175046"/>
    <x v="0"/>
    <n v="0.58299999999999996"/>
    <n v="0.53400000000000003"/>
    <n v="2"/>
    <n v="-11.147"/>
    <n v="0"/>
    <n v="4.1099999999999998E-2"/>
    <n v="0.56899999999999995"/>
    <n v="0"/>
    <n v="0.35099999999999998"/>
    <n v="0.94299999999999995"/>
    <n v="123.09399999999999"/>
    <n v="4"/>
    <x v="0"/>
  </r>
  <r>
    <x v="741"/>
    <s v="Sonny Boy Williamson II"/>
    <s v="The Best Of"/>
    <x v="667"/>
    <n v="30"/>
    <n v="153653"/>
    <x v="0"/>
    <n v="0.69899999999999995"/>
    <n v="0.76100000000000001"/>
    <n v="7"/>
    <n v="-7.2640000000000002"/>
    <n v="1"/>
    <n v="0.10299999999999999"/>
    <n v="0.80600000000000005"/>
    <n v="1.15E-3"/>
    <n v="0.58799999999999997"/>
    <n v="0.70599999999999996"/>
    <n v="115.048"/>
    <n v="4"/>
    <x v="0"/>
  </r>
  <r>
    <x v="742"/>
    <s v="AJJ"/>
    <s v="Christmas Island"/>
    <x v="668"/>
    <n v="28"/>
    <n v="174709"/>
    <x v="0"/>
    <n v="0.64500000000000002"/>
    <n v="0.626"/>
    <n v="7"/>
    <n v="-7.5510000000000002"/>
    <n v="1"/>
    <n v="3.6400000000000002E-2"/>
    <n v="0.25900000000000001"/>
    <n v="8.8699999999999994E-3"/>
    <n v="0.115"/>
    <n v="0.307"/>
    <n v="118.58499999999999"/>
    <n v="4"/>
    <x v="0"/>
  </r>
  <r>
    <x v="743"/>
    <s v="Ramshackle Glory"/>
    <s v="Live the Dream"/>
    <x v="669"/>
    <n v="28"/>
    <n v="258866"/>
    <x v="0"/>
    <n v="0.57699999999999996"/>
    <n v="0.45300000000000001"/>
    <n v="2"/>
    <n v="-8.77"/>
    <n v="1"/>
    <n v="4.8899999999999999E-2"/>
    <n v="0.39500000000000002"/>
    <n v="0"/>
    <n v="0.17599999999999999"/>
    <n v="0.51"/>
    <n v="132.94399999999999"/>
    <n v="4"/>
    <x v="0"/>
  </r>
  <r>
    <x v="744"/>
    <s v="Harley Poe"/>
    <s v="7 Inches of Hell"/>
    <x v="670"/>
    <n v="28"/>
    <n v="172121"/>
    <x v="1"/>
    <n v="0.52900000000000003"/>
    <n v="0.93600000000000005"/>
    <n v="5"/>
    <n v="-4.0609999999999999"/>
    <n v="0"/>
    <n v="7.5700000000000003E-2"/>
    <n v="0.25600000000000001"/>
    <n v="4.5399999999999998E-4"/>
    <n v="0.752"/>
    <n v="0.84899999999999998"/>
    <n v="91.951999999999998"/>
    <n v="4"/>
    <x v="0"/>
  </r>
  <r>
    <x v="745"/>
    <s v="Frank Turner"/>
    <s v="FTHC (Deluxe)"/>
    <x v="671"/>
    <n v="27"/>
    <n v="119946"/>
    <x v="1"/>
    <n v="0.45500000000000002"/>
    <n v="0.96099999999999997"/>
    <n v="4"/>
    <n v="-4.5270000000000001"/>
    <n v="0"/>
    <n v="8.2400000000000001E-2"/>
    <s v="1.09e-05"/>
    <n v="1.3100000000000001E-2"/>
    <n v="0.35699999999999998"/>
    <n v="0.41699999999999998"/>
    <n v="95.069000000000003"/>
    <n v="4"/>
    <x v="0"/>
  </r>
  <r>
    <x v="746"/>
    <s v="Frank Turner"/>
    <s v="FTHC (Deluxe)"/>
    <x v="672"/>
    <n v="27"/>
    <n v="159640"/>
    <x v="1"/>
    <n v="0.45500000000000002"/>
    <n v="0.93799999999999994"/>
    <n v="7"/>
    <n v="-4.3159999999999998"/>
    <n v="1"/>
    <n v="7.5600000000000001E-2"/>
    <n v="2.2000000000000001E-3"/>
    <s v="1.21e-05"/>
    <n v="0.14199999999999999"/>
    <n v="0.55200000000000005"/>
    <n v="143.887"/>
    <n v="4"/>
    <x v="0"/>
  </r>
  <r>
    <x v="747"/>
    <s v="Eric Lumiere"/>
    <s v="Chill Out Covers - Chillout Covers - Chill Acoustic - Relaxing Songs - Calming Acoustic Songs"/>
    <x v="673"/>
    <n v="27"/>
    <n v="244821"/>
    <x v="0"/>
    <n v="0.66200000000000003"/>
    <n v="0.26800000000000002"/>
    <n v="10"/>
    <n v="-7.3940000000000001"/>
    <n v="1"/>
    <n v="3.5799999999999998E-2"/>
    <n v="0.85799999999999998"/>
    <n v="0"/>
    <n v="0.11"/>
    <n v="0.39400000000000002"/>
    <n v="111.59399999999999"/>
    <n v="4"/>
    <x v="0"/>
  </r>
  <r>
    <x v="748"/>
    <s v="Days N Daze"/>
    <s v="The Oogle Deathmachine"/>
    <x v="674"/>
    <n v="28"/>
    <n v="182204"/>
    <x v="1"/>
    <n v="0.48599999999999999"/>
    <n v="0.42299999999999999"/>
    <n v="9"/>
    <n v="-11.702999999999999"/>
    <n v="0"/>
    <n v="4.2599999999999999E-2"/>
    <n v="0.78400000000000003"/>
    <n v="0"/>
    <n v="0.32"/>
    <n v="0.75"/>
    <n v="127.551"/>
    <n v="4"/>
    <x v="0"/>
  </r>
  <r>
    <x v="749"/>
    <s v="Frank Turner"/>
    <s v="Positive Songs For Negative People"/>
    <x v="19"/>
    <n v="27"/>
    <n v="245386"/>
    <x v="0"/>
    <n v="0.28499999999999998"/>
    <n v="0.93799999999999994"/>
    <n v="4"/>
    <n v="-5.4139999999999997"/>
    <n v="1"/>
    <n v="7.9500000000000001E-2"/>
    <n v="1.4499999999999999E-3"/>
    <n v="2.7300000000000002E-4"/>
    <n v="0.38700000000000001"/>
    <n v="0.28599999999999998"/>
    <n v="159.017"/>
    <n v="4"/>
    <x v="0"/>
  </r>
  <r>
    <x v="750"/>
    <s v="Aimyon"/>
    <s v="é’æ˜¥ã®ã‚¨ã‚­ã‚µã‚¤ãƒˆãƒ¡ãƒ³ãƒˆ"/>
    <x v="675"/>
    <n v="65"/>
    <n v="235240"/>
    <x v="0"/>
    <n v="0.67300000000000004"/>
    <n v="0.85"/>
    <n v="2"/>
    <n v="-5.0209999999999999"/>
    <n v="1"/>
    <n v="3.3700000000000001E-2"/>
    <n v="3.4500000000000003E-2"/>
    <s v="1.14e-05"/>
    <n v="9.4299999999999995E-2"/>
    <n v="0.79300000000000004"/>
    <n v="100.008"/>
    <n v="4"/>
    <x v="0"/>
  </r>
  <r>
    <x v="751"/>
    <s v="Gen Hoshino"/>
    <s v="FUSHIGI"/>
    <x v="676"/>
    <n v="49"/>
    <n v="290000"/>
    <x v="0"/>
    <n v="0.753"/>
    <n v="0.57399999999999995"/>
    <n v="3"/>
    <n v="-4.57"/>
    <n v="1"/>
    <n v="4.8300000000000003E-2"/>
    <n v="5.1200000000000002E-2"/>
    <s v="3.71e-06"/>
    <n v="0.14099999999999999"/>
    <n v="0.52700000000000002"/>
    <n v="89.024000000000001"/>
    <n v="4"/>
    <x v="0"/>
  </r>
  <r>
    <x v="752"/>
    <s v="Luther Allison"/>
    <s v="Bad News Is Coming"/>
    <x v="677"/>
    <n v="52"/>
    <n v="445533"/>
    <x v="0"/>
    <n v="0.63900000000000001"/>
    <n v="0.496"/>
    <n v="1"/>
    <n v="-6.8440000000000003"/>
    <n v="0"/>
    <n v="3.7499999999999999E-2"/>
    <n v="0.71299999999999997"/>
    <n v="0.254"/>
    <n v="5.45E-2"/>
    <n v="0.46700000000000003"/>
    <n v="140.39400000000001"/>
    <n v="3"/>
    <x v="0"/>
  </r>
  <r>
    <x v="753"/>
    <s v="Ethan Loukas"/>
    <s v="I Mean Love"/>
    <x v="678"/>
    <n v="39"/>
    <n v="193876"/>
    <x v="0"/>
    <n v="0.748"/>
    <n v="0.42799999999999999"/>
    <n v="6"/>
    <n v="-7.0190000000000001"/>
    <n v="1"/>
    <n v="3.1399999999999997E-2"/>
    <n v="0.54200000000000004"/>
    <n v="0"/>
    <n v="9.9400000000000002E-2"/>
    <n v="0.56499999999999995"/>
    <n v="115.06699999999999"/>
    <n v="4"/>
    <x v="0"/>
  </r>
  <r>
    <x v="754"/>
    <s v="Gabrielle Aplin"/>
    <s v="Miss You"/>
    <x v="679"/>
    <n v="38"/>
    <n v="221826"/>
    <x v="0"/>
    <n v="0.45800000000000002"/>
    <n v="0.81499999999999995"/>
    <n v="1"/>
    <n v="-7.16"/>
    <n v="0"/>
    <n v="5.1499999999999997E-2"/>
    <n v="3.7399999999999998E-3"/>
    <s v="1.07e-05"/>
    <n v="0.115"/>
    <n v="0.36199999999999999"/>
    <n v="118.226"/>
    <n v="4"/>
    <x v="0"/>
  </r>
  <r>
    <x v="755"/>
    <s v="Andrew Belle"/>
    <s v="Black Bear"/>
    <x v="680"/>
    <n v="45"/>
    <n v="318439"/>
    <x v="0"/>
    <n v="0.48299999999999998"/>
    <n v="0.80600000000000005"/>
    <n v="7"/>
    <n v="-5.1109999999999998"/>
    <n v="0"/>
    <n v="3.2099999999999997E-2"/>
    <n v="8.8099999999999998E-2"/>
    <n v="8.9499999999999996E-4"/>
    <n v="9.9099999999999994E-2"/>
    <n v="0.19"/>
    <n v="147.04900000000001"/>
    <n v="4"/>
    <x v="0"/>
  </r>
  <r>
    <x v="756"/>
    <s v="Gen Hoshino"/>
    <s v="Doraemon"/>
    <x v="681"/>
    <n v="41"/>
    <n v="239933"/>
    <x v="0"/>
    <n v="0.64"/>
    <n v="0.54700000000000004"/>
    <n v="4"/>
    <n v="-4.1289999999999996"/>
    <n v="1"/>
    <n v="3.7999999999999999E-2"/>
    <n v="6.7600000000000004E-3"/>
    <s v="4.95e-05"/>
    <n v="5.8500000000000003E-2"/>
    <n v="0.95"/>
    <n v="159.99199999999999"/>
    <n v="4"/>
    <x v="0"/>
  </r>
  <r>
    <x v="757"/>
    <s v="Carly Lyman;Jason Lux"/>
    <s v="Landslide"/>
    <x v="682"/>
    <n v="49"/>
    <n v="194782"/>
    <x v="0"/>
    <n v="0.48299999999999998"/>
    <n v="0.14299999999999999"/>
    <n v="1"/>
    <n v="-11.535"/>
    <n v="1"/>
    <n v="3.5000000000000003E-2"/>
    <n v="0.95799999999999996"/>
    <n v="0"/>
    <n v="0.11899999999999999"/>
    <n v="0.34200000000000003"/>
    <n v="104.932"/>
    <n v="3"/>
    <x v="0"/>
  </r>
  <r>
    <x v="758"/>
    <s v="Joshua Radin"/>
    <s v="I'd Rather Be With You"/>
    <x v="683"/>
    <n v="28"/>
    <n v="163200"/>
    <x v="0"/>
    <n v="0.51200000000000001"/>
    <n v="0.67100000000000004"/>
    <n v="1"/>
    <n v="-7.7380000000000004"/>
    <n v="1"/>
    <n v="2.8299999999999999E-2"/>
    <n v="3.1399999999999997E-2"/>
    <n v="0.161"/>
    <n v="7.4899999999999994E-2"/>
    <n v="0.39700000000000002"/>
    <n v="82.341999999999999"/>
    <n v="4"/>
    <x v="0"/>
  </r>
  <r>
    <x v="759"/>
    <s v="Blame Jones"/>
    <s v="Leave The Door Open (Acoustic)"/>
    <x v="684"/>
    <n v="51"/>
    <n v="186503"/>
    <x v="0"/>
    <n v="0.81699999999999995"/>
    <n v="0.30499999999999999"/>
    <n v="6"/>
    <n v="-7.73"/>
    <n v="1"/>
    <n v="4.5100000000000001E-2"/>
    <n v="0.874"/>
    <n v="0"/>
    <n v="0.115"/>
    <n v="0.52"/>
    <n v="148.017"/>
    <n v="3"/>
    <x v="0"/>
  </r>
  <r>
    <x v="760"/>
    <s v="Michelle Featherstone"/>
    <s v="Blue Bike"/>
    <x v="685"/>
    <n v="35"/>
    <n v="256760"/>
    <x v="0"/>
    <n v="0.505"/>
    <n v="0.83499999999999996"/>
    <n v="5"/>
    <n v="-4.3010000000000002"/>
    <n v="1"/>
    <n v="2.9600000000000001E-2"/>
    <n v="0.46"/>
    <n v="3.5199999999999999E-4"/>
    <n v="0.16500000000000001"/>
    <n v="0.48399999999999999"/>
    <n v="144.17099999999999"/>
    <n v="4"/>
    <x v="0"/>
  </r>
  <r>
    <x v="761"/>
    <s v="Lusaint"/>
    <s v="Use Somebody (Acoustic)"/>
    <x v="686"/>
    <n v="54"/>
    <n v="172633"/>
    <x v="0"/>
    <n v="0.59099999999999997"/>
    <n v="0.26900000000000002"/>
    <n v="0"/>
    <n v="-8.5540000000000003"/>
    <n v="1"/>
    <n v="3.0099999999999998E-2"/>
    <n v="0.91100000000000003"/>
    <n v="0"/>
    <n v="9.4500000000000001E-2"/>
    <n v="0.246"/>
    <n v="124.441"/>
    <n v="4"/>
    <x v="0"/>
  </r>
  <r>
    <x v="762"/>
    <s v="Kurt Cobain"/>
    <s v="Montage Of Heck: The Home Recordings (Deluxe Soundtrack)"/>
    <x v="687"/>
    <n v="48"/>
    <n v="167186"/>
    <x v="0"/>
    <n v="0.47399999999999998"/>
    <n v="6.9900000000000004E-2"/>
    <n v="0"/>
    <n v="-27.372"/>
    <n v="1"/>
    <n v="3.7999999999999999E-2"/>
    <n v="0.99199999999999999"/>
    <n v="0.89800000000000002"/>
    <n v="0.11600000000000001"/>
    <n v="0.24299999999999999"/>
    <n v="114.60599999999999"/>
    <n v="4"/>
    <x v="0"/>
  </r>
  <r>
    <x v="763"/>
    <s v="Thomas Daniel"/>
    <s v="What About Us (Acoustic)"/>
    <x v="688"/>
    <n v="60"/>
    <n v="255510"/>
    <x v="0"/>
    <n v="0.42699999999999999"/>
    <n v="0.22900000000000001"/>
    <n v="4"/>
    <n v="-11.564"/>
    <n v="1"/>
    <n v="3.6400000000000002E-2"/>
    <n v="0.93500000000000005"/>
    <s v="7.37e-06"/>
    <n v="9.5799999999999996E-2"/>
    <n v="0.222"/>
    <n v="125.19499999999999"/>
    <n v="5"/>
    <x v="0"/>
  </r>
  <r>
    <x v="764"/>
    <s v="Big Mama Thornton"/>
    <s v="Ball n' Chain"/>
    <x v="689"/>
    <n v="57"/>
    <n v="181000"/>
    <x v="0"/>
    <n v="0.56299999999999994"/>
    <n v="0.54200000000000004"/>
    <n v="9"/>
    <n v="-10.862"/>
    <n v="1"/>
    <n v="9.6199999999999994E-2"/>
    <n v="0.70599999999999996"/>
    <s v="3.59e-05"/>
    <n v="0.35499999999999998"/>
    <n v="0.78500000000000003"/>
    <n v="133.285"/>
    <n v="4"/>
    <x v="0"/>
  </r>
  <r>
    <x v="765"/>
    <s v="Ingrid Michaelson"/>
    <s v="Turn To Stone"/>
    <x v="690"/>
    <n v="45"/>
    <n v="276386"/>
    <x v="0"/>
    <n v="0.35399999999999998"/>
    <n v="0.17499999999999999"/>
    <n v="0"/>
    <n v="-9.7789999999999999"/>
    <n v="1"/>
    <n v="3.8800000000000001E-2"/>
    <n v="0.78100000000000003"/>
    <s v="7.63e-05"/>
    <n v="0.153"/>
    <n v="0.32300000000000001"/>
    <n v="111.089"/>
    <n v="4"/>
    <x v="0"/>
  </r>
  <r>
    <x v="766"/>
    <s v="Joseph Sullinger"/>
    <s v="Drawn by the Wind (Arr. for Guitar)"/>
    <x v="691"/>
    <n v="34"/>
    <n v="196487"/>
    <x v="0"/>
    <n v="0.51400000000000001"/>
    <n v="0.23899999999999999"/>
    <n v="2"/>
    <n v="-14.957000000000001"/>
    <n v="0"/>
    <n v="0.10100000000000001"/>
    <n v="0.98199999999999998"/>
    <n v="0.95399999999999996"/>
    <n v="0.106"/>
    <n v="0.33800000000000002"/>
    <n v="119.998"/>
    <n v="4"/>
    <x v="0"/>
  </r>
  <r>
    <x v="767"/>
    <s v="Neulore"/>
    <s v="Animal Evolve"/>
    <x v="692"/>
    <n v="40"/>
    <n v="269826"/>
    <x v="0"/>
    <n v="0.28499999999999998"/>
    <n v="0.30499999999999999"/>
    <n v="7"/>
    <n v="-10.523"/>
    <n v="1"/>
    <n v="2.8500000000000001E-2"/>
    <n v="0.26"/>
    <n v="1.9199999999999998E-2"/>
    <n v="0.19500000000000001"/>
    <n v="4.19E-2"/>
    <n v="133.51300000000001"/>
    <n v="4"/>
    <x v="0"/>
  </r>
  <r>
    <x v="768"/>
    <s v="Ben Woodward"/>
    <s v="Memories (Acoustic)"/>
    <x v="693"/>
    <n v="46"/>
    <n v="183337"/>
    <x v="0"/>
    <n v="0.80200000000000005"/>
    <n v="0.183"/>
    <n v="8"/>
    <n v="-17.100000000000001"/>
    <n v="1"/>
    <n v="0.40300000000000002"/>
    <n v="0.80900000000000005"/>
    <n v="0"/>
    <n v="0.109"/>
    <n v="0.66400000000000003"/>
    <n v="91.078000000000003"/>
    <n v="4"/>
    <x v="0"/>
  </r>
  <r>
    <x v="769"/>
    <s v="Nathan Angelo"/>
    <s v="A Matter of Time"/>
    <x v="694"/>
    <n v="42"/>
    <n v="217898"/>
    <x v="0"/>
    <n v="0.61399999999999999"/>
    <n v="0.51700000000000002"/>
    <n v="2"/>
    <n v="-6.2050000000000001"/>
    <n v="1"/>
    <n v="3.0200000000000001E-2"/>
    <n v="0.747"/>
    <n v="0"/>
    <n v="0.13400000000000001"/>
    <n v="0.42399999999999999"/>
    <n v="133.86799999999999"/>
    <n v="4"/>
    <x v="0"/>
  </r>
  <r>
    <x v="770"/>
    <s v="Andrew Ripp"/>
    <s v="Simple"/>
    <x v="695"/>
    <n v="36"/>
    <n v="221070"/>
    <x v="0"/>
    <n v="0.63"/>
    <n v="0.30099999999999999"/>
    <n v="1"/>
    <n v="-6.952"/>
    <n v="1"/>
    <n v="2.8799999999999999E-2"/>
    <n v="0.877"/>
    <n v="0"/>
    <n v="0.12"/>
    <n v="0.39500000000000002"/>
    <n v="104.959"/>
    <n v="4"/>
    <x v="0"/>
  </r>
  <r>
    <x v="771"/>
    <s v="Jason Mraz"/>
    <s v="Now That's What I Call Music 2012-13"/>
    <x v="696"/>
    <n v="16"/>
    <n v="240640"/>
    <x v="0"/>
    <n v="0.54300000000000004"/>
    <n v="0.32900000000000001"/>
    <n v="4"/>
    <n v="-9.4600000000000009"/>
    <n v="1"/>
    <n v="4.4900000000000002E-2"/>
    <n v="0.69"/>
    <n v="0"/>
    <n v="0.112"/>
    <n v="0.14099999999999999"/>
    <n v="136.54900000000001"/>
    <n v="3"/>
    <x v="0"/>
  </r>
  <r>
    <x v="772"/>
    <s v="JJ Heller"/>
    <s v="Suitcase"/>
    <x v="697"/>
    <n v="46"/>
    <n v="229519"/>
    <x v="0"/>
    <n v="0.39700000000000002"/>
    <n v="0.312"/>
    <n v="0"/>
    <n v="-10.504"/>
    <n v="1"/>
    <n v="3.0700000000000002E-2"/>
    <n v="0.77200000000000002"/>
    <n v="0"/>
    <n v="0.11700000000000001"/>
    <n v="0.14099999999999999"/>
    <n v="179.60499999999999"/>
    <n v="4"/>
    <x v="0"/>
  </r>
  <r>
    <x v="773"/>
    <s v="Filip Nordin"/>
    <s v="Covers - Chill Covers Of Popular Songs"/>
    <x v="698"/>
    <n v="26"/>
    <n v="140547"/>
    <x v="0"/>
    <n v="0.68600000000000005"/>
    <n v="0.34699999999999998"/>
    <n v="0"/>
    <n v="-6.0750000000000002"/>
    <n v="1"/>
    <n v="3.4099999999999998E-2"/>
    <n v="0.72499999999999998"/>
    <n v="0"/>
    <n v="0.41099999999999998"/>
    <n v="0.53900000000000003"/>
    <n v="145.83699999999999"/>
    <n v="4"/>
    <x v="0"/>
  </r>
  <r>
    <x v="774"/>
    <s v="Melvin Taylor;Lucky Peterson;Titus Williams;Ray &quot;Killer&quot; Allison"/>
    <s v="Plays the Blues for You (feat. Lucky Peterson, Titus Williams, Ray &quot;Killer&quot; Allison) [Blues Power]"/>
    <x v="699"/>
    <n v="52"/>
    <n v="317133"/>
    <x v="0"/>
    <n v="0.65400000000000003"/>
    <n v="0.316"/>
    <n v="0"/>
    <n v="-18.692"/>
    <n v="0"/>
    <n v="4.1000000000000002E-2"/>
    <n v="0.78600000000000003"/>
    <n v="5.6300000000000003E-2"/>
    <n v="0.13100000000000001"/>
    <n v="0.69699999999999995"/>
    <n v="94.484999999999999"/>
    <n v="4"/>
    <x v="0"/>
  </r>
  <r>
    <x v="775"/>
    <s v="Mone Kamishiraishi"/>
    <s v="ã‚ã®æ­Œ-2-"/>
    <x v="700"/>
    <n v="26"/>
    <n v="317146"/>
    <x v="0"/>
    <n v="0.747"/>
    <n v="0.29399999999999998"/>
    <n v="2"/>
    <n v="-10.272"/>
    <n v="1"/>
    <n v="3.6600000000000001E-2"/>
    <n v="0.95599999999999996"/>
    <s v="2.37e-05"/>
    <n v="0.104"/>
    <n v="0.41199999999999998"/>
    <n v="119.94799999999999"/>
    <n v="4"/>
    <x v="0"/>
  </r>
  <r>
    <x v="776"/>
    <s v="Gabrielle Aplin"/>
    <s v="English Rain"/>
    <x v="701"/>
    <n v="50"/>
    <n v="245160"/>
    <x v="0"/>
    <n v="0.27700000000000002"/>
    <n v="0.29099999999999998"/>
    <n v="11"/>
    <n v="-9.8510000000000009"/>
    <n v="0"/>
    <n v="3.0599999999999999E-2"/>
    <n v="0.90100000000000002"/>
    <s v="2.47e-05"/>
    <n v="0.10299999999999999"/>
    <n v="0.17499999999999999"/>
    <n v="75.119"/>
    <n v="3"/>
    <x v="0"/>
  </r>
  <r>
    <x v="777"/>
    <s v="Amos Lee"/>
    <s v="Amos Lee"/>
    <x v="702"/>
    <n v="60"/>
    <n v="251440"/>
    <x v="0"/>
    <n v="0.54"/>
    <n v="6.7400000000000002E-2"/>
    <n v="9"/>
    <n v="-13.778"/>
    <n v="1"/>
    <n v="3.6799999999999999E-2"/>
    <n v="0.88800000000000001"/>
    <n v="3.8200000000000002E-4"/>
    <n v="0.109"/>
    <n v="0.12"/>
    <n v="141.988"/>
    <n v="3"/>
    <x v="0"/>
  </r>
  <r>
    <x v="778"/>
    <s v="Donovan Woods"/>
    <s v="Without People"/>
    <x v="703"/>
    <n v="50"/>
    <n v="186143"/>
    <x v="0"/>
    <n v="0.44400000000000001"/>
    <n v="0.44"/>
    <n v="8"/>
    <n v="-11.076000000000001"/>
    <n v="1"/>
    <n v="3.9100000000000003E-2"/>
    <n v="0.74099999999999999"/>
    <s v="2e-05"/>
    <n v="0.10199999999999999"/>
    <n v="0.33900000000000002"/>
    <n v="76.959000000000003"/>
    <n v="1"/>
    <x v="0"/>
  </r>
  <r>
    <x v="779"/>
    <s v="Sara Bareilles"/>
    <s v="Kaleidoscope Heart"/>
    <x v="704"/>
    <n v="61"/>
    <n v="207493"/>
    <x v="0"/>
    <n v="0.67600000000000005"/>
    <n v="0.76200000000000001"/>
    <n v="1"/>
    <n v="-4.1719999999999997"/>
    <n v="1"/>
    <n v="3.5099999999999999E-2"/>
    <n v="0.46100000000000002"/>
    <n v="0"/>
    <n v="5.74E-2"/>
    <n v="0.81"/>
    <n v="119.003"/>
    <n v="4"/>
    <x v="0"/>
  </r>
  <r>
    <x v="780"/>
    <s v="Covers Culture;Acoustic Covers Culture;Lounge Covers Culture Of Popular Songs"/>
    <s v="Covers - Chill Covers Of Popular Songs"/>
    <x v="705"/>
    <n v="26"/>
    <n v="148812"/>
    <x v="0"/>
    <n v="0.66400000000000003"/>
    <n v="0.27400000000000002"/>
    <n v="10"/>
    <n v="-11.005000000000001"/>
    <n v="0"/>
    <n v="4.2500000000000003E-2"/>
    <n v="0.89900000000000002"/>
    <n v="0"/>
    <n v="0.35399999999999998"/>
    <n v="0.39200000000000002"/>
    <n v="75.010000000000005"/>
    <n v="4"/>
    <x v="0"/>
  </r>
  <r>
    <x v="781"/>
    <s v="Keisha White"/>
    <s v="The Weakness In Me"/>
    <x v="706"/>
    <n v="27"/>
    <n v="199093"/>
    <x v="0"/>
    <n v="0.71699999999999997"/>
    <n v="0.436"/>
    <n v="7"/>
    <n v="-8.5310000000000006"/>
    <n v="1"/>
    <n v="5.6000000000000001E-2"/>
    <n v="5.6899999999999999E-2"/>
    <n v="0"/>
    <n v="0.11"/>
    <n v="0.31900000000000001"/>
    <n v="128.11199999999999"/>
    <n v="4"/>
    <x v="0"/>
  </r>
  <r>
    <x v="782"/>
    <s v="Austin Plaine"/>
    <s v="Honey"/>
    <x v="707"/>
    <n v="28"/>
    <n v="191973"/>
    <x v="0"/>
    <n v="0.51700000000000002"/>
    <n v="0.57799999999999996"/>
    <n v="11"/>
    <n v="-7.37"/>
    <n v="1"/>
    <n v="2.93E-2"/>
    <n v="0.36699999999999999"/>
    <s v="1.42e-06"/>
    <n v="0.17599999999999999"/>
    <n v="0.39800000000000002"/>
    <n v="138.178"/>
    <n v="4"/>
    <x v="0"/>
  </r>
  <r>
    <x v="783"/>
    <s v="Drew Holcomb &amp; The Neighbors"/>
    <s v="A Million Miles Away"/>
    <x v="708"/>
    <n v="55"/>
    <n v="230773"/>
    <x v="0"/>
    <n v="0.59499999999999997"/>
    <n v="0.38400000000000001"/>
    <n v="2"/>
    <n v="-12.114000000000001"/>
    <n v="1"/>
    <n v="3.0499999999999999E-2"/>
    <n v="0.68200000000000005"/>
    <s v="2.37e-06"/>
    <n v="7.9600000000000004E-2"/>
    <n v="0.69099999999999995"/>
    <n v="90.725999999999999"/>
    <n v="4"/>
    <x v="0"/>
  </r>
  <r>
    <x v="784"/>
    <s v="Eddie Vedder"/>
    <s v="Into The Wild (Music For The Motion Picture)"/>
    <x v="709"/>
    <n v="45"/>
    <n v="270466"/>
    <x v="0"/>
    <n v="0.33700000000000002"/>
    <n v="0.60499999999999998"/>
    <n v="7"/>
    <n v="-7.84"/>
    <n v="1"/>
    <n v="2.7699999999999999E-2"/>
    <n v="0.86199999999999999"/>
    <n v="3.0999999999999999E-3"/>
    <n v="0.94399999999999995"/>
    <n v="0.42399999999999999"/>
    <n v="59.326999999999998"/>
    <n v="4"/>
    <x v="0"/>
  </r>
  <r>
    <x v="785"/>
    <s v="Beans on Toast"/>
    <s v="The Inevitable Train Wreck"/>
    <x v="710"/>
    <n v="26"/>
    <n v="279781"/>
    <x v="0"/>
    <n v="0.746"/>
    <n v="0.42099999999999999"/>
    <n v="2"/>
    <n v="-7.944"/>
    <n v="1"/>
    <n v="7.5600000000000001E-2"/>
    <n v="0.40899999999999997"/>
    <n v="0"/>
    <n v="0.113"/>
    <n v="0.54500000000000004"/>
    <n v="97.152000000000001"/>
    <n v="4"/>
    <x v="0"/>
  </r>
  <r>
    <x v="786"/>
    <s v="Johnnyswim"/>
    <s v="Diamonds"/>
    <x v="711"/>
    <n v="28"/>
    <n v="219853"/>
    <x v="0"/>
    <n v="0.71"/>
    <n v="0.78200000000000003"/>
    <n v="2"/>
    <n v="-6.2759999999999998"/>
    <n v="1"/>
    <n v="8.3500000000000005E-2"/>
    <n v="6.8400000000000002E-2"/>
    <s v="8.66e-06"/>
    <n v="8.4500000000000006E-2"/>
    <n v="0.52300000000000002"/>
    <n v="123.04"/>
    <n v="4"/>
    <x v="0"/>
  </r>
  <r>
    <x v="787"/>
    <s v="Eddie Vedder"/>
    <s v="Into The Wild (Music For The Motion Picture)"/>
    <x v="712"/>
    <n v="48"/>
    <n v="199880"/>
    <x v="0"/>
    <n v="0.58499999999999996"/>
    <n v="0.441"/>
    <n v="7"/>
    <n v="-9.2710000000000008"/>
    <n v="0"/>
    <n v="3.1099999999999999E-2"/>
    <n v="0.501"/>
    <n v="0.53400000000000003"/>
    <n v="9.6699999999999994E-2"/>
    <n v="5.91E-2"/>
    <n v="114.09099999999999"/>
    <n v="4"/>
    <x v="0"/>
  </r>
  <r>
    <x v="788"/>
    <s v="Not Half Bad"/>
    <s v="Good People"/>
    <x v="713"/>
    <n v="27"/>
    <n v="89760"/>
    <x v="0"/>
    <n v="0.67300000000000004"/>
    <n v="0.63700000000000001"/>
    <n v="3"/>
    <n v="-7.5460000000000003"/>
    <n v="1"/>
    <n v="2.81E-2"/>
    <n v="0.29499999999999998"/>
    <n v="3.8299999999999999E-4"/>
    <n v="0.184"/>
    <n v="0.54100000000000004"/>
    <n v="105.04300000000001"/>
    <n v="4"/>
    <x v="0"/>
  </r>
  <r>
    <x v="789"/>
    <s v="Frank Turner"/>
    <s v="FTHC (Deluxe)"/>
    <x v="714"/>
    <n v="27"/>
    <n v="212893"/>
    <x v="0"/>
    <n v="0.49099999999999999"/>
    <n v="0.91300000000000003"/>
    <n v="0"/>
    <n v="-4.5259999999999998"/>
    <n v="1"/>
    <n v="5.67E-2"/>
    <s v="1.88e-05"/>
    <s v="2.26e-06"/>
    <n v="0.32700000000000001"/>
    <n v="0.59"/>
    <n v="89.986999999999995"/>
    <n v="4"/>
    <x v="0"/>
  </r>
  <r>
    <x v="790"/>
    <s v="Chuck Ragan"/>
    <s v="The Blueprint Sessions"/>
    <x v="715"/>
    <n v="26"/>
    <n v="236293"/>
    <x v="0"/>
    <n v="0.64300000000000002"/>
    <n v="0.40699999999999997"/>
    <n v="0"/>
    <n v="-6.0860000000000003"/>
    <n v="1"/>
    <n v="3.5499999999999997E-2"/>
    <n v="0.41399999999999998"/>
    <n v="3.8499999999999998E-4"/>
    <n v="0.11600000000000001"/>
    <n v="0.33200000000000002"/>
    <n v="132.44900000000001"/>
    <n v="3"/>
    <x v="0"/>
  </r>
  <r>
    <x v="791"/>
    <s v="AJJ"/>
    <s v="Only God Can Judge Me and More"/>
    <x v="716"/>
    <n v="28"/>
    <n v="73066"/>
    <x v="1"/>
    <n v="0.495"/>
    <n v="0.53100000000000003"/>
    <n v="0"/>
    <n v="-6.3719999999999999"/>
    <n v="1"/>
    <n v="5.8200000000000002E-2"/>
    <n v="0.69599999999999995"/>
    <n v="0"/>
    <n v="0.16500000000000001"/>
    <n v="0.82699999999999996"/>
    <n v="155.227"/>
    <n v="4"/>
    <x v="0"/>
  </r>
  <r>
    <x v="792"/>
    <s v="Violent Femmes"/>
    <s v="We Can Do Anything"/>
    <x v="717"/>
    <n v="28"/>
    <n v="185250"/>
    <x v="0"/>
    <n v="0.58199999999999996"/>
    <n v="0.54100000000000004"/>
    <n v="8"/>
    <n v="-5.4989999999999997"/>
    <n v="1"/>
    <n v="5.8999999999999997E-2"/>
    <n v="0.32400000000000001"/>
    <n v="0"/>
    <n v="6.4600000000000005E-2"/>
    <n v="0.56200000000000006"/>
    <n v="154.87100000000001"/>
    <n v="4"/>
    <x v="0"/>
  </r>
  <r>
    <x v="793"/>
    <s v="AJJ"/>
    <s v="Only God Can Judge Me and More"/>
    <x v="718"/>
    <n v="28"/>
    <n v="122600"/>
    <x v="1"/>
    <n v="0.46300000000000002"/>
    <n v="0.65600000000000003"/>
    <n v="0"/>
    <n v="-3.0779999999999998"/>
    <n v="1"/>
    <n v="4.6800000000000001E-2"/>
    <n v="8.4500000000000006E-2"/>
    <n v="2.2399999999999998E-3"/>
    <n v="0.16"/>
    <n v="0.79800000000000004"/>
    <n v="176.90700000000001"/>
    <n v="4"/>
    <x v="0"/>
  </r>
  <r>
    <x v="794"/>
    <s v="Defiance, Ohio"/>
    <s v="The Great Depression"/>
    <x v="719"/>
    <n v="29"/>
    <n v="91893"/>
    <x v="0"/>
    <n v="0.5"/>
    <n v="0.76400000000000001"/>
    <n v="4"/>
    <n v="-7.8339999999999996"/>
    <n v="1"/>
    <n v="6.2600000000000003E-2"/>
    <n v="0.16800000000000001"/>
    <n v="0"/>
    <n v="0.22600000000000001"/>
    <n v="0.96599999999999997"/>
    <n v="126.899"/>
    <n v="4"/>
    <x v="0"/>
  </r>
  <r>
    <x v="795"/>
    <s v="NORMANDY;Lynn Miller"/>
    <s v="Chill Out Covers - Chillout Covers - Chill Acoustic - Relaxing Songs - Calming Acoustic Songs"/>
    <x v="720"/>
    <n v="27"/>
    <n v="175336"/>
    <x v="0"/>
    <n v="0.70899999999999996"/>
    <n v="0.156"/>
    <n v="3"/>
    <n v="-17.423999999999999"/>
    <n v="1"/>
    <n v="3.5700000000000003E-2"/>
    <n v="0.92400000000000004"/>
    <s v="7.77e-05"/>
    <n v="8.9499999999999996E-2"/>
    <n v="0.188"/>
    <n v="109.79900000000001"/>
    <n v="4"/>
    <x v="0"/>
  </r>
  <r>
    <x v="796"/>
    <s v="Days N Daze"/>
    <s v="Songs We Recorded for Splits"/>
    <x v="721"/>
    <n v="28"/>
    <n v="214099"/>
    <x v="1"/>
    <n v="0.434"/>
    <n v="0.83199999999999996"/>
    <n v="0"/>
    <n v="-9.5129999999999999"/>
    <n v="1"/>
    <n v="7.1599999999999997E-2"/>
    <n v="0.34799999999999998"/>
    <s v="3.2e-05"/>
    <n v="0.158"/>
    <n v="0.59099999999999997"/>
    <n v="93.674000000000007"/>
    <n v="4"/>
    <x v="0"/>
  </r>
  <r>
    <x v="797"/>
    <s v="Frank Turner"/>
    <s v="The Gathering"/>
    <x v="672"/>
    <n v="27"/>
    <n v="159019"/>
    <x v="1"/>
    <n v="0.42399999999999999"/>
    <n v="0.94199999999999995"/>
    <n v="7"/>
    <n v="-3.3380000000000001"/>
    <n v="1"/>
    <n v="0.11799999999999999"/>
    <n v="2.5000000000000001E-3"/>
    <s v="1.14e-06"/>
    <n v="0.23"/>
    <n v="0.44700000000000001"/>
    <n v="143.67099999999999"/>
    <n v="4"/>
    <x v="0"/>
  </r>
  <r>
    <x v="798"/>
    <s v="Brandi Carlile"/>
    <s v="In These Silent Days"/>
    <x v="29"/>
    <n v="60"/>
    <n v="206267"/>
    <x v="0"/>
    <n v="0.60599999999999998"/>
    <n v="0.32600000000000001"/>
    <n v="10"/>
    <n v="-10.031000000000001"/>
    <n v="1"/>
    <n v="2.9399999999999999E-2"/>
    <n v="0.84099999999999997"/>
    <n v="0"/>
    <n v="0.13900000000000001"/>
    <n v="0.41399999999999998"/>
    <n v="91.626000000000005"/>
    <n v="4"/>
    <x v="0"/>
  </r>
  <r>
    <x v="799"/>
    <s v="Mischief Brew"/>
    <s v="Bacchanal 'N' Philadelphia"/>
    <x v="722"/>
    <n v="28"/>
    <n v="233306"/>
    <x v="0"/>
    <n v="0.48799999999999999"/>
    <n v="0.627"/>
    <n v="0"/>
    <n v="-5.867"/>
    <n v="1"/>
    <n v="5.3400000000000003E-2"/>
    <n v="0.41599999999999998"/>
    <n v="0"/>
    <n v="0.10299999999999999"/>
    <n v="0.75700000000000001"/>
    <n v="118.434"/>
    <n v="4"/>
    <x v="0"/>
  </r>
  <r>
    <x v="800"/>
    <s v="Gen Hoshino"/>
    <s v="YELLOW DANCER"/>
    <x v="723"/>
    <n v="48"/>
    <n v="241466"/>
    <x v="0"/>
    <n v="0.78200000000000003"/>
    <n v="0.68400000000000005"/>
    <n v="1"/>
    <n v="-5.774"/>
    <n v="1"/>
    <n v="3.9800000000000002E-2"/>
    <n v="2.1000000000000001E-2"/>
    <n v="0"/>
    <n v="0.125"/>
    <n v="0.85799999999999998"/>
    <n v="108.17100000000001"/>
    <n v="4"/>
    <x v="0"/>
  </r>
  <r>
    <x v="801"/>
    <s v="Parker Jenkins"/>
    <s v="Sweet but Psycho"/>
    <x v="724"/>
    <n v="43"/>
    <n v="188712"/>
    <x v="0"/>
    <n v="0.66400000000000003"/>
    <n v="0.26300000000000001"/>
    <n v="9"/>
    <n v="-7.9880000000000004"/>
    <n v="1"/>
    <n v="2.7400000000000001E-2"/>
    <n v="0.81399999999999995"/>
    <n v="0"/>
    <n v="8.1699999999999995E-2"/>
    <n v="0.371"/>
    <n v="96.213999999999999"/>
    <n v="4"/>
    <x v="0"/>
  </r>
  <r>
    <x v="802"/>
    <s v="Sunset &amp; Highland"/>
    <s v="I'm the One (Acoustic)"/>
    <x v="725"/>
    <n v="54"/>
    <n v="233488"/>
    <x v="0"/>
    <n v="0.60099999999999998"/>
    <n v="0.372"/>
    <n v="3"/>
    <n v="-6.1479999999999997"/>
    <n v="1"/>
    <n v="2.92E-2"/>
    <n v="0.83499999999999996"/>
    <n v="0"/>
    <n v="0.129"/>
    <n v="0.44400000000000001"/>
    <n v="146.08600000000001"/>
    <n v="4"/>
    <x v="0"/>
  </r>
  <r>
    <x v="803"/>
    <s v="Gabrielle Aplin"/>
    <s v="Dear Happy"/>
    <x v="726"/>
    <n v="49"/>
    <n v="245653"/>
    <x v="0"/>
    <n v="0.65200000000000002"/>
    <n v="0.58599999999999997"/>
    <n v="1"/>
    <n v="-8.2810000000000006"/>
    <n v="1"/>
    <n v="4.02E-2"/>
    <n v="0.46899999999999997"/>
    <n v="0"/>
    <n v="8.4599999999999995E-2"/>
    <n v="0.55400000000000005"/>
    <n v="144.03100000000001"/>
    <n v="4"/>
    <x v="0"/>
  </r>
  <r>
    <x v="804"/>
    <s v="Kris Allen"/>
    <s v="Horizons"/>
    <x v="727"/>
    <n v="45"/>
    <n v="198386"/>
    <x v="0"/>
    <n v="0.47"/>
    <n v="0.29199999999999998"/>
    <n v="6"/>
    <n v="-9.8989999999999991"/>
    <n v="0"/>
    <n v="2.8400000000000002E-2"/>
    <n v="0.90400000000000003"/>
    <n v="1.0399999999999999E-4"/>
    <n v="8.8900000000000007E-2"/>
    <n v="0.16800000000000001"/>
    <n v="66.108999999999995"/>
    <n v="4"/>
    <x v="0"/>
  </r>
  <r>
    <x v="805"/>
    <s v="Shikao Suga"/>
    <s v="é»„é‡‘ã®æœˆ"/>
    <x v="728"/>
    <n v="27"/>
    <n v="319533"/>
    <x v="0"/>
    <n v="0.67300000000000004"/>
    <n v="0.65800000000000003"/>
    <n v="10"/>
    <n v="-8.8640000000000008"/>
    <n v="0"/>
    <n v="3.4299999999999997E-2"/>
    <n v="0.17599999999999999"/>
    <s v="1.57e-05"/>
    <n v="0.08"/>
    <n v="0.86299999999999999"/>
    <n v="97.989000000000004"/>
    <n v="4"/>
    <x v="0"/>
  </r>
  <r>
    <x v="806"/>
    <s v="Ben Rector"/>
    <s v="It Would Be You"/>
    <x v="729"/>
    <n v="52"/>
    <n v="219066"/>
    <x v="0"/>
    <n v="0.65500000000000003"/>
    <n v="0.58699999999999997"/>
    <n v="1"/>
    <n v="-8.7360000000000007"/>
    <n v="1"/>
    <n v="4.4999999999999998E-2"/>
    <n v="0.26"/>
    <s v="6.07e-06"/>
    <n v="9.5299999999999996E-2"/>
    <n v="0.52100000000000002"/>
    <n v="91.494"/>
    <n v="4"/>
    <x v="0"/>
  </r>
  <r>
    <x v="807"/>
    <s v="Guus Dielissen"/>
    <s v="As It Was (Acoustic Instrumental)"/>
    <x v="730"/>
    <n v="41"/>
    <n v="139612"/>
    <x v="0"/>
    <n v="0.28699999999999998"/>
    <n v="0.245"/>
    <n v="11"/>
    <n v="-20.673999999999999"/>
    <n v="0"/>
    <n v="4.9299999999999997E-2"/>
    <n v="0.91500000000000004"/>
    <n v="0.83599999999999997"/>
    <n v="0.112"/>
    <n v="0.624"/>
    <n v="84.055999999999997"/>
    <n v="4"/>
    <x v="0"/>
  </r>
  <r>
    <x v="808"/>
    <s v="Jae Hall"/>
    <s v="Sweet Child O' Mine (Acoustic)"/>
    <x v="731"/>
    <n v="51"/>
    <n v="178615"/>
    <x v="0"/>
    <n v="0.45600000000000002"/>
    <n v="0.13400000000000001"/>
    <n v="4"/>
    <n v="-11.247999999999999"/>
    <n v="1"/>
    <n v="3.6400000000000002E-2"/>
    <n v="0.97599999999999998"/>
    <s v="2.25e-05"/>
    <n v="0.107"/>
    <n v="0.316"/>
    <n v="127.976"/>
    <n v="3"/>
    <x v="0"/>
  </r>
  <r>
    <x v="809"/>
    <s v="Kina Grannis"/>
    <s v="Beyond The Sea"/>
    <x v="732"/>
    <n v="48"/>
    <n v="119423"/>
    <x v="0"/>
    <n v="0.67600000000000005"/>
    <n v="0.11799999999999999"/>
    <n v="7"/>
    <n v="-11.443"/>
    <n v="1"/>
    <n v="3.2000000000000001E-2"/>
    <n v="0.93500000000000005"/>
    <n v="0"/>
    <n v="0.29199999999999998"/>
    <n v="0.51700000000000002"/>
    <n v="103.94799999999999"/>
    <n v="4"/>
    <x v="0"/>
  </r>
  <r>
    <x v="810"/>
    <s v="John Adams"/>
    <s v="Have I Told You Lately That I Love You (Acoustic)"/>
    <x v="733"/>
    <n v="52"/>
    <n v="201885"/>
    <x v="0"/>
    <n v="0.57999999999999996"/>
    <n v="0.188"/>
    <n v="9"/>
    <n v="-9.34"/>
    <n v="1"/>
    <n v="5.11E-2"/>
    <n v="0.93500000000000005"/>
    <n v="0"/>
    <n v="0.26400000000000001"/>
    <n v="0.43099999999999999"/>
    <n v="121.648"/>
    <n v="4"/>
    <x v="0"/>
  </r>
  <r>
    <x v="811"/>
    <s v="Andrew Ripp"/>
    <s v="The Soul"/>
    <x v="734"/>
    <n v="39"/>
    <n v="219653"/>
    <x v="0"/>
    <n v="0.80900000000000005"/>
    <n v="0.55500000000000005"/>
    <n v="0"/>
    <n v="-5.6890000000000001"/>
    <n v="1"/>
    <n v="6.1699999999999998E-2"/>
    <n v="0.48099999999999998"/>
    <s v="1.46e-06"/>
    <n v="0.13300000000000001"/>
    <n v="0.47299999999999998"/>
    <n v="104.08499999999999"/>
    <n v="4"/>
    <x v="0"/>
  </r>
  <r>
    <x v="812"/>
    <s v="Naotaro Moriyama"/>
    <s v="ã•ãã‚‰ (äºŒã€‡ä¸€ä¹)"/>
    <x v="735"/>
    <n v="27"/>
    <n v="279386"/>
    <x v="0"/>
    <n v="0.42199999999999999"/>
    <n v="0.248"/>
    <n v="8"/>
    <n v="-8.2449999999999992"/>
    <n v="1"/>
    <n v="0.03"/>
    <n v="0.95"/>
    <s v="1.16e-06"/>
    <n v="0.32500000000000001"/>
    <n v="0.219"/>
    <n v="134.042"/>
    <n v="4"/>
    <x v="0"/>
  </r>
  <r>
    <x v="813"/>
    <s v="Chord Overstreet"/>
    <s v="Homeland"/>
    <x v="736"/>
    <n v="41"/>
    <n v="222400"/>
    <x v="0"/>
    <n v="0.49"/>
    <n v="0.45600000000000002"/>
    <n v="8"/>
    <n v="-9.7669999999999995"/>
    <n v="1"/>
    <n v="4.4699999999999997E-2"/>
    <n v="1.5599999999999999E-2"/>
    <n v="0"/>
    <n v="8.2500000000000004E-2"/>
    <n v="0.40500000000000003"/>
    <n v="154.80500000000001"/>
    <n v="4"/>
    <x v="0"/>
  </r>
  <r>
    <x v="814"/>
    <s v="Tyler Ward"/>
    <s v="Covers &amp; Co-writes"/>
    <x v="737"/>
    <n v="43"/>
    <n v="200227"/>
    <x v="0"/>
    <n v="0.60499999999999998"/>
    <n v="0.39600000000000002"/>
    <n v="1"/>
    <n v="-7.5860000000000003"/>
    <n v="1"/>
    <n v="6.6699999999999995E-2"/>
    <n v="0.38700000000000001"/>
    <n v="0"/>
    <n v="5.5599999999999997E-2"/>
    <n v="0.32500000000000001"/>
    <n v="132.08000000000001"/>
    <n v="4"/>
    <x v="0"/>
  </r>
  <r>
    <x v="815"/>
    <s v="Postcards &amp; Polaroids;Sad Boy"/>
    <s v="Covers EP"/>
    <x v="738"/>
    <n v="45"/>
    <n v="145753"/>
    <x v="0"/>
    <n v="0.46300000000000002"/>
    <n v="0.156"/>
    <n v="6"/>
    <n v="-13.416"/>
    <n v="1"/>
    <n v="0.189"/>
    <n v="0.89"/>
    <n v="0"/>
    <n v="0.115"/>
    <n v="0.47799999999999998"/>
    <n v="180.191"/>
    <n v="4"/>
    <x v="0"/>
  </r>
  <r>
    <x v="816"/>
    <s v="Yu Takahashi"/>
    <s v="BREAK MY SILENCE"/>
    <x v="739"/>
    <n v="27"/>
    <n v="245600"/>
    <x v="0"/>
    <n v="0.53200000000000003"/>
    <n v="0.92800000000000005"/>
    <n v="9"/>
    <n v="-1.9630000000000001"/>
    <n v="0"/>
    <n v="3.9699999999999999E-2"/>
    <n v="0.108"/>
    <n v="2.9100000000000001E-2"/>
    <n v="0.20100000000000001"/>
    <n v="0.80800000000000005"/>
    <n v="113.92700000000001"/>
    <n v="3"/>
    <x v="0"/>
  </r>
  <r>
    <x v="817"/>
    <s v="Unkle Bob"/>
    <s v="Sugar and Spite"/>
    <x v="740"/>
    <n v="41"/>
    <n v="150346"/>
    <x v="0"/>
    <n v="0.38700000000000001"/>
    <n v="0.41"/>
    <n v="11"/>
    <n v="-8.1240000000000006"/>
    <n v="0"/>
    <n v="3.1E-2"/>
    <n v="0.60799999999999998"/>
    <n v="5.8900000000000003E-3"/>
    <n v="0.10199999999999999"/>
    <n v="0.14899999999999999"/>
    <n v="117.39100000000001"/>
    <n v="4"/>
    <x v="0"/>
  </r>
  <r>
    <x v="818"/>
    <s v="The Cameron Collective"/>
    <s v="What If We Rewrite The Stars"/>
    <x v="741"/>
    <n v="33"/>
    <n v="214860"/>
    <x v="0"/>
    <n v="0.75800000000000001"/>
    <n v="0.20599999999999999"/>
    <n v="9"/>
    <n v="-14.68"/>
    <n v="1"/>
    <n v="7.2900000000000006E-2"/>
    <n v="0.628"/>
    <n v="0"/>
    <n v="0.14799999999999999"/>
    <n v="0.25"/>
    <n v="124.873"/>
    <n v="4"/>
    <x v="0"/>
  </r>
  <r>
    <x v="819"/>
    <s v="Boyce Avenue"/>
    <s v="Cover Sessions, Vol. 4"/>
    <x v="590"/>
    <n v="47"/>
    <n v="257390"/>
    <x v="0"/>
    <n v="0.63100000000000001"/>
    <n v="0.28999999999999998"/>
    <n v="1"/>
    <n v="-9.1590000000000007"/>
    <n v="1"/>
    <n v="2.7900000000000001E-2"/>
    <n v="0.85699999999999998"/>
    <n v="0"/>
    <n v="0.18099999999999999"/>
    <n v="0.39800000000000002"/>
    <n v="96.593000000000004"/>
    <n v="3"/>
    <x v="0"/>
  </r>
  <r>
    <x v="820"/>
    <s v="John Adams"/>
    <s v="A Million Dreams (Acoustic)"/>
    <x v="742"/>
    <n v="48"/>
    <n v="202928"/>
    <x v="0"/>
    <n v="0.54500000000000004"/>
    <n v="0.16900000000000001"/>
    <n v="6"/>
    <n v="-10.145"/>
    <n v="1"/>
    <n v="4.5699999999999998E-2"/>
    <n v="0.95299999999999996"/>
    <n v="0"/>
    <n v="0.152"/>
    <n v="0.29099999999999998"/>
    <n v="138.19900000000001"/>
    <n v="4"/>
    <x v="0"/>
  </r>
  <r>
    <x v="821"/>
    <s v="Aimyon"/>
    <s v="Falling into your eyes Record"/>
    <x v="743"/>
    <n v="44"/>
    <n v="251720"/>
    <x v="0"/>
    <n v="0.57899999999999996"/>
    <n v="0.61199999999999999"/>
    <n v="10"/>
    <n v="-5.0880000000000001"/>
    <n v="1"/>
    <n v="2.6599999999999999E-2"/>
    <n v="0.70199999999999996"/>
    <n v="1.9499999999999999E-3"/>
    <n v="0.254"/>
    <n v="0.623"/>
    <n v="155.92099999999999"/>
    <n v="4"/>
    <x v="0"/>
  </r>
  <r>
    <x v="822"/>
    <s v="Aimyon"/>
    <s v="é’æ˜¥ã®ã‚¨ã‚­ã‚µã‚¤ãƒˆãƒ¡ãƒ³ãƒˆ"/>
    <x v="744"/>
    <n v="64"/>
    <n v="246306"/>
    <x v="0"/>
    <n v="0.52400000000000002"/>
    <n v="0.68700000000000006"/>
    <n v="7"/>
    <n v="-4.0389999999999997"/>
    <n v="1"/>
    <n v="2.6700000000000002E-2"/>
    <n v="1.3500000000000001E-3"/>
    <n v="0"/>
    <n v="0.16900000000000001"/>
    <n v="0.61899999999999999"/>
    <n v="99.918999999999997"/>
    <n v="4"/>
    <x v="0"/>
  </r>
  <r>
    <x v="823"/>
    <s v="Boyce Avenue"/>
    <s v="Cover Sessions, Vol. 3"/>
    <x v="745"/>
    <n v="49"/>
    <n v="280652"/>
    <x v="0"/>
    <n v="0.747"/>
    <n v="9.2600000000000002E-2"/>
    <n v="8"/>
    <n v="-11.531000000000001"/>
    <n v="1"/>
    <n v="3.0800000000000001E-2"/>
    <n v="0.92100000000000004"/>
    <n v="0"/>
    <n v="0.112"/>
    <n v="0.32800000000000001"/>
    <n v="77.94"/>
    <n v="4"/>
    <x v="0"/>
  </r>
  <r>
    <x v="824"/>
    <s v="Joshua Radin"/>
    <s v="Paperweight by Joshua Radin and Schuyler Fisk"/>
    <x v="746"/>
    <n v="49"/>
    <n v="204333"/>
    <x v="0"/>
    <n v="0.42199999999999999"/>
    <n v="0.11899999999999999"/>
    <n v="8"/>
    <n v="-15.182"/>
    <n v="1"/>
    <n v="3.5400000000000001E-2"/>
    <n v="0.55500000000000005"/>
    <n v="0"/>
    <n v="9.5899999999999999E-2"/>
    <n v="0.40500000000000003"/>
    <n v="179.84399999999999"/>
    <n v="3"/>
    <x v="0"/>
  </r>
  <r>
    <x v="825"/>
    <s v="JJ Heller"/>
    <s v="Meant to Be"/>
    <x v="747"/>
    <n v="45"/>
    <n v="186373"/>
    <x v="0"/>
    <n v="0.53900000000000003"/>
    <n v="0.35599999999999998"/>
    <n v="7"/>
    <n v="-9.7490000000000006"/>
    <n v="1"/>
    <n v="3.2099999999999997E-2"/>
    <n v="0.76400000000000001"/>
    <n v="1.5399999999999999E-3"/>
    <n v="0.127"/>
    <n v="0.48899999999999999"/>
    <n v="73.703000000000003"/>
    <n v="4"/>
    <x v="0"/>
  </r>
  <r>
    <x v="826"/>
    <s v="Kurei"/>
    <s v="Paasa"/>
    <x v="748"/>
    <n v="26"/>
    <n v="169315"/>
    <x v="0"/>
    <n v="0.73699999999999999"/>
    <n v="0.23799999999999999"/>
    <n v="0"/>
    <n v="-9.0519999999999996"/>
    <n v="1"/>
    <n v="3.4000000000000002E-2"/>
    <n v="0.89100000000000001"/>
    <n v="3.3600000000000001E-3"/>
    <n v="9.5899999999999999E-2"/>
    <n v="0.23400000000000001"/>
    <n v="119.08499999999999"/>
    <n v="4"/>
    <x v="0"/>
  </r>
  <r>
    <x v="827"/>
    <s v="Us The Duo"/>
    <s v="Up Until Now"/>
    <x v="749"/>
    <n v="47"/>
    <n v="251164"/>
    <x v="0"/>
    <n v="0.64200000000000002"/>
    <n v="0.15"/>
    <n v="0"/>
    <n v="-11.316000000000001"/>
    <n v="1"/>
    <n v="3.5099999999999999E-2"/>
    <n v="0.83199999999999996"/>
    <n v="0"/>
    <n v="0.126"/>
    <n v="0.27"/>
    <n v="104.97799999999999"/>
    <n v="4"/>
    <x v="0"/>
  </r>
  <r>
    <x v="828"/>
    <s v="Hanare Gumi"/>
    <s v="ã‚ã„ã®ã‚"/>
    <x v="750"/>
    <n v="27"/>
    <n v="322140"/>
    <x v="0"/>
    <n v="0.73099999999999998"/>
    <n v="0.48499999999999999"/>
    <n v="7"/>
    <n v="-10.113"/>
    <n v="1"/>
    <n v="3.8699999999999998E-2"/>
    <n v="0.28399999999999997"/>
    <n v="4.64E-3"/>
    <n v="0.14699999999999999"/>
    <n v="0.46300000000000002"/>
    <n v="106.05200000000001"/>
    <n v="4"/>
    <x v="0"/>
  </r>
  <r>
    <x v="829"/>
    <s v="Suy Galvez"/>
    <s v="Mush Acoustic Love Hits, Vol. 4"/>
    <x v="751"/>
    <n v="26"/>
    <n v="260853"/>
    <x v="0"/>
    <n v="0.58699999999999997"/>
    <n v="0.311"/>
    <n v="4"/>
    <n v="-8.9870000000000001"/>
    <n v="1"/>
    <n v="3.0700000000000002E-2"/>
    <n v="0.81699999999999995"/>
    <n v="0"/>
    <n v="8.6300000000000002E-2"/>
    <n v="0.374"/>
    <n v="113.68300000000001"/>
    <n v="4"/>
    <x v="0"/>
  </r>
  <r>
    <x v="830"/>
    <s v="JJ Heller"/>
    <s v="I Dream of You: CALM"/>
    <x v="752"/>
    <n v="48"/>
    <n v="306853"/>
    <x v="0"/>
    <n v="0.27700000000000002"/>
    <n v="0.19800000000000001"/>
    <n v="7"/>
    <n v="-11.923"/>
    <n v="1"/>
    <n v="3.0599999999999999E-2"/>
    <n v="0.498"/>
    <n v="6.2300000000000003E-3"/>
    <n v="9.8400000000000001E-2"/>
    <n v="0.13400000000000001"/>
    <n v="149.93700000000001"/>
    <n v="3"/>
    <x v="0"/>
  </r>
  <r>
    <x v="831"/>
    <s v="Little Walter"/>
    <s v="The Essential Little Walter"/>
    <x v="753"/>
    <n v="59"/>
    <n v="162040"/>
    <x v="0"/>
    <n v="0.67600000000000005"/>
    <n v="0.33400000000000002"/>
    <n v="5"/>
    <n v="-10.571999999999999"/>
    <n v="1"/>
    <n v="5.0799999999999998E-2"/>
    <n v="0.86199999999999999"/>
    <n v="0"/>
    <n v="0.32"/>
    <n v="0.86699999999999999"/>
    <n v="158"/>
    <n v="4"/>
    <x v="0"/>
  </r>
  <r>
    <x v="832"/>
    <s v="Matt Pless"/>
    <s v="Catch Me If You Can"/>
    <x v="754"/>
    <n v="26"/>
    <n v="199866"/>
    <x v="0"/>
    <n v="0.67300000000000004"/>
    <n v="0.42399999999999999"/>
    <n v="8"/>
    <n v="-11.49"/>
    <n v="1"/>
    <n v="3.0499999999999999E-2"/>
    <n v="0.3"/>
    <n v="0"/>
    <n v="0.22900000000000001"/>
    <n v="0.70899999999999996"/>
    <n v="115.038"/>
    <n v="4"/>
    <x v="0"/>
  </r>
  <r>
    <x v="833"/>
    <s v="Peter Bradley Adams"/>
    <s v="Leavetaking"/>
    <x v="755"/>
    <n v="53"/>
    <n v="251453"/>
    <x v="0"/>
    <n v="0.60199999999999998"/>
    <n v="0.52"/>
    <n v="3"/>
    <n v="-10.831"/>
    <n v="1"/>
    <n v="2.8000000000000001E-2"/>
    <n v="0.73199999999999998"/>
    <n v="0.221"/>
    <n v="9.8199999999999996E-2"/>
    <n v="0.52300000000000002"/>
    <n v="151.91200000000001"/>
    <n v="4"/>
    <x v="0"/>
  </r>
  <r>
    <x v="834"/>
    <s v="Covers Culture;Acoustic Covers Culture;Lounge Covers Culture Of Popular Songs"/>
    <s v="Chill Out Covers - Chillout Covers - Chill Acoustic - Relaxing Songs - Calming Acoustic Songs"/>
    <x v="756"/>
    <n v="26"/>
    <n v="149783"/>
    <x v="0"/>
    <n v="0.58199999999999996"/>
    <n v="0.18099999999999999"/>
    <n v="10"/>
    <n v="-11.294"/>
    <n v="0"/>
    <n v="3.8600000000000002E-2"/>
    <n v="0.82099999999999995"/>
    <n v="0"/>
    <n v="0.23699999999999999"/>
    <n v="0.17199999999999999"/>
    <n v="133.43100000000001"/>
    <n v="4"/>
    <x v="0"/>
  </r>
  <r>
    <x v="835"/>
    <s v="Jay Filson"/>
    <s v="Don't Think Twice, It's All Right (Acoustic)"/>
    <x v="757"/>
    <n v="26"/>
    <n v="210901"/>
    <x v="0"/>
    <n v="0.48899999999999999"/>
    <n v="0.124"/>
    <n v="9"/>
    <n v="-10.145"/>
    <n v="1"/>
    <n v="4.36E-2"/>
    <n v="0.95199999999999996"/>
    <n v="0"/>
    <n v="0.24299999999999999"/>
    <n v="0.25700000000000001"/>
    <n v="91.385999999999996"/>
    <n v="4"/>
    <x v="0"/>
  </r>
  <r>
    <x v="836"/>
    <s v="Suy Galvez"/>
    <s v="Mush Acoustic Love Hits, Vol. 4"/>
    <x v="758"/>
    <n v="26"/>
    <n v="306092"/>
    <x v="0"/>
    <n v="0.69599999999999995"/>
    <n v="0.379"/>
    <n v="0"/>
    <n v="-9.7240000000000002"/>
    <n v="1"/>
    <n v="2.8400000000000002E-2"/>
    <n v="0.77200000000000002"/>
    <s v="1.55e-06"/>
    <n v="0.10100000000000001"/>
    <n v="0.35899999999999999"/>
    <n v="112.967"/>
    <n v="4"/>
    <x v="0"/>
  </r>
  <r>
    <x v="837"/>
    <s v="Jason Mraz"/>
    <s v="Love Is a Four Letter Word"/>
    <x v="759"/>
    <n v="48"/>
    <n v="235080"/>
    <x v="0"/>
    <n v="0.65"/>
    <n v="0.628"/>
    <n v="7"/>
    <n v="-7.16"/>
    <n v="1"/>
    <n v="2.3199999999999998E-2"/>
    <n v="4.8300000000000003E-2"/>
    <n v="0"/>
    <n v="0.11899999999999999"/>
    <n v="0.7"/>
    <n v="84.141000000000005"/>
    <n v="4"/>
    <x v="0"/>
  </r>
  <r>
    <x v="838"/>
    <s v="KT Tunstall"/>
    <s v="Eye To The Telescope"/>
    <x v="620"/>
    <n v="61"/>
    <n v="214560"/>
    <x v="0"/>
    <n v="0.501"/>
    <n v="0.68400000000000005"/>
    <n v="2"/>
    <n v="-5.3680000000000003"/>
    <n v="1"/>
    <n v="3.0200000000000001E-2"/>
    <n v="0.48499999999999999"/>
    <n v="0"/>
    <n v="8.3000000000000004E-2"/>
    <n v="0.36899999999999999"/>
    <n v="80.039000000000001"/>
    <n v="4"/>
    <x v="0"/>
  </r>
  <r>
    <x v="839"/>
    <s v="Days N Daze"/>
    <s v="Ward Off the Vultures"/>
    <x v="760"/>
    <n v="27"/>
    <n v="70506"/>
    <x v="1"/>
    <n v="0.38900000000000001"/>
    <n v="0.49399999999999999"/>
    <n v="9"/>
    <n v="-10.78"/>
    <n v="1"/>
    <n v="0.13100000000000001"/>
    <n v="0.186"/>
    <n v="1.3799999999999999E-4"/>
    <n v="5.57E-2"/>
    <n v="0.90900000000000003"/>
    <n v="86.872"/>
    <n v="4"/>
    <x v="0"/>
  </r>
  <r>
    <x v="840"/>
    <s v="Gail Blanco"/>
    <s v="In Love With Bacharach"/>
    <x v="761"/>
    <n v="26"/>
    <n v="188040"/>
    <x v="0"/>
    <n v="0.72099999999999997"/>
    <n v="0.44600000000000001"/>
    <n v="8"/>
    <n v="-10.053000000000001"/>
    <n v="1"/>
    <n v="3.0499999999999999E-2"/>
    <n v="0.79700000000000004"/>
    <s v="8.59e-05"/>
    <n v="0.13600000000000001"/>
    <n v="0.54200000000000004"/>
    <n v="118.001"/>
    <n v="4"/>
    <x v="0"/>
  </r>
  <r>
    <x v="841"/>
    <s v="Eddie Vedder"/>
    <s v="Into The Wild (Music For The Motion Picture)"/>
    <x v="762"/>
    <n v="50"/>
    <n v="135320"/>
    <x v="0"/>
    <n v="0.46700000000000003"/>
    <n v="0.85499999999999998"/>
    <n v="4"/>
    <n v="-5.375"/>
    <n v="1"/>
    <n v="5.1499999999999997E-2"/>
    <n v="0.17399999999999999"/>
    <s v="9.32e-06"/>
    <n v="0.11"/>
    <n v="0.56499999999999995"/>
    <n v="135.81299999999999"/>
    <n v="4"/>
    <x v="0"/>
  </r>
  <r>
    <x v="842"/>
    <s v="Ankle Grease"/>
    <s v="Straight to the Bottom: Back to the Bottom"/>
    <x v="763"/>
    <n v="26"/>
    <n v="111641"/>
    <x v="1"/>
    <n v="0.37"/>
    <n v="0.70299999999999996"/>
    <n v="7"/>
    <n v="-6.7649999999999997"/>
    <n v="1"/>
    <n v="7.5499999999999998E-2"/>
    <n v="0.36599999999999999"/>
    <n v="0"/>
    <n v="0.39400000000000002"/>
    <n v="0.48199999999999998"/>
    <n v="143.84800000000001"/>
    <n v="4"/>
    <x v="0"/>
  </r>
  <r>
    <x v="843"/>
    <s v="AJJ"/>
    <s v="The Bible 2"/>
    <x v="764"/>
    <n v="27"/>
    <n v="163385"/>
    <x v="0"/>
    <n v="0.33600000000000002"/>
    <n v="0.76100000000000001"/>
    <n v="9"/>
    <n v="-6.3120000000000003"/>
    <n v="1"/>
    <n v="3.9899999999999998E-2"/>
    <n v="5.4600000000000004E-4"/>
    <n v="2.8400000000000001E-3"/>
    <n v="0.113"/>
    <n v="0.501"/>
    <n v="127.065"/>
    <n v="4"/>
    <x v="0"/>
  </r>
  <r>
    <x v="844"/>
    <s v="Frank Turner"/>
    <s v="FTHC (Deluxe)"/>
    <x v="765"/>
    <n v="26"/>
    <n v="240866"/>
    <x v="0"/>
    <n v="0.52400000000000002"/>
    <n v="0.57799999999999996"/>
    <n v="7"/>
    <n v="-5.9740000000000002"/>
    <n v="1"/>
    <n v="2.6700000000000002E-2"/>
    <n v="9.7099999999999997E-4"/>
    <s v="6.55e-06"/>
    <n v="0.32600000000000001"/>
    <n v="0.28999999999999998"/>
    <n v="75.031999999999996"/>
    <n v="4"/>
    <x v="0"/>
  </r>
  <r>
    <x v="845"/>
    <s v="Frank Turner"/>
    <s v="The Second Three Years"/>
    <x v="766"/>
    <n v="26"/>
    <n v="88626"/>
    <x v="0"/>
    <n v="0.54800000000000004"/>
    <n v="0.66600000000000004"/>
    <n v="4"/>
    <n v="-2.2770000000000001"/>
    <n v="1"/>
    <n v="3.5999999999999997E-2"/>
    <n v="0.28100000000000003"/>
    <n v="0"/>
    <n v="0.23100000000000001"/>
    <n v="0.58199999999999996"/>
    <n v="98.805999999999997"/>
    <n v="4"/>
    <x v="0"/>
  </r>
  <r>
    <x v="846"/>
    <s v="Dave Barnes"/>
    <s v="What We Want, What We Get"/>
    <x v="767"/>
    <n v="49"/>
    <n v="228960"/>
    <x v="0"/>
    <n v="0.45900000000000002"/>
    <n v="0.82299999999999995"/>
    <n v="4"/>
    <n v="-6.4809999999999999"/>
    <n v="1"/>
    <n v="3.6999999999999998E-2"/>
    <n v="3.32E-3"/>
    <s v="1.75e-05"/>
    <n v="0.189"/>
    <n v="0.55000000000000004"/>
    <n v="152.06200000000001"/>
    <n v="4"/>
    <x v="0"/>
  </r>
  <r>
    <x v="847"/>
    <s v="Days N Daze"/>
    <s v="Rogue Taxidermy"/>
    <x v="768"/>
    <n v="27"/>
    <n v="207151"/>
    <x v="1"/>
    <n v="0.316"/>
    <n v="0.879"/>
    <n v="7"/>
    <n v="-9.4139999999999997"/>
    <n v="0"/>
    <n v="0.113"/>
    <n v="0.82699999999999996"/>
    <n v="2.3900000000000002E-3"/>
    <n v="0.27800000000000002"/>
    <n v="0.64700000000000002"/>
    <n v="88.614000000000004"/>
    <n v="4"/>
    <x v="0"/>
  </r>
  <r>
    <x v="848"/>
    <s v="Apes of the State"/>
    <s v="Pipe Dream"/>
    <x v="769"/>
    <n v="27"/>
    <n v="162293"/>
    <x v="1"/>
    <n v="0.74099999999999999"/>
    <n v="0.66"/>
    <n v="2"/>
    <n v="-5.1159999999999997"/>
    <n v="1"/>
    <n v="4.0800000000000003E-2"/>
    <n v="0.52100000000000002"/>
    <s v="8.14e-06"/>
    <n v="9.4100000000000003E-2"/>
    <n v="0.85599999999999998"/>
    <n v="81.061000000000007"/>
    <n v="4"/>
    <x v="0"/>
  </r>
  <r>
    <x v="849"/>
    <s v="Get Dead"/>
    <s v="Bad News"/>
    <x v="770"/>
    <n v="26"/>
    <n v="158906"/>
    <x v="0"/>
    <n v="0.47399999999999998"/>
    <n v="0.84299999999999997"/>
    <n v="5"/>
    <n v="-4.4530000000000003"/>
    <n v="0"/>
    <n v="0.20899999999999999"/>
    <n v="2.0500000000000001E-2"/>
    <s v="2.71e-06"/>
    <n v="6.3600000000000004E-2"/>
    <n v="0.90100000000000002"/>
    <n v="131.99199999999999"/>
    <n v="4"/>
    <x v="0"/>
  </r>
  <r>
    <x v="850"/>
    <s v="Gen Hoshino"/>
    <s v="POP VIRUS"/>
    <x v="771"/>
    <n v="47"/>
    <n v="182000"/>
    <x v="0"/>
    <n v="0.629"/>
    <n v="0.441"/>
    <n v="9"/>
    <n v="-4.6139999999999999"/>
    <n v="1"/>
    <n v="0.126"/>
    <n v="3.39E-2"/>
    <n v="0"/>
    <n v="0.23400000000000001"/>
    <n v="0.78200000000000003"/>
    <n v="78.177000000000007"/>
    <n v="4"/>
    <x v="0"/>
  </r>
  <r>
    <x v="851"/>
    <s v="John Elliott"/>
    <s v="All Too Well (Jake's Version)"/>
    <x v="772"/>
    <n v="33"/>
    <n v="578064"/>
    <x v="0"/>
    <n v="0.68500000000000005"/>
    <n v="0.48299999999999998"/>
    <n v="7"/>
    <n v="-9.0820000000000007"/>
    <n v="1"/>
    <n v="2.53E-2"/>
    <n v="7.7200000000000005E-2"/>
    <s v="6.09e-05"/>
    <n v="0.113"/>
    <n v="0.33100000000000002"/>
    <n v="93.031999999999996"/>
    <n v="4"/>
    <x v="0"/>
  </r>
  <r>
    <x v="852"/>
    <s v="Brandon Chase;Taylor Manns"/>
    <s v="Dilemma"/>
    <x v="773"/>
    <n v="57"/>
    <n v="247683"/>
    <x v="0"/>
    <n v="0.627"/>
    <n v="0.246"/>
    <n v="1"/>
    <n v="-11.41"/>
    <n v="1"/>
    <n v="3.4200000000000001E-2"/>
    <n v="0.78800000000000003"/>
    <n v="0"/>
    <n v="0.11799999999999999"/>
    <n v="0.52"/>
    <n v="141.303"/>
    <n v="4"/>
    <x v="0"/>
  </r>
  <r>
    <x v="853"/>
    <s v="Gabrielle Aplin"/>
    <s v="Dear Happy"/>
    <x v="774"/>
    <n v="44"/>
    <n v="197546"/>
    <x v="0"/>
    <n v="0.59199999999999997"/>
    <n v="0.68600000000000005"/>
    <n v="9"/>
    <n v="-6.9039999999999999"/>
    <n v="1"/>
    <n v="3.8899999999999997E-2"/>
    <n v="0.17799999999999999"/>
    <n v="0"/>
    <n v="0.111"/>
    <n v="0.39700000000000002"/>
    <n v="101.015"/>
    <n v="4"/>
    <x v="0"/>
  </r>
  <r>
    <x v="854"/>
    <s v="Zak Manley"/>
    <s v="Kiss Me"/>
    <x v="775"/>
    <n v="58"/>
    <n v="163913"/>
    <x v="0"/>
    <n v="0.66300000000000003"/>
    <n v="0.17799999999999999"/>
    <n v="9"/>
    <n v="-12.252000000000001"/>
    <n v="1"/>
    <n v="5.3199999999999997E-2"/>
    <n v="0.67600000000000005"/>
    <n v="0"/>
    <n v="0.27900000000000003"/>
    <n v="0.54100000000000004"/>
    <n v="82.372"/>
    <n v="4"/>
    <x v="0"/>
  </r>
  <r>
    <x v="855"/>
    <s v="Sara Farell"/>
    <s v="Teenage Dream"/>
    <x v="237"/>
    <n v="48"/>
    <n v="197195"/>
    <x v="0"/>
    <n v="0.53"/>
    <n v="7.7600000000000002E-2"/>
    <n v="6"/>
    <n v="-15.478"/>
    <n v="1"/>
    <n v="4.6199999999999998E-2"/>
    <n v="0.93700000000000006"/>
    <n v="0"/>
    <n v="0.122"/>
    <n v="0.28199999999999997"/>
    <n v="179.911"/>
    <n v="1"/>
    <x v="0"/>
  </r>
  <r>
    <x v="856"/>
    <s v="Tim Halperin"/>
    <s v="Searching for the Same Thing"/>
    <x v="776"/>
    <n v="39"/>
    <n v="210226"/>
    <x v="0"/>
    <n v="0.53700000000000003"/>
    <n v="0.67400000000000004"/>
    <n v="11"/>
    <n v="-5.32"/>
    <n v="1"/>
    <n v="2.8400000000000002E-2"/>
    <n v="0.42599999999999999"/>
    <n v="0"/>
    <n v="0.128"/>
    <n v="0.32900000000000001"/>
    <n v="92.049000000000007"/>
    <n v="4"/>
    <x v="0"/>
  </r>
  <r>
    <x v="857"/>
    <s v="Linn Brikell"/>
    <s v="All Falls Down"/>
    <x v="777"/>
    <n v="45"/>
    <n v="209669"/>
    <x v="0"/>
    <n v="0.69899999999999995"/>
    <n v="0.189"/>
    <n v="1"/>
    <n v="-11.420999999999999"/>
    <n v="1"/>
    <n v="4.6899999999999997E-2"/>
    <n v="0.94399999999999995"/>
    <n v="0"/>
    <n v="0.10299999999999999"/>
    <n v="0.32800000000000001"/>
    <n v="129.79400000000001"/>
    <n v="4"/>
    <x v="0"/>
  </r>
  <r>
    <x v="858"/>
    <s v="Zack Tabudlo"/>
    <s v="This Is Love"/>
    <x v="778"/>
    <n v="49"/>
    <n v="206451"/>
    <x v="0"/>
    <n v="0.68300000000000005"/>
    <n v="0.45900000000000002"/>
    <n v="11"/>
    <n v="-8.8480000000000008"/>
    <n v="1"/>
    <n v="0.11899999999999999"/>
    <n v="0.25700000000000001"/>
    <n v="1.02E-4"/>
    <n v="7.5899999999999995E-2"/>
    <n v="0.28699999999999998"/>
    <n v="93.082999999999998"/>
    <n v="4"/>
    <x v="0"/>
  </r>
  <r>
    <x v="859"/>
    <s v="Sara Farell;Simon Samaeng"/>
    <s v="#Covers"/>
    <x v="779"/>
    <n v="44"/>
    <n v="252567"/>
    <x v="0"/>
    <n v="0.375"/>
    <n v="0.29799999999999999"/>
    <n v="1"/>
    <n v="-11.928000000000001"/>
    <n v="1"/>
    <n v="3.95E-2"/>
    <n v="0.82199999999999995"/>
    <n v="0"/>
    <n v="0.13700000000000001"/>
    <n v="0.42499999999999999"/>
    <n v="174.03"/>
    <n v="4"/>
    <x v="0"/>
  </r>
  <r>
    <x v="860"/>
    <s v="The Mayries"/>
    <s v="I Will Wait"/>
    <x v="780"/>
    <n v="44"/>
    <n v="216841"/>
    <x v="0"/>
    <n v="0.42099999999999999"/>
    <n v="0.107"/>
    <n v="6"/>
    <n v="-15.191000000000001"/>
    <n v="1"/>
    <n v="3.3500000000000002E-2"/>
    <n v="0.94799999999999995"/>
    <n v="0"/>
    <n v="8.8099999999999998E-2"/>
    <n v="0.11799999999999999"/>
    <n v="104.218"/>
    <n v="4"/>
    <x v="0"/>
  </r>
  <r>
    <x v="861"/>
    <s v="Rosie Thomas;The Shins;Sufjan Stevens;Josh Ottum"/>
    <s v="Always Be My Baby"/>
    <x v="48"/>
    <n v="51"/>
    <n v="254306"/>
    <x v="0"/>
    <n v="0.51600000000000001"/>
    <n v="0.311"/>
    <n v="1"/>
    <n v="-13.521000000000001"/>
    <n v="1"/>
    <n v="3.0599999999999999E-2"/>
    <n v="0.93600000000000005"/>
    <n v="2.81E-4"/>
    <n v="0.107"/>
    <n v="0.55800000000000005"/>
    <n v="129.958"/>
    <n v="4"/>
    <x v="0"/>
  </r>
  <r>
    <x v="862"/>
    <s v="Celestial Conscience"/>
    <s v="Jocelyn Flores (Acoustic Guitar)"/>
    <x v="781"/>
    <n v="41"/>
    <n v="59823"/>
    <x v="0"/>
    <n v="0.70899999999999996"/>
    <n v="0.11899999999999999"/>
    <n v="11"/>
    <n v="-20.329999999999998"/>
    <n v="0"/>
    <n v="4.5900000000000003E-2"/>
    <n v="0.90200000000000002"/>
    <n v="0.436"/>
    <n v="0.109"/>
    <n v="0.33600000000000002"/>
    <n v="135.22300000000001"/>
    <n v="4"/>
    <x v="0"/>
  </r>
  <r>
    <x v="863"/>
    <s v="Isabella Celander"/>
    <s v="Use Somebody (Acoustic Version)"/>
    <x v="782"/>
    <n v="58"/>
    <n v="186660"/>
    <x v="0"/>
    <n v="0.56999999999999995"/>
    <n v="0.27100000000000002"/>
    <n v="0"/>
    <n v="-11.334"/>
    <n v="1"/>
    <n v="3.04E-2"/>
    <n v="0.82"/>
    <s v="3.27e-06"/>
    <n v="0.108"/>
    <n v="0.27300000000000002"/>
    <n v="125.86199999999999"/>
    <n v="4"/>
    <x v="0"/>
  </r>
  <r>
    <x v="864"/>
    <s v="Erato;Charlotte Almgren"/>
    <s v="As Long as You Love Me"/>
    <x v="783"/>
    <n v="54"/>
    <n v="151618"/>
    <x v="0"/>
    <n v="0.40400000000000003"/>
    <n v="0.16700000000000001"/>
    <n v="9"/>
    <n v="-12.462999999999999"/>
    <n v="0"/>
    <n v="6.0400000000000002E-2"/>
    <n v="0.89100000000000001"/>
    <n v="0"/>
    <n v="0.10299999999999999"/>
    <n v="0.29799999999999999"/>
    <n v="202.99600000000001"/>
    <n v="4"/>
    <x v="0"/>
  </r>
  <r>
    <x v="865"/>
    <s v="Rosi Golan"/>
    <s v="Lead Balloon"/>
    <x v="784"/>
    <n v="41"/>
    <n v="227413"/>
    <x v="0"/>
    <n v="0.55900000000000005"/>
    <n v="0.24099999999999999"/>
    <n v="3"/>
    <n v="-10.688000000000001"/>
    <n v="1"/>
    <n v="2.8899999999999999E-2"/>
    <n v="0.96299999999999997"/>
    <s v="2.3e-05"/>
    <n v="0.187"/>
    <n v="0.14199999999999999"/>
    <n v="118.916"/>
    <n v="4"/>
    <x v="0"/>
  </r>
  <r>
    <x v="866"/>
    <s v="Caj Morgan"/>
    <s v="Acustic Covers of Popular Songs"/>
    <x v="785"/>
    <n v="46"/>
    <n v="118878"/>
    <x v="0"/>
    <n v="0.76800000000000002"/>
    <n v="0.33100000000000002"/>
    <n v="6"/>
    <n v="-6.6870000000000003"/>
    <n v="1"/>
    <n v="2.92E-2"/>
    <n v="0.57599999999999996"/>
    <n v="0"/>
    <n v="0.216"/>
    <n v="0.66300000000000003"/>
    <n v="107.044"/>
    <n v="4"/>
    <x v="0"/>
  </r>
  <r>
    <x v="867"/>
    <s v="Yosui Inoue;Tamio Okuda"/>
    <s v="ã‚·ãƒ§ãƒƒãƒ”ãƒ³ã‚°"/>
    <x v="786"/>
    <n v="26"/>
    <n v="253600"/>
    <x v="0"/>
    <n v="0.59199999999999997"/>
    <n v="0.77300000000000002"/>
    <n v="7"/>
    <n v="-7.093"/>
    <n v="1"/>
    <n v="2.81E-2"/>
    <n v="0.223"/>
    <n v="5.6999999999999998E-4"/>
    <n v="0.11600000000000001"/>
    <n v="0.72899999999999998"/>
    <n v="121.09699999999999"/>
    <n v="4"/>
    <x v="0"/>
  </r>
  <r>
    <x v="868"/>
    <s v="Brandi Carlile;Sam Smith"/>
    <s v="Party of One (feat. Sam Smith)"/>
    <x v="787"/>
    <n v="56"/>
    <n v="259558"/>
    <x v="0"/>
    <n v="0.35399999999999998"/>
    <n v="0.20599999999999999"/>
    <n v="0"/>
    <n v="-11.798999999999999"/>
    <n v="1"/>
    <n v="3.6499999999999998E-2"/>
    <n v="0.77900000000000003"/>
    <n v="2.1000000000000001E-4"/>
    <n v="9.5899999999999999E-2"/>
    <n v="0.20200000000000001"/>
    <n v="139.05600000000001"/>
    <n v="4"/>
    <x v="0"/>
  </r>
  <r>
    <x v="869"/>
    <s v="Masaharu Fukuyama"/>
    <s v="HUMAN"/>
    <x v="788"/>
    <n v="27"/>
    <n v="278613"/>
    <x v="0"/>
    <n v="0.495"/>
    <n v="0.86499999999999999"/>
    <n v="7"/>
    <n v="-3.21"/>
    <n v="1"/>
    <n v="4.1399999999999999E-2"/>
    <n v="7.9100000000000004E-4"/>
    <s v="6.68e-06"/>
    <n v="0.247"/>
    <n v="0.88100000000000001"/>
    <n v="156.92400000000001"/>
    <n v="4"/>
    <x v="0"/>
  </r>
  <r>
    <x v="870"/>
    <s v="Us The Duo"/>
    <s v="Us"/>
    <x v="789"/>
    <n v="46"/>
    <n v="257706"/>
    <x v="0"/>
    <n v="0.35599999999999998"/>
    <n v="0.193"/>
    <n v="11"/>
    <n v="-10.476000000000001"/>
    <n v="1"/>
    <n v="3.1099999999999999E-2"/>
    <n v="0.14000000000000001"/>
    <s v="2.6e-05"/>
    <n v="0.11600000000000001"/>
    <n v="0.14000000000000001"/>
    <n v="145.428"/>
    <n v="4"/>
    <x v="0"/>
  </r>
  <r>
    <x v="871"/>
    <s v="Takehara Pistol"/>
    <s v="PEACE OUT"/>
    <x v="790"/>
    <n v="26"/>
    <n v="177613"/>
    <x v="0"/>
    <n v="0.41699999999999998"/>
    <n v="0.26400000000000001"/>
    <n v="7"/>
    <n v="-10.353"/>
    <n v="1"/>
    <n v="3.2800000000000003E-2"/>
    <n v="0.27900000000000003"/>
    <n v="0"/>
    <n v="9.6600000000000005E-2"/>
    <n v="0.501"/>
    <n v="86.328000000000003"/>
    <n v="4"/>
    <x v="0"/>
  </r>
  <r>
    <x v="872"/>
    <s v="Kazuyoshi Saito"/>
    <s v="ç´”é¢¨"/>
    <x v="791"/>
    <n v="27"/>
    <n v="177666"/>
    <x v="0"/>
    <n v="0.73099999999999998"/>
    <n v="0.86799999999999999"/>
    <n v="9"/>
    <n v="-6.2169999999999996"/>
    <n v="1"/>
    <n v="2.7099999999999999E-2"/>
    <n v="0.111"/>
    <n v="0"/>
    <n v="0.25800000000000001"/>
    <n v="0.97499999999999998"/>
    <n v="111.154"/>
    <n v="4"/>
    <x v="0"/>
  </r>
  <r>
    <x v="873"/>
    <s v="Boyce Avenue;Tyler Ward"/>
    <s v="Cover Sessions, Vol. 2"/>
    <x v="193"/>
    <n v="52"/>
    <n v="294736"/>
    <x v="0"/>
    <n v="0.42099999999999999"/>
    <n v="0.441"/>
    <n v="3"/>
    <n v="-8.0120000000000005"/>
    <n v="1"/>
    <n v="2.7099999999999999E-2"/>
    <n v="0.41299999999999998"/>
    <s v="8.35e-06"/>
    <n v="0.11799999999999999"/>
    <n v="9.9199999999999997E-2"/>
    <n v="138.07"/>
    <n v="4"/>
    <x v="0"/>
  </r>
  <r>
    <x v="874"/>
    <s v="Front Porch Step"/>
    <s v="I Never Loved Before I Found You"/>
    <x v="792"/>
    <n v="26"/>
    <n v="258271"/>
    <x v="0"/>
    <n v="0.6"/>
    <n v="0.65"/>
    <n v="11"/>
    <n v="-5.1269999999999998"/>
    <n v="1"/>
    <n v="2.8199999999999999E-2"/>
    <n v="9.2099999999999994E-3"/>
    <n v="4.6899999999999997E-2"/>
    <n v="7.8100000000000003E-2"/>
    <n v="0.49"/>
    <n v="139.97499999999999"/>
    <n v="3"/>
    <x v="0"/>
  </r>
  <r>
    <x v="875"/>
    <s v="Andrew Ripp"/>
    <s v="Evergreen"/>
    <x v="793"/>
    <n v="55"/>
    <n v="203070"/>
    <x v="0"/>
    <n v="0.501"/>
    <n v="0.71599999999999997"/>
    <n v="10"/>
    <n v="-4.6609999999999996"/>
    <n v="1"/>
    <n v="4.1099999999999998E-2"/>
    <n v="0.189"/>
    <n v="0"/>
    <n v="6.0600000000000001E-2"/>
    <n v="0.36299999999999999"/>
    <n v="70.918999999999997"/>
    <n v="4"/>
    <x v="0"/>
  </r>
  <r>
    <x v="876"/>
    <s v="Keisha White"/>
    <s v="The Weakness In Me"/>
    <x v="706"/>
    <n v="26"/>
    <n v="200720"/>
    <x v="0"/>
    <n v="0.71699999999999997"/>
    <n v="0.55400000000000005"/>
    <n v="7"/>
    <n v="-5.3890000000000002"/>
    <n v="1"/>
    <n v="4.3999999999999997E-2"/>
    <n v="5.9200000000000003E-2"/>
    <n v="0"/>
    <n v="0.11"/>
    <n v="0.32400000000000001"/>
    <n v="128.03899999999999"/>
    <n v="4"/>
    <x v="0"/>
  </r>
  <r>
    <x v="877"/>
    <s v="Eddie Vedder"/>
    <s v="Earthling"/>
    <x v="794"/>
    <n v="51"/>
    <n v="286950"/>
    <x v="0"/>
    <n v="0.57799999999999996"/>
    <n v="0.74199999999999999"/>
    <n v="7"/>
    <n v="-5.4939999999999998"/>
    <n v="1"/>
    <n v="2.5999999999999999E-2"/>
    <n v="5.11E-3"/>
    <s v="3.52e-06"/>
    <n v="0.11700000000000001"/>
    <n v="0.2"/>
    <n v="107.02800000000001"/>
    <n v="4"/>
    <x v="0"/>
  </r>
  <r>
    <x v="878"/>
    <s v="Brendan James"/>
    <s v="The Howl"/>
    <x v="795"/>
    <n v="51"/>
    <n v="212373"/>
    <x v="0"/>
    <n v="0.63600000000000001"/>
    <n v="0.73499999999999999"/>
    <n v="6"/>
    <n v="-5.1619999999999999"/>
    <n v="1"/>
    <n v="3.1800000000000002E-2"/>
    <n v="3.5999999999999997E-2"/>
    <s v="1.23e-06"/>
    <n v="9.1499999999999998E-2"/>
    <n v="0.53700000000000003"/>
    <n v="120.96899999999999"/>
    <n v="4"/>
    <x v="0"/>
  </r>
  <r>
    <x v="879"/>
    <s v="Joseph Sullinger"/>
    <s v="Art of Acoustic: Soft Instrumental Covers &amp; Classical Guitar"/>
    <x v="243"/>
    <n v="49"/>
    <n v="138748"/>
    <x v="0"/>
    <n v="0.51600000000000001"/>
    <n v="0.14399999999999999"/>
    <n v="2"/>
    <n v="-18.858000000000001"/>
    <n v="1"/>
    <n v="5.0999999999999997E-2"/>
    <n v="0.99199999999999999"/>
    <n v="0.95199999999999996"/>
    <n v="0.115"/>
    <n v="0.433"/>
    <n v="134.68799999999999"/>
    <n v="4"/>
    <x v="0"/>
  </r>
  <r>
    <x v="880"/>
    <s v="Eddie Vedder"/>
    <s v="Into The Wild (Music For The Motion Picture)"/>
    <x v="796"/>
    <n v="47"/>
    <n v="217400"/>
    <x v="0"/>
    <n v="0.379"/>
    <n v="0.53"/>
    <n v="7"/>
    <n v="-7.2290000000000001"/>
    <n v="1"/>
    <n v="3.5499999999999997E-2"/>
    <n v="0.46800000000000003"/>
    <n v="2.1599999999999999E-4"/>
    <n v="8.1799999999999998E-2"/>
    <n v="0.57699999999999996"/>
    <n v="62.06"/>
    <n v="4"/>
    <x v="0"/>
  </r>
  <r>
    <x v="881"/>
    <s v="Howlin' Wolf"/>
    <s v="Howlin' Wolf"/>
    <x v="797"/>
    <n v="58"/>
    <n v="170000"/>
    <x v="0"/>
    <n v="0.82099999999999995"/>
    <n v="0.376"/>
    <n v="0"/>
    <n v="-13.622"/>
    <n v="1"/>
    <n v="4.87E-2"/>
    <n v="0.66900000000000004"/>
    <s v="1.39e-05"/>
    <n v="0.106"/>
    <n v="0.82399999999999995"/>
    <n v="119.039"/>
    <n v="4"/>
    <x v="0"/>
  </r>
  <r>
    <x v="882"/>
    <s v="Johnnyswim"/>
    <s v="Diamonds"/>
    <x v="798"/>
    <n v="27"/>
    <n v="382474"/>
    <x v="0"/>
    <n v="0.371"/>
    <n v="0.51"/>
    <n v="0"/>
    <n v="-8.9420000000000002"/>
    <n v="1"/>
    <n v="4.6800000000000001E-2"/>
    <n v="0.29599999999999999"/>
    <s v="8.19e-05"/>
    <n v="9.5200000000000007E-2"/>
    <n v="0.14699999999999999"/>
    <n v="113.32"/>
    <n v="4"/>
    <x v="0"/>
  </r>
  <r>
    <x v="883"/>
    <s v="AJJ"/>
    <s v="Good Luck Everybody"/>
    <x v="799"/>
    <n v="58"/>
    <n v="157600"/>
    <x v="0"/>
    <n v="0.50700000000000001"/>
    <n v="0.39900000000000002"/>
    <n v="9"/>
    <n v="-10.917"/>
    <n v="0"/>
    <n v="3.5799999999999998E-2"/>
    <n v="0.871"/>
    <n v="3.77E-4"/>
    <n v="0.113"/>
    <n v="0.22500000000000001"/>
    <n v="115.58799999999999"/>
    <n v="4"/>
    <x v="0"/>
  </r>
  <r>
    <x v="884"/>
    <s v="RENT STRIKE"/>
    <s v="IX"/>
    <x v="800"/>
    <n v="26"/>
    <n v="221598"/>
    <x v="0"/>
    <n v="0.45200000000000001"/>
    <n v="0.79700000000000004"/>
    <n v="4"/>
    <n v="-5.2290000000000001"/>
    <n v="1"/>
    <n v="3.2500000000000001E-2"/>
    <n v="0.28000000000000003"/>
    <n v="0.24399999999999999"/>
    <n v="0.13600000000000001"/>
    <n v="0.64200000000000002"/>
    <n v="114.18"/>
    <n v="4"/>
    <x v="0"/>
  </r>
  <r>
    <x v="885"/>
    <s v="Johnnyswim"/>
    <s v="A Johnnyswim Christmas"/>
    <x v="801"/>
    <n v="27"/>
    <n v="173546"/>
    <x v="0"/>
    <n v="0.45600000000000002"/>
    <n v="0.28499999999999998"/>
    <n v="8"/>
    <n v="-8.7680000000000007"/>
    <n v="1"/>
    <n v="5.0099999999999999E-2"/>
    <n v="0.76900000000000002"/>
    <n v="0"/>
    <n v="0.125"/>
    <n v="0.28199999999999997"/>
    <n v="129.262"/>
    <n v="4"/>
    <x v="0"/>
  </r>
  <r>
    <x v="886"/>
    <s v="Covers Culture"/>
    <s v="Chill Vibes - Just Chill &amp; Relax - Relaxing Covers Songs - Chill Pop Music Hits - Chill Music - Chill Songs - Chilled - Chill Out Pop - Chillout Music - Best Chill Songs - Acoustic Chill"/>
    <x v="802"/>
    <n v="26"/>
    <n v="149610"/>
    <x v="0"/>
    <n v="0.35099999999999998"/>
    <n v="0.109"/>
    <n v="7"/>
    <n v="-11.997"/>
    <n v="0"/>
    <n v="4.3499999999999997E-2"/>
    <n v="0.879"/>
    <n v="0"/>
    <n v="0.158"/>
    <n v="0.64"/>
    <n v="76.850999999999999"/>
    <n v="4"/>
    <x v="0"/>
  </r>
  <r>
    <x v="887"/>
    <s v="Gabrielle Aplin"/>
    <s v="100 Greatest Christmas Songs Ever (Top Xmas Pop Hits)"/>
    <x v="701"/>
    <n v="27"/>
    <n v="245160"/>
    <x v="0"/>
    <n v="0.29399999999999998"/>
    <n v="0.29399999999999998"/>
    <n v="11"/>
    <n v="-9.8480000000000008"/>
    <n v="0"/>
    <n v="3.0099999999999998E-2"/>
    <n v="0.9"/>
    <s v="2.48e-05"/>
    <n v="0.10299999999999999"/>
    <n v="0.18"/>
    <n v="75.216999999999999"/>
    <n v="4"/>
    <x v="0"/>
  </r>
  <r>
    <x v="888"/>
    <s v="Days N Daze"/>
    <s v="Night Gaunts / Days N Daze Split"/>
    <x v="803"/>
    <n v="27"/>
    <n v="163013"/>
    <x v="1"/>
    <n v="0.63800000000000001"/>
    <n v="0.54300000000000004"/>
    <n v="2"/>
    <n v="-9.6780000000000008"/>
    <n v="1"/>
    <n v="4.3200000000000002E-2"/>
    <n v="0.63600000000000001"/>
    <n v="0.01"/>
    <n v="0.35499999999999998"/>
    <n v="0.92200000000000004"/>
    <n v="140.864"/>
    <n v="4"/>
    <x v="0"/>
  </r>
  <r>
    <x v="889"/>
    <s v="Calibretto 13"/>
    <s v="Enter The Danger Brigade"/>
    <x v="804"/>
    <n v="26"/>
    <n v="201866"/>
    <x v="0"/>
    <n v="0.38200000000000001"/>
    <n v="0.9"/>
    <n v="7"/>
    <n v="-4.9379999999999997"/>
    <n v="1"/>
    <n v="6.8500000000000005E-2"/>
    <n v="1.7999999999999999E-2"/>
    <n v="0"/>
    <n v="9.11E-2"/>
    <n v="0.64400000000000002"/>
    <n v="79.965000000000003"/>
    <n v="4"/>
    <x v="0"/>
  </r>
  <r>
    <x v="890"/>
    <s v="Penny and Sparrow"/>
    <s v="Finch"/>
    <x v="805"/>
    <n v="58"/>
    <n v="207762"/>
    <x v="0"/>
    <n v="0.65100000000000002"/>
    <n v="0.86"/>
    <n v="7"/>
    <n v="-7.8"/>
    <n v="1"/>
    <n v="0.13800000000000001"/>
    <n v="0.60899999999999999"/>
    <n v="6.4599999999999996E-3"/>
    <n v="7.3499999999999996E-2"/>
    <n v="0.28999999999999998"/>
    <n v="115"/>
    <n v="4"/>
    <x v="0"/>
  </r>
  <r>
    <x v="891"/>
    <s v="Ramshackle Glory"/>
    <s v="Live the Dream"/>
    <x v="806"/>
    <n v="27"/>
    <n v="104200"/>
    <x v="0"/>
    <n v="0.58199999999999996"/>
    <n v="0.437"/>
    <n v="7"/>
    <n v="-7.0469999999999997"/>
    <n v="1"/>
    <n v="5.2400000000000002E-2"/>
    <n v="0.45100000000000001"/>
    <n v="0"/>
    <n v="0.14899999999999999"/>
    <n v="0.92200000000000004"/>
    <n v="130.46700000000001"/>
    <n v="3"/>
    <x v="0"/>
  </r>
  <r>
    <x v="892"/>
    <s v="Rail Yard Ghosts"/>
    <s v="Songs from the Lowdown"/>
    <x v="807"/>
    <n v="27"/>
    <n v="219219"/>
    <x v="0"/>
    <n v="0.46100000000000002"/>
    <n v="0.79900000000000004"/>
    <n v="9"/>
    <n v="-6.5650000000000004"/>
    <n v="0"/>
    <n v="0.13900000000000001"/>
    <n v="0.74399999999999999"/>
    <n v="0"/>
    <n v="0.433"/>
    <n v="0.79700000000000004"/>
    <n v="167.255"/>
    <n v="4"/>
    <x v="0"/>
  </r>
  <r>
    <x v="893"/>
    <s v="Laura Jane Grace"/>
    <s v="At War With The Silverfish"/>
    <x v="808"/>
    <n v="26"/>
    <n v="73501"/>
    <x v="0"/>
    <n v="0.71199999999999997"/>
    <n v="0.93300000000000005"/>
    <n v="0"/>
    <n v="-2.7730000000000001"/>
    <n v="1"/>
    <n v="5.0900000000000001E-2"/>
    <n v="0.32600000000000001"/>
    <n v="0"/>
    <n v="0.28599999999999998"/>
    <n v="0.86499999999999999"/>
    <n v="152.02000000000001"/>
    <n v="3"/>
    <x v="0"/>
  </r>
  <r>
    <x v="894"/>
    <s v="Pigeon Pit"/>
    <s v="Feather River Canyon Blues"/>
    <x v="809"/>
    <n v="26"/>
    <n v="168240"/>
    <x v="0"/>
    <n v="0.44"/>
    <n v="0.94699999999999995"/>
    <n v="7"/>
    <n v="-3.1150000000000002"/>
    <n v="1"/>
    <n v="6.5199999999999994E-2"/>
    <n v="4.7699999999999999E-2"/>
    <s v="9.95e-06"/>
    <n v="4.8800000000000003E-2"/>
    <n v="0.89200000000000002"/>
    <n v="185.14699999999999"/>
    <n v="4"/>
    <x v="0"/>
  </r>
  <r>
    <x v="895"/>
    <s v="Pigeon Pit"/>
    <s v="Treehouse"/>
    <x v="810"/>
    <n v="27"/>
    <n v="150439"/>
    <x v="1"/>
    <n v="0.56299999999999994"/>
    <n v="0.45200000000000001"/>
    <n v="5"/>
    <n v="-8.9600000000000009"/>
    <n v="1"/>
    <n v="4.8000000000000001E-2"/>
    <n v="0.877"/>
    <s v="1.38e-05"/>
    <n v="0.14499999999999999"/>
    <n v="0.58099999999999996"/>
    <n v="91.98"/>
    <n v="4"/>
    <x v="0"/>
  </r>
  <r>
    <x v="896"/>
    <s v="Harley Poe"/>
    <s v="Horrorful"/>
    <x v="811"/>
    <n v="26"/>
    <n v="403911"/>
    <x v="1"/>
    <n v="0.33500000000000002"/>
    <n v="0.69599999999999995"/>
    <n v="9"/>
    <n v="-9.4719999999999995"/>
    <n v="0"/>
    <n v="3.0700000000000002E-2"/>
    <n v="0.64200000000000002"/>
    <n v="0"/>
    <n v="0.12"/>
    <n v="0.40300000000000002"/>
    <n v="95.24"/>
    <n v="4"/>
    <x v="0"/>
  </r>
  <r>
    <x v="897"/>
    <s v="Buddy Guy;Derek Trucks"/>
    <s v="Skin Deep Deluxe Version"/>
    <x v="812"/>
    <n v="29"/>
    <n v="268906"/>
    <x v="0"/>
    <n v="0.57199999999999995"/>
    <n v="0.56699999999999995"/>
    <n v="9"/>
    <n v="-6.1470000000000002"/>
    <n v="1"/>
    <n v="3.4099999999999998E-2"/>
    <n v="0.51700000000000002"/>
    <s v="2.47e-05"/>
    <n v="0.158"/>
    <n v="0.498"/>
    <n v="135.21700000000001"/>
    <n v="4"/>
    <x v="0"/>
  </r>
  <r>
    <x v="898"/>
    <s v="Frank Turner"/>
    <s v="Tape Deck Heart (Deluxe Edition)"/>
    <x v="813"/>
    <n v="26"/>
    <n v="232815"/>
    <x v="0"/>
    <n v="0.65400000000000003"/>
    <n v="0.83399999999999996"/>
    <n v="9"/>
    <n v="-4.4359999999999999"/>
    <n v="1"/>
    <n v="4.2500000000000003E-2"/>
    <n v="1.72E-2"/>
    <n v="2.2900000000000001E-4"/>
    <n v="8.8999999999999996E-2"/>
    <n v="0.90400000000000003"/>
    <n v="139.37700000000001"/>
    <n v="4"/>
    <x v="0"/>
  </r>
  <r>
    <x v="899"/>
    <s v="Grace Petrie"/>
    <s v="Queer As Folk"/>
    <x v="814"/>
    <n v="26"/>
    <n v="270920"/>
    <x v="0"/>
    <n v="0.44600000000000001"/>
    <n v="0.78700000000000003"/>
    <n v="11"/>
    <n v="-7.3339999999999996"/>
    <n v="1"/>
    <n v="7.1400000000000005E-2"/>
    <n v="3.2800000000000003E-2"/>
    <n v="0"/>
    <n v="0.14099999999999999"/>
    <n v="0.58599999999999997"/>
    <n v="125.642"/>
    <n v="4"/>
    <x v="0"/>
  </r>
  <r>
    <x v="900"/>
    <s v="Sara Farell"/>
    <s v="#Covers"/>
    <x v="815"/>
    <n v="42"/>
    <n v="170712"/>
    <x v="0"/>
    <n v="0.44400000000000001"/>
    <n v="0.316"/>
    <n v="2"/>
    <n v="-7.7510000000000003"/>
    <n v="1"/>
    <n v="4.2900000000000001E-2"/>
    <n v="0.84099999999999997"/>
    <n v="0"/>
    <n v="0.13800000000000001"/>
    <n v="0.57099999999999995"/>
    <n v="201.64"/>
    <n v="4"/>
    <x v="0"/>
  </r>
  <r>
    <x v="901"/>
    <s v="Jonah Baker"/>
    <s v="Stuck with U (Acoustic)"/>
    <x v="816"/>
    <n v="51"/>
    <n v="188181"/>
    <x v="0"/>
    <n v="0.55800000000000005"/>
    <n v="0.20899999999999999"/>
    <n v="8"/>
    <n v="-8.9339999999999993"/>
    <n v="1"/>
    <n v="5.1499999999999997E-2"/>
    <n v="0.85199999999999998"/>
    <n v="0"/>
    <n v="0.111"/>
    <n v="0.41"/>
    <n v="174.887"/>
    <n v="3"/>
    <x v="0"/>
  </r>
  <r>
    <x v="902"/>
    <s v="Matt Johnson"/>
    <s v="Covers"/>
    <x v="817"/>
    <n v="53"/>
    <n v="141142"/>
    <x v="0"/>
    <n v="0.80700000000000005"/>
    <n v="0.40300000000000002"/>
    <n v="2"/>
    <n v="-8.7590000000000003"/>
    <n v="0"/>
    <n v="3.1600000000000003E-2"/>
    <n v="0.90100000000000002"/>
    <n v="0"/>
    <n v="0.12"/>
    <n v="0.95"/>
    <n v="105.03700000000001"/>
    <n v="4"/>
    <x v="0"/>
  </r>
  <r>
    <x v="903"/>
    <s v="Zack Tabudlo"/>
    <s v="Yakap"/>
    <x v="818"/>
    <n v="66"/>
    <n v="178947"/>
    <x v="0"/>
    <n v="0.73799999999999999"/>
    <n v="0.39"/>
    <n v="8"/>
    <n v="-8.4369999999999994"/>
    <n v="1"/>
    <n v="3.3399999999999999E-2"/>
    <n v="0.40899999999999997"/>
    <n v="0"/>
    <n v="0.107"/>
    <n v="0.54700000000000004"/>
    <n v="113.979"/>
    <n v="4"/>
    <x v="0"/>
  </r>
  <r>
    <x v="904"/>
    <s v="Sara Farell"/>
    <s v="Sunflower"/>
    <x v="819"/>
    <n v="51"/>
    <n v="181897"/>
    <x v="0"/>
    <n v="0.56799999999999995"/>
    <n v="0.21299999999999999"/>
    <n v="2"/>
    <n v="-11.882"/>
    <n v="1"/>
    <n v="3.7900000000000003E-2"/>
    <n v="0.95499999999999996"/>
    <n v="0"/>
    <n v="0.113"/>
    <n v="0.30199999999999999"/>
    <n v="72.932000000000002"/>
    <n v="4"/>
    <x v="0"/>
  </r>
  <r>
    <x v="905"/>
    <s v="Mother's Daughter;Beck Pete"/>
    <s v="Hollywood's Bleeding"/>
    <x v="820"/>
    <n v="40"/>
    <n v="217777"/>
    <x v="0"/>
    <n v="0.65400000000000003"/>
    <n v="0.13500000000000001"/>
    <n v="6"/>
    <n v="-10.535"/>
    <n v="0"/>
    <n v="3.3000000000000002E-2"/>
    <n v="0.93799999999999994"/>
    <n v="0"/>
    <n v="9.8299999999999998E-2"/>
    <n v="0.16"/>
    <n v="100.027"/>
    <n v="4"/>
    <x v="0"/>
  </r>
  <r>
    <x v="906"/>
    <s v="Salty Snacks"/>
    <s v="Without You"/>
    <x v="102"/>
    <n v="38"/>
    <n v="179236"/>
    <x v="0"/>
    <n v="0.55100000000000005"/>
    <n v="0.161"/>
    <n v="7"/>
    <n v="-13.903"/>
    <n v="1"/>
    <n v="3.3099999999999997E-2"/>
    <n v="0.95399999999999996"/>
    <n v="9.2500000000000004E-4"/>
    <n v="0.11600000000000001"/>
    <n v="0.35599999999999998"/>
    <n v="129.786"/>
    <n v="4"/>
    <x v="0"/>
  </r>
  <r>
    <x v="907"/>
    <s v="Canyon City"/>
    <s v="Midnight Waves"/>
    <x v="821"/>
    <n v="43"/>
    <n v="252013"/>
    <x v="0"/>
    <n v="0.48399999999999999"/>
    <n v="0.29199999999999998"/>
    <n v="11"/>
    <n v="-13.097"/>
    <n v="1"/>
    <n v="3.5000000000000003E-2"/>
    <n v="0.86799999999999999"/>
    <n v="3.7199999999999999E-4"/>
    <n v="9.0300000000000005E-2"/>
    <n v="7.7100000000000002E-2"/>
    <n v="95.445999999999998"/>
    <n v="4"/>
    <x v="0"/>
  </r>
  <r>
    <x v="908"/>
    <s v="The Civil Wars"/>
    <s v="Barton Hollow"/>
    <x v="822"/>
    <n v="44"/>
    <n v="211360"/>
    <x v="0"/>
    <n v="0.309"/>
    <n v="0.159"/>
    <n v="7"/>
    <n v="-13.101000000000001"/>
    <n v="1"/>
    <n v="3.15E-2"/>
    <n v="0.91200000000000003"/>
    <n v="2.6400000000000002E-4"/>
    <n v="0.1"/>
    <n v="0.13900000000000001"/>
    <n v="87.492999999999995"/>
    <n v="4"/>
    <x v="0"/>
  </r>
  <r>
    <x v="909"/>
    <s v="Sara Farell"/>
    <s v="#Covers"/>
    <x v="823"/>
    <n v="47"/>
    <n v="189732"/>
    <x v="0"/>
    <n v="0.627"/>
    <n v="0.307"/>
    <n v="6"/>
    <n v="-6.9939999999999998"/>
    <n v="1"/>
    <n v="3.1300000000000001E-2"/>
    <n v="0.74199999999999999"/>
    <n v="0"/>
    <n v="0.106"/>
    <n v="0.47099999999999997"/>
    <n v="104.669"/>
    <n v="4"/>
    <x v="0"/>
  </r>
  <r>
    <x v="910"/>
    <s v="Tamio Okuda"/>
    <s v="E"/>
    <x v="824"/>
    <n v="27"/>
    <n v="209200"/>
    <x v="0"/>
    <n v="0.51200000000000001"/>
    <n v="0.88400000000000001"/>
    <n v="4"/>
    <n v="-4.09"/>
    <n v="1"/>
    <n v="3.6799999999999999E-2"/>
    <s v="5.53e-06"/>
    <n v="0"/>
    <n v="0.123"/>
    <n v="0.48"/>
    <n v="124.003"/>
    <n v="4"/>
    <x v="0"/>
  </r>
  <r>
    <x v="911"/>
    <s v="Richard Walters"/>
    <s v="Devon or Las Vegas"/>
    <x v="825"/>
    <n v="52"/>
    <n v="260000"/>
    <x v="0"/>
    <n v="0.40899999999999997"/>
    <n v="0.222"/>
    <n v="10"/>
    <n v="-11.358000000000001"/>
    <n v="1"/>
    <n v="2.81E-2"/>
    <n v="0.88200000000000001"/>
    <n v="4.2599999999999999E-3"/>
    <n v="0.21299999999999999"/>
    <n v="0.151"/>
    <n v="63.418999999999997"/>
    <n v="4"/>
    <x v="0"/>
  </r>
  <r>
    <x v="912"/>
    <s v="Guus Dielissen"/>
    <s v="Moth To A Flame (Acoustic Instrumental)"/>
    <x v="826"/>
    <n v="43"/>
    <n v="181819"/>
    <x v="0"/>
    <n v="0.65500000000000003"/>
    <n v="8.8300000000000003E-2"/>
    <n v="0"/>
    <n v="-19"/>
    <n v="0"/>
    <n v="4.8800000000000003E-2"/>
    <n v="0.97099999999999997"/>
    <n v="0.89700000000000002"/>
    <n v="0.109"/>
    <n v="0.373"/>
    <n v="119.985"/>
    <n v="4"/>
    <x v="0"/>
  </r>
  <r>
    <x v="913"/>
    <s v="Boyce Avenue"/>
    <s v="Cover Sessions, Vol. 5"/>
    <x v="827"/>
    <n v="56"/>
    <n v="210186"/>
    <x v="0"/>
    <n v="0.73699999999999999"/>
    <n v="0.29499999999999998"/>
    <n v="0"/>
    <n v="-7.1790000000000003"/>
    <n v="1"/>
    <n v="3.32E-2"/>
    <n v="0.83"/>
    <n v="0"/>
    <n v="9.8400000000000001E-2"/>
    <n v="0.36899999999999999"/>
    <n v="107.107"/>
    <n v="4"/>
    <x v="0"/>
  </r>
  <r>
    <x v="914"/>
    <s v="Jon Bryant"/>
    <s v="Twenty Something"/>
    <x v="828"/>
    <n v="48"/>
    <n v="267306"/>
    <x v="0"/>
    <n v="0.51200000000000001"/>
    <n v="0.35899999999999999"/>
    <n v="9"/>
    <n v="-11.59"/>
    <n v="1"/>
    <n v="2.7699999999999999E-2"/>
    <n v="0.56699999999999995"/>
    <n v="2.2599999999999999E-2"/>
    <n v="0.13"/>
    <n v="0.13200000000000001"/>
    <n v="129.83000000000001"/>
    <n v="4"/>
    <x v="0"/>
  </r>
  <r>
    <x v="915"/>
    <s v="Boyce Avenue;Alex Goot"/>
    <s v="Cover Sessions, Vol. 2"/>
    <x v="829"/>
    <n v="43"/>
    <n v="244173"/>
    <x v="0"/>
    <n v="0.56399999999999995"/>
    <n v="0.73099999999999998"/>
    <n v="9"/>
    <n v="-7.5380000000000003"/>
    <n v="1"/>
    <n v="2.9499999999999998E-2"/>
    <n v="0.51700000000000002"/>
    <s v="3.48e-06"/>
    <n v="0.105"/>
    <n v="0.25700000000000001"/>
    <n v="95.036000000000001"/>
    <n v="4"/>
    <x v="0"/>
  </r>
  <r>
    <x v="916"/>
    <s v="Michael Logen"/>
    <s v="Darkness Within"/>
    <x v="830"/>
    <n v="33"/>
    <n v="252628"/>
    <x v="0"/>
    <n v="0.46400000000000002"/>
    <n v="0.72"/>
    <n v="9"/>
    <n v="-7.4660000000000002"/>
    <n v="0"/>
    <n v="5.8299999999999998E-2"/>
    <n v="1.66E-2"/>
    <n v="4.8800000000000003E-2"/>
    <n v="8.0299999999999996E-2"/>
    <n v="0.19900000000000001"/>
    <n v="160.05699999999999"/>
    <n v="4"/>
    <x v="0"/>
  </r>
  <r>
    <x v="917"/>
    <s v="Ice Seguerra"/>
    <s v="Ikaw Lamang"/>
    <x v="831"/>
    <n v="25"/>
    <n v="282387"/>
    <x v="0"/>
    <n v="0.61399999999999999"/>
    <n v="0.441"/>
    <n v="10"/>
    <n v="-9.375"/>
    <n v="1"/>
    <n v="2.9399999999999999E-2"/>
    <n v="0.76"/>
    <s v="4.18e-05"/>
    <n v="0.14199999999999999"/>
    <n v="0.14799999999999999"/>
    <n v="117.991"/>
    <n v="4"/>
    <x v="0"/>
  </r>
  <r>
    <x v="918"/>
    <s v="Ingrid Michaelson;A Great Big World"/>
    <s v="Lights Out"/>
    <x v="832"/>
    <n v="47"/>
    <n v="283266"/>
    <x v="0"/>
    <n v="0.29199999999999998"/>
    <n v="0.28100000000000003"/>
    <n v="5"/>
    <n v="-11.569000000000001"/>
    <n v="1"/>
    <n v="2.8799999999999999E-2"/>
    <n v="0.751"/>
    <n v="8.0099999999999995E-4"/>
    <n v="0.113"/>
    <n v="0.16400000000000001"/>
    <n v="89.256"/>
    <n v="4"/>
    <x v="0"/>
  </r>
  <r>
    <x v="919"/>
    <s v="Ingrid Michaelson"/>
    <s v="The Space Between Us (Original Motion Picture Soundtrack)"/>
    <x v="833"/>
    <n v="39"/>
    <n v="281213"/>
    <x v="0"/>
    <n v="0.65200000000000002"/>
    <n v="0.26300000000000001"/>
    <n v="0"/>
    <n v="-9.8360000000000003"/>
    <n v="1"/>
    <n v="4.4699999999999997E-2"/>
    <n v="0.75800000000000001"/>
    <s v="2.69e-06"/>
    <n v="0.106"/>
    <n v="0.192"/>
    <n v="119.95699999999999"/>
    <n v="4"/>
    <x v="0"/>
  </r>
  <r>
    <x v="920"/>
    <s v="Carly Lyman;Jason Lux"/>
    <s v="(I Just) Died In Your Arms [Acoustic]"/>
    <x v="834"/>
    <n v="47"/>
    <n v="211364"/>
    <x v="0"/>
    <n v="0.747"/>
    <n v="0.221"/>
    <n v="0"/>
    <n v="-10.528"/>
    <n v="0"/>
    <n v="3.5799999999999998E-2"/>
    <n v="0.93"/>
    <n v="0"/>
    <n v="0.11600000000000001"/>
    <n v="0.36899999999999999"/>
    <n v="118.029"/>
    <n v="4"/>
    <x v="0"/>
  </r>
  <r>
    <x v="921"/>
    <s v="Jimmy Rogers"/>
    <s v="Chicago Bound"/>
    <x v="835"/>
    <n v="50"/>
    <n v="167266"/>
    <x v="0"/>
    <n v="0.621"/>
    <n v="0.51900000000000002"/>
    <n v="11"/>
    <n v="-13.327999999999999"/>
    <n v="0"/>
    <n v="0.10199999999999999"/>
    <n v="0.83699999999999997"/>
    <n v="2.4599999999999999E-3"/>
    <n v="0.16200000000000001"/>
    <n v="0.77500000000000002"/>
    <n v="117.005"/>
    <n v="4"/>
    <x v="0"/>
  </r>
  <r>
    <x v="922"/>
    <s v="Masaharu Fukuyama"/>
    <s v="åŒ–èº«"/>
    <x v="279"/>
    <n v="27"/>
    <n v="223333"/>
    <x v="0"/>
    <n v="0.32400000000000001"/>
    <n v="0.873"/>
    <n v="10"/>
    <n v="-3.67"/>
    <n v="1"/>
    <n v="6.6400000000000001E-2"/>
    <n v="1.1900000000000001E-3"/>
    <n v="0"/>
    <n v="0.443"/>
    <n v="0.77500000000000002"/>
    <n v="93.058999999999997"/>
    <n v="4"/>
    <x v="0"/>
  </r>
  <r>
    <x v="923"/>
    <s v="Todd Carey"/>
    <s v="Future Throwback"/>
    <x v="836"/>
    <n v="47"/>
    <n v="178659"/>
    <x v="0"/>
    <n v="0.72299999999999998"/>
    <n v="0.93"/>
    <n v="0"/>
    <n v="-3.2919999999999998"/>
    <n v="1"/>
    <n v="0.128"/>
    <n v="0.23899999999999999"/>
    <n v="0"/>
    <n v="0.155"/>
    <n v="0.69"/>
    <n v="124.94"/>
    <n v="4"/>
    <x v="0"/>
  </r>
  <r>
    <x v="924"/>
    <s v="Mone Kamishiraishi"/>
    <s v="ã‚ã®æ­Œ-2-"/>
    <x v="837"/>
    <n v="26"/>
    <n v="300626"/>
    <x v="0"/>
    <n v="0.755"/>
    <n v="0.91800000000000004"/>
    <n v="8"/>
    <n v="-3.5579999999999998"/>
    <n v="1"/>
    <n v="3.9699999999999999E-2"/>
    <n v="0.35599999999999998"/>
    <s v="2.23e-06"/>
    <n v="0.31900000000000001"/>
    <n v="0.63400000000000001"/>
    <n v="111.017"/>
    <n v="4"/>
    <x v="0"/>
  </r>
  <r>
    <x v="925"/>
    <s v="Ray LaMontagne"/>
    <s v="MONOVISION"/>
    <x v="838"/>
    <n v="51"/>
    <n v="361013"/>
    <x v="0"/>
    <n v="0.502"/>
    <n v="0.309"/>
    <n v="5"/>
    <n v="-12.12"/>
    <n v="1"/>
    <n v="3.0800000000000001E-2"/>
    <n v="0.57499999999999996"/>
    <n v="8.9400000000000005E-4"/>
    <n v="9.5299999999999996E-2"/>
    <n v="0.27300000000000002"/>
    <n v="119.236"/>
    <n v="4"/>
    <x v="0"/>
  </r>
  <r>
    <x v="926"/>
    <s v="Steve Pulvers"/>
    <s v="Acoustic Lullaby"/>
    <x v="839"/>
    <n v="26"/>
    <n v="133500"/>
    <x v="0"/>
    <n v="0.58599999999999997"/>
    <n v="0.115"/>
    <n v="7"/>
    <n v="-20.442"/>
    <n v="1"/>
    <n v="5.6300000000000003E-2"/>
    <n v="0.83599999999999997"/>
    <n v="0.92600000000000005"/>
    <n v="0.11"/>
    <n v="0.88500000000000001"/>
    <n v="179.941"/>
    <n v="4"/>
    <x v="0"/>
  </r>
  <r>
    <x v="927"/>
    <s v="Andrew Foy;Renee Foy;Stephan Baulig"/>
    <s v="Afterglow (Stephan Baulig Remix)"/>
    <x v="840"/>
    <n v="37"/>
    <n v="213620"/>
    <x v="0"/>
    <n v="0.67400000000000004"/>
    <n v="0.52"/>
    <n v="0"/>
    <n v="-10.106"/>
    <n v="1"/>
    <n v="5.11E-2"/>
    <n v="0.27200000000000002"/>
    <s v="2.41e-06"/>
    <n v="0.151"/>
    <n v="0.42199999999999999"/>
    <n v="116.029"/>
    <n v="4"/>
    <x v="0"/>
  </r>
  <r>
    <x v="928"/>
    <s v="Chris Cresswell"/>
    <s v="To the Wind"/>
    <x v="841"/>
    <n v="25"/>
    <n v="187908"/>
    <x v="0"/>
    <n v="0.49099999999999999"/>
    <n v="0.56100000000000005"/>
    <n v="11"/>
    <n v="-7.2249999999999996"/>
    <n v="1"/>
    <n v="2.46E-2"/>
    <n v="0.108"/>
    <n v="0"/>
    <n v="0.13900000000000001"/>
    <n v="0.22"/>
    <n v="151.94300000000001"/>
    <n v="4"/>
    <x v="0"/>
  </r>
  <r>
    <x v="929"/>
    <s v="JJ Heller"/>
    <s v="When I'm With You"/>
    <x v="842"/>
    <n v="45"/>
    <n v="236200"/>
    <x v="0"/>
    <n v="0.40500000000000003"/>
    <n v="0.42799999999999999"/>
    <n v="5"/>
    <n v="-9.5060000000000002"/>
    <n v="1"/>
    <n v="2.7699999999999999E-2"/>
    <n v="1.8200000000000001E-2"/>
    <s v="1.44e-06"/>
    <n v="0.14000000000000001"/>
    <n v="0.33100000000000002"/>
    <n v="145.51499999999999"/>
    <n v="3"/>
    <x v="0"/>
  </r>
  <r>
    <x v="930"/>
    <s v="Hanare Gumi"/>
    <s v="ã‚ã„ã®ã‚"/>
    <x v="843"/>
    <n v="25"/>
    <n v="242001"/>
    <x v="0"/>
    <n v="0.66700000000000004"/>
    <n v="1.1900000000000001E-2"/>
    <n v="0"/>
    <n v="-16.177"/>
    <n v="1"/>
    <n v="6.3600000000000004E-2"/>
    <n v="0.86699999999999999"/>
    <n v="0"/>
    <n v="0.28799999999999998"/>
    <n v="0.40799999999999997"/>
    <n v="133.27699999999999"/>
    <n v="4"/>
    <x v="0"/>
  </r>
  <r>
    <x v="931"/>
    <s v="Rory Block"/>
    <s v="I've Got A Rock In My Sock"/>
    <x v="844"/>
    <n v="26"/>
    <n v="246773"/>
    <x v="0"/>
    <n v="0.67500000000000004"/>
    <n v="0.36599999999999999"/>
    <n v="2"/>
    <n v="-13.493"/>
    <n v="1"/>
    <n v="7.5899999999999995E-2"/>
    <n v="0.71899999999999997"/>
    <n v="1.0499999999999999E-3"/>
    <n v="0.191"/>
    <n v="0.41099999999999998"/>
    <n v="72.662000000000006"/>
    <n v="4"/>
    <x v="0"/>
  </r>
  <r>
    <x v="932"/>
    <s v="A Great Big World"/>
    <s v="Is There Anybody Out There? - Track by Track Commentary"/>
    <x v="845"/>
    <n v="44"/>
    <n v="230186"/>
    <x v="0"/>
    <n v="0.60199999999999998"/>
    <n v="0.40400000000000003"/>
    <n v="2"/>
    <n v="-7.3440000000000003"/>
    <n v="1"/>
    <n v="2.7199999999999998E-2"/>
    <n v="0.31"/>
    <n v="0"/>
    <n v="0.14000000000000001"/>
    <n v="0.24299999999999999"/>
    <n v="83.054000000000002"/>
    <n v="4"/>
    <x v="0"/>
  </r>
  <r>
    <x v="933"/>
    <s v="Johnnyswim"/>
    <s v="JOHNNYSWIM"/>
    <x v="846"/>
    <n v="27"/>
    <n v="198136"/>
    <x v="0"/>
    <n v="0.439"/>
    <n v="0.53200000000000003"/>
    <n v="2"/>
    <n v="-5.0709999999999997"/>
    <n v="1"/>
    <n v="4.7300000000000002E-2"/>
    <n v="0.61799999999999999"/>
    <n v="0"/>
    <n v="0.14199999999999999"/>
    <n v="0.437"/>
    <n v="129.93600000000001"/>
    <n v="4"/>
    <x v="0"/>
  </r>
  <r>
    <x v="934"/>
    <s v="Bobbylene"/>
    <s v="Study Music - MÃºsica Para Estudiar - Study Session - Study Acoustic Music - Study Relaxing Music"/>
    <x v="847"/>
    <n v="25"/>
    <n v="126951"/>
    <x v="0"/>
    <n v="0.60799999999999998"/>
    <n v="0.15"/>
    <n v="11"/>
    <n v="-12.728999999999999"/>
    <n v="1"/>
    <n v="3.2099999999999997E-2"/>
    <n v="0.86299999999999999"/>
    <n v="0"/>
    <n v="0.124"/>
    <n v="0.434"/>
    <n v="81.988"/>
    <n v="4"/>
    <x v="0"/>
  </r>
  <r>
    <x v="935"/>
    <s v="Chris Cresswell"/>
    <s v="One Week Record"/>
    <x v="848"/>
    <n v="24"/>
    <n v="180000"/>
    <x v="0"/>
    <n v="0.55600000000000005"/>
    <n v="0.51100000000000001"/>
    <n v="3"/>
    <n v="-5.4249999999999998"/>
    <n v="1"/>
    <n v="2.98E-2"/>
    <n v="0.78200000000000003"/>
    <s v="4.54e-05"/>
    <n v="9.8900000000000002E-2"/>
    <n v="0.53700000000000003"/>
    <n v="81.613"/>
    <n v="4"/>
    <x v="0"/>
  </r>
  <r>
    <x v="936"/>
    <s v="AJJ"/>
    <s v="Only God Can Judge Me and More"/>
    <x v="849"/>
    <n v="27"/>
    <n v="104306"/>
    <x v="1"/>
    <n v="0.68200000000000005"/>
    <n v="0.66600000000000004"/>
    <n v="0"/>
    <n v="-4.8230000000000004"/>
    <n v="1"/>
    <n v="3.8100000000000002E-2"/>
    <n v="6.0199999999999997E-2"/>
    <s v="7.99e-05"/>
    <n v="0.20799999999999999"/>
    <n v="0.79"/>
    <n v="93.992000000000004"/>
    <n v="4"/>
    <x v="0"/>
  </r>
  <r>
    <x v="937"/>
    <s v="Joey Cape"/>
    <s v="Acoustic"/>
    <x v="850"/>
    <n v="25"/>
    <n v="226786"/>
    <x v="0"/>
    <n v="0.64400000000000002"/>
    <n v="0.34"/>
    <n v="0"/>
    <n v="-6.7590000000000003"/>
    <n v="1"/>
    <n v="2.7E-2"/>
    <n v="0.49099999999999999"/>
    <n v="0"/>
    <n v="8.2900000000000001E-2"/>
    <n v="0.29799999999999999"/>
    <n v="129.99700000000001"/>
    <n v="4"/>
    <x v="0"/>
  </r>
  <r>
    <x v="938"/>
    <s v="AJJ"/>
    <s v="Christmas Island"/>
    <x v="851"/>
    <n v="27"/>
    <n v="220832"/>
    <x v="0"/>
    <n v="0.55400000000000005"/>
    <n v="0.65500000000000003"/>
    <n v="11"/>
    <n v="-8.0739999999999998"/>
    <n v="1"/>
    <n v="3.8800000000000001E-2"/>
    <n v="1.9300000000000001E-3"/>
    <n v="0.56000000000000005"/>
    <n v="0.28000000000000003"/>
    <n v="0.36299999999999999"/>
    <n v="100.423"/>
    <n v="4"/>
    <x v="0"/>
  </r>
  <r>
    <x v="939"/>
    <s v="Days N Daze"/>
    <s v="Split EP"/>
    <x v="852"/>
    <n v="27"/>
    <n v="149214"/>
    <x v="1"/>
    <n v="0.56499999999999995"/>
    <n v="0.61099999999999999"/>
    <n v="5"/>
    <n v="-9.1240000000000006"/>
    <n v="1"/>
    <n v="6.7599999999999993E-2"/>
    <n v="0.34499999999999997"/>
    <s v="2.46e-05"/>
    <n v="5.2699999999999997E-2"/>
    <n v="0.91400000000000003"/>
    <n v="137.28899999999999"/>
    <n v="4"/>
    <x v="0"/>
  </r>
  <r>
    <x v="940"/>
    <s v="Son&amp;Dad;Filip Nordin"/>
    <s v="Chill Out Covers - Chillout Covers - Chill Acoustic - Relaxing Songs - Calming Acoustic Songs"/>
    <x v="853"/>
    <n v="25"/>
    <n v="141176"/>
    <x v="0"/>
    <n v="0.879"/>
    <n v="0.41099999999999998"/>
    <n v="8"/>
    <n v="-5.1459999999999999"/>
    <n v="1"/>
    <n v="3.7600000000000001E-2"/>
    <n v="0.61"/>
    <n v="0"/>
    <n v="0.29599999999999999"/>
    <n v="0.60899999999999999"/>
    <n v="119.01300000000001"/>
    <n v="4"/>
    <x v="0"/>
  </r>
  <r>
    <x v="941"/>
    <s v="Days N Daze"/>
    <s v="Show Me the Blueprints."/>
    <x v="854"/>
    <n v="27"/>
    <n v="230691"/>
    <x v="1"/>
    <n v="0.42499999999999999"/>
    <n v="0.752"/>
    <n v="9"/>
    <n v="-4.649"/>
    <n v="0"/>
    <n v="3.9800000000000002E-2"/>
    <n v="0.30499999999999999"/>
    <n v="0"/>
    <n v="0.157"/>
    <n v="0.84399999999999997"/>
    <n v="105.46599999999999"/>
    <n v="4"/>
    <x v="0"/>
  </r>
  <r>
    <x v="942"/>
    <s v="Cannon's Jug Stompers"/>
    <s v="The Best Of Cannon's Jug Stompers"/>
    <x v="855"/>
    <n v="28"/>
    <n v="154106"/>
    <x v="0"/>
    <n v="0.49"/>
    <n v="0.19800000000000001"/>
    <n v="7"/>
    <n v="-13.404999999999999"/>
    <n v="1"/>
    <n v="3.4099999999999998E-2"/>
    <n v="0.97299999999999998"/>
    <n v="2.12E-2"/>
    <n v="0.125"/>
    <n v="0.63600000000000001"/>
    <n v="106.71"/>
    <n v="4"/>
    <x v="0"/>
  </r>
  <r>
    <x v="943"/>
    <s v="Frank Turner"/>
    <s v="England Keep My Bones (Deluxe Edition)"/>
    <x v="856"/>
    <n v="26"/>
    <n v="274133"/>
    <x v="0"/>
    <n v="0.27900000000000003"/>
    <n v="0.498"/>
    <n v="4"/>
    <n v="-8.52"/>
    <n v="1"/>
    <n v="3.5000000000000003E-2"/>
    <n v="0.217"/>
    <n v="0"/>
    <n v="0.34799999999999998"/>
    <n v="0.49199999999999999"/>
    <n v="183.874"/>
    <n v="4"/>
    <x v="0"/>
  </r>
  <r>
    <x v="944"/>
    <s v="Vendredi;ELLE"/>
    <s v="Chill Music - Chill Songs - Chill Vibes - Acoustic Chill - Chillout Lounge"/>
    <x v="357"/>
    <n v="25"/>
    <n v="209530"/>
    <x v="0"/>
    <n v="0.503"/>
    <n v="0.35399999999999998"/>
    <n v="0"/>
    <n v="-7.4930000000000003"/>
    <n v="1"/>
    <n v="3.2899999999999999E-2"/>
    <n v="0.93799999999999994"/>
    <n v="0"/>
    <n v="9.8699999999999996E-2"/>
    <n v="0.372"/>
    <n v="72.295000000000002"/>
    <n v="3"/>
    <x v="0"/>
  </r>
  <r>
    <x v="945"/>
    <s v="Chad Hates George"/>
    <s v="Chad Hates George"/>
    <x v="857"/>
    <n v="26"/>
    <n v="203702"/>
    <x v="0"/>
    <n v="0.53100000000000003"/>
    <n v="0.28899999999999998"/>
    <n v="0"/>
    <n v="-13.246"/>
    <n v="0"/>
    <n v="5.0500000000000003E-2"/>
    <n v="0.85399999999999998"/>
    <n v="0"/>
    <n v="9.1800000000000007E-2"/>
    <n v="0.61099999999999999"/>
    <n v="124.157"/>
    <n v="4"/>
    <x v="0"/>
  </r>
  <r>
    <x v="946"/>
    <s v="Violent Femmes"/>
    <s v="Add It Up (1981-1993)"/>
    <x v="858"/>
    <n v="27"/>
    <n v="197266"/>
    <x v="1"/>
    <n v="0.308"/>
    <n v="0.85399999999999998"/>
    <n v="4"/>
    <n v="-8.0060000000000002"/>
    <n v="1"/>
    <n v="4.9399999999999999E-2"/>
    <n v="5.9299999999999999E-2"/>
    <n v="7.1799999999999998E-3"/>
    <n v="0.90300000000000002"/>
    <n v="0.68899999999999995"/>
    <n v="193.39500000000001"/>
    <n v="4"/>
    <x v="0"/>
  </r>
  <r>
    <x v="947"/>
    <s v="Marc Broussard;J.J. Grey"/>
    <s v="S.O.S. 2: Save Our Soul: Soul on a Mission"/>
    <x v="859"/>
    <n v="26"/>
    <n v="159666"/>
    <x v="0"/>
    <n v="0.72099999999999997"/>
    <n v="0.78500000000000003"/>
    <n v="4"/>
    <n v="-4.4729999999999999"/>
    <n v="1"/>
    <n v="2.92E-2"/>
    <n v="8.8200000000000001E-2"/>
    <s v="8.32e-05"/>
    <n v="0.104"/>
    <n v="0.878"/>
    <n v="111.99299999999999"/>
    <n v="4"/>
    <x v="0"/>
  </r>
  <r>
    <x v="948"/>
    <s v="Vendredi;Chrissy Dave"/>
    <s v="Chill Out Covers - Chillout Covers - Chill Acoustic - Relaxing Songs - Calming Acoustic Songs"/>
    <x v="860"/>
    <n v="25"/>
    <n v="142363"/>
    <x v="0"/>
    <n v="0.77300000000000002"/>
    <n v="0.20799999999999999"/>
    <n v="2"/>
    <n v="-9.4819999999999993"/>
    <n v="0"/>
    <n v="4.3799999999999999E-2"/>
    <n v="0.95599999999999996"/>
    <n v="0"/>
    <n v="0.14899999999999999"/>
    <n v="0.53800000000000003"/>
    <n v="109.822"/>
    <n v="4"/>
    <x v="0"/>
  </r>
  <r>
    <x v="949"/>
    <s v="Get Dead"/>
    <s v="Honesty Lives Elsewhere"/>
    <x v="861"/>
    <n v="25"/>
    <n v="152053"/>
    <x v="0"/>
    <n v="0.48399999999999999"/>
    <n v="0.95299999999999996"/>
    <n v="1"/>
    <n v="-3.5569999999999999"/>
    <n v="1"/>
    <n v="9.2700000000000005E-2"/>
    <n v="1.65E-4"/>
    <n v="1.5499999999999999E-3"/>
    <n v="6.5799999999999997E-2"/>
    <n v="0.66700000000000004"/>
    <n v="97.429000000000002"/>
    <n v="4"/>
    <x v="0"/>
  </r>
  <r>
    <x v="950"/>
    <s v="Adam Christopher"/>
    <s v="Mood (Acoustic)"/>
    <x v="862"/>
    <n v="50"/>
    <n v="161000"/>
    <x v="1"/>
    <n v="0.751"/>
    <n v="0.28999999999999998"/>
    <n v="10"/>
    <n v="-8.17"/>
    <n v="1"/>
    <n v="4.5600000000000002E-2"/>
    <n v="0.84599999999999997"/>
    <n v="0"/>
    <n v="0.113"/>
    <n v="0.68300000000000005"/>
    <n v="75.034000000000006"/>
    <n v="4"/>
    <x v="0"/>
  </r>
  <r>
    <x v="951"/>
    <s v="Jason Mraz"/>
    <s v="YES!"/>
    <x v="863"/>
    <n v="43"/>
    <n v="230746"/>
    <x v="0"/>
    <n v="0.52700000000000002"/>
    <n v="0.57799999999999996"/>
    <n v="7"/>
    <n v="-8.65"/>
    <n v="1"/>
    <n v="3.27E-2"/>
    <n v="0.19700000000000001"/>
    <s v="3.34e-05"/>
    <n v="0.10199999999999999"/>
    <n v="0.40500000000000003"/>
    <n v="148.13399999999999"/>
    <n v="4"/>
    <x v="0"/>
  </r>
  <r>
    <x v="952"/>
    <s v="Kina Grannis"/>
    <s v="Issues"/>
    <x v="717"/>
    <n v="46"/>
    <n v="221568"/>
    <x v="0"/>
    <n v="0.48499999999999999"/>
    <n v="0.126"/>
    <n v="6"/>
    <n v="-15.597"/>
    <n v="1"/>
    <n v="5.1999999999999998E-2"/>
    <n v="0.71"/>
    <n v="0"/>
    <n v="0.106"/>
    <n v="0.34499999999999997"/>
    <n v="152.541"/>
    <n v="4"/>
    <x v="0"/>
  </r>
  <r>
    <x v="953"/>
    <s v="Joe Brooks"/>
    <s v="Pink Sky Moon"/>
    <x v="864"/>
    <n v="34"/>
    <n v="224666"/>
    <x v="0"/>
    <n v="0.58799999999999997"/>
    <n v="0.29099999999999998"/>
    <n v="8"/>
    <n v="-11.464"/>
    <n v="1"/>
    <n v="3.5200000000000002E-2"/>
    <n v="0.76300000000000001"/>
    <s v="1.56e-06"/>
    <n v="0.624"/>
    <n v="0.33600000000000002"/>
    <n v="101.158"/>
    <n v="4"/>
    <x v="0"/>
  </r>
  <r>
    <x v="954"/>
    <s v="Chord Overstreet"/>
    <s v="Hold On"/>
    <x v="4"/>
    <n v="35"/>
    <n v="198853"/>
    <x v="0"/>
    <n v="0.60899999999999999"/>
    <n v="0.443"/>
    <n v="2"/>
    <n v="-9.6809999999999992"/>
    <n v="1"/>
    <n v="5.4600000000000003E-2"/>
    <n v="0.46899999999999997"/>
    <n v="0"/>
    <n v="8.2900000000000001E-2"/>
    <n v="0.16600000000000001"/>
    <n v="119.967"/>
    <n v="4"/>
    <x v="0"/>
  </r>
  <r>
    <x v="955"/>
    <s v="Sara Farell"/>
    <s v="#Covers"/>
    <x v="865"/>
    <n v="26"/>
    <n v="193762"/>
    <x v="0"/>
    <n v="0.28899999999999998"/>
    <n v="0.432"/>
    <n v="1"/>
    <n v="-6.0910000000000002"/>
    <n v="0"/>
    <n v="3.6999999999999998E-2"/>
    <n v="0.77100000000000002"/>
    <n v="0"/>
    <n v="0.215"/>
    <n v="0.22500000000000001"/>
    <n v="85.504000000000005"/>
    <n v="1"/>
    <x v="0"/>
  </r>
  <r>
    <x v="956"/>
    <s v="J-Que Beenz"/>
    <s v="Beautiful Girls"/>
    <x v="866"/>
    <n v="45"/>
    <n v="238010"/>
    <x v="0"/>
    <n v="0.57599999999999996"/>
    <n v="0.19600000000000001"/>
    <n v="7"/>
    <n v="-13.638999999999999"/>
    <n v="1"/>
    <n v="3.2199999999999999E-2"/>
    <n v="0.86499999999999999"/>
    <n v="0"/>
    <n v="0.11700000000000001"/>
    <n v="0.502"/>
    <n v="118.075"/>
    <n v="4"/>
    <x v="0"/>
  </r>
  <r>
    <x v="957"/>
    <s v="Tim Halperin"/>
    <s v="Something Beautiful"/>
    <x v="867"/>
    <n v="40"/>
    <n v="236100"/>
    <x v="0"/>
    <n v="0.52400000000000002"/>
    <n v="0.76800000000000002"/>
    <n v="7"/>
    <n v="-7.8209999999999997"/>
    <n v="1"/>
    <n v="3.09E-2"/>
    <n v="8.1600000000000006E-3"/>
    <n v="2.1299999999999999E-2"/>
    <n v="6.6600000000000006E-2"/>
    <n v="5.62E-2"/>
    <n v="117.947"/>
    <n v="4"/>
    <x v="0"/>
  </r>
  <r>
    <x v="958"/>
    <s v="Boyce Avenue"/>
    <s v="Right Here Waiting"/>
    <x v="429"/>
    <n v="51"/>
    <n v="248483"/>
    <x v="0"/>
    <n v="0.45600000000000002"/>
    <n v="0.28499999999999998"/>
    <n v="0"/>
    <n v="-7.9989999999999997"/>
    <n v="1"/>
    <n v="2.98E-2"/>
    <n v="0.85599999999999998"/>
    <s v="4.26e-06"/>
    <n v="0.192"/>
    <n v="0.22800000000000001"/>
    <n v="177.56100000000001"/>
    <n v="3"/>
    <x v="0"/>
  </r>
  <r>
    <x v="959"/>
    <s v="Roberto Diana;Muniesa"/>
    <s v="Muniesa"/>
    <x v="868"/>
    <n v="47"/>
    <n v="72167"/>
    <x v="0"/>
    <n v="0.42599999999999999"/>
    <n v="8.1199999999999994E-2"/>
    <n v="4"/>
    <n v="-21.651"/>
    <n v="0"/>
    <n v="8.43E-2"/>
    <n v="0.94799999999999995"/>
    <n v="0.88900000000000001"/>
    <n v="0.107"/>
    <n v="0.24299999999999999"/>
    <n v="85.203999999999994"/>
    <n v="5"/>
    <x v="0"/>
  </r>
  <r>
    <x v="960"/>
    <s v="Bootstraps"/>
    <s v="Demo Love"/>
    <x v="869"/>
    <n v="46"/>
    <n v="202348"/>
    <x v="0"/>
    <n v="0.53100000000000003"/>
    <n v="0.5"/>
    <n v="7"/>
    <n v="-8.593"/>
    <n v="1"/>
    <n v="2.8199999999999999E-2"/>
    <n v="0.53400000000000003"/>
    <n v="8.61E-4"/>
    <n v="0.10100000000000001"/>
    <n v="0.31900000000000001"/>
    <n v="78.075999999999993"/>
    <n v="4"/>
    <x v="0"/>
  </r>
  <r>
    <x v="961"/>
    <s v="Boyce Avenue"/>
    <s v="Cover Sessions, Vol. 2"/>
    <x v="870"/>
    <n v="45"/>
    <n v="247704"/>
    <x v="0"/>
    <n v="0.65500000000000003"/>
    <n v="0.502"/>
    <n v="8"/>
    <n v="-7.9619999999999997"/>
    <n v="1"/>
    <n v="3.49E-2"/>
    <n v="0.57899999999999996"/>
    <n v="0"/>
    <n v="0.11700000000000001"/>
    <n v="0.36799999999999999"/>
    <n v="123.931"/>
    <n v="4"/>
    <x v="0"/>
  </r>
  <r>
    <x v="962"/>
    <s v="Roses &amp; Frey"/>
    <s v="With or Without You"/>
    <x v="871"/>
    <n v="55"/>
    <n v="166943"/>
    <x v="0"/>
    <n v="0.64100000000000001"/>
    <n v="0.14699999999999999"/>
    <n v="11"/>
    <n v="-14.811999999999999"/>
    <n v="1"/>
    <n v="3.3700000000000001E-2"/>
    <n v="0.95399999999999996"/>
    <s v="1.91e-06"/>
    <n v="0.111"/>
    <n v="0.28699999999999998"/>
    <n v="111.913"/>
    <n v="4"/>
    <x v="0"/>
  </r>
  <r>
    <x v="963"/>
    <s v="Kazuyoshi Saito"/>
    <s v="æ·±å¤œé«˜é€Ÿ -ç”Ÿãã¦ã¦ã‚ˆã‹ã£ãŸã®é›†ã„-"/>
    <x v="872"/>
    <n v="26"/>
    <n v="326706"/>
    <x v="0"/>
    <n v="0.47399999999999998"/>
    <n v="0.72699999999999998"/>
    <n v="2"/>
    <n v="-5.8920000000000003"/>
    <n v="1"/>
    <n v="3.2899999999999999E-2"/>
    <n v="0.123"/>
    <s v="2.82e-06"/>
    <n v="0.24399999999999999"/>
    <n v="0.83"/>
    <n v="79.632999999999996"/>
    <n v="4"/>
    <x v="0"/>
  </r>
  <r>
    <x v="964"/>
    <s v="Nathan Angelo"/>
    <s v="She's The Song (Acoustic)"/>
    <x v="873"/>
    <n v="48"/>
    <n v="233306"/>
    <x v="0"/>
    <n v="0.61699999999999999"/>
    <n v="0.31900000000000001"/>
    <n v="2"/>
    <n v="-8.4450000000000003"/>
    <n v="1"/>
    <n v="2.9000000000000001E-2"/>
    <n v="0.60899999999999999"/>
    <n v="0"/>
    <n v="0.122"/>
    <n v="0.32400000000000001"/>
    <n v="133.821"/>
    <n v="4"/>
    <x v="0"/>
  </r>
  <r>
    <x v="965"/>
    <s v="Naotaro Moriyama"/>
    <s v="ç”Ÿãã¦ã‚‹ã“ã¨ãŒè¾›ã„ãªã‚‰"/>
    <x v="874"/>
    <n v="26"/>
    <n v="273480"/>
    <x v="0"/>
    <n v="0.33300000000000002"/>
    <n v="0.26600000000000001"/>
    <n v="8"/>
    <n v="-6.42"/>
    <n v="1"/>
    <n v="3.1800000000000002E-2"/>
    <n v="0.95099999999999996"/>
    <s v="3.32e-05"/>
    <n v="0.108"/>
    <n v="0.33"/>
    <n v="129.249"/>
    <n v="4"/>
    <x v="0"/>
  </r>
  <r>
    <x v="966"/>
    <s v="The Perishers"/>
    <s v="Let There Be Morning (Bonus Track Version)"/>
    <x v="875"/>
    <n v="45"/>
    <n v="206653"/>
    <x v="0"/>
    <n v="0.54300000000000004"/>
    <n v="0.63800000000000001"/>
    <n v="7"/>
    <n v="-6.875"/>
    <n v="1"/>
    <n v="2.58E-2"/>
    <n v="0.10299999999999999"/>
    <n v="2.32E-4"/>
    <n v="0.13200000000000001"/>
    <n v="0.48099999999999998"/>
    <n v="102.71899999999999"/>
    <n v="4"/>
    <x v="0"/>
  </r>
  <r>
    <x v="967"/>
    <s v="Masaharu Fukuyama"/>
    <s v="LION"/>
    <x v="876"/>
    <n v="27"/>
    <n v="263266"/>
    <x v="0"/>
    <n v="0.61499999999999999"/>
    <n v="0.54500000000000004"/>
    <n v="7"/>
    <n v="-12.571999999999999"/>
    <n v="1"/>
    <n v="2.6800000000000001E-2"/>
    <n v="0.38300000000000001"/>
    <s v="2.9e-06"/>
    <n v="0.16"/>
    <n v="0.47"/>
    <n v="110.33499999999999"/>
    <n v="3"/>
    <x v="0"/>
  </r>
  <r>
    <x v="968"/>
    <s v="Graham Colton"/>
    <s v="Life's What You Make It"/>
    <x v="877"/>
    <n v="54"/>
    <n v="186109"/>
    <x v="0"/>
    <n v="0.65500000000000003"/>
    <n v="0.68600000000000005"/>
    <n v="7"/>
    <n v="-5.7009999999999996"/>
    <n v="1"/>
    <n v="2.8000000000000001E-2"/>
    <n v="0.371"/>
    <s v="1.13e-06"/>
    <n v="0.113"/>
    <n v="0.54400000000000004"/>
    <n v="112.974"/>
    <n v="4"/>
    <x v="0"/>
  </r>
  <r>
    <x v="969"/>
    <s v="Guus Dielissen"/>
    <s v="Acoustic Guitar Covers, Vol. 3"/>
    <x v="878"/>
    <n v="37"/>
    <n v="191506"/>
    <x v="0"/>
    <n v="0.49099999999999999"/>
    <n v="0.185"/>
    <n v="11"/>
    <n v="-18.994"/>
    <n v="1"/>
    <n v="4.5199999999999997E-2"/>
    <n v="0.94699999999999995"/>
    <n v="0.92900000000000005"/>
    <n v="0.19500000000000001"/>
    <n v="0.67400000000000004"/>
    <n v="90.465000000000003"/>
    <n v="4"/>
    <x v="0"/>
  </r>
  <r>
    <x v="970"/>
    <s v="Penny and Sparrow;Stephanie Briggs"/>
    <s v="Tenboom"/>
    <x v="879"/>
    <n v="50"/>
    <n v="221786"/>
    <x v="0"/>
    <n v="0.21299999999999999"/>
    <n v="0.185"/>
    <n v="4"/>
    <n v="-10.929"/>
    <n v="0"/>
    <n v="3.27E-2"/>
    <n v="0.75700000000000001"/>
    <s v="8.54e-05"/>
    <n v="0.111"/>
    <n v="0.182"/>
    <n v="72.843999999999994"/>
    <n v="5"/>
    <x v="0"/>
  </r>
  <r>
    <x v="971"/>
    <s v="Masaharu Fukuyama"/>
    <s v="ä¼è¨€"/>
    <x v="880"/>
    <n v="27"/>
    <n v="238866"/>
    <x v="0"/>
    <n v="0.34499999999999997"/>
    <n v="0.91900000000000004"/>
    <n v="2"/>
    <n v="-8.1539999999999999"/>
    <n v="1"/>
    <n v="7.51E-2"/>
    <n v="0.189"/>
    <n v="0"/>
    <n v="0.17"/>
    <n v="0.40699999999999997"/>
    <n v="174.14699999999999"/>
    <n v="4"/>
    <x v="0"/>
  </r>
  <r>
    <x v="972"/>
    <s v="Boyce Avenue;Jennel Garcia"/>
    <s v="Cover Sessions, Vol. 5"/>
    <x v="638"/>
    <n v="52"/>
    <n v="213900"/>
    <x v="0"/>
    <n v="0.64900000000000002"/>
    <n v="0.33600000000000002"/>
    <n v="7"/>
    <n v="-6.8230000000000004"/>
    <n v="1"/>
    <n v="3.2199999999999999E-2"/>
    <n v="0.78200000000000003"/>
    <n v="0"/>
    <n v="9.4200000000000006E-2"/>
    <n v="0.33700000000000002"/>
    <n v="95.988"/>
    <n v="4"/>
    <x v="0"/>
  </r>
  <r>
    <x v="973"/>
    <s v="Son&amp;Dad;Filip Nordin"/>
    <s v="Acustic Covers of Popular Songs"/>
    <x v="881"/>
    <n v="51"/>
    <n v="136470"/>
    <x v="0"/>
    <n v="0.39200000000000002"/>
    <n v="0.253"/>
    <n v="8"/>
    <n v="-6.5629999999999997"/>
    <n v="0"/>
    <n v="3.5400000000000001E-2"/>
    <n v="0.746"/>
    <n v="0"/>
    <n v="0.32100000000000001"/>
    <n v="0.36799999999999999"/>
    <n v="203.571"/>
    <n v="4"/>
    <x v="0"/>
  </r>
  <r>
    <x v="974"/>
    <s v="Hanare Gumi"/>
    <s v="å¸°ã£ã¦ã‹ã‚‰ã€æ­Œã„ãŸããªã£ã¦ã‚‚ã„ã„ã‚ˆã†ã«ã¨æ€ã£ãŸã®ã ã€‚"/>
    <x v="882"/>
    <n v="25"/>
    <n v="372600"/>
    <x v="0"/>
    <n v="0.54200000000000004"/>
    <n v="3.2500000000000001E-2"/>
    <n v="11"/>
    <n v="-18.346"/>
    <n v="1"/>
    <n v="4.5199999999999997E-2"/>
    <n v="0.96399999999999997"/>
    <n v="8.5499999999999997E-4"/>
    <n v="0.105"/>
    <n v="0.28799999999999998"/>
    <n v="131.935"/>
    <n v="4"/>
    <x v="0"/>
  </r>
  <r>
    <x v="975"/>
    <s v="Yosui Inoue"/>
    <s v="æ‹›å¾…çŠ¶ã®ãªã„ã‚·ãƒ§ãƒ¼"/>
    <x v="883"/>
    <n v="26"/>
    <n v="260893"/>
    <x v="0"/>
    <n v="0.76200000000000001"/>
    <n v="0.80500000000000005"/>
    <n v="2"/>
    <n v="-4.6959999999999997"/>
    <n v="0"/>
    <n v="3.5799999999999998E-2"/>
    <n v="0.28299999999999997"/>
    <n v="0"/>
    <n v="0.106"/>
    <n v="0.96299999999999997"/>
    <n v="116.14100000000001"/>
    <n v="4"/>
    <x v="0"/>
  </r>
  <r>
    <x v="976"/>
    <s v="Sakura Fujiwara"/>
    <s v="PLAY"/>
    <x v="884"/>
    <n v="26"/>
    <n v="235000"/>
    <x v="0"/>
    <n v="0.64400000000000002"/>
    <n v="0.72299999999999998"/>
    <n v="1"/>
    <n v="-4.9539999999999997"/>
    <n v="1"/>
    <n v="2.8799999999999999E-2"/>
    <n v="0.16"/>
    <n v="0"/>
    <n v="0.13"/>
    <n v="0.625"/>
    <n v="105.96899999999999"/>
    <n v="4"/>
    <x v="0"/>
  </r>
  <r>
    <x v="977"/>
    <s v="Correatown"/>
    <s v="Spark. Burn. Fade."/>
    <x v="885"/>
    <n v="38"/>
    <n v="273026"/>
    <x v="0"/>
    <n v="0.48799999999999999"/>
    <n v="0.29399999999999998"/>
    <n v="6"/>
    <n v="-14.717000000000001"/>
    <n v="0"/>
    <n v="2.6100000000000002E-2"/>
    <n v="0.91700000000000004"/>
    <n v="0.84099999999999997"/>
    <n v="8.7599999999999997E-2"/>
    <n v="0.26"/>
    <n v="76.647000000000006"/>
    <n v="3"/>
    <x v="0"/>
  </r>
  <r>
    <x v="978"/>
    <s v="Rory Block"/>
    <s v="Cried Like A Baby"/>
    <x v="886"/>
    <n v="25"/>
    <n v="344514"/>
    <x v="0"/>
    <n v="0.70399999999999996"/>
    <n v="0.48799999999999999"/>
    <n v="10"/>
    <n v="-7.89"/>
    <n v="0"/>
    <n v="3.9E-2"/>
    <n v="0.56000000000000005"/>
    <s v="1.57e-05"/>
    <n v="8.1100000000000005E-2"/>
    <n v="0.745"/>
    <n v="179.76"/>
    <n v="3"/>
    <x v="0"/>
  </r>
  <r>
    <x v="979"/>
    <s v="Violent Femmes"/>
    <s v="Violent Femmes"/>
    <x v="887"/>
    <n v="47"/>
    <n v="236840"/>
    <x v="0"/>
    <n v="0.36899999999999999"/>
    <n v="0.31900000000000001"/>
    <n v="2"/>
    <n v="-12.087999999999999"/>
    <n v="1"/>
    <n v="2.8799999999999999E-2"/>
    <n v="0.752"/>
    <n v="8.3699999999999996E-4"/>
    <n v="0.154"/>
    <n v="0.47599999999999998"/>
    <n v="160.35900000000001"/>
    <n v="4"/>
    <x v="0"/>
  </r>
  <r>
    <x v="980"/>
    <s v="Hanare Gumi"/>
    <s v="å¸°ã£ã¦ã‹ã‚‰ã€æ­Œã„ãŸããªã£ã¦ã‚‚ã„ã„ã‚ˆã†ã«ã¨æ€ã£ãŸã®ã ã€‚"/>
    <x v="888"/>
    <n v="25"/>
    <n v="305866"/>
    <x v="0"/>
    <n v="0.56799999999999995"/>
    <n v="0.24"/>
    <n v="7"/>
    <n v="-13.851000000000001"/>
    <n v="1"/>
    <n v="2.92E-2"/>
    <n v="0.90200000000000002"/>
    <n v="9.9000000000000005E-2"/>
    <n v="0.111"/>
    <n v="0.50800000000000001"/>
    <n v="94.933000000000007"/>
    <n v="4"/>
    <x v="0"/>
  </r>
  <r>
    <x v="981"/>
    <s v="Aberola"/>
    <s v="Si Te Vas"/>
    <x v="889"/>
    <n v="26"/>
    <n v="216584"/>
    <x v="0"/>
    <n v="0.48299999999999998"/>
    <n v="0.219"/>
    <n v="0"/>
    <n v="-13.27"/>
    <n v="1"/>
    <n v="4.82E-2"/>
    <n v="0.97199999999999998"/>
    <n v="0"/>
    <n v="0.11600000000000001"/>
    <n v="0.64100000000000001"/>
    <n v="149.58099999999999"/>
    <n v="4"/>
    <x v="0"/>
  </r>
  <r>
    <x v="982"/>
    <s v="Front Porch Step"/>
    <s v="I Never Loved Before I Found You"/>
    <x v="890"/>
    <n v="25"/>
    <n v="257054"/>
    <x v="0"/>
    <n v="0.41899999999999998"/>
    <n v="0.85499999999999998"/>
    <n v="0"/>
    <n v="-4.782"/>
    <n v="1"/>
    <n v="3.27E-2"/>
    <s v="7.69e-05"/>
    <n v="0"/>
    <n v="0.27200000000000002"/>
    <n v="0.26100000000000001"/>
    <n v="154.09800000000001"/>
    <n v="4"/>
    <x v="0"/>
  </r>
  <r>
    <x v="983"/>
    <s v="She/Her/hers"/>
    <s v="To-Do Lists (Color Coded)"/>
    <x v="891"/>
    <n v="25"/>
    <n v="167999"/>
    <x v="0"/>
    <n v="0.56599999999999995"/>
    <n v="0.83499999999999996"/>
    <n v="7"/>
    <n v="-7.9850000000000003"/>
    <n v="1"/>
    <n v="3.7699999999999997E-2"/>
    <n v="1.67E-2"/>
    <n v="3.2599999999999997E-2"/>
    <n v="0.17199999999999999"/>
    <n v="0.54900000000000004"/>
    <n v="95.009"/>
    <n v="4"/>
    <x v="0"/>
  </r>
  <r>
    <x v="984"/>
    <s v="Yosui Inoue"/>
    <s v="é™½æ°´II ã‚»ãƒ³ãƒãƒ¡ãƒ³ã‚¿ãƒ« (Remastered 2018)"/>
    <x v="892"/>
    <n v="26"/>
    <n v="220213"/>
    <x v="0"/>
    <n v="0.63300000000000001"/>
    <n v="0.64700000000000002"/>
    <n v="4"/>
    <n v="-6.3479999999999999"/>
    <n v="0"/>
    <n v="3.1800000000000002E-2"/>
    <n v="0.13300000000000001"/>
    <n v="2.1000000000000001E-4"/>
    <n v="8.5800000000000001E-2"/>
    <n v="0.77500000000000002"/>
    <n v="150.80500000000001"/>
    <n v="4"/>
    <x v="0"/>
  </r>
  <r>
    <x v="985"/>
    <s v="Eric Lumiere"/>
    <s v="Covers - Chill Covers Of Popular Songs"/>
    <x v="673"/>
    <n v="25"/>
    <n v="244821"/>
    <x v="0"/>
    <n v="0.66200000000000003"/>
    <n v="0.26800000000000002"/>
    <n v="10"/>
    <n v="-7.3940000000000001"/>
    <n v="1"/>
    <n v="3.5799999999999998E-2"/>
    <n v="0.85799999999999998"/>
    <n v="0"/>
    <n v="0.11"/>
    <n v="0.39400000000000002"/>
    <n v="111.59399999999999"/>
    <n v="4"/>
    <x v="0"/>
  </r>
  <r>
    <x v="986"/>
    <s v="Gail Blanco"/>
    <s v="In Love With Bacharach"/>
    <x v="893"/>
    <n v="25"/>
    <n v="226320"/>
    <x v="0"/>
    <n v="0.39100000000000001"/>
    <n v="0.32200000000000001"/>
    <n v="2"/>
    <n v="-10.845000000000001"/>
    <n v="1"/>
    <n v="3.2199999999999999E-2"/>
    <n v="0.88"/>
    <n v="0"/>
    <n v="0.11799999999999999"/>
    <n v="0.27800000000000002"/>
    <n v="180.048"/>
    <n v="4"/>
    <x v="0"/>
  </r>
  <r>
    <x v="987"/>
    <s v="Harley Poe"/>
    <s v="Horrorful"/>
    <x v="894"/>
    <n v="26"/>
    <n v="191552"/>
    <x v="1"/>
    <n v="0.44800000000000001"/>
    <n v="0.82099999999999995"/>
    <n v="7"/>
    <n v="-6.4050000000000002"/>
    <n v="1"/>
    <n v="3.2800000000000003E-2"/>
    <n v="0.56599999999999995"/>
    <n v="0"/>
    <n v="0.33900000000000002"/>
    <n v="0.61799999999999999"/>
    <n v="104.687"/>
    <n v="4"/>
    <x v="0"/>
  </r>
  <r>
    <x v="988"/>
    <s v="Corporate Hearts"/>
    <s v="The Shreds"/>
    <x v="895"/>
    <n v="26"/>
    <n v="153342"/>
    <x v="1"/>
    <n v="0.30099999999999999"/>
    <n v="0.55200000000000005"/>
    <n v="7"/>
    <n v="-7.19"/>
    <n v="0"/>
    <n v="4.9500000000000002E-2"/>
    <n v="0.161"/>
    <n v="0"/>
    <n v="0.14299999999999999"/>
    <n v="0.76100000000000001"/>
    <n v="166.40600000000001"/>
    <n v="4"/>
    <x v="0"/>
  </r>
  <r>
    <x v="989"/>
    <s v="Frank Turner"/>
    <s v="Miranda"/>
    <x v="765"/>
    <n v="25"/>
    <n v="240866"/>
    <x v="0"/>
    <n v="0.52400000000000002"/>
    <n v="0.57799999999999996"/>
    <n v="7"/>
    <n v="-5.9740000000000002"/>
    <n v="1"/>
    <n v="2.6700000000000002E-2"/>
    <n v="9.7099999999999997E-4"/>
    <s v="6.55e-06"/>
    <n v="0.32600000000000001"/>
    <n v="0.28999999999999998"/>
    <n v="75.031999999999996"/>
    <n v="4"/>
    <x v="0"/>
  </r>
  <r>
    <x v="990"/>
    <s v="Dan Andriano in the Emergency Room"/>
    <s v="Of Peace, Quiet and Monsters"/>
    <x v="896"/>
    <n v="25"/>
    <n v="261000"/>
    <x v="0"/>
    <n v="0.47899999999999998"/>
    <n v="0.28499999999999998"/>
    <n v="1"/>
    <n v="-12.619"/>
    <n v="0"/>
    <n v="3.27E-2"/>
    <n v="0.94199999999999995"/>
    <n v="4.3700000000000003E-2"/>
    <n v="0.111"/>
    <n v="0.61799999999999999"/>
    <n v="104.93300000000001"/>
    <n v="4"/>
    <x v="0"/>
  </r>
  <r>
    <x v="991"/>
    <s v="Frank Turner"/>
    <s v="FTHC (Deluxe)"/>
    <x v="897"/>
    <n v="25"/>
    <n v="215586"/>
    <x v="0"/>
    <n v="0.60899999999999999"/>
    <n v="0.69299999999999995"/>
    <n v="9"/>
    <n v="-6.3949999999999996"/>
    <n v="1"/>
    <n v="2.7300000000000001E-2"/>
    <n v="3.1500000000000001E-4"/>
    <n v="0"/>
    <n v="0.3"/>
    <n v="0.45200000000000001"/>
    <n v="119.992"/>
    <n v="4"/>
    <x v="0"/>
  </r>
  <r>
    <x v="992"/>
    <s v="Violent Femmes"/>
    <s v="Hallowed Ground"/>
    <x v="898"/>
    <n v="26"/>
    <n v="340266"/>
    <x v="0"/>
    <n v="0.60799999999999998"/>
    <n v="0.61"/>
    <n v="11"/>
    <n v="-13.99"/>
    <n v="0"/>
    <n v="7.0199999999999999E-2"/>
    <n v="2.7799999999999998E-2"/>
    <n v="0.33500000000000002"/>
    <n v="3.6900000000000002E-2"/>
    <n v="0.66900000000000004"/>
    <n v="121.27500000000001"/>
    <n v="4"/>
    <x v="0"/>
  </r>
  <r>
    <x v="993"/>
    <s v="Days N Daze"/>
    <s v="Ward Off the Vultures"/>
    <x v="899"/>
    <n v="26"/>
    <n v="140560"/>
    <x v="1"/>
    <n v="0.55500000000000005"/>
    <n v="0.50800000000000001"/>
    <n v="0"/>
    <n v="-12.851000000000001"/>
    <n v="1"/>
    <n v="0.108"/>
    <n v="0.36099999999999999"/>
    <n v="9.68E-4"/>
    <n v="0.12"/>
    <n v="0.96099999999999997"/>
    <n v="122.03700000000001"/>
    <n v="4"/>
    <x v="0"/>
  </r>
  <r>
    <x v="994"/>
    <s v="Days N Daze"/>
    <s v="Show Me the Blueprints."/>
    <x v="900"/>
    <n v="26"/>
    <n v="144009"/>
    <x v="0"/>
    <n v="0.44600000000000001"/>
    <n v="0.621"/>
    <n v="10"/>
    <n v="-5.0650000000000004"/>
    <n v="1"/>
    <n v="3.6999999999999998E-2"/>
    <n v="0.72099999999999997"/>
    <n v="0"/>
    <n v="8.8099999999999998E-2"/>
    <n v="0.86699999999999999"/>
    <n v="113.896"/>
    <n v="4"/>
    <x v="0"/>
  </r>
  <r>
    <x v="995"/>
    <s v="Harley Poe"/>
    <s v="Wretched. Filthy. Ugly."/>
    <x v="901"/>
    <n v="26"/>
    <n v="196226"/>
    <x v="1"/>
    <n v="0.63300000000000001"/>
    <n v="0.83199999999999996"/>
    <n v="0"/>
    <n v="-6.84"/>
    <n v="1"/>
    <n v="8.6300000000000002E-2"/>
    <n v="2.7400000000000001E-2"/>
    <s v="7.57e-06"/>
    <n v="9.5699999999999993E-2"/>
    <n v="0.83799999999999997"/>
    <n v="130.91200000000001"/>
    <n v="4"/>
    <x v="0"/>
  </r>
  <r>
    <x v="996"/>
    <s v="Taj Mahal"/>
    <s v="The Essential Taj Mahal"/>
    <x v="902"/>
    <n v="29"/>
    <n v="180920"/>
    <x v="0"/>
    <n v="0.621"/>
    <n v="0.29399999999999998"/>
    <n v="9"/>
    <n v="-13.468"/>
    <n v="1"/>
    <n v="0.11"/>
    <n v="0.55800000000000005"/>
    <s v="2.54e-05"/>
    <n v="9.4600000000000004E-2"/>
    <n v="0.72799999999999998"/>
    <n v="78.599000000000004"/>
    <n v="4"/>
    <x v="0"/>
  </r>
  <r>
    <x v="997"/>
    <s v="Pigeon Pit"/>
    <s v="Treehouse"/>
    <x v="903"/>
    <n v="26"/>
    <n v="186461"/>
    <x v="1"/>
    <n v="0.64800000000000002"/>
    <n v="0.38900000000000001"/>
    <n v="4"/>
    <n v="-8.2750000000000004"/>
    <n v="1"/>
    <n v="9.2700000000000005E-2"/>
    <n v="0.80700000000000005"/>
    <s v="9.78e-05"/>
    <n v="0.11"/>
    <n v="0.378"/>
    <n v="86.36"/>
    <n v="4"/>
    <x v="0"/>
  </r>
  <r>
    <x v="998"/>
    <s v="Chuck Ragan"/>
    <s v="Covering Ground"/>
    <x v="904"/>
    <n v="26"/>
    <n v="217293"/>
    <x v="0"/>
    <n v="0.30299999999999999"/>
    <n v="0.50600000000000001"/>
    <n v="9"/>
    <n v="-6.89"/>
    <n v="1"/>
    <n v="3.2500000000000001E-2"/>
    <n v="0.496"/>
    <n v="0"/>
    <n v="0.17799999999999999"/>
    <n v="0.41199999999999998"/>
    <n v="161.46299999999999"/>
    <n v="3"/>
    <x v="0"/>
  </r>
  <r>
    <x v="999"/>
    <s v="Frank Turner"/>
    <s v="Songbook"/>
    <x v="905"/>
    <n v="25"/>
    <n v="297093"/>
    <x v="1"/>
    <n v="0.33500000000000002"/>
    <n v="0.88100000000000001"/>
    <n v="0"/>
    <n v="-6.48"/>
    <n v="1"/>
    <n v="9.3399999999999997E-2"/>
    <n v="8.0499999999999999E-3"/>
    <n v="0"/>
    <n v="0.11"/>
    <n v="0.17299999999999999"/>
    <n v="96.9"/>
    <n v="4"/>
    <x v="0"/>
  </r>
  <r>
    <x v="1000"/>
    <s v="Limoblaze;Lecrae;Happi"/>
    <s v="Jireh (My Provider)"/>
    <x v="906"/>
    <n v="64"/>
    <n v="168000"/>
    <x v="0"/>
    <n v="0.443"/>
    <n v="0.77800000000000002"/>
    <n v="0"/>
    <n v="-7.5640000000000001"/>
    <n v="0"/>
    <n v="0.26600000000000001"/>
    <n v="0.24099999999999999"/>
    <n v="0"/>
    <n v="0.215"/>
    <n v="0.628"/>
    <n v="128.25"/>
    <n v="5"/>
    <x v="1"/>
  </r>
  <r>
    <x v="1001"/>
    <s v="Criolo"/>
    <s v="Ainda HÃ¡ Tempo"/>
    <x v="907"/>
    <n v="44"/>
    <n v="318360"/>
    <x v="0"/>
    <n v="0.57999999999999996"/>
    <n v="0.8"/>
    <n v="6"/>
    <n v="-7.5279999999999996"/>
    <n v="1"/>
    <n v="0.34499999999999997"/>
    <n v="0.28100000000000003"/>
    <n v="0"/>
    <n v="7.0800000000000002E-2"/>
    <n v="0.48299999999999998"/>
    <n v="81.302999999999997"/>
    <n v="4"/>
    <x v="1"/>
  </r>
  <r>
    <x v="1002"/>
    <s v="Criolo"/>
    <s v="Fellini"/>
    <x v="908"/>
    <n v="42"/>
    <n v="171989"/>
    <x v="0"/>
    <n v="0.80500000000000005"/>
    <n v="0.746"/>
    <n v="1"/>
    <n v="-5.2110000000000003"/>
    <n v="0"/>
    <n v="0.185"/>
    <n v="0.23799999999999999"/>
    <n v="0"/>
    <n v="0.215"/>
    <n v="0.71699999999999997"/>
    <n v="127.922"/>
    <n v="4"/>
    <x v="1"/>
  </r>
  <r>
    <x v="1003"/>
    <s v="Criolo"/>
    <s v="NÃ³ na Orelha"/>
    <x v="909"/>
    <n v="46"/>
    <n v="205440"/>
    <x v="0"/>
    <n v="0.58199999999999996"/>
    <n v="0.66"/>
    <n v="7"/>
    <n v="-4.9880000000000004"/>
    <n v="0"/>
    <n v="5.4399999999999997E-2"/>
    <n v="0.39900000000000002"/>
    <n v="0"/>
    <n v="0.127"/>
    <n v="0.48399999999999999"/>
    <n v="83.789000000000001"/>
    <n v="4"/>
    <x v="1"/>
  </r>
  <r>
    <x v="1004"/>
    <s v="Criolo"/>
    <s v="Espiral de IlusÃ£o"/>
    <x v="910"/>
    <n v="44"/>
    <n v="220800"/>
    <x v="0"/>
    <n v="0.77600000000000002"/>
    <n v="0.314"/>
    <n v="2"/>
    <n v="-9.5129999999999999"/>
    <n v="1"/>
    <n v="3.4000000000000002E-2"/>
    <n v="0.88100000000000001"/>
    <n v="7.2300000000000001E-4"/>
    <n v="0.13900000000000001"/>
    <n v="0.47599999999999998"/>
    <n v="124.05500000000001"/>
    <n v="4"/>
    <x v="1"/>
  </r>
  <r>
    <x v="1005"/>
    <s v="Criolo"/>
    <s v="Sobre Viver"/>
    <x v="911"/>
    <n v="43"/>
    <n v="258359"/>
    <x v="0"/>
    <n v="0.71099999999999997"/>
    <n v="0.51500000000000001"/>
    <n v="2"/>
    <n v="-8.2379999999999995"/>
    <n v="0"/>
    <n v="5.1400000000000001E-2"/>
    <n v="0.67900000000000005"/>
    <n v="3.2400000000000001E-4"/>
    <n v="9.7100000000000006E-2"/>
    <n v="0.67900000000000005"/>
    <n v="90.91"/>
    <n v="4"/>
    <x v="1"/>
  </r>
  <r>
    <x v="1006"/>
    <s v="Criolo;Rael"/>
    <s v="Ainda HÃ¡ Tempo"/>
    <x v="912"/>
    <n v="41"/>
    <n v="254520"/>
    <x v="0"/>
    <n v="0.63700000000000001"/>
    <n v="0.81799999999999995"/>
    <n v="8"/>
    <n v="-6.851"/>
    <n v="1"/>
    <n v="0.28100000000000003"/>
    <n v="0.19"/>
    <n v="0"/>
    <n v="0.10199999999999999"/>
    <n v="0.59899999999999998"/>
    <n v="90.570999999999998"/>
    <n v="4"/>
    <x v="1"/>
  </r>
  <r>
    <x v="1007"/>
    <s v="BaianaSystem"/>
    <s v="Terapia"/>
    <x v="913"/>
    <n v="39"/>
    <n v="261400"/>
    <x v="0"/>
    <n v="0.79"/>
    <n v="0.81399999999999995"/>
    <n v="9"/>
    <n v="-6.3579999999999997"/>
    <n v="0"/>
    <n v="2.6800000000000001E-2"/>
    <n v="0.24299999999999999"/>
    <n v="1.0200000000000001E-2"/>
    <n v="0.52800000000000002"/>
    <n v="0.91400000000000003"/>
    <n v="124.03"/>
    <n v="4"/>
    <x v="1"/>
  </r>
  <r>
    <x v="1008"/>
    <s v="Plastilina Mosh"/>
    <s v="Hola Chicuelos"/>
    <x v="914"/>
    <n v="40"/>
    <n v="244933"/>
    <x v="0"/>
    <n v="0.79700000000000004"/>
    <n v="0.60899999999999999"/>
    <n v="10"/>
    <n v="-10.537000000000001"/>
    <n v="1"/>
    <n v="0.13100000000000001"/>
    <n v="3.7499999999999999E-3"/>
    <n v="1.9099999999999999E-2"/>
    <n v="0.128"/>
    <n v="0.91300000000000003"/>
    <n v="142.035"/>
    <n v="4"/>
    <x v="1"/>
  </r>
  <r>
    <x v="1009"/>
    <s v="Criolo"/>
    <s v="Ainda HÃ¡ Tempo"/>
    <x v="915"/>
    <n v="43"/>
    <n v="172440"/>
    <x v="0"/>
    <n v="0.50600000000000001"/>
    <n v="0.876"/>
    <n v="2"/>
    <n v="-5.8769999999999998"/>
    <n v="0"/>
    <n v="0.316"/>
    <n v="0.19400000000000001"/>
    <s v="1.86e-06"/>
    <n v="0.35299999999999998"/>
    <n v="0.67600000000000005"/>
    <n v="124.218"/>
    <n v="5"/>
    <x v="1"/>
  </r>
  <r>
    <x v="1010"/>
    <s v="Criolo"/>
    <s v="NÃ³ na Orelha"/>
    <x v="916"/>
    <n v="46"/>
    <n v="240226"/>
    <x v="0"/>
    <n v="0.78800000000000003"/>
    <n v="0.57399999999999995"/>
    <n v="0"/>
    <n v="-9.0679999999999996"/>
    <n v="1"/>
    <n v="0.31900000000000001"/>
    <n v="6.2600000000000003E-2"/>
    <n v="0"/>
    <n v="0.20300000000000001"/>
    <n v="0.76400000000000001"/>
    <n v="160.02699999999999"/>
    <n v="4"/>
    <x v="1"/>
  </r>
  <r>
    <x v="1011"/>
    <s v="Criolo"/>
    <s v="Ainda HÃ¡ Tempo"/>
    <x v="917"/>
    <n v="39"/>
    <n v="180000"/>
    <x v="0"/>
    <n v="0.70799999999999996"/>
    <n v="0.78200000000000003"/>
    <n v="9"/>
    <n v="-6.4189999999999996"/>
    <n v="1"/>
    <n v="0.28399999999999997"/>
    <n v="5.0700000000000002E-2"/>
    <n v="0"/>
    <n v="0.251"/>
    <n v="0.71699999999999997"/>
    <n v="94.037999999999997"/>
    <n v="4"/>
    <x v="1"/>
  </r>
  <r>
    <x v="1012"/>
    <s v="Criolo"/>
    <s v="Ainda HÃ¡ Tempo"/>
    <x v="918"/>
    <n v="40"/>
    <n v="177240"/>
    <x v="0"/>
    <n v="0.61899999999999999"/>
    <n v="0.78100000000000003"/>
    <n v="1"/>
    <n v="-6.548"/>
    <n v="1"/>
    <n v="0.33300000000000002"/>
    <n v="0.14799999999999999"/>
    <n v="0"/>
    <n v="0.183"/>
    <n v="0.72799999999999998"/>
    <n v="182.02600000000001"/>
    <n v="4"/>
    <x v="1"/>
  </r>
  <r>
    <x v="1013"/>
    <s v="BaianaSystem;BNegÃ£o"/>
    <s v="ATO 1: Navio Pirata"/>
    <x v="919"/>
    <n v="38"/>
    <n v="232826"/>
    <x v="0"/>
    <n v="0.84399999999999997"/>
    <n v="0.91500000000000004"/>
    <n v="0"/>
    <n v="-4.0599999999999996"/>
    <n v="0"/>
    <n v="0.129"/>
    <n v="0.39300000000000002"/>
    <n v="2.3800000000000002E-3"/>
    <n v="8.4699999999999998E-2"/>
    <n v="0.872"/>
    <n v="145.99700000000001"/>
    <n v="4"/>
    <x v="1"/>
  </r>
  <r>
    <x v="1014"/>
    <s v="Criolo"/>
    <s v="Ainda HÃ¡ Tempo"/>
    <x v="920"/>
    <n v="41"/>
    <n v="279720"/>
    <x v="0"/>
    <n v="0.66"/>
    <n v="0.72799999999999998"/>
    <n v="10"/>
    <n v="-6.1769999999999996"/>
    <n v="0"/>
    <n v="0.33700000000000002"/>
    <n v="0.17799999999999999"/>
    <n v="0"/>
    <n v="5.16E-2"/>
    <n v="0.59399999999999997"/>
    <n v="91.100999999999999"/>
    <n v="4"/>
    <x v="1"/>
  </r>
  <r>
    <x v="1015"/>
    <s v="Criolo;MC Hariel;Liniker;Maria Vilani;Jaques Morelenbaum"/>
    <s v="Sobre Viver"/>
    <x v="921"/>
    <n v="42"/>
    <n v="273973"/>
    <x v="0"/>
    <n v="0.60599999999999998"/>
    <n v="0.6"/>
    <n v="7"/>
    <n v="-7.7850000000000001"/>
    <n v="1"/>
    <n v="0.13900000000000001"/>
    <n v="4.6899999999999997E-2"/>
    <n v="0"/>
    <n v="0.32700000000000001"/>
    <n v="0.52900000000000003"/>
    <n v="159.971"/>
    <n v="4"/>
    <x v="1"/>
  </r>
  <r>
    <x v="1016"/>
    <s v="Jorge Drexler;SebastiÃ¡n Prada"/>
    <s v="Milonga de Ojos Dorados (Alfredo Zitarrosa) [Live on Pardelion Music]"/>
    <x v="922"/>
    <n v="38"/>
    <n v="161342"/>
    <x v="0"/>
    <n v="0.67"/>
    <n v="0.27300000000000002"/>
    <n v="7"/>
    <n v="-10.77"/>
    <n v="1"/>
    <n v="3.8800000000000001E-2"/>
    <n v="0.94599999999999995"/>
    <n v="1.3600000000000001E-3"/>
    <n v="0.17899999999999999"/>
    <n v="0.443"/>
    <n v="128.87"/>
    <n v="4"/>
    <x v="1"/>
  </r>
  <r>
    <x v="1017"/>
    <s v="Criolo"/>
    <s v="Ainda HÃ¡ Tempo"/>
    <x v="923"/>
    <n v="38"/>
    <n v="175800"/>
    <x v="0"/>
    <n v="0.77200000000000002"/>
    <n v="0.78900000000000003"/>
    <n v="4"/>
    <n v="-7.1589999999999998"/>
    <n v="0"/>
    <n v="0.29799999999999999"/>
    <n v="0.10100000000000001"/>
    <n v="0"/>
    <n v="5.7500000000000002E-2"/>
    <n v="0.54900000000000004"/>
    <n v="84.96"/>
    <n v="4"/>
    <x v="1"/>
  </r>
  <r>
    <x v="1018"/>
    <s v="Criolo;Emicida;Mano Brown"/>
    <s v="Criolo E Emicida Ao Vivo (Live)"/>
    <x v="924"/>
    <n v="44"/>
    <n v="271840"/>
    <x v="0"/>
    <n v="0.434"/>
    <n v="0.877"/>
    <n v="8"/>
    <n v="-5.9450000000000003"/>
    <n v="0"/>
    <n v="0.247"/>
    <n v="0.84899999999999998"/>
    <n v="0"/>
    <n v="0.65300000000000002"/>
    <n v="0.66200000000000003"/>
    <n v="82.108999999999995"/>
    <n v="4"/>
    <x v="1"/>
  </r>
  <r>
    <x v="1019"/>
    <s v="Criolo"/>
    <s v="Ainda HÃ¡ Tempo"/>
    <x v="925"/>
    <n v="37"/>
    <n v="138480"/>
    <x v="0"/>
    <n v="0.755"/>
    <n v="0.70899999999999996"/>
    <n v="1"/>
    <n v="-5.0659999999999998"/>
    <n v="0"/>
    <n v="0.28899999999999998"/>
    <n v="5.28E-2"/>
    <n v="0"/>
    <n v="8.2500000000000004E-2"/>
    <n v="0.65700000000000003"/>
    <n v="140.989"/>
    <n v="4"/>
    <x v="1"/>
  </r>
  <r>
    <x v="1020"/>
    <s v="BaianaSystem;Liz Reis"/>
    <s v="OXEAXEEXU"/>
    <x v="926"/>
    <n v="36"/>
    <n v="146000"/>
    <x v="0"/>
    <n v="0.437"/>
    <n v="0.35699999999999998"/>
    <n v="4"/>
    <n v="-7.6"/>
    <n v="0"/>
    <n v="2.9399999999999999E-2"/>
    <n v="0.67600000000000005"/>
    <s v="1.11e-06"/>
    <n v="0.11799999999999999"/>
    <n v="0.26"/>
    <n v="120.08799999999999"/>
    <n v="4"/>
    <x v="1"/>
  </r>
  <r>
    <x v="1021"/>
    <s v="BaianaSystem"/>
    <s v="Duas Cidades"/>
    <x v="927"/>
    <n v="44"/>
    <n v="226040"/>
    <x v="0"/>
    <n v="0.78900000000000003"/>
    <n v="0.89900000000000002"/>
    <n v="6"/>
    <n v="-6.3630000000000004"/>
    <n v="1"/>
    <n v="0.13800000000000001"/>
    <n v="0.125"/>
    <n v="0"/>
    <n v="0.10299999999999999"/>
    <n v="0.84699999999999998"/>
    <n v="97.998999999999995"/>
    <n v="4"/>
    <x v="1"/>
  </r>
  <r>
    <x v="1022"/>
    <s v="Criolo"/>
    <s v="NÃ³ na Orelha"/>
    <x v="928"/>
    <n v="41"/>
    <n v="217400"/>
    <x v="0"/>
    <n v="0.76300000000000001"/>
    <n v="0.57699999999999996"/>
    <n v="10"/>
    <n v="-7.085"/>
    <n v="0"/>
    <n v="0.125"/>
    <n v="8.7499999999999994E-2"/>
    <n v="1.6299999999999999E-3"/>
    <n v="0.10100000000000001"/>
    <n v="0.65800000000000003"/>
    <n v="90.015000000000001"/>
    <n v="4"/>
    <x v="1"/>
  </r>
  <r>
    <x v="1023"/>
    <s v="Criolo;Emicida;Evandro FiÃ³ti"/>
    <s v="Criolo E Emicida Ao Vivo (Live)"/>
    <x v="929"/>
    <n v="37"/>
    <n v="188666"/>
    <x v="0"/>
    <n v="0.51800000000000002"/>
    <n v="0.91800000000000004"/>
    <n v="4"/>
    <n v="-5.548"/>
    <n v="0"/>
    <n v="0.27600000000000002"/>
    <n v="0.32500000000000001"/>
    <n v="0"/>
    <n v="0.79"/>
    <n v="0.62"/>
    <n v="98.777000000000001"/>
    <n v="4"/>
    <x v="1"/>
  </r>
  <r>
    <x v="1024"/>
    <s v="Criolo"/>
    <s v="Sobre Viver"/>
    <x v="930"/>
    <n v="48"/>
    <n v="198920"/>
    <x v="0"/>
    <n v="0.63700000000000001"/>
    <n v="0.71499999999999997"/>
    <n v="0"/>
    <n v="-7.032"/>
    <n v="0"/>
    <n v="7.3999999999999996E-2"/>
    <n v="5.1799999999999999E-2"/>
    <s v="4.65e-05"/>
    <n v="0.122"/>
    <n v="0.34699999999999998"/>
    <n v="109.85899999999999"/>
    <n v="4"/>
    <x v="1"/>
  </r>
  <r>
    <x v="1025"/>
    <s v="Criolo"/>
    <s v="NÃ³ na Orelha"/>
    <x v="931"/>
    <n v="37"/>
    <n v="222560"/>
    <x v="0"/>
    <n v="0.87"/>
    <n v="0.73699999999999999"/>
    <n v="11"/>
    <n v="-8.3719999999999999"/>
    <n v="1"/>
    <n v="0.126"/>
    <n v="0.26800000000000002"/>
    <n v="3.6900000000000001E-3"/>
    <n v="5.04E-2"/>
    <n v="0.95199999999999996"/>
    <n v="136.07"/>
    <n v="4"/>
    <x v="1"/>
  </r>
  <r>
    <x v="1026"/>
    <s v="JuanafÃ©"/>
    <s v="La Makinita"/>
    <x v="932"/>
    <n v="42"/>
    <n v="226648"/>
    <x v="0"/>
    <n v="0.63300000000000001"/>
    <n v="0.80500000000000005"/>
    <n v="2"/>
    <n v="-5.5229999999999997"/>
    <n v="0"/>
    <n v="3.2899999999999999E-2"/>
    <n v="5.2900000000000003E-2"/>
    <n v="0"/>
    <n v="0.14599999999999999"/>
    <n v="0.92500000000000004"/>
    <n v="143.02799999999999"/>
    <n v="4"/>
    <x v="1"/>
  </r>
  <r>
    <x v="1027"/>
    <s v="Criolo;Milton Nascimento"/>
    <s v="Sobre Viver"/>
    <x v="933"/>
    <n v="44"/>
    <n v="257146"/>
    <x v="0"/>
    <n v="0.42799999999999999"/>
    <n v="0.3"/>
    <n v="11"/>
    <n v="-10.214"/>
    <n v="0"/>
    <n v="0.157"/>
    <n v="0.63800000000000001"/>
    <s v="5.18e-05"/>
    <n v="9.8699999999999996E-2"/>
    <n v="0.27800000000000002"/>
    <n v="81.403000000000006"/>
    <n v="4"/>
    <x v="1"/>
  </r>
  <r>
    <x v="1028"/>
    <s v="Criolo"/>
    <s v="Espiral de IlusÃ£o"/>
    <x v="934"/>
    <n v="44"/>
    <n v="227640"/>
    <x v="0"/>
    <n v="0.83"/>
    <n v="0.60399999999999998"/>
    <n v="0"/>
    <n v="-5.25"/>
    <n v="0"/>
    <n v="3.5499999999999997E-2"/>
    <n v="0.56299999999999994"/>
    <n v="1.08E-3"/>
    <n v="0.221"/>
    <n v="0.82"/>
    <n v="144.00800000000001"/>
    <n v="4"/>
    <x v="1"/>
  </r>
  <r>
    <x v="1029"/>
    <s v="Criolo"/>
    <s v="Sobre Viver"/>
    <x v="935"/>
    <n v="41"/>
    <n v="212826"/>
    <x v="0"/>
    <n v="0.81699999999999995"/>
    <n v="0.61899999999999999"/>
    <n v="5"/>
    <n v="-6.9219999999999997"/>
    <n v="0"/>
    <n v="5.4199999999999998E-2"/>
    <n v="0.26300000000000001"/>
    <n v="3.1700000000000001E-3"/>
    <n v="8.8900000000000007E-2"/>
    <n v="0.61399999999999999"/>
    <n v="103.041"/>
    <n v="4"/>
    <x v="1"/>
  </r>
  <r>
    <x v="1030"/>
    <s v="JuanafÃ©"/>
    <s v="La Makinita"/>
    <x v="936"/>
    <n v="45"/>
    <n v="223600"/>
    <x v="0"/>
    <n v="0.52600000000000002"/>
    <n v="0.71099999999999997"/>
    <n v="6"/>
    <n v="-4.3730000000000002"/>
    <n v="0"/>
    <n v="4.65E-2"/>
    <n v="0.58499999999999996"/>
    <n v="0"/>
    <n v="7.2800000000000004E-2"/>
    <n v="0.65100000000000002"/>
    <n v="176.27"/>
    <n v="4"/>
    <x v="1"/>
  </r>
  <r>
    <x v="1031"/>
    <s v="Criolo"/>
    <s v="Viva Tim Maia"/>
    <x v="937"/>
    <n v="41"/>
    <n v="244533"/>
    <x v="0"/>
    <n v="0.57299999999999995"/>
    <n v="0.85899999999999999"/>
    <n v="9"/>
    <n v="-4.3460000000000001"/>
    <n v="1"/>
    <n v="4.7300000000000002E-2"/>
    <n v="0.108"/>
    <s v="3.04e-05"/>
    <n v="7.7899999999999997E-2"/>
    <n v="0.52100000000000002"/>
    <n v="147.90600000000001"/>
    <n v="4"/>
    <x v="1"/>
  </r>
  <r>
    <x v="1032"/>
    <s v="Criolo;Emicida"/>
    <s v="Criolo E Emicida Ao Vivo (Live)"/>
    <x v="938"/>
    <n v="41"/>
    <n v="243373"/>
    <x v="0"/>
    <n v="0.65100000000000002"/>
    <n v="0.86099999999999999"/>
    <n v="11"/>
    <n v="-6.625"/>
    <n v="0"/>
    <n v="0.109"/>
    <n v="0.43"/>
    <n v="0"/>
    <n v="0.98099999999999998"/>
    <n v="0.8"/>
    <n v="98.474000000000004"/>
    <n v="4"/>
    <x v="1"/>
  </r>
  <r>
    <x v="1033"/>
    <s v="Samuca e a Selva"/>
    <s v="Madurar"/>
    <x v="939"/>
    <n v="36"/>
    <n v="327836"/>
    <x v="0"/>
    <n v="0.72099999999999997"/>
    <n v="0.74099999999999999"/>
    <n v="0"/>
    <n v="-6.5970000000000004"/>
    <n v="1"/>
    <n v="3.5400000000000001E-2"/>
    <n v="0.441"/>
    <n v="8.4899999999999993E-3"/>
    <n v="7.7499999999999999E-2"/>
    <n v="0.97699999999999998"/>
    <n v="131.001"/>
    <n v="4"/>
    <x v="1"/>
  </r>
  <r>
    <x v="1034"/>
    <s v="Criolo"/>
    <s v="Espiral de IlusÃ£o"/>
    <x v="940"/>
    <n v="41"/>
    <n v="235560"/>
    <x v="0"/>
    <n v="0.753"/>
    <n v="0.65300000000000002"/>
    <n v="5"/>
    <n v="-5.5110000000000001"/>
    <n v="1"/>
    <n v="5.0799999999999998E-2"/>
    <n v="0.76"/>
    <s v="8.56e-06"/>
    <n v="7.5600000000000001E-2"/>
    <n v="0.70599999999999996"/>
    <n v="115.80200000000001"/>
    <n v="4"/>
    <x v="1"/>
  </r>
  <r>
    <x v="1035"/>
    <s v="Criolo"/>
    <s v="Convoque Seu Buda"/>
    <x v="941"/>
    <n v="41"/>
    <n v="218880"/>
    <x v="0"/>
    <n v="0.57099999999999995"/>
    <n v="0.69"/>
    <n v="8"/>
    <n v="-8.18"/>
    <n v="0"/>
    <n v="0.54200000000000004"/>
    <n v="0.29899999999999999"/>
    <n v="0"/>
    <n v="0.10299999999999999"/>
    <n v="0.22800000000000001"/>
    <n v="155.99100000000001"/>
    <n v="4"/>
    <x v="1"/>
  </r>
  <r>
    <x v="1036"/>
    <s v="JuanafÃ©"/>
    <s v="La Makinita"/>
    <x v="942"/>
    <n v="46"/>
    <n v="284875"/>
    <x v="0"/>
    <n v="0.71499999999999997"/>
    <n v="0.55600000000000005"/>
    <n v="9"/>
    <n v="-6.1020000000000003"/>
    <n v="1"/>
    <n v="4.53E-2"/>
    <n v="0.66700000000000004"/>
    <n v="0"/>
    <n v="0.13200000000000001"/>
    <n v="0.90200000000000002"/>
    <n v="87.972999999999999"/>
    <n v="4"/>
    <x v="1"/>
  </r>
  <r>
    <x v="1037"/>
    <s v="Criolo"/>
    <s v="NÃ³ na Orelha"/>
    <x v="943"/>
    <n v="39"/>
    <n v="249600"/>
    <x v="0"/>
    <n v="0.63400000000000001"/>
    <n v="0.39300000000000002"/>
    <n v="7"/>
    <n v="-9.5830000000000002"/>
    <n v="1"/>
    <n v="2.8299999999999999E-2"/>
    <n v="0.35"/>
    <n v="9.8700000000000003E-4"/>
    <n v="0.151"/>
    <n v="0.54"/>
    <n v="87.995999999999995"/>
    <n v="4"/>
    <x v="1"/>
  </r>
  <r>
    <x v="1038"/>
    <s v="Criolo"/>
    <s v="Espiral de IlusÃ£o"/>
    <x v="944"/>
    <n v="37"/>
    <n v="248520"/>
    <x v="0"/>
    <n v="0.73099999999999998"/>
    <n v="0.57499999999999996"/>
    <n v="9"/>
    <n v="-6.2519999999999998"/>
    <n v="0"/>
    <n v="4.1000000000000002E-2"/>
    <n v="0.70299999999999996"/>
    <n v="0"/>
    <n v="0.121"/>
    <n v="0.70399999999999996"/>
    <n v="143.98599999999999"/>
    <n v="4"/>
    <x v="1"/>
  </r>
  <r>
    <x v="1039"/>
    <s v="BaianaSystem"/>
    <s v="Duas Cidades"/>
    <x v="945"/>
    <n v="39"/>
    <n v="309493"/>
    <x v="0"/>
    <n v="0.77600000000000002"/>
    <n v="0.8"/>
    <n v="8"/>
    <n v="-4.7039999999999997"/>
    <n v="0"/>
    <n v="4.3799999999999999E-2"/>
    <n v="6.3099999999999996E-3"/>
    <n v="7.3099999999999998E-2"/>
    <n v="0.35"/>
    <n v="0.58299999999999996"/>
    <n v="143.989"/>
    <n v="4"/>
    <x v="1"/>
  </r>
  <r>
    <x v="1040"/>
    <s v="BaianaSystem"/>
    <s v="Duas Cidades"/>
    <x v="946"/>
    <n v="38"/>
    <n v="269986"/>
    <x v="0"/>
    <n v="0.48599999999999999"/>
    <n v="0.86699999999999999"/>
    <n v="1"/>
    <n v="-5.2370000000000001"/>
    <n v="1"/>
    <n v="8.9200000000000002E-2"/>
    <n v="0.129"/>
    <n v="1.7600000000000001E-3"/>
    <n v="7.3099999999999998E-2"/>
    <n v="0.35799999999999998"/>
    <n v="109.003"/>
    <n v="4"/>
    <x v="1"/>
  </r>
  <r>
    <x v="1041"/>
    <s v="Criolo"/>
    <s v="Convoque Seu Buda"/>
    <x v="947"/>
    <n v="42"/>
    <n v="249960"/>
    <x v="0"/>
    <n v="0.77"/>
    <n v="0.81899999999999995"/>
    <n v="7"/>
    <n v="-6.4870000000000001"/>
    <n v="1"/>
    <n v="7.0300000000000001E-2"/>
    <n v="1.9099999999999999E-2"/>
    <n v="1.3299999999999999E-2"/>
    <n v="0.377"/>
    <n v="0.73199999999999998"/>
    <n v="92.995999999999995"/>
    <n v="4"/>
    <x v="1"/>
  </r>
  <r>
    <x v="1042"/>
    <s v="Criolo"/>
    <s v="Convoque Seu Buda"/>
    <x v="948"/>
    <n v="37"/>
    <n v="265200"/>
    <x v="0"/>
    <n v="0.61099999999999999"/>
    <n v="0.73799999999999999"/>
    <n v="4"/>
    <n v="-7.3410000000000002"/>
    <n v="0"/>
    <n v="4.4299999999999999E-2"/>
    <n v="0.14199999999999999"/>
    <n v="8.3700000000000007E-3"/>
    <n v="5.7500000000000002E-2"/>
    <n v="0.72499999999999998"/>
    <n v="119.791"/>
    <n v="4"/>
    <x v="1"/>
  </r>
  <r>
    <x v="1043"/>
    <s v="Criolo"/>
    <s v="Espiral de IlusÃ£o"/>
    <x v="949"/>
    <n v="37"/>
    <n v="105360"/>
    <x v="0"/>
    <n v="0.67400000000000004"/>
    <n v="0.51800000000000002"/>
    <n v="0"/>
    <n v="-6.6580000000000004"/>
    <n v="1"/>
    <n v="8.0600000000000005E-2"/>
    <n v="0.73299999999999998"/>
    <s v="3.81e-06"/>
    <n v="8.5000000000000006E-2"/>
    <n v="0.55400000000000005"/>
    <n v="133.935"/>
    <n v="5"/>
    <x v="1"/>
  </r>
  <r>
    <x v="1044"/>
    <s v="Criolo"/>
    <s v="Espiral de IlusÃ£o"/>
    <x v="950"/>
    <n v="36"/>
    <n v="171480"/>
    <x v="0"/>
    <n v="0.69199999999999995"/>
    <n v="0.749"/>
    <n v="7"/>
    <n v="-4.9480000000000004"/>
    <n v="1"/>
    <n v="4.2700000000000002E-2"/>
    <n v="0.442"/>
    <s v="7.13e-05"/>
    <n v="0.13200000000000001"/>
    <n v="0.7"/>
    <n v="111.986"/>
    <n v="4"/>
    <x v="1"/>
  </r>
  <r>
    <x v="1045"/>
    <s v="Criolo"/>
    <s v="Espiral de IlusÃ£o"/>
    <x v="951"/>
    <n v="36"/>
    <n v="140280"/>
    <x v="0"/>
    <n v="0.71699999999999997"/>
    <n v="0.78400000000000003"/>
    <n v="6"/>
    <n v="-5.1379999999999999"/>
    <n v="0"/>
    <n v="3.5299999999999998E-2"/>
    <n v="0.73"/>
    <n v="1.26E-2"/>
    <n v="8.5099999999999995E-2"/>
    <n v="0.97799999999999998"/>
    <n v="168.14599999999999"/>
    <n v="4"/>
    <x v="1"/>
  </r>
  <r>
    <x v="1046"/>
    <s v="Criolo"/>
    <s v="Espiral de IlusÃ£o"/>
    <x v="952"/>
    <n v="37"/>
    <n v="206760"/>
    <x v="0"/>
    <n v="0.81699999999999995"/>
    <n v="0.77100000000000002"/>
    <n v="5"/>
    <n v="-5.1319999999999997"/>
    <n v="1"/>
    <n v="8.6999999999999994E-2"/>
    <n v="0.70399999999999996"/>
    <n v="0"/>
    <n v="8.8499999999999995E-2"/>
    <n v="0.76"/>
    <n v="111.099"/>
    <n v="4"/>
    <x v="1"/>
  </r>
  <r>
    <x v="1047"/>
    <s v="Criolo;Emicida"/>
    <s v="Criolo E Emicida Ao Vivo (Live)"/>
    <x v="953"/>
    <n v="35"/>
    <n v="238346"/>
    <x v="0"/>
    <n v="0.374"/>
    <n v="0.93400000000000005"/>
    <n v="10"/>
    <n v="-5.3220000000000001"/>
    <n v="1"/>
    <n v="0.32200000000000001"/>
    <n v="5.8000000000000003E-2"/>
    <n v="0"/>
    <n v="0.80400000000000005"/>
    <n v="0.38900000000000001"/>
    <n v="167.661"/>
    <n v="4"/>
    <x v="1"/>
  </r>
  <r>
    <x v="1048"/>
    <s v="Criolo;Emicida"/>
    <s v="Criolo E Emicida Ao Vivo (Live)"/>
    <x v="954"/>
    <n v="37"/>
    <n v="211280"/>
    <x v="0"/>
    <n v="0.56899999999999995"/>
    <n v="0.90700000000000003"/>
    <n v="4"/>
    <n v="-5.6189999999999998"/>
    <n v="0"/>
    <n v="0.31"/>
    <n v="0.60199999999999998"/>
    <s v="4.35e-05"/>
    <n v="0.86199999999999999"/>
    <n v="0.56200000000000006"/>
    <n v="94.346000000000004"/>
    <n v="4"/>
    <x v="1"/>
  </r>
  <r>
    <x v="1049"/>
    <s v="Jackie Mittoo"/>
    <s v="The Keyboard King at Studio One"/>
    <x v="955"/>
    <n v="40"/>
    <n v="194293"/>
    <x v="0"/>
    <n v="0.68899999999999995"/>
    <n v="0.56399999999999995"/>
    <n v="6"/>
    <n v="-7.2759999999999998"/>
    <n v="1"/>
    <n v="0.126"/>
    <n v="0.14899999999999999"/>
    <n v="0.94099999999999995"/>
    <n v="9.0899999999999995E-2"/>
    <n v="0.75800000000000001"/>
    <n v="87.474000000000004"/>
    <n v="4"/>
    <x v="1"/>
  </r>
  <r>
    <x v="1050"/>
    <s v="Pompi"/>
    <s v="Ahetuk"/>
    <x v="956"/>
    <n v="25"/>
    <n v="205597"/>
    <x v="0"/>
    <n v="0.35299999999999998"/>
    <n v="0.54800000000000004"/>
    <n v="2"/>
    <n v="-5.391"/>
    <n v="0"/>
    <n v="3.32E-2"/>
    <n v="0.70899999999999996"/>
    <n v="0"/>
    <n v="0.66400000000000003"/>
    <n v="0.67"/>
    <n v="200.15199999999999"/>
    <n v="4"/>
    <x v="1"/>
  </r>
  <r>
    <x v="1051"/>
    <s v="Menahan Street Band"/>
    <s v="The Exciting Sounds of Menahan Street Band"/>
    <x v="957"/>
    <n v="64"/>
    <n v="67720"/>
    <x v="0"/>
    <n v="0.77800000000000002"/>
    <n v="0.39900000000000002"/>
    <n v="1"/>
    <n v="-8.984"/>
    <n v="1"/>
    <n v="8.5800000000000001E-2"/>
    <n v="7.51E-2"/>
    <n v="0.83499999999999996"/>
    <n v="0.10299999999999999"/>
    <n v="0.32100000000000001"/>
    <n v="137.30500000000001"/>
    <n v="4"/>
    <x v="1"/>
  </r>
  <r>
    <x v="1052"/>
    <s v="Criolo"/>
    <s v="EtÃ©rea"/>
    <x v="958"/>
    <n v="32"/>
    <n v="253097"/>
    <x v="0"/>
    <n v="0.82399999999999995"/>
    <n v="0.72"/>
    <n v="6"/>
    <n v="-8.1890000000000001"/>
    <n v="0"/>
    <n v="0.14199999999999999"/>
    <n v="0.41599999999999998"/>
    <n v="0.10100000000000001"/>
    <n v="0.10199999999999999"/>
    <n v="0.374"/>
    <n v="116.982"/>
    <n v="4"/>
    <x v="1"/>
  </r>
  <r>
    <x v="1053"/>
    <s v="BaianaSystem"/>
    <s v="CabeÃ§a de Papel"/>
    <x v="959"/>
    <n v="37"/>
    <n v="149720"/>
    <x v="0"/>
    <n v="0.72399999999999998"/>
    <n v="0.83299999999999996"/>
    <n v="2"/>
    <n v="-6.9619999999999997"/>
    <n v="1"/>
    <n v="7.0499999999999993E-2"/>
    <n v="0.28899999999999998"/>
    <n v="2.42E-4"/>
    <n v="9.9099999999999994E-2"/>
    <n v="0.875"/>
    <n v="144.999"/>
    <n v="4"/>
    <x v="1"/>
  </r>
  <r>
    <x v="1054"/>
    <s v="BaianaSystem"/>
    <s v="InvisÃ­vel"/>
    <x v="960"/>
    <n v="36"/>
    <n v="195040"/>
    <x v="0"/>
    <n v="0.72499999999999998"/>
    <n v="0.61799999999999999"/>
    <n v="9"/>
    <n v="-9.8420000000000005"/>
    <n v="0"/>
    <n v="4.5999999999999999E-2"/>
    <n v="0.32500000000000001"/>
    <n v="1.3300000000000001E-4"/>
    <n v="0.38400000000000001"/>
    <n v="0.47899999999999998"/>
    <n v="112.681"/>
    <n v="5"/>
    <x v="1"/>
  </r>
  <r>
    <x v="1055"/>
    <s v="Los PiraÃ±as"/>
    <s v="Toma Tu JabÃ³n Kapax"/>
    <x v="961"/>
    <n v="33"/>
    <n v="246613"/>
    <x v="0"/>
    <n v="0.52200000000000002"/>
    <n v="0.67200000000000004"/>
    <n v="7"/>
    <n v="-9.0579999999999998"/>
    <n v="0"/>
    <n v="3.9E-2"/>
    <n v="7.85E-2"/>
    <n v="0.41799999999999998"/>
    <n v="8.6400000000000005E-2"/>
    <n v="0.75"/>
    <n v="155.833"/>
    <n v="4"/>
    <x v="1"/>
  </r>
  <r>
    <x v="1056"/>
    <s v="BaianaSystem;Orquestra AfrosinfÃ´nica"/>
    <s v="Fogo (VersÃ£o Estendida)"/>
    <x v="962"/>
    <n v="36"/>
    <n v="250354"/>
    <x v="0"/>
    <n v="0.45500000000000002"/>
    <n v="0.73799999999999999"/>
    <n v="7"/>
    <n v="-6.8259999999999996"/>
    <n v="0"/>
    <n v="3.5799999999999998E-2"/>
    <n v="0.161"/>
    <n v="6.7799999999999999E-2"/>
    <n v="9.9599999999999994E-2"/>
    <n v="0.33500000000000002"/>
    <n v="125.351"/>
    <n v="5"/>
    <x v="1"/>
  </r>
  <r>
    <x v="1057"/>
    <s v="BaianaSystem;Makavelli;Jaymitta"/>
    <s v="ATO 1: Navio Pirata"/>
    <x v="963"/>
    <n v="35"/>
    <n v="220670"/>
    <x v="0"/>
    <n v="0.61799999999999999"/>
    <n v="0.94499999999999995"/>
    <n v="4"/>
    <n v="-4.49"/>
    <n v="0"/>
    <n v="0.112"/>
    <n v="3.7199999999999997E-2"/>
    <n v="3.2299999999999998E-3"/>
    <n v="0.25700000000000001"/>
    <n v="0.76"/>
    <n v="169.96700000000001"/>
    <n v="4"/>
    <x v="1"/>
  </r>
  <r>
    <x v="1058"/>
    <s v="Jorge Drexler"/>
    <s v="MediterrÃ¡neo"/>
    <x v="964"/>
    <n v="33"/>
    <n v="206999"/>
    <x v="0"/>
    <n v="0.58499999999999996"/>
    <n v="0.58799999999999997"/>
    <n v="9"/>
    <n v="-8.1470000000000002"/>
    <n v="0"/>
    <n v="0.115"/>
    <n v="0.40500000000000003"/>
    <s v="5.19e-06"/>
    <n v="0.32100000000000001"/>
    <n v="0.42899999999999999"/>
    <n v="100.80800000000001"/>
    <n v="3"/>
    <x v="1"/>
  </r>
  <r>
    <x v="1059"/>
    <s v="Criolo"/>
    <s v="Viva Tim Maia"/>
    <x v="965"/>
    <n v="33"/>
    <n v="267853"/>
    <x v="0"/>
    <n v="0.86399999999999999"/>
    <n v="0.623"/>
    <n v="5"/>
    <n v="-5.9660000000000002"/>
    <n v="1"/>
    <n v="3.44E-2"/>
    <n v="0.45200000000000001"/>
    <n v="9.6699999999999998E-3"/>
    <n v="0.105"/>
    <n v="0.84"/>
    <n v="132.00800000000001"/>
    <n v="4"/>
    <x v="1"/>
  </r>
  <r>
    <x v="1060"/>
    <s v="BaianaSystem;Buguinha Dub;Curumin;Edgar"/>
    <s v="Futuro Dub"/>
    <x v="966"/>
    <n v="34"/>
    <n v="174538"/>
    <x v="0"/>
    <n v="0.69399999999999995"/>
    <n v="0.82"/>
    <n v="4"/>
    <n v="-7.8849999999999998"/>
    <n v="0"/>
    <n v="4.8000000000000001E-2"/>
    <n v="0.113"/>
    <n v="0.89700000000000002"/>
    <n v="0.14699999999999999"/>
    <n v="0.58799999999999997"/>
    <n v="99.921999999999997"/>
    <n v="4"/>
    <x v="1"/>
  </r>
  <r>
    <x v="1061"/>
    <s v="BaianaSystem"/>
    <s v="Forasteiro"/>
    <x v="967"/>
    <n v="35"/>
    <n v="210373"/>
    <x v="0"/>
    <n v="0.68500000000000005"/>
    <n v="0.73199999999999998"/>
    <n v="9"/>
    <n v="-8.5890000000000004"/>
    <n v="0"/>
    <n v="3.2199999999999999E-2"/>
    <n v="5.0600000000000003E-3"/>
    <n v="0.77800000000000002"/>
    <n v="6.4000000000000001E-2"/>
    <n v="0.85599999999999998"/>
    <n v="127.999"/>
    <n v="4"/>
    <x v="1"/>
  </r>
  <r>
    <x v="1062"/>
    <s v="Plastilina Mosh"/>
    <s v="Hola Chicuelos"/>
    <x v="968"/>
    <n v="35"/>
    <n v="148000"/>
    <x v="0"/>
    <n v="0.48299999999999998"/>
    <n v="0.99399999999999999"/>
    <n v="4"/>
    <n v="-6.6760000000000002"/>
    <n v="0"/>
    <n v="7.6200000000000004E-2"/>
    <n v="4.44E-4"/>
    <n v="0.76500000000000001"/>
    <n v="5.7000000000000002E-2"/>
    <n v="0.70199999999999996"/>
    <n v="182.05099999999999"/>
    <n v="4"/>
    <x v="1"/>
  </r>
  <r>
    <x v="1063"/>
    <s v="Samuca e a Selva"/>
    <s v="Madurar"/>
    <x v="969"/>
    <n v="33"/>
    <n v="321351"/>
    <x v="0"/>
    <n v="0.72099999999999997"/>
    <n v="0.65400000000000003"/>
    <n v="7"/>
    <n v="-7.8769999999999998"/>
    <n v="0"/>
    <n v="2.3099999999999999E-2"/>
    <n v="0.314"/>
    <s v="1.28e-05"/>
    <n v="0.82799999999999996"/>
    <n v="0.82599999999999996"/>
    <n v="102.97799999999999"/>
    <n v="4"/>
    <x v="1"/>
  </r>
  <r>
    <x v="1064"/>
    <s v="Los Amigos Invisibles"/>
    <s v="Commercial"/>
    <x v="970"/>
    <n v="35"/>
    <n v="242373"/>
    <x v="0"/>
    <n v="0.68300000000000005"/>
    <n v="0.82299999999999995"/>
    <n v="9"/>
    <n v="-6.4749999999999996"/>
    <n v="1"/>
    <n v="5.5899999999999998E-2"/>
    <n v="0.13800000000000001"/>
    <n v="6.7000000000000004E-2"/>
    <n v="0.17599999999999999"/>
    <n v="0.83699999999999997"/>
    <n v="120.03"/>
    <n v="4"/>
    <x v="1"/>
  </r>
  <r>
    <x v="1065"/>
    <s v="Jorge Drexler;Gal Costa"/>
    <s v="Nenhuma Dor"/>
    <x v="971"/>
    <n v="35"/>
    <n v="246568"/>
    <x v="0"/>
    <n v="0.61399999999999999"/>
    <n v="0.20899999999999999"/>
    <n v="7"/>
    <n v="-11.445"/>
    <n v="1"/>
    <n v="3.27E-2"/>
    <n v="0.86799999999999999"/>
    <n v="6.7599999999999995E-4"/>
    <n v="0.182"/>
    <n v="0.41599999999999998"/>
    <n v="119.94799999999999"/>
    <n v="4"/>
    <x v="1"/>
  </r>
  <r>
    <x v="1066"/>
    <s v="Criolo"/>
    <s v="Povo Guerreiro"/>
    <x v="972"/>
    <n v="34"/>
    <n v="219071"/>
    <x v="0"/>
    <n v="0.79300000000000004"/>
    <n v="0.65800000000000003"/>
    <n v="2"/>
    <n v="-6.3319999999999999"/>
    <n v="1"/>
    <n v="5.5199999999999999E-2"/>
    <n v="0.65200000000000002"/>
    <s v="1.11e-06"/>
    <n v="8.2000000000000003E-2"/>
    <n v="0.96"/>
    <n v="114.039"/>
    <n v="4"/>
    <x v="1"/>
  </r>
  <r>
    <x v="1067"/>
    <s v="BaianaSystem"/>
    <s v="O Futuro NÃ£o Demora"/>
    <x v="973"/>
    <n v="35"/>
    <n v="339413"/>
    <x v="0"/>
    <n v="0.59099999999999997"/>
    <n v="0.873"/>
    <n v="1"/>
    <n v="-6.8769999999999998"/>
    <n v="0"/>
    <n v="0.111"/>
    <n v="0.105"/>
    <n v="1.8100000000000002E-2"/>
    <n v="6.7599999999999993E-2"/>
    <n v="0.88200000000000001"/>
    <n v="162.12100000000001"/>
    <n v="4"/>
    <x v="1"/>
  </r>
  <r>
    <x v="1068"/>
    <s v="Criolo"/>
    <s v="Ainda HÃ¡ Tempo"/>
    <x v="974"/>
    <n v="35"/>
    <n v="303120"/>
    <x v="0"/>
    <n v="0.70199999999999996"/>
    <n v="0.68899999999999995"/>
    <n v="4"/>
    <n v="-6.1120000000000001"/>
    <n v="0"/>
    <n v="0.221"/>
    <n v="0.152"/>
    <n v="0"/>
    <n v="8.7800000000000003E-2"/>
    <n v="0.24199999999999999"/>
    <n v="84.063000000000002"/>
    <n v="4"/>
    <x v="1"/>
  </r>
  <r>
    <x v="1069"/>
    <s v="MetÃ¡ MetÃ¡"/>
    <s v="MetaL MetaL"/>
    <x v="975"/>
    <n v="33"/>
    <n v="214177"/>
    <x v="0"/>
    <n v="0.64"/>
    <n v="0.73199999999999998"/>
    <n v="5"/>
    <n v="-7.0780000000000003"/>
    <n v="0"/>
    <n v="6.4199999999999993E-2"/>
    <n v="0.64100000000000001"/>
    <n v="1.4200000000000001E-4"/>
    <n v="0.114"/>
    <n v="0.83099999999999996"/>
    <n v="112.956"/>
    <n v="4"/>
    <x v="1"/>
  </r>
  <r>
    <x v="1070"/>
    <s v="BaianaSystem;CÃ¡ssia Eller"/>
    <s v="O Segundo Sol"/>
    <x v="976"/>
    <n v="37"/>
    <n v="148905"/>
    <x v="0"/>
    <n v="0.38300000000000001"/>
    <n v="0.71099999999999997"/>
    <n v="0"/>
    <n v="-8.1129999999999995"/>
    <n v="1"/>
    <n v="6.7100000000000007E-2"/>
    <n v="0.17399999999999999"/>
    <n v="5.7200000000000003E-4"/>
    <n v="0.16"/>
    <n v="0.432"/>
    <n v="137.036"/>
    <n v="4"/>
    <x v="1"/>
  </r>
  <r>
    <x v="1071"/>
    <s v="Los Amigos Invisibles"/>
    <s v="Super Pop Venezuela"/>
    <x v="977"/>
    <n v="36"/>
    <n v="426306"/>
    <x v="0"/>
    <n v="0.69199999999999995"/>
    <n v="0.746"/>
    <n v="7"/>
    <n v="-6.359"/>
    <n v="0"/>
    <n v="3.6200000000000003E-2"/>
    <n v="0.39300000000000002"/>
    <n v="4.9600000000000002E-4"/>
    <n v="0.25700000000000001"/>
    <n v="0.61299999999999999"/>
    <n v="107.98099999999999"/>
    <n v="4"/>
    <x v="1"/>
  </r>
  <r>
    <x v="1072"/>
    <s v="BaianaSystem;Samba de Lata de TijuaÃ§Ãº"/>
    <s v="O Futuro NÃ£o Demora"/>
    <x v="978"/>
    <n v="34"/>
    <n v="156733"/>
    <x v="0"/>
    <n v="0.77900000000000003"/>
    <n v="0.91800000000000004"/>
    <n v="0"/>
    <n v="-6.9119999999999999"/>
    <n v="1"/>
    <n v="0.26800000000000002"/>
    <n v="0.126"/>
    <s v="4.61e-05"/>
    <n v="0.70099999999999996"/>
    <n v="0.39100000000000001"/>
    <n v="100.041"/>
    <n v="4"/>
    <x v="1"/>
  </r>
  <r>
    <x v="1073"/>
    <s v="Criolo;Emicida"/>
    <s v="Criolo E Emicida Ao Vivo (Live)"/>
    <x v="979"/>
    <n v="32"/>
    <n v="213960"/>
    <x v="0"/>
    <n v="0.65300000000000002"/>
    <n v="0.86799999999999999"/>
    <n v="9"/>
    <n v="-6.12"/>
    <n v="0"/>
    <n v="0.33600000000000002"/>
    <n v="0.64900000000000002"/>
    <n v="0"/>
    <n v="0.95299999999999996"/>
    <n v="0.73299999999999998"/>
    <n v="82.15"/>
    <n v="4"/>
    <x v="1"/>
  </r>
  <r>
    <x v="1074"/>
    <s v="Criolo"/>
    <s v="NÃ³ na Orelha"/>
    <x v="980"/>
    <n v="32"/>
    <n v="220653"/>
    <x v="0"/>
    <n v="0.79500000000000004"/>
    <n v="0.66400000000000003"/>
    <n v="11"/>
    <n v="-10.679"/>
    <n v="1"/>
    <n v="5.1900000000000002E-2"/>
    <n v="0.188"/>
    <n v="0.89"/>
    <n v="0.17199999999999999"/>
    <n v="0.85399999999999998"/>
    <n v="136.029"/>
    <n v="4"/>
    <x v="1"/>
  </r>
  <r>
    <x v="1075"/>
    <s v="BaianaSystem;VANDAL"/>
    <s v="O Futuro NÃ£o Demora"/>
    <x v="981"/>
    <n v="34"/>
    <n v="165160"/>
    <x v="0"/>
    <n v="0.72599999999999998"/>
    <n v="0.72"/>
    <n v="6"/>
    <n v="-6.8410000000000002"/>
    <n v="1"/>
    <n v="0.31"/>
    <n v="0.32700000000000001"/>
    <n v="0"/>
    <n v="0.28699999999999998"/>
    <n v="0.874"/>
    <n v="149.995"/>
    <n v="4"/>
    <x v="1"/>
  </r>
  <r>
    <x v="1076"/>
    <s v="Mandrill"/>
    <s v="Just Outside Of Town"/>
    <x v="982"/>
    <n v="34"/>
    <n v="199360"/>
    <x v="0"/>
    <n v="0.42199999999999999"/>
    <n v="0.86199999999999999"/>
    <n v="7"/>
    <n v="-6.5339999999999998"/>
    <n v="0"/>
    <n v="0.153"/>
    <n v="0.60199999999999998"/>
    <n v="9.0399999999999994E-3"/>
    <n v="0.29399999999999998"/>
    <n v="0.82599999999999996"/>
    <n v="80.525999999999996"/>
    <n v="3"/>
    <x v="1"/>
  </r>
  <r>
    <x v="1077"/>
    <s v="Samuca e a Selva;Luedji Luna"/>
    <s v="Tudo Que Move Ã‰ Sagrado"/>
    <x v="983"/>
    <n v="32"/>
    <n v="261552"/>
    <x v="0"/>
    <n v="0.79500000000000004"/>
    <n v="0.57299999999999995"/>
    <n v="0"/>
    <n v="-9.8379999999999992"/>
    <n v="1"/>
    <n v="5.5399999999999998E-2"/>
    <n v="0.40300000000000002"/>
    <n v="4.0000000000000001E-3"/>
    <n v="0.10199999999999999"/>
    <n v="0.65"/>
    <n v="135.12299999999999"/>
    <n v="4"/>
    <x v="1"/>
  </r>
  <r>
    <x v="1078"/>
    <s v="JuanafÃ©"/>
    <s v="La Makinita"/>
    <x v="984"/>
    <n v="34"/>
    <n v="213680"/>
    <x v="0"/>
    <n v="0.6"/>
    <n v="0.82599999999999996"/>
    <n v="2"/>
    <n v="-5.6539999999999999"/>
    <n v="1"/>
    <n v="4.7600000000000003E-2"/>
    <n v="5.5500000000000001E-2"/>
    <n v="0"/>
    <n v="8.3500000000000005E-2"/>
    <n v="0.77"/>
    <n v="98.046000000000006"/>
    <n v="4"/>
    <x v="1"/>
  </r>
  <r>
    <x v="1079"/>
    <s v="Criolo"/>
    <s v="Viva Tim Maia"/>
    <x v="985"/>
    <n v="34"/>
    <n v="181013"/>
    <x v="0"/>
    <n v="0.75900000000000001"/>
    <n v="0.79"/>
    <n v="11"/>
    <n v="-4.3550000000000004"/>
    <n v="0"/>
    <n v="6.5600000000000006E-2"/>
    <n v="0.26400000000000001"/>
    <s v="3.91e-05"/>
    <n v="7.0699999999999999E-2"/>
    <n v="0.91400000000000003"/>
    <n v="135.953"/>
    <n v="4"/>
    <x v="1"/>
  </r>
  <r>
    <x v="1080"/>
    <s v="Criolo"/>
    <s v="Criolo E Emicida Ao Vivo (Live)"/>
    <x v="986"/>
    <n v="33"/>
    <n v="267480"/>
    <x v="0"/>
    <n v="0.57199999999999995"/>
    <n v="0.874"/>
    <n v="5"/>
    <n v="-7.5229999999999997"/>
    <n v="0"/>
    <n v="0.127"/>
    <n v="0.52500000000000002"/>
    <s v="8.57e-06"/>
    <n v="0.71099999999999997"/>
    <n v="0.68100000000000005"/>
    <n v="94.006"/>
    <n v="4"/>
    <x v="1"/>
  </r>
  <r>
    <x v="1081"/>
    <s v="Criolo;Emicida"/>
    <s v="Criolo E Emicida Ao Vivo (Live)"/>
    <x v="987"/>
    <n v="33"/>
    <n v="213773"/>
    <x v="0"/>
    <n v="0.54900000000000004"/>
    <n v="0.90100000000000002"/>
    <n v="2"/>
    <n v="-6.2080000000000002"/>
    <n v="1"/>
    <n v="0.29599999999999999"/>
    <n v="0.72099999999999997"/>
    <n v="0"/>
    <n v="0.91300000000000003"/>
    <n v="0.35"/>
    <n v="152.298"/>
    <n v="4"/>
    <x v="1"/>
  </r>
  <r>
    <x v="1082"/>
    <s v="BaianaSystem;As Ganhadeiras de ItapuÃ£"/>
    <s v="Duas Cidades"/>
    <x v="988"/>
    <n v="33"/>
    <n v="173413"/>
    <x v="0"/>
    <n v="0.66600000000000004"/>
    <n v="0.76100000000000001"/>
    <n v="7"/>
    <n v="-5.4720000000000004"/>
    <n v="1"/>
    <n v="9.2600000000000002E-2"/>
    <n v="1.4300000000000001E-4"/>
    <n v="0.71199999999999997"/>
    <n v="0.112"/>
    <n v="0.79700000000000004"/>
    <n v="143.035"/>
    <n v="4"/>
    <x v="1"/>
  </r>
  <r>
    <x v="1083"/>
    <s v="BaianaSystem;BNegÃ£o"/>
    <s v="OXEAXEEXU"/>
    <x v="919"/>
    <n v="35"/>
    <n v="232293"/>
    <x v="0"/>
    <n v="0.83799999999999997"/>
    <n v="0.91400000000000003"/>
    <n v="0"/>
    <n v="-4.0259999999999998"/>
    <n v="0"/>
    <n v="0.124"/>
    <n v="0.378"/>
    <n v="3.98E-3"/>
    <n v="9.7900000000000001E-2"/>
    <n v="0.85499999999999998"/>
    <n v="146"/>
    <n v="4"/>
    <x v="1"/>
  </r>
  <r>
    <x v="1084"/>
    <s v="Plastilina Mosh"/>
    <s v="Tasty + B Sides"/>
    <x v="989"/>
    <n v="35"/>
    <n v="214960"/>
    <x v="0"/>
    <n v="0.79700000000000004"/>
    <n v="0.99"/>
    <n v="11"/>
    <n v="-8.0009999999999994"/>
    <n v="0"/>
    <n v="4.58E-2"/>
    <n v="3.7500000000000001E-4"/>
    <n v="0.41899999999999998"/>
    <n v="3.3300000000000003E-2"/>
    <n v="0.92600000000000005"/>
    <n v="125.023"/>
    <n v="4"/>
    <x v="1"/>
  </r>
  <r>
    <x v="1085"/>
    <s v="BaianaSystem"/>
    <s v="Duas Cidades"/>
    <x v="990"/>
    <n v="36"/>
    <n v="247000"/>
    <x v="0"/>
    <n v="0.68799999999999994"/>
    <n v="0.86399999999999999"/>
    <n v="10"/>
    <n v="-4.9569999999999999"/>
    <n v="0"/>
    <n v="0.151"/>
    <n v="0.26900000000000002"/>
    <n v="1.7200000000000001E-4"/>
    <n v="3.5700000000000003E-2"/>
    <n v="0.66700000000000004"/>
    <n v="180.05199999999999"/>
    <n v="4"/>
    <x v="1"/>
  </r>
  <r>
    <x v="1086"/>
    <s v="JuanafÃ©"/>
    <s v="La Makinita"/>
    <x v="991"/>
    <n v="33"/>
    <n v="222408"/>
    <x v="0"/>
    <n v="0.69599999999999995"/>
    <n v="0.72399999999999998"/>
    <n v="2"/>
    <n v="-4.8600000000000003"/>
    <n v="1"/>
    <n v="3.4500000000000003E-2"/>
    <n v="0.65"/>
    <n v="0"/>
    <n v="0.104"/>
    <n v="0.96499999999999997"/>
    <n v="99.929000000000002"/>
    <n v="4"/>
    <x v="1"/>
  </r>
  <r>
    <x v="1087"/>
    <s v="Hugh Masekela"/>
    <s v="Africa Rising Vol.3"/>
    <x v="992"/>
    <n v="0"/>
    <n v="274933"/>
    <x v="0"/>
    <n v="0.46899999999999997"/>
    <n v="0.82399999999999995"/>
    <n v="8"/>
    <n v="-10.785"/>
    <n v="1"/>
    <n v="9.4399999999999998E-2"/>
    <n v="0.47799999999999998"/>
    <n v="0.26800000000000002"/>
    <n v="7.5999999999999998E-2"/>
    <n v="0.78100000000000003"/>
    <n v="220.08099999999999"/>
    <n v="4"/>
    <x v="1"/>
  </r>
  <r>
    <x v="1088"/>
    <s v="Hugh Masekela"/>
    <s v="Africa Rising Vol.4"/>
    <x v="993"/>
    <n v="0"/>
    <n v="356333"/>
    <x v="0"/>
    <n v="0.80100000000000005"/>
    <n v="0.73599999999999999"/>
    <n v="5"/>
    <n v="-8.8970000000000002"/>
    <n v="1"/>
    <n v="3.95E-2"/>
    <n v="0.34300000000000003"/>
    <n v="1.83E-4"/>
    <n v="4.2900000000000001E-2"/>
    <n v="0.94199999999999995"/>
    <n v="105.009"/>
    <n v="4"/>
    <x v="1"/>
  </r>
  <r>
    <x v="1089"/>
    <s v="Manu Dibango"/>
    <s v="Afrodance Anthems"/>
    <x v="994"/>
    <n v="0"/>
    <n v="265586"/>
    <x v="0"/>
    <n v="0.81699999999999995"/>
    <n v="0.79400000000000004"/>
    <n v="0"/>
    <n v="-8.3239999999999998"/>
    <n v="1"/>
    <n v="7.5200000000000003E-2"/>
    <n v="5.6300000000000003E-2"/>
    <n v="0.22900000000000001"/>
    <n v="6.8699999999999997E-2"/>
    <n v="0.92100000000000004"/>
    <n v="116.423"/>
    <n v="4"/>
    <x v="1"/>
  </r>
  <r>
    <x v="1090"/>
    <s v="Criolo;Emicida"/>
    <s v="Criolo E Emicida Ao Vivo (Live)"/>
    <x v="995"/>
    <n v="34"/>
    <n v="273426"/>
    <x v="0"/>
    <n v="0.54"/>
    <n v="0.94499999999999995"/>
    <n v="1"/>
    <n v="-5.0209999999999999"/>
    <n v="1"/>
    <n v="0.27100000000000002"/>
    <n v="0.315"/>
    <n v="0"/>
    <n v="0.40500000000000003"/>
    <n v="0.55100000000000005"/>
    <n v="92.013000000000005"/>
    <n v="4"/>
    <x v="1"/>
  </r>
  <r>
    <x v="1091"/>
    <s v="Criolo;Emicida"/>
    <s v="Criolo E Emicida Ao Vivo (Live)"/>
    <x v="996"/>
    <n v="33"/>
    <n v="191453"/>
    <x v="0"/>
    <n v="0.35799999999999998"/>
    <n v="0.90500000000000003"/>
    <n v="5"/>
    <n v="-5.7759999999999998"/>
    <n v="0"/>
    <n v="0.45300000000000001"/>
    <n v="0.30399999999999999"/>
    <n v="0"/>
    <n v="0.45400000000000001"/>
    <n v="0.46800000000000003"/>
    <n v="176.67"/>
    <n v="4"/>
    <x v="1"/>
  </r>
  <r>
    <x v="1092"/>
    <s v="Hugh Masekela"/>
    <s v="Africa Rising Vol.1"/>
    <x v="997"/>
    <n v="0"/>
    <n v="527506"/>
    <x v="0"/>
    <n v="0.77800000000000002"/>
    <n v="0.71099999999999997"/>
    <n v="7"/>
    <n v="-11.367000000000001"/>
    <n v="1"/>
    <n v="6.4299999999999996E-2"/>
    <n v="0.35199999999999998"/>
    <n v="4.7300000000000002E-2"/>
    <n v="0.96899999999999997"/>
    <n v="0.85799999999999998"/>
    <n v="108.127"/>
    <n v="4"/>
    <x v="1"/>
  </r>
  <r>
    <x v="1093"/>
    <s v="Criolo;Emicida"/>
    <s v="Criolo E Emicida Ao Vivo (Live)"/>
    <x v="998"/>
    <n v="35"/>
    <n v="392480"/>
    <x v="0"/>
    <n v="0.28499999999999998"/>
    <n v="0.73399999999999999"/>
    <n v="5"/>
    <n v="-6.9560000000000004"/>
    <n v="0"/>
    <n v="5.0599999999999999E-2"/>
    <n v="0.3"/>
    <n v="2.3099999999999999E-2"/>
    <n v="0.90300000000000002"/>
    <n v="0.24299999999999999"/>
    <n v="140.22399999999999"/>
    <n v="4"/>
    <x v="1"/>
  </r>
  <r>
    <x v="1094"/>
    <s v="Hugh Masekela"/>
    <s v="Afrodance Anthems"/>
    <x v="999"/>
    <n v="0"/>
    <n v="334520"/>
    <x v="0"/>
    <n v="0.80600000000000005"/>
    <n v="0.47799999999999998"/>
    <n v="5"/>
    <n v="-11.387"/>
    <n v="0"/>
    <n v="0.107"/>
    <n v="0.77"/>
    <n v="3.6000000000000002E-4"/>
    <n v="8.5599999999999996E-2"/>
    <n v="0.95899999999999996"/>
    <n v="89.938000000000002"/>
    <n v="4"/>
    <x v="1"/>
  </r>
  <r>
    <x v="1095"/>
    <s v="Criolo;Emicida"/>
    <s v="Criolo E Emicida Ao Vivo (Live)"/>
    <x v="1000"/>
    <n v="33"/>
    <n v="369773"/>
    <x v="0"/>
    <n v="0.53200000000000003"/>
    <n v="0.90800000000000003"/>
    <n v="5"/>
    <n v="-6.1239999999999997"/>
    <n v="0"/>
    <n v="0.23799999999999999"/>
    <n v="0.36699999999999999"/>
    <n v="1.4200000000000001E-4"/>
    <n v="0.99199999999999999"/>
    <n v="0.73699999999999999"/>
    <n v="126.229"/>
    <n v="4"/>
    <x v="1"/>
  </r>
  <r>
    <x v="1096"/>
    <s v="Jackie Mittoo"/>
    <s v="The Keyboard King at Studio One"/>
    <x v="1001"/>
    <n v="34"/>
    <n v="191506"/>
    <x v="0"/>
    <n v="0.83699999999999997"/>
    <n v="0.59799999999999998"/>
    <n v="1"/>
    <n v="-9.0470000000000006"/>
    <n v="0"/>
    <n v="0.18099999999999999"/>
    <n v="0.39100000000000001"/>
    <n v="0.23799999999999999"/>
    <n v="5.9799999999999999E-2"/>
    <n v="0.98299999999999998"/>
    <n v="145.21899999999999"/>
    <n v="4"/>
    <x v="1"/>
  </r>
  <r>
    <x v="1097"/>
    <s v="Manu Dibango"/>
    <s v="Best Afrodance Tunes"/>
    <x v="1002"/>
    <n v="0"/>
    <n v="247626"/>
    <x v="0"/>
    <n v="0.78400000000000003"/>
    <n v="0.86899999999999999"/>
    <n v="2"/>
    <n v="-6.5949999999999998"/>
    <n v="1"/>
    <n v="3.6900000000000002E-2"/>
    <n v="1.0699999999999999E-2"/>
    <n v="0.83"/>
    <n v="4.2200000000000001E-2"/>
    <n v="0.67200000000000004"/>
    <n v="99.174999999999997"/>
    <n v="4"/>
    <x v="1"/>
  </r>
  <r>
    <x v="1098"/>
    <s v="Hugh Masekela"/>
    <s v="Best Afrodance Tunes"/>
    <x v="997"/>
    <n v="0"/>
    <n v="527506"/>
    <x v="0"/>
    <n v="0.77800000000000002"/>
    <n v="0.71099999999999997"/>
    <n v="7"/>
    <n v="-11.367000000000001"/>
    <n v="1"/>
    <n v="6.4299999999999996E-2"/>
    <n v="0.35199999999999998"/>
    <n v="4.7300000000000002E-2"/>
    <n v="0.96899999999999997"/>
    <n v="0.85799999999999998"/>
    <n v="108.127"/>
    <n v="4"/>
    <x v="1"/>
  </r>
  <r>
    <x v="1099"/>
    <s v="Ernest Ranglin"/>
    <s v="Best Afrodance Tunes"/>
    <x v="1003"/>
    <n v="3"/>
    <n v="336933"/>
    <x v="0"/>
    <n v="0.76600000000000001"/>
    <n v="0.375"/>
    <n v="5"/>
    <n v="-13.456"/>
    <n v="1"/>
    <n v="7.6300000000000007E-2"/>
    <n v="0.29699999999999999"/>
    <n v="0.86199999999999999"/>
    <n v="0.128"/>
    <n v="0.62"/>
    <n v="81.626000000000005"/>
    <n v="4"/>
    <x v="1"/>
  </r>
  <r>
    <x v="1100"/>
    <s v="Calle 13"/>
    <s v="Calle 13 (Explicit Version)"/>
    <x v="1004"/>
    <n v="75"/>
    <n v="239306"/>
    <x v="1"/>
    <n v="0.82899999999999996"/>
    <n v="0.878"/>
    <n v="9"/>
    <n v="-5.9509999999999996"/>
    <n v="1"/>
    <n v="0.10100000000000001"/>
    <n v="9.5899999999999999E-2"/>
    <n v="0"/>
    <n v="0.77600000000000002"/>
    <n v="0.88300000000000001"/>
    <n v="87.991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41821-ACAD-4EE7-AAA3-2F1900BB858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6" firstHeaderRow="1" firstDataRow="1" firstDataCol="1"/>
  <pivotFields count="20">
    <pivotField dataField="1" showAll="0">
      <items count="1102">
        <item x="156"/>
        <item x="1009"/>
        <item x="5"/>
        <item x="677"/>
        <item x="597"/>
        <item x="1026"/>
        <item x="833"/>
        <item x="596"/>
        <item x="242"/>
        <item x="162"/>
        <item x="90"/>
        <item x="180"/>
        <item x="908"/>
        <item x="978"/>
        <item x="118"/>
        <item x="807"/>
        <item x="104"/>
        <item x="583"/>
        <item x="1083"/>
        <item x="590"/>
        <item x="291"/>
        <item x="277"/>
        <item x="974"/>
        <item x="60"/>
        <item x="116"/>
        <item x="1024"/>
        <item x="801"/>
        <item x="374"/>
        <item x="39"/>
        <item x="1059"/>
        <item x="333"/>
        <item x="348"/>
        <item x="554"/>
        <item x="605"/>
        <item x="23"/>
        <item x="419"/>
        <item x="790"/>
        <item x="588"/>
        <item x="313"/>
        <item x="919"/>
        <item x="1041"/>
        <item x="726"/>
        <item x="981"/>
        <item x="307"/>
        <item x="27"/>
        <item x="42"/>
        <item x="176"/>
        <item x="508"/>
        <item x="654"/>
        <item x="1016"/>
        <item x="252"/>
        <item x="149"/>
        <item x="627"/>
        <item x="490"/>
        <item x="1034"/>
        <item x="501"/>
        <item x="155"/>
        <item x="395"/>
        <item x="192"/>
        <item x="1045"/>
        <item x="253"/>
        <item x="775"/>
        <item x="341"/>
        <item x="8"/>
        <item x="914"/>
        <item x="834"/>
        <item x="379"/>
        <item x="988"/>
        <item x="1012"/>
        <item x="232"/>
        <item x="932"/>
        <item x="773"/>
        <item x="47"/>
        <item x="302"/>
        <item x="976"/>
        <item x="557"/>
        <item x="293"/>
        <item x="290"/>
        <item x="517"/>
        <item x="108"/>
        <item x="469"/>
        <item x="185"/>
        <item x="1021"/>
        <item x="875"/>
        <item x="509"/>
        <item x="268"/>
        <item x="467"/>
        <item x="750"/>
        <item x="335"/>
        <item x="814"/>
        <item x="284"/>
        <item x="688"/>
        <item x="524"/>
        <item x="687"/>
        <item x="902"/>
        <item x="546"/>
        <item x="593"/>
        <item x="643"/>
        <item x="312"/>
        <item x="1010"/>
        <item x="679"/>
        <item x="89"/>
        <item x="364"/>
        <item x="737"/>
        <item x="495"/>
        <item x="760"/>
        <item x="806"/>
        <item x="442"/>
        <item x="412"/>
        <item x="670"/>
        <item x="1073"/>
        <item x="776"/>
        <item x="1057"/>
        <item x="973"/>
        <item x="894"/>
        <item x="1006"/>
        <item x="963"/>
        <item x="100"/>
        <item x="621"/>
        <item x="884"/>
        <item x="1084"/>
        <item x="762"/>
        <item x="1091"/>
        <item x="190"/>
        <item x="205"/>
        <item x="904"/>
        <item x="783"/>
        <item x="107"/>
        <item x="1067"/>
        <item x="425"/>
        <item x="966"/>
        <item x="1015"/>
        <item x="433"/>
        <item x="952"/>
        <item x="64"/>
        <item x="83"/>
        <item x="369"/>
        <item x="447"/>
        <item x="96"/>
        <item x="198"/>
        <item x="890"/>
        <item x="629"/>
        <item x="645"/>
        <item x="755"/>
        <item x="289"/>
        <item x="13"/>
        <item x="34"/>
        <item x="315"/>
        <item x="896"/>
        <item x="595"/>
        <item x="446"/>
        <item x="460"/>
        <item x="1078"/>
        <item x="1064"/>
        <item x="579"/>
        <item x="511"/>
        <item x="74"/>
        <item x="926"/>
        <item x="644"/>
        <item x="69"/>
        <item x="815"/>
        <item x="603"/>
        <item x="78"/>
        <item x="189"/>
        <item x="663"/>
        <item x="208"/>
        <item x="219"/>
        <item x="224"/>
        <item x="533"/>
        <item x="148"/>
        <item x="1099"/>
        <item x="95"/>
        <item x="70"/>
        <item x="1075"/>
        <item x="510"/>
        <item x="1077"/>
        <item x="887"/>
        <item x="637"/>
        <item x="305"/>
        <item x="1090"/>
        <item x="1070"/>
        <item x="355"/>
        <item x="608"/>
        <item x="38"/>
        <item x="611"/>
        <item x="1098"/>
        <item x="1008"/>
        <item x="147"/>
        <item x="748"/>
        <item x="195"/>
        <item x="435"/>
        <item x="789"/>
        <item x="550"/>
        <item x="626"/>
        <item x="798"/>
        <item x="475"/>
        <item x="657"/>
        <item x="222"/>
        <item x="984"/>
        <item x="948"/>
        <item x="823"/>
        <item x="995"/>
        <item x="165"/>
        <item x="175"/>
        <item x="7"/>
        <item x="270"/>
        <item x="288"/>
        <item x="153"/>
        <item x="955"/>
        <item x="255"/>
        <item x="701"/>
        <item x="592"/>
        <item x="246"/>
        <item x="553"/>
        <item x="1004"/>
        <item x="857"/>
        <item x="197"/>
        <item x="506"/>
        <item x="871"/>
        <item x="349"/>
        <item x="2"/>
        <item x="962"/>
        <item x="237"/>
        <item x="457"/>
        <item x="444"/>
        <item x="664"/>
        <item x="844"/>
        <item x="15"/>
        <item x="961"/>
        <item x="888"/>
        <item x="768"/>
        <item x="32"/>
        <item x="298"/>
        <item x="43"/>
        <item x="797"/>
        <item x="1038"/>
        <item x="266"/>
        <item x="950"/>
        <item x="854"/>
        <item x="551"/>
        <item x="791"/>
        <item x="770"/>
        <item x="676"/>
        <item x="112"/>
        <item x="618"/>
        <item x="649"/>
        <item x="103"/>
        <item x="294"/>
        <item x="889"/>
        <item x="1100"/>
        <item x="49"/>
        <item x="709"/>
        <item x="133"/>
        <item x="799"/>
        <item x="581"/>
        <item x="267"/>
        <item x="906"/>
        <item x="706"/>
        <item x="835"/>
        <item x="1017"/>
        <item x="634"/>
        <item x="811"/>
        <item x="740"/>
        <item x="532"/>
        <item x="752"/>
        <item x="309"/>
        <item x="234"/>
        <item x="97"/>
        <item x="138"/>
        <item x="273"/>
        <item x="1007"/>
        <item x="990"/>
        <item x="849"/>
        <item x="471"/>
        <item x="738"/>
        <item x="411"/>
        <item x="41"/>
        <item x="940"/>
        <item x="465"/>
        <item x="843"/>
        <item x="461"/>
        <item x="370"/>
        <item x="747"/>
        <item x="308"/>
        <item x="575"/>
        <item x="292"/>
        <item x="466"/>
        <item x="964"/>
        <item x="476"/>
        <item x="1019"/>
        <item x="1093"/>
        <item x="353"/>
        <item x="396"/>
        <item x="713"/>
        <item x="997"/>
        <item x="558"/>
        <item x="617"/>
        <item x="723"/>
        <item x="21"/>
        <item x="545"/>
        <item x="344"/>
        <item x="154"/>
        <item x="321"/>
        <item x="482"/>
        <item x="279"/>
        <item x="868"/>
        <item x="938"/>
        <item x="57"/>
        <item x="733"/>
        <item x="771"/>
        <item x="736"/>
        <item x="199"/>
        <item x="48"/>
        <item x="513"/>
        <item x="481"/>
        <item x="846"/>
        <item x="951"/>
        <item x="303"/>
        <item x="230"/>
        <item x="432"/>
        <item x="1074"/>
        <item x="318"/>
        <item x="487"/>
        <item x="1033"/>
        <item x="690"/>
        <item x="784"/>
        <item x="943"/>
        <item x="681"/>
        <item x="300"/>
        <item x="320"/>
        <item x="712"/>
        <item x="1043"/>
        <item x="67"/>
        <item x="132"/>
        <item x="52"/>
        <item x="607"/>
        <item x="561"/>
        <item x="428"/>
        <item x="286"/>
        <item x="188"/>
        <item x="1032"/>
        <item x="529"/>
        <item x="73"/>
        <item x="538"/>
        <item x="236"/>
        <item x="183"/>
        <item x="586"/>
        <item x="820"/>
        <item x="331"/>
        <item x="295"/>
        <item x="385"/>
        <item x="992"/>
        <item x="525"/>
        <item x="269"/>
        <item x="683"/>
        <item x="342"/>
        <item x="1069"/>
        <item x="59"/>
        <item x="562"/>
        <item x="527"/>
        <item x="221"/>
        <item x="382"/>
        <item x="484"/>
        <item x="861"/>
        <item x="754"/>
        <item x="840"/>
        <item x="387"/>
        <item x="429"/>
        <item x="521"/>
        <item x="325"/>
        <item x="417"/>
        <item x="436"/>
        <item x="367"/>
        <item x="80"/>
        <item x="788"/>
        <item x="330"/>
        <item x="171"/>
        <item x="157"/>
        <item x="578"/>
        <item x="127"/>
        <item x="390"/>
        <item x="610"/>
        <item x="821"/>
        <item x="730"/>
        <item x="1072"/>
        <item x="910"/>
        <item x="274"/>
        <item x="88"/>
        <item x="623"/>
        <item x="470"/>
        <item x="939"/>
        <item x="474"/>
        <item x="873"/>
        <item x="441"/>
        <item x="878"/>
        <item x="756"/>
        <item x="140"/>
        <item x="136"/>
        <item x="485"/>
        <item x="944"/>
        <item x="29"/>
        <item x="682"/>
        <item x="18"/>
        <item x="259"/>
        <item x="652"/>
        <item x="809"/>
        <item x="105"/>
        <item x="549"/>
        <item x="317"/>
        <item x="76"/>
        <item x="1081"/>
        <item x="54"/>
        <item x="909"/>
        <item x="361"/>
        <item x="836"/>
        <item x="743"/>
        <item x="323"/>
        <item x="924"/>
        <item x="631"/>
        <item x="864"/>
        <item x="543"/>
        <item x="876"/>
        <item x="860"/>
        <item x="158"/>
        <item x="555"/>
        <item x="972"/>
        <item x="708"/>
        <item x="113"/>
        <item x="207"/>
        <item x="231"/>
        <item x="612"/>
        <item x="816"/>
        <item x="536"/>
        <item x="732"/>
        <item x="421"/>
        <item x="697"/>
        <item x="1051"/>
        <item x="825"/>
        <item x="87"/>
        <item x="228"/>
        <item x="594"/>
        <item x="886"/>
        <item x="570"/>
        <item x="982"/>
        <item x="1039"/>
        <item x="744"/>
        <item x="93"/>
        <item x="1071"/>
        <item x="693"/>
        <item x="1054"/>
        <item x="1079"/>
        <item x="1029"/>
        <item x="958"/>
        <item x="340"/>
        <item x="84"/>
        <item x="229"/>
        <item x="1097"/>
        <item x="304"/>
        <item x="689"/>
        <item x="151"/>
        <item x="547"/>
        <item x="235"/>
        <item x="489"/>
        <item x="805"/>
        <item x="684"/>
        <item x="672"/>
        <item x="921"/>
        <item x="818"/>
        <item x="477"/>
        <item x="343"/>
        <item x="777"/>
        <item x="75"/>
        <item x="937"/>
        <item x="283"/>
        <item x="128"/>
        <item x="837"/>
        <item x="414"/>
        <item x="1027"/>
        <item x="1035"/>
        <item x="1025"/>
        <item x="202"/>
        <item x="1011"/>
        <item x="31"/>
        <item x="1058"/>
        <item x="1013"/>
        <item x="82"/>
        <item x="530"/>
        <item x="512"/>
        <item x="452"/>
        <item x="576"/>
        <item x="883"/>
        <item x="552"/>
        <item x="1062"/>
        <item x="182"/>
        <item x="751"/>
        <item x="225"/>
        <item x="386"/>
        <item x="65"/>
        <item x="658"/>
        <item x="935"/>
        <item x="983"/>
        <item x="30"/>
        <item x="72"/>
        <item x="1030"/>
        <item x="187"/>
        <item x="181"/>
        <item x="352"/>
        <item x="985"/>
        <item x="33"/>
        <item x="903"/>
        <item x="1022"/>
        <item x="24"/>
        <item x="503"/>
        <item x="1066"/>
        <item x="862"/>
        <item x="51"/>
        <item x="635"/>
        <item x="357"/>
        <item x="172"/>
        <item x="717"/>
        <item x="143"/>
        <item x="1020"/>
        <item x="319"/>
        <item x="640"/>
        <item x="472"/>
        <item x="598"/>
        <item x="1018"/>
        <item x="774"/>
        <item x="785"/>
        <item x="37"/>
        <item x="415"/>
        <item x="243"/>
        <item x="372"/>
        <item x="913"/>
        <item x="282"/>
        <item x="1096"/>
        <item x="830"/>
        <item x="1056"/>
        <item x="804"/>
        <item x="184"/>
        <item x="742"/>
        <item x="347"/>
        <item x="1088"/>
        <item x="636"/>
        <item x="398"/>
        <item x="728"/>
        <item x="642"/>
        <item x="580"/>
        <item x="119"/>
        <item x="934"/>
        <item x="1060"/>
        <item x="897"/>
        <item x="400"/>
        <item x="46"/>
        <item x="204"/>
        <item x="20"/>
        <item x="381"/>
        <item x="619"/>
        <item x="803"/>
        <item x="377"/>
        <item x="727"/>
        <item x="673"/>
        <item x="167"/>
        <item x="869"/>
        <item x="168"/>
        <item x="71"/>
        <item x="1089"/>
        <item x="170"/>
        <item x="102"/>
        <item x="451"/>
        <item x="779"/>
        <item x="380"/>
        <item x="92"/>
        <item x="1055"/>
        <item x="694"/>
        <item x="383"/>
        <item x="531"/>
        <item x="365"/>
        <item x="346"/>
        <item x="716"/>
        <item x="1095"/>
        <item x="534"/>
        <item x="766"/>
        <item x="795"/>
        <item x="638"/>
        <item x="711"/>
        <item x="375"/>
        <item x="351"/>
        <item x="949"/>
        <item x="656"/>
        <item x="218"/>
        <item x="946"/>
        <item x="758"/>
        <item x="998"/>
        <item x="667"/>
        <item x="177"/>
        <item x="569"/>
        <item x="399"/>
        <item x="933"/>
        <item x="589"/>
        <item x="200"/>
        <item x="409"/>
        <item x="609"/>
        <item x="407"/>
        <item x="686"/>
        <item x="838"/>
        <item x="666"/>
        <item x="625"/>
        <item x="350"/>
        <item x="584"/>
        <item x="1046"/>
        <item x="261"/>
        <item x="186"/>
        <item x="845"/>
        <item x="719"/>
        <item x="209"/>
        <item x="306"/>
        <item x="1023"/>
        <item x="1001"/>
        <item x="500"/>
        <item x="169"/>
        <item x="615"/>
        <item x="463"/>
        <item x="459"/>
        <item x="918"/>
        <item x="828"/>
        <item x="720"/>
        <item x="953"/>
        <item x="819"/>
        <item x="698"/>
        <item x="458"/>
        <item x="251"/>
        <item x="455"/>
        <item x="366"/>
        <item x="401"/>
        <item x="827"/>
        <item x="356"/>
        <item x="201"/>
        <item x="504"/>
        <item x="301"/>
        <item x="661"/>
        <item x="520"/>
        <item x="464"/>
        <item x="831"/>
        <item x="101"/>
        <item x="1040"/>
        <item x="516"/>
        <item x="410"/>
        <item x="641"/>
        <item x="14"/>
        <item x="565"/>
        <item x="85"/>
        <item x="135"/>
        <item x="647"/>
        <item x="299"/>
        <item x="146"/>
        <item x="523"/>
        <item x="10"/>
        <item x="397"/>
        <item x="639"/>
        <item x="278"/>
        <item x="406"/>
        <item x="332"/>
        <item x="58"/>
        <item x="772"/>
        <item x="577"/>
        <item x="1000"/>
        <item x="793"/>
        <item x="12"/>
        <item x="239"/>
        <item x="77"/>
        <item x="671"/>
        <item x="1"/>
        <item x="571"/>
        <item x="110"/>
        <item x="965"/>
        <item x="345"/>
        <item x="911"/>
        <item x="358"/>
        <item x="582"/>
        <item x="566"/>
        <item x="528"/>
        <item x="853"/>
        <item x="975"/>
        <item x="665"/>
        <item x="502"/>
        <item x="541"/>
        <item x="899"/>
        <item x="624"/>
        <item x="931"/>
        <item x="254"/>
        <item x="206"/>
        <item x="111"/>
        <item x="792"/>
        <item x="915"/>
        <item x="193"/>
        <item x="494"/>
        <item x="311"/>
        <item x="925"/>
        <item x="210"/>
        <item x="721"/>
        <item x="718"/>
        <item x="522"/>
        <item x="986"/>
        <item x="810"/>
        <item x="256"/>
        <item x="700"/>
        <item x="17"/>
        <item x="280"/>
        <item x="898"/>
        <item x="1082"/>
        <item x="1092"/>
        <item x="568"/>
        <item x="870"/>
        <item x="124"/>
        <item x="492"/>
        <item x="265"/>
        <item x="724"/>
        <item x="241"/>
        <item x="479"/>
        <item x="969"/>
        <item x="705"/>
        <item x="1094"/>
        <item x="563"/>
        <item x="722"/>
        <item x="696"/>
        <item x="863"/>
        <item x="812"/>
        <item x="892"/>
        <item x="329"/>
        <item x="537"/>
        <item x="905"/>
        <item x="874"/>
        <item x="822"/>
        <item x="106"/>
        <item x="996"/>
        <item x="152"/>
        <item x="622"/>
        <item x="648"/>
        <item x="216"/>
        <item x="535"/>
        <item x="994"/>
        <item x="685"/>
        <item x="423"/>
        <item x="602"/>
        <item x="692"/>
        <item x="373"/>
        <item x="316"/>
        <item x="247"/>
        <item x="483"/>
        <item x="227"/>
        <item x="613"/>
        <item x="468"/>
        <item x="211"/>
        <item x="945"/>
        <item x="729"/>
        <item x="851"/>
        <item x="572"/>
        <item x="669"/>
        <item x="675"/>
        <item x="885"/>
        <item x="491"/>
        <item x="703"/>
        <item x="922"/>
        <item x="769"/>
        <item x="859"/>
        <item x="999"/>
        <item x="26"/>
        <item x="478"/>
        <item x="81"/>
        <item x="956"/>
        <item x="11"/>
        <item x="310"/>
        <item x="970"/>
        <item x="53"/>
        <item x="847"/>
        <item x="866"/>
        <item x="1080"/>
        <item x="941"/>
        <item x="601"/>
        <item x="936"/>
        <item x="363"/>
        <item x="376"/>
        <item x="526"/>
        <item x="405"/>
        <item x="761"/>
        <item x="275"/>
        <item x="604"/>
        <item x="707"/>
        <item x="215"/>
        <item x="710"/>
        <item x="486"/>
        <item x="564"/>
        <item x="258"/>
        <item x="852"/>
        <item x="179"/>
        <item x="418"/>
        <item x="120"/>
        <item x="764"/>
        <item x="453"/>
        <item x="91"/>
        <item x="178"/>
        <item x="439"/>
        <item x="326"/>
        <item x="137"/>
        <item x="339"/>
        <item x="220"/>
        <item x="901"/>
        <item x="336"/>
        <item x="115"/>
        <item x="967"/>
        <item x="739"/>
        <item x="28"/>
        <item x="440"/>
        <item x="714"/>
        <item x="929"/>
        <item x="947"/>
        <item x="163"/>
        <item x="968"/>
        <item x="126"/>
        <item x="599"/>
        <item x="285"/>
        <item x="327"/>
        <item x="781"/>
        <item x="0"/>
        <item x="297"/>
        <item x="454"/>
        <item x="917"/>
        <item x="22"/>
        <item x="496"/>
        <item x="1049"/>
        <item x="620"/>
        <item x="907"/>
        <item x="1076"/>
        <item x="4"/>
        <item x="802"/>
        <item x="287"/>
        <item x="991"/>
        <item x="928"/>
        <item x="191"/>
        <item x="338"/>
        <item x="1037"/>
        <item x="281"/>
        <item x="1031"/>
        <item x="556"/>
        <item x="927"/>
        <item x="354"/>
        <item x="144"/>
        <item x="123"/>
        <item x="371"/>
        <item x="443"/>
        <item x="893"/>
        <item x="632"/>
        <item x="699"/>
        <item x="473"/>
        <item x="498"/>
        <item x="36"/>
        <item x="448"/>
        <item x="1028"/>
        <item x="217"/>
        <item x="514"/>
        <item x="668"/>
        <item x="384"/>
        <item x="735"/>
        <item x="759"/>
        <item x="117"/>
        <item x="1005"/>
        <item x="260"/>
        <item x="437"/>
        <item x="606"/>
        <item x="678"/>
        <item x="480"/>
        <item x="855"/>
        <item x="166"/>
        <item x="856"/>
        <item x="653"/>
        <item x="650"/>
        <item x="829"/>
        <item x="920"/>
        <item x="680"/>
        <item x="542"/>
        <item x="808"/>
        <item x="977"/>
        <item x="19"/>
        <item x="519"/>
        <item x="161"/>
        <item x="456"/>
        <item x="796"/>
        <item x="25"/>
        <item x="731"/>
        <item x="337"/>
        <item x="212"/>
        <item x="787"/>
        <item x="1053"/>
        <item x="1047"/>
        <item x="413"/>
        <item x="817"/>
        <item x="591"/>
        <item x="544"/>
        <item x="518"/>
        <item x="368"/>
        <item x="271"/>
        <item x="114"/>
        <item x="1036"/>
        <item x="35"/>
        <item x="850"/>
        <item x="891"/>
        <item x="223"/>
        <item x="960"/>
        <item x="250"/>
        <item x="691"/>
        <item x="150"/>
        <item x="416"/>
        <item x="858"/>
        <item x="1065"/>
        <item x="392"/>
        <item x="160"/>
        <item x="296"/>
        <item x="322"/>
        <item x="403"/>
        <item x="44"/>
        <item x="334"/>
        <item x="245"/>
        <item x="226"/>
        <item x="614"/>
        <item x="630"/>
        <item x="1085"/>
        <item x="3"/>
        <item x="272"/>
        <item x="1087"/>
        <item x="449"/>
        <item x="880"/>
        <item x="1042"/>
        <item x="749"/>
        <item x="196"/>
        <item x="61"/>
        <item x="248"/>
        <item x="695"/>
        <item x="63"/>
        <item x="865"/>
        <item x="778"/>
        <item x="923"/>
        <item x="548"/>
        <item x="462"/>
        <item x="174"/>
        <item x="263"/>
        <item x="725"/>
        <item x="131"/>
        <item x="662"/>
        <item x="916"/>
        <item x="867"/>
        <item x="1061"/>
        <item x="40"/>
        <item x="872"/>
        <item x="121"/>
        <item x="139"/>
        <item x="1086"/>
        <item x="86"/>
        <item x="391"/>
        <item x="6"/>
        <item x="959"/>
        <item x="674"/>
        <item x="980"/>
        <item x="539"/>
        <item x="66"/>
        <item x="587"/>
        <item x="957"/>
        <item x="430"/>
        <item x="765"/>
        <item x="424"/>
        <item x="262"/>
        <item x="378"/>
        <item x="574"/>
        <item x="55"/>
        <item x="16"/>
        <item x="426"/>
        <item x="129"/>
        <item x="360"/>
        <item x="559"/>
        <item x="362"/>
        <item x="408"/>
        <item x="505"/>
        <item x="585"/>
        <item x="659"/>
        <item x="264"/>
        <item x="134"/>
        <item x="780"/>
        <item x="393"/>
        <item x="130"/>
        <item x="240"/>
        <item x="50"/>
        <item x="600"/>
        <item x="142"/>
        <item x="445"/>
        <item x="438"/>
        <item x="145"/>
        <item x="993"/>
        <item x="745"/>
        <item x="987"/>
        <item x="839"/>
        <item x="515"/>
        <item x="164"/>
        <item x="499"/>
        <item x="434"/>
        <item x="497"/>
        <item x="826"/>
        <item x="109"/>
        <item x="45"/>
        <item x="422"/>
        <item x="402"/>
        <item x="213"/>
        <item x="782"/>
        <item x="813"/>
        <item x="841"/>
        <item x="767"/>
        <item x="1052"/>
        <item x="125"/>
        <item x="646"/>
        <item x="1048"/>
        <item x="233"/>
        <item x="122"/>
        <item x="203"/>
        <item x="746"/>
        <item x="79"/>
        <item x="450"/>
        <item x="173"/>
        <item x="1014"/>
        <item x="979"/>
        <item x="1050"/>
        <item x="99"/>
        <item x="141"/>
        <item x="942"/>
        <item x="794"/>
        <item x="389"/>
        <item x="98"/>
        <item x="573"/>
        <item x="763"/>
        <item x="493"/>
        <item x="734"/>
        <item x="842"/>
        <item x="704"/>
        <item x="214"/>
        <item x="1003"/>
        <item x="324"/>
        <item x="895"/>
        <item x="741"/>
        <item x="715"/>
        <item x="757"/>
        <item x="824"/>
        <item x="540"/>
        <item x="881"/>
        <item x="488"/>
        <item x="244"/>
        <item x="314"/>
        <item x="989"/>
        <item x="507"/>
        <item x="238"/>
        <item x="9"/>
        <item x="388"/>
        <item x="971"/>
        <item x="560"/>
        <item x="930"/>
        <item x="56"/>
        <item x="912"/>
        <item x="68"/>
        <item x="660"/>
        <item x="276"/>
        <item x="848"/>
        <item x="753"/>
        <item x="159"/>
        <item x="1002"/>
        <item x="628"/>
        <item x="1044"/>
        <item x="431"/>
        <item x="702"/>
        <item x="257"/>
        <item x="427"/>
        <item x="877"/>
        <item x="616"/>
        <item x="832"/>
        <item x="954"/>
        <item x="249"/>
        <item x="882"/>
        <item x="655"/>
        <item x="800"/>
        <item x="786"/>
        <item x="900"/>
        <item x="94"/>
        <item x="1063"/>
        <item x="359"/>
        <item x="328"/>
        <item x="394"/>
        <item x="633"/>
        <item x="651"/>
        <item x="62"/>
        <item x="194"/>
        <item x="567"/>
        <item x="879"/>
        <item x="420"/>
        <item x="404"/>
        <item x="10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track_id" fld="0" subtotal="count" baseField="0" baseItem="0"/>
  </dataFields>
  <chartFormats count="2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04E23-5086-4AFA-964B-1BFCDFDE00E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6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popularity" fld="4" baseField="0" baseItem="0"/>
  </dataFields>
  <chartFormats count="2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70E7E-93DE-4B80-A02E-6262432F2BFB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20">
    <pivotField showAll="0"/>
    <pivotField showAll="0"/>
    <pivotField showAll="0"/>
    <pivotField axis="axisRow" showAll="0" measureFilter="1" sortType="descending">
      <items count="1006">
        <item x="743"/>
        <item x="723"/>
        <item x="100"/>
        <item x="834"/>
        <item x="541"/>
        <item x="126"/>
        <item x="465"/>
        <item x="446"/>
        <item x="315"/>
        <item x="461"/>
        <item x="404"/>
        <item x="253"/>
        <item x="540"/>
        <item x="673"/>
        <item x="539"/>
        <item x="20"/>
        <item x="938"/>
        <item x="37"/>
        <item x="742"/>
        <item x="711"/>
        <item x="299"/>
        <item x="649"/>
        <item x="264"/>
        <item x="829"/>
        <item x="219"/>
        <item x="445"/>
        <item x="640"/>
        <item x="572"/>
        <item x="611"/>
        <item x="531"/>
        <item x="876"/>
        <item x="318"/>
        <item x="525"/>
        <item x="249"/>
        <item x="644"/>
        <item x="656"/>
        <item x="750"/>
        <item x="307"/>
        <item x="969"/>
        <item x="654"/>
        <item x="920"/>
        <item x="296"/>
        <item x="460"/>
        <item x="401"/>
        <item x="587"/>
        <item x="744"/>
        <item x="735"/>
        <item x="345"/>
        <item x="416"/>
        <item x="165"/>
        <item x="78"/>
        <item x="321"/>
        <item x="503"/>
        <item x="595"/>
        <item x="103"/>
        <item x="343"/>
        <item x="882"/>
        <item x="328"/>
        <item x="675"/>
        <item x="872"/>
        <item x="788"/>
        <item x="379"/>
        <item x="459"/>
        <item x="526"/>
        <item x="786"/>
        <item x="341"/>
        <item x="636"/>
        <item x="790"/>
        <item x="567"/>
        <item x="413"/>
        <item x="840"/>
        <item x="907"/>
        <item x="298"/>
        <item x="914"/>
        <item x="777"/>
        <item x="25"/>
        <item x="418"/>
        <item x="524"/>
        <item x="885"/>
        <item x="772"/>
        <item x="522"/>
        <item x="224"/>
        <item x="811"/>
        <item x="49"/>
        <item x="845"/>
        <item x="415"/>
        <item x="48"/>
        <item x="977"/>
        <item x="483"/>
        <item x="199"/>
        <item x="506"/>
        <item x="46"/>
        <item x="453"/>
        <item x="668"/>
        <item x="407"/>
        <item x="551"/>
        <item x="935"/>
        <item x="232"/>
        <item x="702"/>
        <item x="577"/>
        <item x="130"/>
        <item x="366"/>
        <item x="730"/>
        <item x="783"/>
        <item x="286"/>
        <item x="218"/>
        <item x="327"/>
        <item x="355"/>
        <item x="155"/>
        <item x="17"/>
        <item x="923"/>
        <item x="1004"/>
        <item x="361"/>
        <item x="215"/>
        <item x="428"/>
        <item x="228"/>
        <item x="502"/>
        <item x="13"/>
        <item x="677"/>
        <item x="990"/>
        <item x="368"/>
        <item x="866"/>
        <item x="385"/>
        <item x="148"/>
        <item x="479"/>
        <item x="508"/>
        <item x="211"/>
        <item x="96"/>
        <item x="22"/>
        <item x="129"/>
        <item x="144"/>
        <item x="185"/>
        <item x="821"/>
        <item x="732"/>
        <item x="292"/>
        <item x="846"/>
        <item x="651"/>
        <item x="172"/>
        <item x="280"/>
        <item x="565"/>
        <item x="581"/>
        <item x="669"/>
        <item x="898"/>
        <item x="612"/>
        <item x="1001"/>
        <item x="545"/>
        <item x="827"/>
        <item x="433"/>
        <item x="436"/>
        <item x="951"/>
        <item x="799"/>
        <item x="1000"/>
        <item x="365"/>
        <item x="579"/>
        <item x="85"/>
        <item x="474"/>
        <item x="400"/>
        <item x="394"/>
        <item x="251"/>
        <item x="67"/>
        <item x="918"/>
        <item x="179"/>
        <item x="558"/>
        <item x="138"/>
        <item x="40"/>
        <item x="466"/>
        <item x="181"/>
        <item x="347"/>
        <item x="414"/>
        <item x="791"/>
        <item x="598"/>
        <item x="874"/>
        <item x="892"/>
        <item x="609"/>
        <item x="959"/>
        <item x="652"/>
        <item x="952"/>
        <item x="518"/>
        <item x="270"/>
        <item x="278"/>
        <item x="585"/>
        <item x="142"/>
        <item x="82"/>
        <item x="847"/>
        <item x="784"/>
        <item x="530"/>
        <item x="3"/>
        <item x="239"/>
        <item x="342"/>
        <item x="548"/>
        <item x="685"/>
        <item x="588"/>
        <item x="348"/>
        <item x="981"/>
        <item x="214"/>
        <item x="277"/>
        <item x="547"/>
        <item x="131"/>
        <item x="942"/>
        <item x="985"/>
        <item x="209"/>
        <item x="917"/>
        <item x="809"/>
        <item x="761"/>
        <item x="263"/>
        <item x="553"/>
        <item x="121"/>
        <item x="97"/>
        <item x="201"/>
        <item x="99"/>
        <item x="625"/>
        <item x="0"/>
        <item x="320"/>
        <item x="674"/>
        <item x="614"/>
        <item x="720"/>
        <item x="902"/>
        <item x="868"/>
        <item x="583"/>
        <item x="168"/>
        <item x="950"/>
        <item x="886"/>
        <item x="115"/>
        <item x="426"/>
        <item x="225"/>
        <item x="858"/>
        <item x="450"/>
        <item x="680"/>
        <item x="955"/>
        <item x="718"/>
        <item x="830"/>
        <item x="808"/>
        <item x="5"/>
        <item x="538"/>
        <item x="582"/>
        <item x="88"/>
        <item x="851"/>
        <item x="19"/>
        <item x="925"/>
        <item x="987"/>
        <item x="939"/>
        <item x="604"/>
        <item x="529"/>
        <item x="946"/>
        <item x="837"/>
        <item x="1002"/>
        <item x="773"/>
        <item x="807"/>
        <item x="997"/>
        <item x="532"/>
        <item x="83"/>
        <item x="93"/>
        <item x="517"/>
        <item x="692"/>
        <item x="667"/>
        <item x="757"/>
        <item x="805"/>
        <item x="647"/>
        <item x="323"/>
        <item x="681"/>
        <item x="853"/>
        <item x="691"/>
        <item x="291"/>
        <item x="227"/>
        <item x="220"/>
        <item x="613"/>
        <item x="927"/>
        <item x="405"/>
        <item x="879"/>
        <item x="584"/>
        <item x="322"/>
        <item x="284"/>
        <item x="633"/>
        <item x="888"/>
        <item x="880"/>
        <item x="35"/>
        <item x="728"/>
        <item x="883"/>
        <item x="513"/>
        <item x="601"/>
        <item x="546"/>
        <item x="391"/>
        <item x="564"/>
        <item x="475"/>
        <item x="190"/>
        <item x="712"/>
        <item x="824"/>
        <item x="910"/>
        <item x="958"/>
        <item x="739"/>
        <item x="622"/>
        <item x="334"/>
        <item x="477"/>
        <item x="573"/>
        <item x="983"/>
        <item x="664"/>
        <item x="458"/>
        <item x="70"/>
        <item x="369"/>
        <item x="381"/>
        <item x="721"/>
        <item x="15"/>
        <item x="762"/>
        <item x="337"/>
        <item x="900"/>
        <item x="982"/>
        <item x="666"/>
        <item x="431"/>
        <item x="908"/>
        <item x="949"/>
        <item x="152"/>
        <item x="947"/>
        <item x="514"/>
        <item x="552"/>
        <item x="193"/>
        <item x="261"/>
        <item x="204"/>
        <item x="962"/>
        <item x="271"/>
        <item x="967"/>
        <item x="151"/>
        <item x="570"/>
        <item x="549"/>
        <item x="905"/>
        <item x="943"/>
        <item x="256"/>
        <item x="857"/>
        <item x="208"/>
        <item x="676"/>
        <item x="499"/>
        <item x="523"/>
        <item x="122"/>
        <item x="1"/>
        <item x="606"/>
        <item x="183"/>
        <item x="10"/>
        <item x="178"/>
        <item x="444"/>
        <item x="767"/>
        <item x="412"/>
        <item x="855"/>
        <item x="447"/>
        <item x="452"/>
        <item x="887"/>
        <item x="285"/>
        <item x="257"/>
        <item x="537"/>
        <item x="252"/>
        <item x="996"/>
        <item x="399"/>
        <item x="42"/>
        <item x="528"/>
        <item x="66"/>
        <item x="388"/>
        <item x="926"/>
        <item x="180"/>
        <item x="132"/>
        <item x="326"/>
        <item x="472"/>
        <item x="194"/>
        <item x="389"/>
        <item x="158"/>
        <item x="118"/>
        <item x="817"/>
        <item x="733"/>
        <item x="61"/>
        <item x="383"/>
        <item x="441"/>
        <item x="596"/>
        <item x="236"/>
        <item x="332"/>
        <item x="188"/>
        <item x="186"/>
        <item x="487"/>
        <item x="409"/>
        <item x="317"/>
        <item x="197"/>
        <item x="353"/>
        <item x="386"/>
        <item x="68"/>
        <item x="662"/>
        <item x="62"/>
        <item x="340"/>
        <item x="476"/>
        <item x="119"/>
        <item x="454"/>
        <item x="375"/>
        <item x="563"/>
        <item x="231"/>
        <item x="556"/>
        <item x="804"/>
        <item x="169"/>
        <item x="80"/>
        <item x="639"/>
        <item x="4"/>
        <item x="283"/>
        <item x="14"/>
        <item x="195"/>
        <item x="94"/>
        <item x="894"/>
        <item x="820"/>
        <item x="468"/>
        <item x="736"/>
        <item x="707"/>
        <item x="944"/>
        <item x="489"/>
        <item x="689"/>
        <item x="631"/>
        <item x="171"/>
        <item x="81"/>
        <item x="989"/>
        <item x="9"/>
        <item x="170"/>
        <item x="189"/>
        <item x="293"/>
        <item x="849"/>
        <item x="154"/>
        <item x="350"/>
        <item x="303"/>
        <item x="520"/>
        <item x="205"/>
        <item x="206"/>
        <item x="265"/>
        <item x="53"/>
        <item x="507"/>
        <item x="346"/>
        <item x="69"/>
        <item x="380"/>
        <item x="217"/>
        <item x="708"/>
        <item x="373"/>
        <item x="699"/>
        <item x="678"/>
        <item x="147"/>
        <item x="597"/>
        <item x="629"/>
        <item x="881"/>
        <item x="566"/>
        <item x="90"/>
        <item x="617"/>
        <item x="780"/>
        <item x="696"/>
        <item x="11"/>
        <item x="310"/>
        <item x="683"/>
        <item x="210"/>
        <item x="24"/>
        <item x="319"/>
        <item x="831"/>
        <item x="207"/>
        <item x="455"/>
        <item x="109"/>
        <item x="535"/>
        <item x="406"/>
        <item x="16"/>
        <item x="725"/>
        <item x="615"/>
        <item x="7"/>
        <item x="262"/>
        <item x="87"/>
        <item x="52"/>
        <item x="859"/>
        <item x="752"/>
        <item x="141"/>
        <item x="769"/>
        <item x="794"/>
        <item x="960"/>
        <item x="145"/>
        <item x="212"/>
        <item x="313"/>
        <item x="758"/>
        <item x="610"/>
        <item x="259"/>
        <item x="717"/>
        <item x="823"/>
        <item x="287"/>
        <item x="713"/>
        <item x="729"/>
        <item x="333"/>
        <item x="630"/>
        <item x="344"/>
        <item x="945"/>
        <item x="793"/>
        <item x="906"/>
        <item x="781"/>
        <item x="254"/>
        <item x="586"/>
        <item x="360"/>
        <item x="230"/>
        <item x="576"/>
        <item x="338"/>
        <item x="335"/>
        <item x="58"/>
        <item x="336"/>
        <item x="899"/>
        <item x="371"/>
        <item x="704"/>
        <item x="775"/>
        <item x="101"/>
        <item x="279"/>
        <item x="359"/>
        <item x="984"/>
        <item x="991"/>
        <item x="150"/>
        <item x="932"/>
        <item x="402"/>
        <item x="961"/>
        <item x="682"/>
        <item x="658"/>
        <item x="527"/>
        <item x="626"/>
        <item x="684"/>
        <item x="309"/>
        <item x="281"/>
        <item x="137"/>
        <item x="478"/>
        <item x="124"/>
        <item x="149"/>
        <item x="719"/>
        <item x="655"/>
        <item x="877"/>
        <item x="828"/>
        <item x="57"/>
        <item x="485"/>
        <item x="766"/>
        <item x="909"/>
        <item x="434"/>
        <item x="852"/>
        <item x="897"/>
        <item x="494"/>
        <item x="759"/>
        <item x="86"/>
        <item x="440"/>
        <item x="27"/>
        <item x="422"/>
        <item x="863"/>
        <item x="106"/>
        <item x="245"/>
        <item x="592"/>
        <item x="589"/>
        <item x="311"/>
        <item x="77"/>
        <item x="727"/>
        <item x="705"/>
        <item x="330"/>
        <item x="496"/>
        <item x="550"/>
        <item x="325"/>
        <item x="98"/>
        <item x="329"/>
        <item x="273"/>
        <item x="221"/>
        <item x="136"/>
        <item x="139"/>
        <item x="241"/>
        <item x="844"/>
        <item x="8"/>
        <item x="726"/>
        <item x="893"/>
        <item x="290"/>
        <item x="110"/>
        <item x="50"/>
        <item x="992"/>
        <item x="901"/>
        <item x="928"/>
        <item x="986"/>
        <item x="247"/>
        <item x="933"/>
        <item x="965"/>
        <item x="747"/>
        <item x="964"/>
        <item x="848"/>
        <item x="956"/>
        <item x="560"/>
        <item x="693"/>
        <item x="878"/>
        <item x="934"/>
        <item x="384"/>
        <item x="922"/>
        <item x="765"/>
        <item x="75"/>
        <item x="304"/>
        <item x="774"/>
        <item x="512"/>
        <item x="862"/>
        <item x="569"/>
        <item x="164"/>
        <item x="203"/>
        <item x="457"/>
        <item x="645"/>
        <item x="803"/>
        <item x="826"/>
        <item x="92"/>
        <item x="140"/>
        <item x="425"/>
        <item x="753"/>
        <item x="875"/>
        <item x="419"/>
        <item x="998"/>
        <item x="641"/>
        <item x="184"/>
        <item x="940"/>
        <item x="963"/>
        <item x="973"/>
        <item x="420"/>
        <item x="660"/>
        <item x="971"/>
        <item x="571"/>
        <item x="616"/>
        <item x="417"/>
        <item x="240"/>
        <item x="634"/>
        <item x="490"/>
        <item x="679"/>
        <item x="618"/>
        <item x="836"/>
        <item x="543"/>
        <item x="255"/>
        <item x="397"/>
        <item x="128"/>
        <item x="372"/>
        <item x="749"/>
        <item x="796"/>
        <item x="709"/>
        <item x="600"/>
        <item x="974"/>
        <item x="108"/>
        <item x="580"/>
        <item x="671"/>
        <item x="854"/>
        <item x="993"/>
        <item x="814"/>
        <item x="500"/>
        <item x="646"/>
        <item x="751"/>
        <item x="976"/>
        <item x="349"/>
        <item x="226"/>
        <item x="806"/>
        <item x="896"/>
        <item x="308"/>
        <item x="229"/>
        <item x="710"/>
        <item x="114"/>
        <item x="603"/>
        <item x="196"/>
        <item x="187"/>
        <item x="497"/>
        <item x="167"/>
        <item x="91"/>
        <item x="223"/>
        <item x="510"/>
        <item x="568"/>
        <item x="620"/>
        <item x="159"/>
        <item x="533"/>
        <item x="798"/>
        <item x="832"/>
        <item x="135"/>
        <item x="968"/>
        <item x="435"/>
        <item x="748"/>
        <item x="988"/>
        <item x="44"/>
        <item x="746"/>
        <item x="163"/>
        <item x="26"/>
        <item x="787"/>
        <item x="324"/>
        <item x="387"/>
        <item x="810"/>
        <item x="491"/>
        <item x="948"/>
        <item x="843"/>
        <item x="351"/>
        <item x="921"/>
        <item x="590"/>
        <item x="175"/>
        <item x="438"/>
        <item x="295"/>
        <item x="768"/>
        <item x="451"/>
        <item x="18"/>
        <item x="427"/>
        <item x="36"/>
        <item x="74"/>
        <item x="266"/>
        <item x="734"/>
        <item x="864"/>
        <item x="653"/>
        <item x="941"/>
        <item x="65"/>
        <item x="176"/>
        <item x="464"/>
        <item x="302"/>
        <item x="771"/>
        <item x="156"/>
        <item x="972"/>
        <item x="930"/>
        <item x="700"/>
        <item x="937"/>
        <item x="763"/>
        <item x="437"/>
        <item x="301"/>
        <item x="957"/>
        <item x="72"/>
        <item x="213"/>
        <item x="282"/>
        <item x="216"/>
        <item x="619"/>
        <item x="978"/>
        <item x="484"/>
        <item x="919"/>
        <item x="429"/>
        <item x="160"/>
        <item x="370"/>
        <item x="856"/>
        <item x="146"/>
        <item x="624"/>
        <item x="722"/>
        <item x="463"/>
        <item x="594"/>
        <item x="975"/>
        <item x="929"/>
        <item x="516"/>
        <item x="377"/>
        <item x="931"/>
        <item x="980"/>
        <item x="403"/>
        <item x="505"/>
        <item x="362"/>
        <item x="358"/>
        <item x="521"/>
        <item x="6"/>
        <item x="269"/>
        <item x="504"/>
        <item x="643"/>
        <item x="191"/>
        <item x="703"/>
        <item x="544"/>
        <item x="621"/>
        <item x="860"/>
        <item x="638"/>
        <item x="267"/>
        <item x="593"/>
        <item x="246"/>
        <item x="687"/>
        <item x="51"/>
        <item x="694"/>
        <item x="861"/>
        <item x="873"/>
        <item x="509"/>
        <item x="555"/>
        <item x="889"/>
        <item x="166"/>
        <item x="561"/>
        <item x="812"/>
        <item x="498"/>
        <item x="45"/>
        <item x="104"/>
        <item x="41"/>
        <item x="314"/>
        <item x="642"/>
        <item x="430"/>
        <item x="637"/>
        <item x="424"/>
        <item x="38"/>
        <item x="456"/>
        <item x="890"/>
        <item x="64"/>
        <item x="354"/>
        <item x="12"/>
        <item x="815"/>
        <item x="73"/>
        <item x="364"/>
        <item x="495"/>
        <item x="884"/>
        <item x="480"/>
        <item x="202"/>
        <item x="242"/>
        <item x="867"/>
        <item x="471"/>
        <item x="966"/>
        <item x="382"/>
        <item x="250"/>
        <item x="802"/>
        <item x="994"/>
        <item x="33"/>
        <item x="182"/>
        <item x="797"/>
        <item x="76"/>
        <item x="294"/>
        <item x="312"/>
        <item x="274"/>
        <item x="408"/>
        <item x="306"/>
        <item x="833"/>
        <item x="352"/>
        <item x="779"/>
        <item x="698"/>
        <item x="659"/>
        <item x="1003"/>
        <item x="536"/>
        <item x="816"/>
        <item x="162"/>
        <item x="954"/>
        <item x="200"/>
        <item x="515"/>
        <item x="916"/>
        <item x="71"/>
        <item x="970"/>
        <item x="432"/>
        <item x="697"/>
        <item x="819"/>
        <item x="276"/>
        <item x="54"/>
        <item x="738"/>
        <item x="740"/>
        <item x="724"/>
        <item x="731"/>
        <item x="272"/>
        <item x="554"/>
        <item x="316"/>
        <item x="648"/>
        <item x="493"/>
        <item x="123"/>
        <item x="356"/>
        <item x="912"/>
        <item x="133"/>
        <item x="789"/>
        <item x="903"/>
        <item x="562"/>
        <item x="289"/>
        <item x="623"/>
        <item x="745"/>
        <item x="237"/>
        <item x="297"/>
        <item x="936"/>
        <item x="913"/>
        <item x="632"/>
        <item x="390"/>
        <item x="578"/>
        <item x="113"/>
        <item x="488"/>
        <item x="39"/>
        <item x="439"/>
        <item x="157"/>
        <item x="672"/>
        <item x="741"/>
        <item x="737"/>
        <item x="30"/>
        <item x="63"/>
        <item x="574"/>
        <item x="339"/>
        <item x="396"/>
        <item x="442"/>
        <item x="59"/>
        <item x="755"/>
        <item x="288"/>
        <item x="608"/>
        <item x="374"/>
        <item x="785"/>
        <item x="870"/>
        <item x="657"/>
        <item x="701"/>
        <item x="192"/>
        <item x="111"/>
        <item x="120"/>
        <item x="198"/>
        <item x="143"/>
        <item x="392"/>
        <item x="706"/>
        <item x="473"/>
        <item x="222"/>
        <item x="607"/>
        <item x="714"/>
        <item x="238"/>
        <item x="410"/>
        <item x="174"/>
        <item x="778"/>
        <item x="482"/>
        <item x="398"/>
        <item x="29"/>
        <item x="258"/>
        <item x="28"/>
        <item x="423"/>
        <item x="534"/>
        <item x="2"/>
        <item x="395"/>
        <item x="841"/>
        <item x="305"/>
        <item x="822"/>
        <item x="891"/>
        <item x="602"/>
        <item x="117"/>
        <item x="116"/>
        <item x="112"/>
        <item x="663"/>
        <item x="760"/>
        <item x="153"/>
        <item x="575"/>
        <item x="34"/>
        <item x="715"/>
        <item x="995"/>
        <item x="559"/>
        <item x="557"/>
        <item x="792"/>
        <item x="690"/>
        <item x="467"/>
        <item x="825"/>
        <item x="716"/>
        <item x="21"/>
        <item x="486"/>
        <item x="839"/>
        <item x="627"/>
        <item x="686"/>
        <item x="782"/>
        <item x="665"/>
        <item x="915"/>
        <item x="800"/>
        <item x="924"/>
        <item x="979"/>
        <item x="470"/>
        <item x="234"/>
        <item x="235"/>
        <item x="835"/>
        <item x="605"/>
        <item x="501"/>
        <item x="268"/>
        <item x="511"/>
        <item x="462"/>
        <item x="895"/>
        <item x="47"/>
        <item x="260"/>
        <item x="865"/>
        <item x="275"/>
        <item x="813"/>
        <item x="770"/>
        <item x="838"/>
        <item x="411"/>
        <item x="754"/>
        <item x="243"/>
        <item x="688"/>
        <item x="801"/>
        <item x="300"/>
        <item x="842"/>
        <item x="60"/>
        <item x="125"/>
        <item x="43"/>
        <item x="357"/>
        <item x="661"/>
        <item x="55"/>
        <item x="591"/>
        <item x="84"/>
        <item x="695"/>
        <item x="31"/>
        <item x="869"/>
        <item x="628"/>
        <item x="776"/>
        <item x="764"/>
        <item x="107"/>
        <item x="331"/>
        <item x="134"/>
        <item x="378"/>
        <item x="850"/>
        <item x="23"/>
        <item x="367"/>
        <item x="871"/>
        <item x="421"/>
        <item x="448"/>
        <item x="102"/>
        <item x="999"/>
        <item x="376"/>
        <item x="161"/>
        <item x="818"/>
        <item x="233"/>
        <item x="542"/>
        <item x="795"/>
        <item x="911"/>
        <item x="492"/>
        <item x="449"/>
        <item x="95"/>
        <item x="177"/>
        <item x="105"/>
        <item x="32"/>
        <item x="443"/>
        <item x="89"/>
        <item x="393"/>
        <item x="244"/>
        <item x="904"/>
        <item x="173"/>
        <item x="79"/>
        <item x="599"/>
        <item x="650"/>
        <item x="670"/>
        <item x="635"/>
        <item x="469"/>
        <item x="756"/>
        <item x="56"/>
        <item x="363"/>
        <item x="127"/>
        <item x="481"/>
        <item x="953"/>
        <item x="519"/>
        <item x="2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663"/>
    </i>
    <i>
      <x v="111"/>
    </i>
    <i>
      <x v="552"/>
    </i>
    <i>
      <x v="105"/>
    </i>
    <i>
      <x v="211"/>
    </i>
    <i>
      <x v="457"/>
    </i>
    <i>
      <x v="147"/>
    </i>
    <i>
      <x v="209"/>
    </i>
    <i>
      <x v="556"/>
    </i>
    <i>
      <x v="600"/>
    </i>
    <i>
      <x v="815"/>
    </i>
    <i>
      <x v="159"/>
    </i>
    <i t="grand">
      <x/>
    </i>
  </rowItems>
  <colItems count="1">
    <i/>
  </colItems>
  <dataFields count="1">
    <dataField name="Average of popularity" fld="4" subtotal="average" baseField="3" baseItem="0"/>
  </dataField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7191E-456A-405D-B180-0138E4079B1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track_id" fld="0" subtotal="count" baseField="0" baseItem="0"/>
  </dataFields>
  <chartFormats count="9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7F30E-2413-459B-A66F-5F5278D4D63C}" name="Table1" displayName="Table1" ref="C1:V1102" totalsRowShown="0">
  <autoFilter ref="C1:V1102" xr:uid="{0247F30E-2413-459B-A66F-5F5278D4D63C}"/>
  <tableColumns count="20">
    <tableColumn id="1" xr3:uid="{04F4A2A6-6935-473B-97F8-5F11C117AD34}" name="track_id"/>
    <tableColumn id="2" xr3:uid="{46DC6F8E-7633-47A7-BE84-9FA6DC441C8C}" name="artists"/>
    <tableColumn id="3" xr3:uid="{81D9A9BD-C50A-4134-B79B-807A36091B8F}" name="album_name"/>
    <tableColumn id="4" xr3:uid="{72613BF3-5D07-4A48-902B-C387B067AC25}" name="track_name"/>
    <tableColumn id="5" xr3:uid="{827D4C54-7AC4-4C1D-8F4D-CDFF7672A87D}" name="popularity"/>
    <tableColumn id="6" xr3:uid="{A7922E58-CECF-48A9-ACC9-3FFC14F3E012}" name="duration_ms"/>
    <tableColumn id="7" xr3:uid="{9DEC20E6-24C0-44E0-8B06-BC5B8A6B36C0}" name="explicit"/>
    <tableColumn id="8" xr3:uid="{A8E15C41-CFE9-45D0-B54A-B32BCDCAB8B3}" name="danceability"/>
    <tableColumn id="9" xr3:uid="{CF549D84-9C31-483F-945D-0EA933CCBC14}" name="energy"/>
    <tableColumn id="10" xr3:uid="{4C0544A2-35F1-4CBE-934A-740A9434B21D}" name="key"/>
    <tableColumn id="11" xr3:uid="{C07832A6-B193-49EE-B666-7824111AF108}" name="loudness"/>
    <tableColumn id="12" xr3:uid="{803BD3C4-35C9-4600-AAB6-52BBE4D94A19}" name="mode"/>
    <tableColumn id="13" xr3:uid="{61AFD70E-FAFB-4320-9AF9-49514EB9BD38}" name="speechiness"/>
    <tableColumn id="14" xr3:uid="{EDAB73D5-DA58-4541-A792-4E7E3605AEFF}" name="acousticness"/>
    <tableColumn id="15" xr3:uid="{BF042194-EE48-46F9-9776-5ACBDDB884DF}" name="instrumentalness"/>
    <tableColumn id="16" xr3:uid="{5A8F60A1-C615-4503-8DCD-B7827599B204}" name="liveness"/>
    <tableColumn id="17" xr3:uid="{EA3A544E-A761-46A3-BCC8-7BCA93A4722A}" name="valence"/>
    <tableColumn id="18" xr3:uid="{32388437-98D3-4626-9208-020E07EC00B4}" name="tempo"/>
    <tableColumn id="19" xr3:uid="{6E3EB3FA-453D-4B6B-9D7E-C9D44D03001D}" name="time_signature"/>
    <tableColumn id="20" xr3:uid="{797F8B2B-39D9-4240-A219-781F39807C6B}" name="track_genr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D444-7E4A-4F16-96BE-55F503521BBE}">
  <dimension ref="A3:B6"/>
  <sheetViews>
    <sheetView zoomScale="53" zoomScaleNormal="60" workbookViewId="0">
      <selection activeCell="E22" sqref="E22"/>
    </sheetView>
  </sheetViews>
  <sheetFormatPr defaultRowHeight="14.5" x14ac:dyDescent="0.35"/>
  <cols>
    <col min="1" max="1" width="13.7265625" bestFit="1" customWidth="1"/>
    <col min="2" max="2" width="14.453125" bestFit="1" customWidth="1"/>
    <col min="3" max="3" width="10.6328125" bestFit="1" customWidth="1"/>
    <col min="4" max="4" width="14.08984375" bestFit="1" customWidth="1"/>
    <col min="5" max="1101" width="24.81640625" bestFit="1" customWidth="1"/>
    <col min="1102" max="1102" width="9.6328125" bestFit="1" customWidth="1"/>
  </cols>
  <sheetData>
    <row r="3" spans="1:2" x14ac:dyDescent="0.35">
      <c r="A3" s="9" t="s">
        <v>3253</v>
      </c>
      <c r="B3" t="s">
        <v>3252</v>
      </c>
    </row>
    <row r="4" spans="1:2" x14ac:dyDescent="0.35">
      <c r="A4" s="10" t="s">
        <v>24</v>
      </c>
      <c r="B4">
        <v>1000</v>
      </c>
    </row>
    <row r="5" spans="1:2" x14ac:dyDescent="0.35">
      <c r="A5" s="10" t="s">
        <v>2975</v>
      </c>
      <c r="B5">
        <v>101</v>
      </c>
    </row>
    <row r="6" spans="1:2" x14ac:dyDescent="0.35">
      <c r="A6" s="10" t="s">
        <v>3251</v>
      </c>
      <c r="B6">
        <v>1101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E4EB-24B2-4000-B30F-4BFCCF91EC56}">
  <dimension ref="A3:B6"/>
  <sheetViews>
    <sheetView topLeftCell="A2" workbookViewId="0">
      <selection activeCell="D15" sqref="D15"/>
    </sheetView>
  </sheetViews>
  <sheetFormatPr defaultRowHeight="14.5" x14ac:dyDescent="0.35"/>
  <cols>
    <col min="1" max="1" width="11.54296875" bestFit="1" customWidth="1"/>
    <col min="2" max="2" width="14.6328125" bestFit="1" customWidth="1"/>
  </cols>
  <sheetData>
    <row r="3" spans="1:2" x14ac:dyDescent="0.35">
      <c r="A3" s="9" t="s">
        <v>3253</v>
      </c>
      <c r="B3" t="s">
        <v>3254</v>
      </c>
    </row>
    <row r="4" spans="1:2" x14ac:dyDescent="0.35">
      <c r="A4" s="10" t="s">
        <v>24</v>
      </c>
      <c r="B4">
        <v>42483</v>
      </c>
    </row>
    <row r="5" spans="1:2" x14ac:dyDescent="0.35">
      <c r="A5" s="10" t="s">
        <v>2975</v>
      </c>
      <c r="B5">
        <v>3576</v>
      </c>
    </row>
    <row r="6" spans="1:2" x14ac:dyDescent="0.35">
      <c r="A6" s="10" t="s">
        <v>3251</v>
      </c>
      <c r="B6">
        <v>46059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C222-84AD-4166-A399-6FD65CEDC7A0}">
  <dimension ref="A3:B16"/>
  <sheetViews>
    <sheetView topLeftCell="A3" workbookViewId="0">
      <selection activeCell="E5" sqref="E5"/>
    </sheetView>
  </sheetViews>
  <sheetFormatPr defaultRowHeight="14.5" x14ac:dyDescent="0.35"/>
  <cols>
    <col min="1" max="1" width="18.81640625" bestFit="1" customWidth="1"/>
    <col min="2" max="2" width="17.26953125" bestFit="1" customWidth="1"/>
  </cols>
  <sheetData>
    <row r="3" spans="1:2" x14ac:dyDescent="0.35">
      <c r="A3" s="9" t="s">
        <v>3253</v>
      </c>
      <c r="B3" t="s">
        <v>3255</v>
      </c>
    </row>
    <row r="4" spans="1:2" x14ac:dyDescent="0.35">
      <c r="A4" s="10" t="s">
        <v>210</v>
      </c>
      <c r="B4">
        <v>75</v>
      </c>
    </row>
    <row r="5" spans="1:2" x14ac:dyDescent="0.35">
      <c r="A5" s="10" t="s">
        <v>3250</v>
      </c>
      <c r="B5">
        <v>75</v>
      </c>
    </row>
    <row r="6" spans="1:2" x14ac:dyDescent="0.35">
      <c r="A6" s="10" t="s">
        <v>538</v>
      </c>
      <c r="B6">
        <v>73</v>
      </c>
    </row>
    <row r="7" spans="1:2" x14ac:dyDescent="0.35">
      <c r="A7" s="10" t="s">
        <v>804</v>
      </c>
      <c r="B7">
        <v>73</v>
      </c>
    </row>
    <row r="8" spans="1:2" x14ac:dyDescent="0.35">
      <c r="A8" s="10" t="s">
        <v>22</v>
      </c>
      <c r="B8">
        <v>73</v>
      </c>
    </row>
    <row r="9" spans="1:2" x14ac:dyDescent="0.35">
      <c r="A9" s="10" t="s">
        <v>52</v>
      </c>
      <c r="B9">
        <v>71.666666666666671</v>
      </c>
    </row>
    <row r="10" spans="1:2" x14ac:dyDescent="0.35">
      <c r="A10" s="10" t="s">
        <v>1511</v>
      </c>
      <c r="B10">
        <v>71</v>
      </c>
    </row>
    <row r="11" spans="1:2" x14ac:dyDescent="0.35">
      <c r="A11" s="10" t="s">
        <v>424</v>
      </c>
      <c r="B11">
        <v>71</v>
      </c>
    </row>
    <row r="12" spans="1:2" x14ac:dyDescent="0.35">
      <c r="A12" s="10" t="s">
        <v>55</v>
      </c>
      <c r="B12">
        <v>71</v>
      </c>
    </row>
    <row r="13" spans="1:2" x14ac:dyDescent="0.35">
      <c r="A13" s="10" t="s">
        <v>694</v>
      </c>
      <c r="B13">
        <v>70</v>
      </c>
    </row>
    <row r="14" spans="1:2" x14ac:dyDescent="0.35">
      <c r="A14" s="10" t="s">
        <v>250</v>
      </c>
      <c r="B14">
        <v>70</v>
      </c>
    </row>
    <row r="15" spans="1:2" x14ac:dyDescent="0.35">
      <c r="A15" s="10" t="s">
        <v>295</v>
      </c>
      <c r="B15">
        <v>70</v>
      </c>
    </row>
    <row r="16" spans="1:2" x14ac:dyDescent="0.35">
      <c r="A16" s="10" t="s">
        <v>3251</v>
      </c>
      <c r="B16">
        <v>71.86666666666666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D97A-01D4-4873-962C-2B2662F7FC83}">
  <dimension ref="A1:AY1103"/>
  <sheetViews>
    <sheetView tabSelected="1" zoomScale="43" zoomScaleNormal="40" workbookViewId="0">
      <selection activeCell="I5" sqref="I5:O8"/>
    </sheetView>
  </sheetViews>
  <sheetFormatPr defaultRowHeight="14.5" x14ac:dyDescent="0.35"/>
  <sheetData>
    <row r="1" spans="1:51" ht="14.5" customHeight="1" x14ac:dyDescent="0.35">
      <c r="B1" s="26" t="s">
        <v>3258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51" ht="14.5" customHeight="1" thickBot="1" x14ac:dyDescent="0.4">
      <c r="A2" s="23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F2" s="11" t="s">
        <v>0</v>
      </c>
      <c r="AG2" s="12" t="s">
        <v>1</v>
      </c>
      <c r="AH2" s="12" t="s">
        <v>2</v>
      </c>
      <c r="AI2" s="12" t="s">
        <v>3</v>
      </c>
      <c r="AJ2" s="12" t="s">
        <v>4</v>
      </c>
      <c r="AK2" s="12" t="s">
        <v>5</v>
      </c>
      <c r="AL2" s="12" t="s">
        <v>6</v>
      </c>
      <c r="AM2" s="12" t="s">
        <v>7</v>
      </c>
      <c r="AN2" s="12" t="s">
        <v>8</v>
      </c>
      <c r="AO2" s="12" t="s">
        <v>9</v>
      </c>
      <c r="AP2" s="12" t="s">
        <v>10</v>
      </c>
      <c r="AQ2" s="12" t="s">
        <v>11</v>
      </c>
      <c r="AR2" s="12" t="s">
        <v>12</v>
      </c>
      <c r="AS2" s="12" t="s">
        <v>13</v>
      </c>
      <c r="AT2" s="12" t="s">
        <v>14</v>
      </c>
      <c r="AU2" s="12" t="s">
        <v>15</v>
      </c>
      <c r="AV2" s="12" t="s">
        <v>16</v>
      </c>
      <c r="AW2" s="12" t="s">
        <v>17</v>
      </c>
      <c r="AX2" s="12" t="s">
        <v>18</v>
      </c>
      <c r="AY2" s="13" t="s">
        <v>19</v>
      </c>
    </row>
    <row r="3" spans="1:51" ht="14.5" customHeight="1" thickTop="1" x14ac:dyDescent="0.35">
      <c r="A3" s="23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F3" s="14" t="s">
        <v>20</v>
      </c>
      <c r="AG3" s="15" t="s">
        <v>21</v>
      </c>
      <c r="AH3" s="15" t="s">
        <v>22</v>
      </c>
      <c r="AI3" s="15" t="s">
        <v>22</v>
      </c>
      <c r="AJ3" s="15">
        <v>73</v>
      </c>
      <c r="AK3" s="15">
        <v>230666</v>
      </c>
      <c r="AL3" s="15" t="b">
        <v>0</v>
      </c>
      <c r="AM3" s="15">
        <v>0.67600000000000005</v>
      </c>
      <c r="AN3" s="15">
        <v>0.46100000000000002</v>
      </c>
      <c r="AO3" s="15">
        <v>1</v>
      </c>
      <c r="AP3" s="15">
        <v>-6.7460000000000004</v>
      </c>
      <c r="AQ3" s="15">
        <v>0</v>
      </c>
      <c r="AR3" s="15">
        <v>0.14299999999999999</v>
      </c>
      <c r="AS3" s="15">
        <v>3.2199999999999999E-2</v>
      </c>
      <c r="AT3" s="31" t="s">
        <v>23</v>
      </c>
      <c r="AU3" s="15">
        <v>0.35799999999999998</v>
      </c>
      <c r="AV3" s="15">
        <v>0.71499999999999997</v>
      </c>
      <c r="AW3" s="15">
        <v>87.917000000000002</v>
      </c>
      <c r="AX3" s="15">
        <v>4</v>
      </c>
      <c r="AY3" s="16" t="s">
        <v>24</v>
      </c>
    </row>
    <row r="4" spans="1:51" ht="14.5" customHeight="1" x14ac:dyDescent="0.35">
      <c r="A4" s="23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F4" s="17" t="s">
        <v>25</v>
      </c>
      <c r="AG4" s="18" t="s">
        <v>26</v>
      </c>
      <c r="AH4" s="18" t="s">
        <v>27</v>
      </c>
      <c r="AI4" s="18" t="s">
        <v>28</v>
      </c>
      <c r="AJ4" s="18">
        <v>55</v>
      </c>
      <c r="AK4" s="18">
        <v>149610</v>
      </c>
      <c r="AL4" s="18" t="b">
        <v>0</v>
      </c>
      <c r="AM4" s="18">
        <v>0.42</v>
      </c>
      <c r="AN4" s="18">
        <v>0.16600000000000001</v>
      </c>
      <c r="AO4" s="18">
        <v>1</v>
      </c>
      <c r="AP4" s="18">
        <v>-17.234999999999999</v>
      </c>
      <c r="AQ4" s="18">
        <v>1</v>
      </c>
      <c r="AR4" s="18">
        <v>7.6300000000000007E-2</v>
      </c>
      <c r="AS4" s="18">
        <v>0.92400000000000004</v>
      </c>
      <c r="AT4" s="32" t="s">
        <v>29</v>
      </c>
      <c r="AU4" s="18">
        <v>0.10100000000000001</v>
      </c>
      <c r="AV4" s="18">
        <v>0.26700000000000002</v>
      </c>
      <c r="AW4" s="18">
        <v>77.489000000000004</v>
      </c>
      <c r="AX4" s="18">
        <v>4</v>
      </c>
      <c r="AY4" s="19" t="s">
        <v>24</v>
      </c>
    </row>
    <row r="5" spans="1:51" x14ac:dyDescent="0.35">
      <c r="B5" s="27">
        <f>COUNTA(Table1[[#All],[track_id]])</f>
        <v>1102</v>
      </c>
      <c r="C5" s="27"/>
      <c r="D5" s="27"/>
      <c r="E5" s="27"/>
      <c r="F5" s="27"/>
      <c r="G5" s="27"/>
      <c r="H5" s="27"/>
      <c r="I5" s="28">
        <f>COUNTA(_xlfn.UNIQUE(Table1[[#All],[artists]]))</f>
        <v>367</v>
      </c>
      <c r="J5" s="28"/>
      <c r="K5" s="28"/>
      <c r="L5" s="28"/>
      <c r="M5" s="28"/>
      <c r="N5" s="28"/>
      <c r="O5" s="28"/>
      <c r="P5" s="29">
        <f>AVERAGE(Table1[[#All],[popularity]])</f>
        <v>41.833787465940055</v>
      </c>
      <c r="Q5" s="29"/>
      <c r="R5" s="29"/>
      <c r="S5" s="29"/>
      <c r="T5" s="29"/>
      <c r="U5" s="29"/>
      <c r="V5" s="29"/>
      <c r="W5" s="30">
        <f>AVERAGE(Table1[[#All],[danceability]])</f>
        <v>0.56011989100817394</v>
      </c>
      <c r="X5" s="30"/>
      <c r="Y5" s="30"/>
      <c r="Z5" s="30"/>
      <c r="AA5" s="30"/>
      <c r="AB5" s="30"/>
      <c r="AC5" s="30"/>
      <c r="AD5" s="30"/>
      <c r="AF5" s="14" t="s">
        <v>30</v>
      </c>
      <c r="AG5" s="15" t="s">
        <v>31</v>
      </c>
      <c r="AH5" s="15" t="s">
        <v>32</v>
      </c>
      <c r="AI5" s="15" t="s">
        <v>32</v>
      </c>
      <c r="AJ5" s="15">
        <v>57</v>
      </c>
      <c r="AK5" s="15">
        <v>210826</v>
      </c>
      <c r="AL5" s="15" t="b">
        <v>0</v>
      </c>
      <c r="AM5" s="15">
        <v>0.438</v>
      </c>
      <c r="AN5" s="15">
        <v>0.35899999999999999</v>
      </c>
      <c r="AO5" s="15">
        <v>0</v>
      </c>
      <c r="AP5" s="15">
        <v>-9.734</v>
      </c>
      <c r="AQ5" s="15">
        <v>1</v>
      </c>
      <c r="AR5" s="15">
        <v>5.57E-2</v>
      </c>
      <c r="AS5" s="15">
        <v>0.21</v>
      </c>
      <c r="AT5" s="15">
        <v>0</v>
      </c>
      <c r="AU5" s="15">
        <v>0.11700000000000001</v>
      </c>
      <c r="AV5" s="15">
        <v>0.12</v>
      </c>
      <c r="AW5" s="15">
        <v>76.331999999999994</v>
      </c>
      <c r="AX5" s="15">
        <v>4</v>
      </c>
      <c r="AY5" s="16" t="s">
        <v>24</v>
      </c>
    </row>
    <row r="6" spans="1:51" x14ac:dyDescent="0.35">
      <c r="B6" s="27"/>
      <c r="C6" s="27"/>
      <c r="D6" s="27"/>
      <c r="E6" s="27"/>
      <c r="F6" s="27"/>
      <c r="G6" s="27"/>
      <c r="H6" s="27"/>
      <c r="I6" s="28"/>
      <c r="J6" s="28"/>
      <c r="K6" s="28"/>
      <c r="L6" s="28"/>
      <c r="M6" s="28"/>
      <c r="N6" s="28"/>
      <c r="O6" s="28"/>
      <c r="P6" s="29"/>
      <c r="Q6" s="29"/>
      <c r="R6" s="29"/>
      <c r="S6" s="29"/>
      <c r="T6" s="29"/>
      <c r="U6" s="29"/>
      <c r="V6" s="29"/>
      <c r="W6" s="30"/>
      <c r="X6" s="30"/>
      <c r="Y6" s="30"/>
      <c r="Z6" s="30"/>
      <c r="AA6" s="30"/>
      <c r="AB6" s="30"/>
      <c r="AC6" s="30"/>
      <c r="AD6" s="30"/>
      <c r="AF6" s="17" t="s">
        <v>33</v>
      </c>
      <c r="AG6" s="18" t="s">
        <v>34</v>
      </c>
      <c r="AH6" s="18" t="s">
        <v>35</v>
      </c>
      <c r="AI6" s="18" t="s">
        <v>36</v>
      </c>
      <c r="AJ6" s="18">
        <v>71</v>
      </c>
      <c r="AK6" s="18">
        <v>201933</v>
      </c>
      <c r="AL6" s="18" t="b">
        <v>0</v>
      </c>
      <c r="AM6" s="18">
        <v>0.26600000000000001</v>
      </c>
      <c r="AN6" s="18">
        <v>5.96E-2</v>
      </c>
      <c r="AO6" s="18">
        <v>0</v>
      </c>
      <c r="AP6" s="18">
        <v>-18.515000000000001</v>
      </c>
      <c r="AQ6" s="18">
        <v>1</v>
      </c>
      <c r="AR6" s="18">
        <v>3.6299999999999999E-2</v>
      </c>
      <c r="AS6" s="18">
        <v>0.90500000000000003</v>
      </c>
      <c r="AT6" s="32" t="s">
        <v>37</v>
      </c>
      <c r="AU6" s="18">
        <v>0.13200000000000001</v>
      </c>
      <c r="AV6" s="18">
        <v>0.14299999999999999</v>
      </c>
      <c r="AW6" s="18">
        <v>181.74</v>
      </c>
      <c r="AX6" s="18">
        <v>3</v>
      </c>
      <c r="AY6" s="19" t="s">
        <v>24</v>
      </c>
    </row>
    <row r="7" spans="1:51" x14ac:dyDescent="0.35">
      <c r="B7" s="27"/>
      <c r="C7" s="27"/>
      <c r="D7" s="27"/>
      <c r="E7" s="27"/>
      <c r="F7" s="27"/>
      <c r="G7" s="27"/>
      <c r="H7" s="27"/>
      <c r="I7" s="28"/>
      <c r="J7" s="28"/>
      <c r="K7" s="28"/>
      <c r="L7" s="28"/>
      <c r="M7" s="28"/>
      <c r="N7" s="28"/>
      <c r="O7" s="28"/>
      <c r="P7" s="29"/>
      <c r="Q7" s="29"/>
      <c r="R7" s="29"/>
      <c r="S7" s="29"/>
      <c r="T7" s="29"/>
      <c r="U7" s="29"/>
      <c r="V7" s="29"/>
      <c r="W7" s="30"/>
      <c r="X7" s="30"/>
      <c r="Y7" s="30"/>
      <c r="Z7" s="30"/>
      <c r="AA7" s="30"/>
      <c r="AB7" s="30"/>
      <c r="AC7" s="30"/>
      <c r="AD7" s="30"/>
      <c r="AF7" s="14" t="s">
        <v>38</v>
      </c>
      <c r="AG7" s="15" t="s">
        <v>39</v>
      </c>
      <c r="AH7" s="15" t="s">
        <v>40</v>
      </c>
      <c r="AI7" s="15" t="s">
        <v>40</v>
      </c>
      <c r="AJ7" s="15">
        <v>82</v>
      </c>
      <c r="AK7" s="15">
        <v>198853</v>
      </c>
      <c r="AL7" s="15" t="b">
        <v>0</v>
      </c>
      <c r="AM7" s="15">
        <v>0.61799999999999999</v>
      </c>
      <c r="AN7" s="15">
        <v>0.443</v>
      </c>
      <c r="AO7" s="15">
        <v>2</v>
      </c>
      <c r="AP7" s="15">
        <v>-9.6809999999999992</v>
      </c>
      <c r="AQ7" s="15">
        <v>1</v>
      </c>
      <c r="AR7" s="15">
        <v>5.2600000000000001E-2</v>
      </c>
      <c r="AS7" s="15">
        <v>0.46899999999999997</v>
      </c>
      <c r="AT7" s="15">
        <v>0</v>
      </c>
      <c r="AU7" s="15">
        <v>8.2900000000000001E-2</v>
      </c>
      <c r="AV7" s="15">
        <v>0.16700000000000001</v>
      </c>
      <c r="AW7" s="15">
        <v>119.949</v>
      </c>
      <c r="AX7" s="15">
        <v>4</v>
      </c>
      <c r="AY7" s="16" t="s">
        <v>24</v>
      </c>
    </row>
    <row r="8" spans="1:51" x14ac:dyDescent="0.35">
      <c r="B8" s="27"/>
      <c r="C8" s="27"/>
      <c r="D8" s="27"/>
      <c r="E8" s="27"/>
      <c r="F8" s="27"/>
      <c r="G8" s="27"/>
      <c r="H8" s="27"/>
      <c r="I8" s="28"/>
      <c r="J8" s="28"/>
      <c r="K8" s="28"/>
      <c r="L8" s="28"/>
      <c r="M8" s="28"/>
      <c r="N8" s="28"/>
      <c r="O8" s="28"/>
      <c r="P8" s="29"/>
      <c r="Q8" s="29"/>
      <c r="R8" s="29"/>
      <c r="S8" s="29"/>
      <c r="T8" s="29"/>
      <c r="U8" s="29"/>
      <c r="V8" s="29"/>
      <c r="W8" s="30"/>
      <c r="X8" s="30"/>
      <c r="Y8" s="30"/>
      <c r="Z8" s="30"/>
      <c r="AA8" s="30"/>
      <c r="AB8" s="30"/>
      <c r="AC8" s="30"/>
      <c r="AD8" s="30"/>
      <c r="AF8" s="17" t="s">
        <v>41</v>
      </c>
      <c r="AG8" s="18" t="s">
        <v>42</v>
      </c>
      <c r="AH8" s="18" t="s">
        <v>43</v>
      </c>
      <c r="AI8" s="18" t="s">
        <v>43</v>
      </c>
      <c r="AJ8" s="18">
        <v>58</v>
      </c>
      <c r="AK8" s="18">
        <v>214240</v>
      </c>
      <c r="AL8" s="18" t="b">
        <v>0</v>
      </c>
      <c r="AM8" s="18">
        <v>0.68799999999999994</v>
      </c>
      <c r="AN8" s="18">
        <v>0.48099999999999998</v>
      </c>
      <c r="AO8" s="18">
        <v>6</v>
      </c>
      <c r="AP8" s="18">
        <v>-8.8070000000000004</v>
      </c>
      <c r="AQ8" s="18">
        <v>1</v>
      </c>
      <c r="AR8" s="18">
        <v>0.105</v>
      </c>
      <c r="AS8" s="18">
        <v>0.28899999999999998</v>
      </c>
      <c r="AT8" s="18">
        <v>0</v>
      </c>
      <c r="AU8" s="18">
        <v>0.189</v>
      </c>
      <c r="AV8" s="18">
        <v>0.66600000000000004</v>
      </c>
      <c r="AW8" s="18">
        <v>98.016999999999996</v>
      </c>
      <c r="AX8" s="18">
        <v>4</v>
      </c>
      <c r="AY8" s="19" t="s">
        <v>24</v>
      </c>
    </row>
    <row r="9" spans="1:51" x14ac:dyDescent="0.35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F9" s="14" t="s">
        <v>44</v>
      </c>
      <c r="AG9" s="15" t="s">
        <v>45</v>
      </c>
      <c r="AH9" s="15" t="s">
        <v>46</v>
      </c>
      <c r="AI9" s="15" t="s">
        <v>47</v>
      </c>
      <c r="AJ9" s="15">
        <v>74</v>
      </c>
      <c r="AK9" s="15">
        <v>229400</v>
      </c>
      <c r="AL9" s="15" t="b">
        <v>0</v>
      </c>
      <c r="AM9" s="15">
        <v>0.40699999999999997</v>
      </c>
      <c r="AN9" s="15">
        <v>0.14699999999999999</v>
      </c>
      <c r="AO9" s="15">
        <v>2</v>
      </c>
      <c r="AP9" s="15">
        <v>-8.8219999999999992</v>
      </c>
      <c r="AQ9" s="15">
        <v>1</v>
      </c>
      <c r="AR9" s="15">
        <v>3.5499999999999997E-2</v>
      </c>
      <c r="AS9" s="15">
        <v>0.85699999999999998</v>
      </c>
      <c r="AT9" s="31" t="s">
        <v>48</v>
      </c>
      <c r="AU9" s="15">
        <v>9.1300000000000006E-2</v>
      </c>
      <c r="AV9" s="15">
        <v>7.6499999999999999E-2</v>
      </c>
      <c r="AW9" s="15">
        <v>141.28399999999999</v>
      </c>
      <c r="AX9" s="15">
        <v>3</v>
      </c>
      <c r="AY9" s="16" t="s">
        <v>24</v>
      </c>
    </row>
    <row r="10" spans="1:51" x14ac:dyDescent="0.35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F10" s="17" t="s">
        <v>49</v>
      </c>
      <c r="AG10" s="18" t="s">
        <v>50</v>
      </c>
      <c r="AH10" s="18" t="s">
        <v>51</v>
      </c>
      <c r="AI10" s="18" t="s">
        <v>52</v>
      </c>
      <c r="AJ10" s="18">
        <v>80</v>
      </c>
      <c r="AK10" s="18">
        <v>242946</v>
      </c>
      <c r="AL10" s="18" t="b">
        <v>0</v>
      </c>
      <c r="AM10" s="18">
        <v>0.70299999999999996</v>
      </c>
      <c r="AN10" s="18">
        <v>0.44400000000000001</v>
      </c>
      <c r="AO10" s="18">
        <v>11</v>
      </c>
      <c r="AP10" s="18">
        <v>-9.3309999999999995</v>
      </c>
      <c r="AQ10" s="18">
        <v>1</v>
      </c>
      <c r="AR10" s="18">
        <v>4.1700000000000001E-2</v>
      </c>
      <c r="AS10" s="18">
        <v>0.55900000000000005</v>
      </c>
      <c r="AT10" s="18">
        <v>0</v>
      </c>
      <c r="AU10" s="18">
        <v>9.7299999999999998E-2</v>
      </c>
      <c r="AV10" s="18">
        <v>0.71199999999999997</v>
      </c>
      <c r="AW10" s="18">
        <v>150.96</v>
      </c>
      <c r="AX10" s="18">
        <v>4</v>
      </c>
      <c r="AY10" s="19" t="s">
        <v>24</v>
      </c>
    </row>
    <row r="11" spans="1:51" x14ac:dyDescent="0.35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F11" s="14" t="s">
        <v>53</v>
      </c>
      <c r="AG11" s="15" t="s">
        <v>54</v>
      </c>
      <c r="AH11" s="15" t="s">
        <v>51</v>
      </c>
      <c r="AI11" s="15" t="s">
        <v>55</v>
      </c>
      <c r="AJ11" s="15">
        <v>74</v>
      </c>
      <c r="AK11" s="15">
        <v>189613</v>
      </c>
      <c r="AL11" s="15" t="b">
        <v>0</v>
      </c>
      <c r="AM11" s="15">
        <v>0.625</v>
      </c>
      <c r="AN11" s="15">
        <v>0.41399999999999998</v>
      </c>
      <c r="AO11" s="15">
        <v>0</v>
      </c>
      <c r="AP11" s="15">
        <v>-8.6999999999999993</v>
      </c>
      <c r="AQ11" s="15">
        <v>1</v>
      </c>
      <c r="AR11" s="15">
        <v>3.6900000000000002E-2</v>
      </c>
      <c r="AS11" s="15">
        <v>0.29399999999999998</v>
      </c>
      <c r="AT11" s="15">
        <v>0</v>
      </c>
      <c r="AU11" s="15">
        <v>0.151</v>
      </c>
      <c r="AV11" s="15">
        <v>0.66900000000000004</v>
      </c>
      <c r="AW11" s="15">
        <v>130.08799999999999</v>
      </c>
      <c r="AX11" s="15">
        <v>4</v>
      </c>
      <c r="AY11" s="16" t="s">
        <v>24</v>
      </c>
    </row>
    <row r="12" spans="1:51" x14ac:dyDescent="0.3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F12" s="17" t="s">
        <v>56</v>
      </c>
      <c r="AG12" s="18" t="s">
        <v>57</v>
      </c>
      <c r="AH12" s="18" t="s">
        <v>58</v>
      </c>
      <c r="AI12" s="18" t="s">
        <v>58</v>
      </c>
      <c r="AJ12" s="18">
        <v>56</v>
      </c>
      <c r="AK12" s="18">
        <v>205594</v>
      </c>
      <c r="AL12" s="18" t="b">
        <v>0</v>
      </c>
      <c r="AM12" s="18">
        <v>0.442</v>
      </c>
      <c r="AN12" s="18">
        <v>0.63200000000000001</v>
      </c>
      <c r="AO12" s="18">
        <v>1</v>
      </c>
      <c r="AP12" s="18">
        <v>-6.77</v>
      </c>
      <c r="AQ12" s="18">
        <v>1</v>
      </c>
      <c r="AR12" s="18">
        <v>2.9499999999999998E-2</v>
      </c>
      <c r="AS12" s="18">
        <v>0.42599999999999999</v>
      </c>
      <c r="AT12" s="18">
        <v>4.1900000000000001E-3</v>
      </c>
      <c r="AU12" s="18">
        <v>7.3499999999999996E-2</v>
      </c>
      <c r="AV12" s="18">
        <v>0.19600000000000001</v>
      </c>
      <c r="AW12" s="18">
        <v>78.899000000000001</v>
      </c>
      <c r="AX12" s="18">
        <v>4</v>
      </c>
      <c r="AY12" s="19" t="s">
        <v>24</v>
      </c>
    </row>
    <row r="13" spans="1:51" x14ac:dyDescent="0.3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F13" s="14" t="s">
        <v>59</v>
      </c>
      <c r="AG13" s="15" t="s">
        <v>60</v>
      </c>
      <c r="AH13" s="15" t="s">
        <v>61</v>
      </c>
      <c r="AI13" s="15" t="s">
        <v>62</v>
      </c>
      <c r="AJ13" s="15">
        <v>74</v>
      </c>
      <c r="AK13" s="15">
        <v>244800</v>
      </c>
      <c r="AL13" s="15" t="b">
        <v>0</v>
      </c>
      <c r="AM13" s="15">
        <v>0.627</v>
      </c>
      <c r="AN13" s="15">
        <v>0.36299999999999999</v>
      </c>
      <c r="AO13" s="15">
        <v>8</v>
      </c>
      <c r="AP13" s="15">
        <v>-8.1270000000000007</v>
      </c>
      <c r="AQ13" s="15">
        <v>1</v>
      </c>
      <c r="AR13" s="15">
        <v>2.9100000000000001E-2</v>
      </c>
      <c r="AS13" s="15">
        <v>0.27900000000000003</v>
      </c>
      <c r="AT13" s="15">
        <v>0</v>
      </c>
      <c r="AU13" s="15">
        <v>9.2799999999999994E-2</v>
      </c>
      <c r="AV13" s="15">
        <v>0.30099999999999999</v>
      </c>
      <c r="AW13" s="15">
        <v>99.905000000000001</v>
      </c>
      <c r="AX13" s="15">
        <v>4</v>
      </c>
      <c r="AY13" s="16" t="s">
        <v>24</v>
      </c>
    </row>
    <row r="14" spans="1:51" x14ac:dyDescent="0.35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F14" s="17" t="s">
        <v>63</v>
      </c>
      <c r="AG14" s="18" t="s">
        <v>50</v>
      </c>
      <c r="AH14" s="18" t="s">
        <v>64</v>
      </c>
      <c r="AI14" s="18" t="s">
        <v>65</v>
      </c>
      <c r="AJ14" s="18">
        <v>69</v>
      </c>
      <c r="AK14" s="18">
        <v>240165</v>
      </c>
      <c r="AL14" s="18" t="b">
        <v>0</v>
      </c>
      <c r="AM14" s="18">
        <v>0.48299999999999998</v>
      </c>
      <c r="AN14" s="18">
        <v>0.30299999999999999</v>
      </c>
      <c r="AO14" s="18">
        <v>4</v>
      </c>
      <c r="AP14" s="18">
        <v>-10.058</v>
      </c>
      <c r="AQ14" s="18">
        <v>1</v>
      </c>
      <c r="AR14" s="18">
        <v>4.2900000000000001E-2</v>
      </c>
      <c r="AS14" s="18">
        <v>0.69399999999999995</v>
      </c>
      <c r="AT14" s="18">
        <v>0</v>
      </c>
      <c r="AU14" s="18">
        <v>0.115</v>
      </c>
      <c r="AV14" s="18">
        <v>0.13900000000000001</v>
      </c>
      <c r="AW14" s="18">
        <v>133.40600000000001</v>
      </c>
      <c r="AX14" s="18">
        <v>3</v>
      </c>
      <c r="AY14" s="19" t="s">
        <v>24</v>
      </c>
    </row>
    <row r="15" spans="1:51" x14ac:dyDescent="0.35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F15" s="14" t="s">
        <v>66</v>
      </c>
      <c r="AG15" s="15" t="s">
        <v>67</v>
      </c>
      <c r="AH15" s="15" t="s">
        <v>68</v>
      </c>
      <c r="AI15" s="15" t="s">
        <v>68</v>
      </c>
      <c r="AJ15" s="15">
        <v>52</v>
      </c>
      <c r="AK15" s="15">
        <v>198712</v>
      </c>
      <c r="AL15" s="15" t="b">
        <v>0</v>
      </c>
      <c r="AM15" s="15">
        <v>0.48899999999999999</v>
      </c>
      <c r="AN15" s="15">
        <v>0.314</v>
      </c>
      <c r="AO15" s="15">
        <v>7</v>
      </c>
      <c r="AP15" s="15">
        <v>-9.2449999999999992</v>
      </c>
      <c r="AQ15" s="15">
        <v>0</v>
      </c>
      <c r="AR15" s="15">
        <v>3.3099999999999997E-2</v>
      </c>
      <c r="AS15" s="15">
        <v>0.749</v>
      </c>
      <c r="AT15" s="15">
        <v>0</v>
      </c>
      <c r="AU15" s="15">
        <v>0.113</v>
      </c>
      <c r="AV15" s="15">
        <v>0.60699999999999998</v>
      </c>
      <c r="AW15" s="15">
        <v>124.23399999999999</v>
      </c>
      <c r="AX15" s="15">
        <v>4</v>
      </c>
      <c r="AY15" s="16" t="s">
        <v>24</v>
      </c>
    </row>
    <row r="16" spans="1:51" x14ac:dyDescent="0.3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F16" s="17" t="s">
        <v>69</v>
      </c>
      <c r="AG16" s="18" t="s">
        <v>70</v>
      </c>
      <c r="AH16" s="18" t="s">
        <v>71</v>
      </c>
      <c r="AI16" s="18" t="s">
        <v>71</v>
      </c>
      <c r="AJ16" s="18">
        <v>62</v>
      </c>
      <c r="AK16" s="18">
        <v>248448</v>
      </c>
      <c r="AL16" s="18" t="b">
        <v>0</v>
      </c>
      <c r="AM16" s="18">
        <v>0.69099999999999995</v>
      </c>
      <c r="AN16" s="18">
        <v>0.23400000000000001</v>
      </c>
      <c r="AO16" s="18">
        <v>3</v>
      </c>
      <c r="AP16" s="18">
        <v>-6.4409999999999998</v>
      </c>
      <c r="AQ16" s="18">
        <v>1</v>
      </c>
      <c r="AR16" s="18">
        <v>2.8500000000000001E-2</v>
      </c>
      <c r="AS16" s="18">
        <v>0.77700000000000002</v>
      </c>
      <c r="AT16" s="18">
        <v>0</v>
      </c>
      <c r="AU16" s="18">
        <v>0.12</v>
      </c>
      <c r="AV16" s="18">
        <v>0.20899999999999999</v>
      </c>
      <c r="AW16" s="18">
        <v>87.102999999999994</v>
      </c>
      <c r="AX16" s="18">
        <v>4</v>
      </c>
      <c r="AY16" s="19" t="s">
        <v>24</v>
      </c>
    </row>
    <row r="17" spans="2:51" x14ac:dyDescent="0.35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F17" s="14" t="s">
        <v>72</v>
      </c>
      <c r="AG17" s="15" t="s">
        <v>73</v>
      </c>
      <c r="AH17" s="15" t="s">
        <v>74</v>
      </c>
      <c r="AI17" s="15" t="s">
        <v>75</v>
      </c>
      <c r="AJ17" s="15">
        <v>56</v>
      </c>
      <c r="AK17" s="15">
        <v>188133</v>
      </c>
      <c r="AL17" s="15" t="b">
        <v>0</v>
      </c>
      <c r="AM17" s="15">
        <v>0.755</v>
      </c>
      <c r="AN17" s="15">
        <v>0.78</v>
      </c>
      <c r="AO17" s="15">
        <v>2</v>
      </c>
      <c r="AP17" s="15">
        <v>-6.0839999999999996</v>
      </c>
      <c r="AQ17" s="15">
        <v>1</v>
      </c>
      <c r="AR17" s="15">
        <v>3.27E-2</v>
      </c>
      <c r="AS17" s="15">
        <v>0.124</v>
      </c>
      <c r="AT17" s="31" t="s">
        <v>76</v>
      </c>
      <c r="AU17" s="15">
        <v>0.121</v>
      </c>
      <c r="AV17" s="15">
        <v>0.38700000000000001</v>
      </c>
      <c r="AW17" s="15">
        <v>120.004</v>
      </c>
      <c r="AX17" s="15">
        <v>4</v>
      </c>
      <c r="AY17" s="16" t="s">
        <v>24</v>
      </c>
    </row>
    <row r="18" spans="2:51" x14ac:dyDescent="0.3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F18" s="17" t="s">
        <v>77</v>
      </c>
      <c r="AG18" s="18" t="s">
        <v>78</v>
      </c>
      <c r="AH18" s="18" t="s">
        <v>79</v>
      </c>
      <c r="AI18" s="18" t="s">
        <v>80</v>
      </c>
      <c r="AJ18" s="18">
        <v>58</v>
      </c>
      <c r="AK18" s="18">
        <v>244986</v>
      </c>
      <c r="AL18" s="18" t="b">
        <v>0</v>
      </c>
      <c r="AM18" s="18">
        <v>0.48899999999999999</v>
      </c>
      <c r="AN18" s="18">
        <v>0.56100000000000005</v>
      </c>
      <c r="AO18" s="18">
        <v>4</v>
      </c>
      <c r="AP18" s="18">
        <v>-7.9329999999999998</v>
      </c>
      <c r="AQ18" s="18">
        <v>1</v>
      </c>
      <c r="AR18" s="18">
        <v>2.7400000000000001E-2</v>
      </c>
      <c r="AS18" s="18">
        <v>0.2</v>
      </c>
      <c r="AT18" s="32" t="s">
        <v>81</v>
      </c>
      <c r="AU18" s="18">
        <v>0.17899999999999999</v>
      </c>
      <c r="AV18" s="18">
        <v>0.23799999999999999</v>
      </c>
      <c r="AW18" s="18">
        <v>83.456999999999994</v>
      </c>
      <c r="AX18" s="18">
        <v>3</v>
      </c>
      <c r="AY18" s="19" t="s">
        <v>24</v>
      </c>
    </row>
    <row r="19" spans="2:51" x14ac:dyDescent="0.3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F19" s="14" t="s">
        <v>82</v>
      </c>
      <c r="AG19" s="15" t="s">
        <v>83</v>
      </c>
      <c r="AH19" s="15" t="s">
        <v>84</v>
      </c>
      <c r="AI19" s="15" t="s">
        <v>84</v>
      </c>
      <c r="AJ19" s="15">
        <v>56</v>
      </c>
      <c r="AK19" s="15">
        <v>129750</v>
      </c>
      <c r="AL19" s="15" t="b">
        <v>0</v>
      </c>
      <c r="AM19" s="15">
        <v>0.70599999999999996</v>
      </c>
      <c r="AN19" s="15">
        <v>0.112</v>
      </c>
      <c r="AO19" s="15">
        <v>2</v>
      </c>
      <c r="AP19" s="15">
        <v>-18.097999999999999</v>
      </c>
      <c r="AQ19" s="15">
        <v>1</v>
      </c>
      <c r="AR19" s="15">
        <v>3.9100000000000003E-2</v>
      </c>
      <c r="AS19" s="15">
        <v>0.82699999999999996</v>
      </c>
      <c r="AT19" s="31" t="s">
        <v>85</v>
      </c>
      <c r="AU19" s="15">
        <v>0.125</v>
      </c>
      <c r="AV19" s="15">
        <v>0.41399999999999998</v>
      </c>
      <c r="AW19" s="15">
        <v>110.154</v>
      </c>
      <c r="AX19" s="15">
        <v>4</v>
      </c>
      <c r="AY19" s="16" t="s">
        <v>24</v>
      </c>
    </row>
    <row r="20" spans="2:51" x14ac:dyDescent="0.3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F20" s="17" t="s">
        <v>86</v>
      </c>
      <c r="AG20" s="18" t="s">
        <v>83</v>
      </c>
      <c r="AH20" s="18" t="s">
        <v>87</v>
      </c>
      <c r="AI20" s="18" t="s">
        <v>87</v>
      </c>
      <c r="AJ20" s="18">
        <v>54</v>
      </c>
      <c r="AK20" s="18">
        <v>169728</v>
      </c>
      <c r="AL20" s="18" t="b">
        <v>0</v>
      </c>
      <c r="AM20" s="18">
        <v>0.79500000000000004</v>
      </c>
      <c r="AN20" s="18">
        <v>8.4099999999999994E-2</v>
      </c>
      <c r="AO20" s="18">
        <v>10</v>
      </c>
      <c r="AP20" s="18">
        <v>-18.09</v>
      </c>
      <c r="AQ20" s="18">
        <v>0</v>
      </c>
      <c r="AR20" s="18">
        <v>4.6100000000000002E-2</v>
      </c>
      <c r="AS20" s="18">
        <v>0.74199999999999999</v>
      </c>
      <c r="AT20" s="32" t="s">
        <v>88</v>
      </c>
      <c r="AU20" s="18">
        <v>8.5300000000000001E-2</v>
      </c>
      <c r="AV20" s="18">
        <v>0.60899999999999999</v>
      </c>
      <c r="AW20" s="18">
        <v>91.802999999999997</v>
      </c>
      <c r="AX20" s="18">
        <v>4</v>
      </c>
      <c r="AY20" s="19" t="s">
        <v>24</v>
      </c>
    </row>
    <row r="21" spans="2:51" x14ac:dyDescent="0.3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F21" s="14" t="s">
        <v>89</v>
      </c>
      <c r="AG21" s="15" t="s">
        <v>54</v>
      </c>
      <c r="AH21" s="15" t="s">
        <v>51</v>
      </c>
      <c r="AI21" s="15" t="s">
        <v>55</v>
      </c>
      <c r="AJ21" s="15">
        <v>68</v>
      </c>
      <c r="AK21" s="15">
        <v>189613</v>
      </c>
      <c r="AL21" s="15" t="b">
        <v>0</v>
      </c>
      <c r="AM21" s="15">
        <v>0.625</v>
      </c>
      <c r="AN21" s="15">
        <v>0.41399999999999998</v>
      </c>
      <c r="AO21" s="15">
        <v>0</v>
      </c>
      <c r="AP21" s="15">
        <v>-8.6999999999999993</v>
      </c>
      <c r="AQ21" s="15">
        <v>1</v>
      </c>
      <c r="AR21" s="15">
        <v>3.6900000000000002E-2</v>
      </c>
      <c r="AS21" s="15">
        <v>0.29399999999999998</v>
      </c>
      <c r="AT21" s="15">
        <v>0</v>
      </c>
      <c r="AU21" s="15">
        <v>0.151</v>
      </c>
      <c r="AV21" s="15">
        <v>0.66900000000000004</v>
      </c>
      <c r="AW21" s="15">
        <v>130.08799999999999</v>
      </c>
      <c r="AX21" s="15">
        <v>4</v>
      </c>
      <c r="AY21" s="16" t="s">
        <v>24</v>
      </c>
    </row>
    <row r="22" spans="2:51" x14ac:dyDescent="0.35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F22" s="17" t="s">
        <v>90</v>
      </c>
      <c r="AG22" s="18" t="s">
        <v>91</v>
      </c>
      <c r="AH22" s="18" t="s">
        <v>92</v>
      </c>
      <c r="AI22" s="18" t="s">
        <v>93</v>
      </c>
      <c r="AJ22" s="18">
        <v>67</v>
      </c>
      <c r="AK22" s="18">
        <v>260186</v>
      </c>
      <c r="AL22" s="18" t="b">
        <v>0</v>
      </c>
      <c r="AM22" s="18">
        <v>0.71699999999999997</v>
      </c>
      <c r="AN22" s="18">
        <v>0.32</v>
      </c>
      <c r="AO22" s="18">
        <v>3</v>
      </c>
      <c r="AP22" s="18">
        <v>-8.3930000000000007</v>
      </c>
      <c r="AQ22" s="18">
        <v>1</v>
      </c>
      <c r="AR22" s="18">
        <v>2.8299999999999999E-2</v>
      </c>
      <c r="AS22" s="18">
        <v>0.83</v>
      </c>
      <c r="AT22" s="18">
        <v>0</v>
      </c>
      <c r="AU22" s="18">
        <v>0.107</v>
      </c>
      <c r="AV22" s="18">
        <v>0.32200000000000001</v>
      </c>
      <c r="AW22" s="18">
        <v>107.946</v>
      </c>
      <c r="AX22" s="18">
        <v>4</v>
      </c>
      <c r="AY22" s="19" t="s">
        <v>24</v>
      </c>
    </row>
    <row r="23" spans="2:51" x14ac:dyDescent="0.3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F23" s="14" t="s">
        <v>94</v>
      </c>
      <c r="AG23" s="15" t="s">
        <v>50</v>
      </c>
      <c r="AH23" s="15" t="s">
        <v>51</v>
      </c>
      <c r="AI23" s="15" t="s">
        <v>52</v>
      </c>
      <c r="AJ23" s="15">
        <v>75</v>
      </c>
      <c r="AK23" s="15">
        <v>242946</v>
      </c>
      <c r="AL23" s="15" t="b">
        <v>0</v>
      </c>
      <c r="AM23" s="15">
        <v>0.70299999999999996</v>
      </c>
      <c r="AN23" s="15">
        <v>0.44400000000000001</v>
      </c>
      <c r="AO23" s="15">
        <v>11</v>
      </c>
      <c r="AP23" s="15">
        <v>-9.3309999999999995</v>
      </c>
      <c r="AQ23" s="15">
        <v>1</v>
      </c>
      <c r="AR23" s="15">
        <v>4.1700000000000001E-2</v>
      </c>
      <c r="AS23" s="15">
        <v>0.55900000000000005</v>
      </c>
      <c r="AT23" s="15">
        <v>0</v>
      </c>
      <c r="AU23" s="15">
        <v>9.7299999999999998E-2</v>
      </c>
      <c r="AV23" s="15">
        <v>0.71199999999999997</v>
      </c>
      <c r="AW23" s="15">
        <v>150.96</v>
      </c>
      <c r="AX23" s="15">
        <v>4</v>
      </c>
      <c r="AY23" s="16" t="s">
        <v>24</v>
      </c>
    </row>
    <row r="24" spans="2:51" x14ac:dyDescent="0.3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F24" s="17" t="s">
        <v>95</v>
      </c>
      <c r="AG24" s="18" t="s">
        <v>96</v>
      </c>
      <c r="AH24" s="18" t="s">
        <v>97</v>
      </c>
      <c r="AI24" s="18" t="s">
        <v>98</v>
      </c>
      <c r="AJ24" s="18">
        <v>63</v>
      </c>
      <c r="AK24" s="18">
        <v>174174</v>
      </c>
      <c r="AL24" s="18" t="b">
        <v>0</v>
      </c>
      <c r="AM24" s="18">
        <v>0.67800000000000005</v>
      </c>
      <c r="AN24" s="18">
        <v>0.35099999999999998</v>
      </c>
      <c r="AO24" s="18">
        <v>0</v>
      </c>
      <c r="AP24" s="18">
        <v>-8.6539999999999999</v>
      </c>
      <c r="AQ24" s="18">
        <v>1</v>
      </c>
      <c r="AR24" s="18">
        <v>2.6599999999999999E-2</v>
      </c>
      <c r="AS24" s="18">
        <v>0.747</v>
      </c>
      <c r="AT24" s="18">
        <v>0</v>
      </c>
      <c r="AU24" s="18">
        <v>0.35499999999999998</v>
      </c>
      <c r="AV24" s="18">
        <v>0.56899999999999995</v>
      </c>
      <c r="AW24" s="18">
        <v>90.031999999999996</v>
      </c>
      <c r="AX24" s="18">
        <v>4</v>
      </c>
      <c r="AY24" s="19" t="s">
        <v>24</v>
      </c>
    </row>
    <row r="25" spans="2:51" x14ac:dyDescent="0.3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F25" s="14" t="s">
        <v>99</v>
      </c>
      <c r="AG25" s="15" t="s">
        <v>45</v>
      </c>
      <c r="AH25" s="15" t="s">
        <v>100</v>
      </c>
      <c r="AI25" s="15" t="s">
        <v>47</v>
      </c>
      <c r="AJ25" s="15">
        <v>70</v>
      </c>
      <c r="AK25" s="15">
        <v>229400</v>
      </c>
      <c r="AL25" s="15" t="b">
        <v>0</v>
      </c>
      <c r="AM25" s="15">
        <v>0.40699999999999997</v>
      </c>
      <c r="AN25" s="15">
        <v>0.14699999999999999</v>
      </c>
      <c r="AO25" s="15">
        <v>2</v>
      </c>
      <c r="AP25" s="15">
        <v>-8.8219999999999992</v>
      </c>
      <c r="AQ25" s="15">
        <v>1</v>
      </c>
      <c r="AR25" s="15">
        <v>3.5499999999999997E-2</v>
      </c>
      <c r="AS25" s="15">
        <v>0.85699999999999998</v>
      </c>
      <c r="AT25" s="31" t="s">
        <v>48</v>
      </c>
      <c r="AU25" s="15">
        <v>9.1300000000000006E-2</v>
      </c>
      <c r="AV25" s="15">
        <v>7.6499999999999999E-2</v>
      </c>
      <c r="AW25" s="15">
        <v>141.28399999999999</v>
      </c>
      <c r="AX25" s="15">
        <v>3</v>
      </c>
      <c r="AY25" s="16" t="s">
        <v>24</v>
      </c>
    </row>
    <row r="26" spans="2:51" x14ac:dyDescent="0.35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F26" s="17" t="s">
        <v>101</v>
      </c>
      <c r="AG26" s="18" t="s">
        <v>50</v>
      </c>
      <c r="AH26" s="18" t="s">
        <v>102</v>
      </c>
      <c r="AI26" s="18" t="s">
        <v>103</v>
      </c>
      <c r="AJ26" s="18">
        <v>0</v>
      </c>
      <c r="AK26" s="18">
        <v>216386</v>
      </c>
      <c r="AL26" s="18" t="b">
        <v>0</v>
      </c>
      <c r="AM26" s="18">
        <v>0.57199999999999995</v>
      </c>
      <c r="AN26" s="18">
        <v>0.45400000000000001</v>
      </c>
      <c r="AO26" s="18">
        <v>3</v>
      </c>
      <c r="AP26" s="18">
        <v>-10.286</v>
      </c>
      <c r="AQ26" s="18">
        <v>1</v>
      </c>
      <c r="AR26" s="18">
        <v>2.58E-2</v>
      </c>
      <c r="AS26" s="18">
        <v>0.47699999999999998</v>
      </c>
      <c r="AT26" s="32" t="s">
        <v>104</v>
      </c>
      <c r="AU26" s="18">
        <v>9.74E-2</v>
      </c>
      <c r="AV26" s="18">
        <v>0.51500000000000001</v>
      </c>
      <c r="AW26" s="18">
        <v>140.18199999999999</v>
      </c>
      <c r="AX26" s="18">
        <v>4</v>
      </c>
      <c r="AY26" s="19" t="s">
        <v>24</v>
      </c>
    </row>
    <row r="27" spans="2:51" x14ac:dyDescent="0.3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F27" s="14" t="s">
        <v>105</v>
      </c>
      <c r="AG27" s="15" t="s">
        <v>50</v>
      </c>
      <c r="AH27" s="15" t="s">
        <v>106</v>
      </c>
      <c r="AI27" s="15" t="s">
        <v>107</v>
      </c>
      <c r="AJ27" s="15">
        <v>0</v>
      </c>
      <c r="AK27" s="15">
        <v>231266</v>
      </c>
      <c r="AL27" s="15" t="b">
        <v>0</v>
      </c>
      <c r="AM27" s="15">
        <v>0.79600000000000004</v>
      </c>
      <c r="AN27" s="15">
        <v>0.66700000000000004</v>
      </c>
      <c r="AO27" s="15">
        <v>5</v>
      </c>
      <c r="AP27" s="15">
        <v>-4.8310000000000004</v>
      </c>
      <c r="AQ27" s="15">
        <v>0</v>
      </c>
      <c r="AR27" s="15">
        <v>3.9199999999999999E-2</v>
      </c>
      <c r="AS27" s="15">
        <v>0.38100000000000001</v>
      </c>
      <c r="AT27" s="15">
        <v>0</v>
      </c>
      <c r="AU27" s="15">
        <v>0.221</v>
      </c>
      <c r="AV27" s="15">
        <v>0.754</v>
      </c>
      <c r="AW27" s="15">
        <v>97.988</v>
      </c>
      <c r="AX27" s="15">
        <v>4</v>
      </c>
      <c r="AY27" s="16" t="s">
        <v>24</v>
      </c>
    </row>
    <row r="28" spans="2:51" x14ac:dyDescent="0.3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F28" s="17" t="s">
        <v>108</v>
      </c>
      <c r="AG28" s="18" t="s">
        <v>50</v>
      </c>
      <c r="AH28" s="18" t="s">
        <v>109</v>
      </c>
      <c r="AI28" s="18" t="s">
        <v>110</v>
      </c>
      <c r="AJ28" s="18">
        <v>1</v>
      </c>
      <c r="AK28" s="18">
        <v>302346</v>
      </c>
      <c r="AL28" s="18" t="b">
        <v>0</v>
      </c>
      <c r="AM28" s="18">
        <v>0.755</v>
      </c>
      <c r="AN28" s="18">
        <v>0.45400000000000001</v>
      </c>
      <c r="AO28" s="18">
        <v>9</v>
      </c>
      <c r="AP28" s="18">
        <v>-9.609</v>
      </c>
      <c r="AQ28" s="18">
        <v>0</v>
      </c>
      <c r="AR28" s="18">
        <v>3.5200000000000002E-2</v>
      </c>
      <c r="AS28" s="18">
        <v>0.75700000000000001</v>
      </c>
      <c r="AT28" s="18">
        <v>0</v>
      </c>
      <c r="AU28" s="18">
        <v>0.23599999999999999</v>
      </c>
      <c r="AV28" s="18">
        <v>0.33</v>
      </c>
      <c r="AW28" s="18">
        <v>120.06</v>
      </c>
      <c r="AX28" s="18">
        <v>4</v>
      </c>
      <c r="AY28" s="19" t="s">
        <v>24</v>
      </c>
    </row>
    <row r="29" spans="2:51" x14ac:dyDescent="0.3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F29" s="14" t="s">
        <v>111</v>
      </c>
      <c r="AG29" s="15" t="s">
        <v>50</v>
      </c>
      <c r="AH29" s="15" t="s">
        <v>112</v>
      </c>
      <c r="AI29" s="15" t="s">
        <v>113</v>
      </c>
      <c r="AJ29" s="15">
        <v>0</v>
      </c>
      <c r="AK29" s="15">
        <v>131760</v>
      </c>
      <c r="AL29" s="15" t="b">
        <v>0</v>
      </c>
      <c r="AM29" s="15">
        <v>0.62</v>
      </c>
      <c r="AN29" s="15">
        <v>0.309</v>
      </c>
      <c r="AO29" s="15">
        <v>5</v>
      </c>
      <c r="AP29" s="15">
        <v>-9.2089999999999996</v>
      </c>
      <c r="AQ29" s="15">
        <v>1</v>
      </c>
      <c r="AR29" s="15">
        <v>4.9500000000000002E-2</v>
      </c>
      <c r="AS29" s="15">
        <v>0.78800000000000003</v>
      </c>
      <c r="AT29" s="15">
        <v>0</v>
      </c>
      <c r="AU29" s="15">
        <v>0.14599999999999999</v>
      </c>
      <c r="AV29" s="15">
        <v>0.66400000000000003</v>
      </c>
      <c r="AW29" s="15">
        <v>145.363</v>
      </c>
      <c r="AX29" s="15">
        <v>4</v>
      </c>
      <c r="AY29" s="16" t="s">
        <v>24</v>
      </c>
    </row>
    <row r="30" spans="2:51" x14ac:dyDescent="0.35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F30" s="17" t="s">
        <v>114</v>
      </c>
      <c r="AG30" s="18" t="s">
        <v>50</v>
      </c>
      <c r="AH30" s="18" t="s">
        <v>115</v>
      </c>
      <c r="AI30" s="18" t="s">
        <v>116</v>
      </c>
      <c r="AJ30" s="18">
        <v>0</v>
      </c>
      <c r="AK30" s="18">
        <v>273653</v>
      </c>
      <c r="AL30" s="18" t="b">
        <v>0</v>
      </c>
      <c r="AM30" s="18">
        <v>0.63300000000000001</v>
      </c>
      <c r="AN30" s="18">
        <v>0.42899999999999999</v>
      </c>
      <c r="AO30" s="18">
        <v>4</v>
      </c>
      <c r="AP30" s="18">
        <v>-6.7839999999999998</v>
      </c>
      <c r="AQ30" s="18">
        <v>0</v>
      </c>
      <c r="AR30" s="18">
        <v>3.8100000000000002E-2</v>
      </c>
      <c r="AS30" s="18">
        <v>4.4400000000000002E-2</v>
      </c>
      <c r="AT30" s="18">
        <v>0</v>
      </c>
      <c r="AU30" s="18">
        <v>0.13200000000000001</v>
      </c>
      <c r="AV30" s="18">
        <v>0.52</v>
      </c>
      <c r="AW30" s="18">
        <v>143.79300000000001</v>
      </c>
      <c r="AX30" s="18">
        <v>4</v>
      </c>
      <c r="AY30" s="19" t="s">
        <v>24</v>
      </c>
    </row>
    <row r="31" spans="2:51" x14ac:dyDescent="0.3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F31" s="14" t="s">
        <v>117</v>
      </c>
      <c r="AG31" s="15" t="s">
        <v>50</v>
      </c>
      <c r="AH31" s="15" t="s">
        <v>118</v>
      </c>
      <c r="AI31" s="15" t="s">
        <v>113</v>
      </c>
      <c r="AJ31" s="15">
        <v>0</v>
      </c>
      <c r="AK31" s="15">
        <v>131760</v>
      </c>
      <c r="AL31" s="15" t="b">
        <v>0</v>
      </c>
      <c r="AM31" s="15">
        <v>0.62</v>
      </c>
      <c r="AN31" s="15">
        <v>0.309</v>
      </c>
      <c r="AO31" s="15">
        <v>5</v>
      </c>
      <c r="AP31" s="15">
        <v>-9.2089999999999996</v>
      </c>
      <c r="AQ31" s="15">
        <v>1</v>
      </c>
      <c r="AR31" s="15">
        <v>4.9500000000000002E-2</v>
      </c>
      <c r="AS31" s="15">
        <v>0.78800000000000003</v>
      </c>
      <c r="AT31" s="15">
        <v>0</v>
      </c>
      <c r="AU31" s="15">
        <v>0.14599999999999999</v>
      </c>
      <c r="AV31" s="15">
        <v>0.66400000000000003</v>
      </c>
      <c r="AW31" s="15">
        <v>145.363</v>
      </c>
      <c r="AX31" s="15">
        <v>4</v>
      </c>
      <c r="AY31" s="16" t="s">
        <v>24</v>
      </c>
    </row>
    <row r="32" spans="2:51" x14ac:dyDescent="0.3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F32" s="17" t="s">
        <v>119</v>
      </c>
      <c r="AG32" s="18" t="s">
        <v>50</v>
      </c>
      <c r="AH32" s="18" t="s">
        <v>120</v>
      </c>
      <c r="AI32" s="18" t="s">
        <v>113</v>
      </c>
      <c r="AJ32" s="18">
        <v>0</v>
      </c>
      <c r="AK32" s="18">
        <v>131760</v>
      </c>
      <c r="AL32" s="18" t="b">
        <v>0</v>
      </c>
      <c r="AM32" s="18">
        <v>0.62</v>
      </c>
      <c r="AN32" s="18">
        <v>0.309</v>
      </c>
      <c r="AO32" s="18">
        <v>5</v>
      </c>
      <c r="AP32" s="18">
        <v>-9.2089999999999996</v>
      </c>
      <c r="AQ32" s="18">
        <v>1</v>
      </c>
      <c r="AR32" s="18">
        <v>4.9500000000000002E-2</v>
      </c>
      <c r="AS32" s="18">
        <v>0.78800000000000003</v>
      </c>
      <c r="AT32" s="18">
        <v>0</v>
      </c>
      <c r="AU32" s="18">
        <v>0.14599999999999999</v>
      </c>
      <c r="AV32" s="18">
        <v>0.66400000000000003</v>
      </c>
      <c r="AW32" s="18">
        <v>145.363</v>
      </c>
      <c r="AX32" s="18">
        <v>4</v>
      </c>
      <c r="AY32" s="19" t="s">
        <v>24</v>
      </c>
    </row>
    <row r="33" spans="2:51" x14ac:dyDescent="0.3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F33" s="14" t="s">
        <v>121</v>
      </c>
      <c r="AG33" s="15" t="s">
        <v>50</v>
      </c>
      <c r="AH33" s="15" t="s">
        <v>122</v>
      </c>
      <c r="AI33" s="15" t="s">
        <v>113</v>
      </c>
      <c r="AJ33" s="15">
        <v>0</v>
      </c>
      <c r="AK33" s="15">
        <v>131760</v>
      </c>
      <c r="AL33" s="15" t="b">
        <v>0</v>
      </c>
      <c r="AM33" s="15">
        <v>0.62</v>
      </c>
      <c r="AN33" s="15">
        <v>0.309</v>
      </c>
      <c r="AO33" s="15">
        <v>5</v>
      </c>
      <c r="AP33" s="15">
        <v>-9.2089999999999996</v>
      </c>
      <c r="AQ33" s="15">
        <v>1</v>
      </c>
      <c r="AR33" s="15">
        <v>4.9500000000000002E-2</v>
      </c>
      <c r="AS33" s="15">
        <v>0.78800000000000003</v>
      </c>
      <c r="AT33" s="15">
        <v>0</v>
      </c>
      <c r="AU33" s="15">
        <v>0.14599999999999999</v>
      </c>
      <c r="AV33" s="15">
        <v>0.66400000000000003</v>
      </c>
      <c r="AW33" s="15">
        <v>145.363</v>
      </c>
      <c r="AX33" s="15">
        <v>4</v>
      </c>
      <c r="AY33" s="16" t="s">
        <v>24</v>
      </c>
    </row>
    <row r="34" spans="2:51" x14ac:dyDescent="0.3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F34" s="17" t="s">
        <v>123</v>
      </c>
      <c r="AG34" s="18" t="s">
        <v>50</v>
      </c>
      <c r="AH34" s="18" t="s">
        <v>124</v>
      </c>
      <c r="AI34" s="18" t="s">
        <v>113</v>
      </c>
      <c r="AJ34" s="18">
        <v>0</v>
      </c>
      <c r="AK34" s="18">
        <v>131760</v>
      </c>
      <c r="AL34" s="18" t="b">
        <v>0</v>
      </c>
      <c r="AM34" s="18">
        <v>0.62</v>
      </c>
      <c r="AN34" s="18">
        <v>0.309</v>
      </c>
      <c r="AO34" s="18">
        <v>5</v>
      </c>
      <c r="AP34" s="18">
        <v>-9.2089999999999996</v>
      </c>
      <c r="AQ34" s="18">
        <v>1</v>
      </c>
      <c r="AR34" s="18">
        <v>4.9500000000000002E-2</v>
      </c>
      <c r="AS34" s="18">
        <v>0.78800000000000003</v>
      </c>
      <c r="AT34" s="18">
        <v>0</v>
      </c>
      <c r="AU34" s="18">
        <v>0.14599999999999999</v>
      </c>
      <c r="AV34" s="18">
        <v>0.66400000000000003</v>
      </c>
      <c r="AW34" s="18">
        <v>145.363</v>
      </c>
      <c r="AX34" s="18">
        <v>4</v>
      </c>
      <c r="AY34" s="19" t="s">
        <v>24</v>
      </c>
    </row>
    <row r="35" spans="2:51" x14ac:dyDescent="0.3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F35" s="14" t="s">
        <v>125</v>
      </c>
      <c r="AG35" s="15" t="s">
        <v>39</v>
      </c>
      <c r="AH35" s="15" t="s">
        <v>126</v>
      </c>
      <c r="AI35" s="15" t="s">
        <v>127</v>
      </c>
      <c r="AJ35" s="15">
        <v>0</v>
      </c>
      <c r="AK35" s="15">
        <v>234186</v>
      </c>
      <c r="AL35" s="15" t="b">
        <v>0</v>
      </c>
      <c r="AM35" s="15">
        <v>0.59299999999999997</v>
      </c>
      <c r="AN35" s="15">
        <v>0.45500000000000002</v>
      </c>
      <c r="AO35" s="15">
        <v>6</v>
      </c>
      <c r="AP35" s="15">
        <v>-8.1920000000000002</v>
      </c>
      <c r="AQ35" s="15">
        <v>1</v>
      </c>
      <c r="AR35" s="15">
        <v>3.8800000000000001E-2</v>
      </c>
      <c r="AS35" s="15">
        <v>0.36599999999999999</v>
      </c>
      <c r="AT35" s="15">
        <v>0</v>
      </c>
      <c r="AU35" s="15">
        <v>9.1399999999999995E-2</v>
      </c>
      <c r="AV35" s="15">
        <v>0.56399999999999995</v>
      </c>
      <c r="AW35" s="15">
        <v>202.01900000000001</v>
      </c>
      <c r="AX35" s="15">
        <v>4</v>
      </c>
      <c r="AY35" s="16" t="s">
        <v>24</v>
      </c>
    </row>
    <row r="36" spans="2:51" x14ac:dyDescent="0.3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F36" s="17" t="s">
        <v>128</v>
      </c>
      <c r="AG36" s="18" t="s">
        <v>129</v>
      </c>
      <c r="AH36" s="18" t="s">
        <v>106</v>
      </c>
      <c r="AI36" s="18" t="s">
        <v>130</v>
      </c>
      <c r="AJ36" s="18">
        <v>0</v>
      </c>
      <c r="AK36" s="18">
        <v>259558</v>
      </c>
      <c r="AL36" s="18" t="b">
        <v>0</v>
      </c>
      <c r="AM36" s="18">
        <v>0.29599999999999999</v>
      </c>
      <c r="AN36" s="18">
        <v>0.20599999999999999</v>
      </c>
      <c r="AO36" s="18">
        <v>0</v>
      </c>
      <c r="AP36" s="18">
        <v>-11.798999999999999</v>
      </c>
      <c r="AQ36" s="18">
        <v>1</v>
      </c>
      <c r="AR36" s="18">
        <v>4.1200000000000001E-2</v>
      </c>
      <c r="AS36" s="18">
        <v>0.78200000000000003</v>
      </c>
      <c r="AT36" s="18">
        <v>2.2499999999999999E-4</v>
      </c>
      <c r="AU36" s="18">
        <v>9.5899999999999999E-2</v>
      </c>
      <c r="AV36" s="18">
        <v>0.20200000000000001</v>
      </c>
      <c r="AW36" s="18">
        <v>165.4</v>
      </c>
      <c r="AX36" s="18">
        <v>4</v>
      </c>
      <c r="AY36" s="19" t="s">
        <v>24</v>
      </c>
    </row>
    <row r="37" spans="2:51" x14ac:dyDescent="0.3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F37" s="14" t="s">
        <v>131</v>
      </c>
      <c r="AG37" s="15" t="s">
        <v>129</v>
      </c>
      <c r="AH37" s="15" t="s">
        <v>115</v>
      </c>
      <c r="AI37" s="15" t="s">
        <v>130</v>
      </c>
      <c r="AJ37" s="15">
        <v>0</v>
      </c>
      <c r="AK37" s="15">
        <v>259558</v>
      </c>
      <c r="AL37" s="15" t="b">
        <v>0</v>
      </c>
      <c r="AM37" s="15">
        <v>0.29599999999999999</v>
      </c>
      <c r="AN37" s="15">
        <v>0.20599999999999999</v>
      </c>
      <c r="AO37" s="15">
        <v>0</v>
      </c>
      <c r="AP37" s="15">
        <v>-11.798999999999999</v>
      </c>
      <c r="AQ37" s="15">
        <v>1</v>
      </c>
      <c r="AR37" s="15">
        <v>4.1200000000000001E-2</v>
      </c>
      <c r="AS37" s="15">
        <v>0.78200000000000003</v>
      </c>
      <c r="AT37" s="15">
        <v>2.2499999999999999E-4</v>
      </c>
      <c r="AU37" s="15">
        <v>9.5899999999999999E-2</v>
      </c>
      <c r="AV37" s="15">
        <v>0.20200000000000001</v>
      </c>
      <c r="AW37" s="15">
        <v>165.4</v>
      </c>
      <c r="AX37" s="15">
        <v>4</v>
      </c>
      <c r="AY37" s="16" t="s">
        <v>24</v>
      </c>
    </row>
    <row r="38" spans="2:51" x14ac:dyDescent="0.35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F38" s="17" t="s">
        <v>132</v>
      </c>
      <c r="AG38" s="18" t="s">
        <v>129</v>
      </c>
      <c r="AH38" s="18" t="s">
        <v>133</v>
      </c>
      <c r="AI38" s="18" t="s">
        <v>130</v>
      </c>
      <c r="AJ38" s="18">
        <v>0</v>
      </c>
      <c r="AK38" s="18">
        <v>259558</v>
      </c>
      <c r="AL38" s="18" t="b">
        <v>0</v>
      </c>
      <c r="AM38" s="18">
        <v>0.29599999999999999</v>
      </c>
      <c r="AN38" s="18">
        <v>0.20599999999999999</v>
      </c>
      <c r="AO38" s="18">
        <v>0</v>
      </c>
      <c r="AP38" s="18">
        <v>-11.798999999999999</v>
      </c>
      <c r="AQ38" s="18">
        <v>1</v>
      </c>
      <c r="AR38" s="18">
        <v>4.1200000000000001E-2</v>
      </c>
      <c r="AS38" s="18">
        <v>0.78200000000000003</v>
      </c>
      <c r="AT38" s="18">
        <v>2.2499999999999999E-4</v>
      </c>
      <c r="AU38" s="18">
        <v>9.5899999999999999E-2</v>
      </c>
      <c r="AV38" s="18">
        <v>0.20200000000000001</v>
      </c>
      <c r="AW38" s="18">
        <v>165.4</v>
      </c>
      <c r="AX38" s="18">
        <v>4</v>
      </c>
      <c r="AY38" s="19" t="s">
        <v>24</v>
      </c>
    </row>
    <row r="39" spans="2:51" x14ac:dyDescent="0.3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F39" s="14" t="s">
        <v>134</v>
      </c>
      <c r="AG39" s="15" t="s">
        <v>135</v>
      </c>
      <c r="AH39" s="15" t="s">
        <v>136</v>
      </c>
      <c r="AI39" s="15" t="s">
        <v>137</v>
      </c>
      <c r="AJ39" s="15">
        <v>0</v>
      </c>
      <c r="AK39" s="15">
        <v>257493</v>
      </c>
      <c r="AL39" s="15" t="b">
        <v>0</v>
      </c>
      <c r="AM39" s="15">
        <v>0.40899999999999997</v>
      </c>
      <c r="AN39" s="15">
        <v>0.153</v>
      </c>
      <c r="AO39" s="15">
        <v>6</v>
      </c>
      <c r="AP39" s="15">
        <v>-10.74</v>
      </c>
      <c r="AQ39" s="15">
        <v>0</v>
      </c>
      <c r="AR39" s="15">
        <v>3.0599999999999999E-2</v>
      </c>
      <c r="AS39" s="15">
        <v>0.93899999999999995</v>
      </c>
      <c r="AT39" s="31" t="s">
        <v>138</v>
      </c>
      <c r="AU39" s="15">
        <v>0.108</v>
      </c>
      <c r="AV39" s="15">
        <v>0.18</v>
      </c>
      <c r="AW39" s="15">
        <v>85.262</v>
      </c>
      <c r="AX39" s="15">
        <v>4</v>
      </c>
      <c r="AY39" s="16" t="s">
        <v>24</v>
      </c>
    </row>
    <row r="40" spans="2:51" x14ac:dyDescent="0.3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F40" s="17" t="s">
        <v>139</v>
      </c>
      <c r="AG40" s="18" t="s">
        <v>140</v>
      </c>
      <c r="AH40" s="18" t="s">
        <v>141</v>
      </c>
      <c r="AI40" s="18" t="s">
        <v>142</v>
      </c>
      <c r="AJ40" s="18">
        <v>0</v>
      </c>
      <c r="AK40" s="18">
        <v>247791</v>
      </c>
      <c r="AL40" s="18" t="b">
        <v>0</v>
      </c>
      <c r="AM40" s="18">
        <v>0.501</v>
      </c>
      <c r="AN40" s="18">
        <v>9.5200000000000007E-2</v>
      </c>
      <c r="AO40" s="18">
        <v>2</v>
      </c>
      <c r="AP40" s="18">
        <v>-12.930999999999999</v>
      </c>
      <c r="AQ40" s="18">
        <v>1</v>
      </c>
      <c r="AR40" s="18">
        <v>5.3999999999999999E-2</v>
      </c>
      <c r="AS40" s="18">
        <v>0.96299999999999997</v>
      </c>
      <c r="AT40" s="32" t="s">
        <v>143</v>
      </c>
      <c r="AU40" s="18">
        <v>9.1499999999999998E-2</v>
      </c>
      <c r="AV40" s="18">
        <v>0.316</v>
      </c>
      <c r="AW40" s="18">
        <v>138.01599999999999</v>
      </c>
      <c r="AX40" s="18">
        <v>4</v>
      </c>
      <c r="AY40" s="19" t="s">
        <v>24</v>
      </c>
    </row>
    <row r="41" spans="2:51" x14ac:dyDescent="0.3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F41" s="14" t="s">
        <v>144</v>
      </c>
      <c r="AG41" s="15" t="s">
        <v>140</v>
      </c>
      <c r="AH41" s="15" t="s">
        <v>102</v>
      </c>
      <c r="AI41" s="15" t="s">
        <v>145</v>
      </c>
      <c r="AJ41" s="15">
        <v>0</v>
      </c>
      <c r="AK41" s="15">
        <v>206267</v>
      </c>
      <c r="AL41" s="15" t="b">
        <v>0</v>
      </c>
      <c r="AM41" s="15">
        <v>0.60599999999999998</v>
      </c>
      <c r="AN41" s="15">
        <v>0.32600000000000001</v>
      </c>
      <c r="AO41" s="15">
        <v>10</v>
      </c>
      <c r="AP41" s="15">
        <v>-10.031000000000001</v>
      </c>
      <c r="AQ41" s="15">
        <v>1</v>
      </c>
      <c r="AR41" s="15">
        <v>2.9399999999999999E-2</v>
      </c>
      <c r="AS41" s="15">
        <v>0.84099999999999997</v>
      </c>
      <c r="AT41" s="15">
        <v>0</v>
      </c>
      <c r="AU41" s="15">
        <v>0.13900000000000001</v>
      </c>
      <c r="AV41" s="15">
        <v>0.41399999999999998</v>
      </c>
      <c r="AW41" s="15">
        <v>91.626000000000005</v>
      </c>
      <c r="AX41" s="15">
        <v>4</v>
      </c>
      <c r="AY41" s="16" t="s">
        <v>24</v>
      </c>
    </row>
    <row r="42" spans="2:51" x14ac:dyDescent="0.3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F42" s="17" t="s">
        <v>146</v>
      </c>
      <c r="AG42" s="18" t="s">
        <v>135</v>
      </c>
      <c r="AH42" s="18" t="s">
        <v>147</v>
      </c>
      <c r="AI42" s="18" t="s">
        <v>137</v>
      </c>
      <c r="AJ42" s="18">
        <v>0</v>
      </c>
      <c r="AK42" s="18">
        <v>257493</v>
      </c>
      <c r="AL42" s="18" t="b">
        <v>0</v>
      </c>
      <c r="AM42" s="18">
        <v>0.40899999999999997</v>
      </c>
      <c r="AN42" s="18">
        <v>0.153</v>
      </c>
      <c r="AO42" s="18">
        <v>6</v>
      </c>
      <c r="AP42" s="18">
        <v>-10.74</v>
      </c>
      <c r="AQ42" s="18">
        <v>0</v>
      </c>
      <c r="AR42" s="18">
        <v>3.0599999999999999E-2</v>
      </c>
      <c r="AS42" s="18">
        <v>0.93899999999999995</v>
      </c>
      <c r="AT42" s="32" t="s">
        <v>138</v>
      </c>
      <c r="AU42" s="18">
        <v>0.108</v>
      </c>
      <c r="AV42" s="18">
        <v>0.18</v>
      </c>
      <c r="AW42" s="18">
        <v>85.262</v>
      </c>
      <c r="AX42" s="18">
        <v>4</v>
      </c>
      <c r="AY42" s="19" t="s">
        <v>24</v>
      </c>
    </row>
    <row r="43" spans="2:51" x14ac:dyDescent="0.3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F43" s="14" t="s">
        <v>148</v>
      </c>
      <c r="AG43" s="15" t="s">
        <v>149</v>
      </c>
      <c r="AH43" s="15" t="s">
        <v>150</v>
      </c>
      <c r="AI43" s="15" t="s">
        <v>151</v>
      </c>
      <c r="AJ43" s="15">
        <v>0</v>
      </c>
      <c r="AK43" s="15">
        <v>306794</v>
      </c>
      <c r="AL43" s="15" t="b">
        <v>0</v>
      </c>
      <c r="AM43" s="15">
        <v>0.47399999999999998</v>
      </c>
      <c r="AN43" s="15">
        <v>0.51900000000000002</v>
      </c>
      <c r="AO43" s="15">
        <v>7</v>
      </c>
      <c r="AP43" s="15">
        <v>-5.2910000000000004</v>
      </c>
      <c r="AQ43" s="15">
        <v>1</v>
      </c>
      <c r="AR43" s="15">
        <v>2.53E-2</v>
      </c>
      <c r="AS43" s="15">
        <v>0.28100000000000003</v>
      </c>
      <c r="AT43" s="15">
        <v>0</v>
      </c>
      <c r="AU43" s="15">
        <v>0.107</v>
      </c>
      <c r="AV43" s="15">
        <v>0.32600000000000001</v>
      </c>
      <c r="AW43" s="15">
        <v>151.83199999999999</v>
      </c>
      <c r="AX43" s="15">
        <v>4</v>
      </c>
      <c r="AY43" s="16" t="s">
        <v>24</v>
      </c>
    </row>
    <row r="44" spans="2:51" x14ac:dyDescent="0.35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F44" s="17" t="s">
        <v>152</v>
      </c>
      <c r="AG44" s="18" t="s">
        <v>140</v>
      </c>
      <c r="AH44" s="18" t="s">
        <v>109</v>
      </c>
      <c r="AI44" s="18" t="s">
        <v>153</v>
      </c>
      <c r="AJ44" s="18">
        <v>0</v>
      </c>
      <c r="AK44" s="18">
        <v>266960</v>
      </c>
      <c r="AL44" s="18" t="b">
        <v>0</v>
      </c>
      <c r="AM44" s="18">
        <v>0.56799999999999995</v>
      </c>
      <c r="AN44" s="18">
        <v>0.30099999999999999</v>
      </c>
      <c r="AO44" s="18">
        <v>10</v>
      </c>
      <c r="AP44" s="18">
        <v>-10.163</v>
      </c>
      <c r="AQ44" s="18">
        <v>0</v>
      </c>
      <c r="AR44" s="18">
        <v>3.73E-2</v>
      </c>
      <c r="AS44" s="18">
        <v>0.79600000000000004</v>
      </c>
      <c r="AT44" s="32" t="s">
        <v>154</v>
      </c>
      <c r="AU44" s="18">
        <v>0.11799999999999999</v>
      </c>
      <c r="AV44" s="18">
        <v>0.14199999999999999</v>
      </c>
      <c r="AW44" s="18">
        <v>88.028999999999996</v>
      </c>
      <c r="AX44" s="18">
        <v>4</v>
      </c>
      <c r="AY44" s="19" t="s">
        <v>24</v>
      </c>
    </row>
    <row r="45" spans="2:51" x14ac:dyDescent="0.3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F45" s="14" t="s">
        <v>155</v>
      </c>
      <c r="AG45" s="15" t="s">
        <v>156</v>
      </c>
      <c r="AH45" s="15" t="s">
        <v>157</v>
      </c>
      <c r="AI45" s="15" t="s">
        <v>158</v>
      </c>
      <c r="AJ45" s="15">
        <v>0</v>
      </c>
      <c r="AK45" s="15">
        <v>230098</v>
      </c>
      <c r="AL45" s="15" t="b">
        <v>0</v>
      </c>
      <c r="AM45" s="15">
        <v>0.56799999999999995</v>
      </c>
      <c r="AN45" s="15">
        <v>0.68600000000000005</v>
      </c>
      <c r="AO45" s="15">
        <v>1</v>
      </c>
      <c r="AP45" s="15">
        <v>-6.6349999999999998</v>
      </c>
      <c r="AQ45" s="15">
        <v>1</v>
      </c>
      <c r="AR45" s="15">
        <v>3.3000000000000002E-2</v>
      </c>
      <c r="AS45" s="15">
        <v>0.15</v>
      </c>
      <c r="AT45" s="31" t="s">
        <v>159</v>
      </c>
      <c r="AU45" s="15">
        <v>8.8099999999999998E-2</v>
      </c>
      <c r="AV45" s="15">
        <v>0.72499999999999998</v>
      </c>
      <c r="AW45" s="15">
        <v>172.07499999999999</v>
      </c>
      <c r="AX45" s="15">
        <v>4</v>
      </c>
      <c r="AY45" s="16" t="s">
        <v>24</v>
      </c>
    </row>
    <row r="46" spans="2:51" x14ac:dyDescent="0.3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F46" s="17" t="s">
        <v>160</v>
      </c>
      <c r="AG46" s="18" t="s">
        <v>156</v>
      </c>
      <c r="AH46" s="18" t="s">
        <v>161</v>
      </c>
      <c r="AI46" s="18" t="s">
        <v>158</v>
      </c>
      <c r="AJ46" s="18">
        <v>0</v>
      </c>
      <c r="AK46" s="18">
        <v>230098</v>
      </c>
      <c r="AL46" s="18" t="b">
        <v>0</v>
      </c>
      <c r="AM46" s="18">
        <v>0.56799999999999995</v>
      </c>
      <c r="AN46" s="18">
        <v>0.68600000000000005</v>
      </c>
      <c r="AO46" s="18">
        <v>1</v>
      </c>
      <c r="AP46" s="18">
        <v>-6.6349999999999998</v>
      </c>
      <c r="AQ46" s="18">
        <v>1</v>
      </c>
      <c r="AR46" s="18">
        <v>3.3000000000000002E-2</v>
      </c>
      <c r="AS46" s="18">
        <v>0.15</v>
      </c>
      <c r="AT46" s="32" t="s">
        <v>159</v>
      </c>
      <c r="AU46" s="18">
        <v>8.8099999999999998E-2</v>
      </c>
      <c r="AV46" s="18">
        <v>0.72499999999999998</v>
      </c>
      <c r="AW46" s="18">
        <v>172.07499999999999</v>
      </c>
      <c r="AX46" s="18">
        <v>4</v>
      </c>
      <c r="AY46" s="19" t="s">
        <v>24</v>
      </c>
    </row>
    <row r="47" spans="2:51" x14ac:dyDescent="0.35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F47" s="14" t="s">
        <v>162</v>
      </c>
      <c r="AG47" s="15" t="s">
        <v>140</v>
      </c>
      <c r="AH47" s="15" t="s">
        <v>163</v>
      </c>
      <c r="AI47" s="15" t="s">
        <v>164</v>
      </c>
      <c r="AJ47" s="15">
        <v>0</v>
      </c>
      <c r="AK47" s="15">
        <v>193943</v>
      </c>
      <c r="AL47" s="15" t="b">
        <v>0</v>
      </c>
      <c r="AM47" s="15">
        <v>0.47599999999999998</v>
      </c>
      <c r="AN47" s="15">
        <v>0.66600000000000004</v>
      </c>
      <c r="AO47" s="15">
        <v>6</v>
      </c>
      <c r="AP47" s="15">
        <v>-3.4380000000000002</v>
      </c>
      <c r="AQ47" s="15">
        <v>1</v>
      </c>
      <c r="AR47" s="15">
        <v>4.4600000000000001E-2</v>
      </c>
      <c r="AS47" s="15">
        <v>0.314</v>
      </c>
      <c r="AT47" s="15">
        <v>0</v>
      </c>
      <c r="AU47" s="15">
        <v>0.34200000000000003</v>
      </c>
      <c r="AV47" s="15">
        <v>0.498</v>
      </c>
      <c r="AW47" s="15">
        <v>148.155</v>
      </c>
      <c r="AX47" s="15">
        <v>4</v>
      </c>
      <c r="AY47" s="16" t="s">
        <v>24</v>
      </c>
    </row>
    <row r="48" spans="2:51" x14ac:dyDescent="0.35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F48" s="17" t="s">
        <v>165</v>
      </c>
      <c r="AG48" s="18" t="s">
        <v>156</v>
      </c>
      <c r="AH48" s="18" t="s">
        <v>166</v>
      </c>
      <c r="AI48" s="18" t="s">
        <v>158</v>
      </c>
      <c r="AJ48" s="18">
        <v>0</v>
      </c>
      <c r="AK48" s="18">
        <v>230098</v>
      </c>
      <c r="AL48" s="18" t="b">
        <v>0</v>
      </c>
      <c r="AM48" s="18">
        <v>0.56799999999999995</v>
      </c>
      <c r="AN48" s="18">
        <v>0.68600000000000005</v>
      </c>
      <c r="AO48" s="18">
        <v>1</v>
      </c>
      <c r="AP48" s="18">
        <v>-6.6349999999999998</v>
      </c>
      <c r="AQ48" s="18">
        <v>1</v>
      </c>
      <c r="AR48" s="18">
        <v>3.3000000000000002E-2</v>
      </c>
      <c r="AS48" s="18">
        <v>0.15</v>
      </c>
      <c r="AT48" s="32" t="s">
        <v>159</v>
      </c>
      <c r="AU48" s="18">
        <v>8.8099999999999998E-2</v>
      </c>
      <c r="AV48" s="18">
        <v>0.72499999999999998</v>
      </c>
      <c r="AW48" s="18">
        <v>172.07499999999999</v>
      </c>
      <c r="AX48" s="18">
        <v>4</v>
      </c>
      <c r="AY48" s="19" t="s">
        <v>24</v>
      </c>
    </row>
    <row r="49" spans="2:51" x14ac:dyDescent="0.3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F49" s="14" t="s">
        <v>167</v>
      </c>
      <c r="AG49" s="15" t="s">
        <v>156</v>
      </c>
      <c r="AH49" s="15" t="s">
        <v>168</v>
      </c>
      <c r="AI49" s="15" t="s">
        <v>158</v>
      </c>
      <c r="AJ49" s="15">
        <v>0</v>
      </c>
      <c r="AK49" s="15">
        <v>230098</v>
      </c>
      <c r="AL49" s="15" t="b">
        <v>0</v>
      </c>
      <c r="AM49" s="15">
        <v>0.56799999999999995</v>
      </c>
      <c r="AN49" s="15">
        <v>0.68600000000000005</v>
      </c>
      <c r="AO49" s="15">
        <v>1</v>
      </c>
      <c r="AP49" s="15">
        <v>-6.6349999999999998</v>
      </c>
      <c r="AQ49" s="15">
        <v>1</v>
      </c>
      <c r="AR49" s="15">
        <v>3.3000000000000002E-2</v>
      </c>
      <c r="AS49" s="15">
        <v>0.15</v>
      </c>
      <c r="AT49" s="31" t="s">
        <v>159</v>
      </c>
      <c r="AU49" s="15">
        <v>8.8099999999999998E-2</v>
      </c>
      <c r="AV49" s="15">
        <v>0.72499999999999998</v>
      </c>
      <c r="AW49" s="15">
        <v>172.07499999999999</v>
      </c>
      <c r="AX49" s="15">
        <v>4</v>
      </c>
      <c r="AY49" s="16" t="s">
        <v>24</v>
      </c>
    </row>
    <row r="50" spans="2:51" x14ac:dyDescent="0.3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F50" s="17" t="s">
        <v>169</v>
      </c>
      <c r="AG50" s="18" t="s">
        <v>156</v>
      </c>
      <c r="AH50" s="18" t="s">
        <v>170</v>
      </c>
      <c r="AI50" s="18" t="s">
        <v>158</v>
      </c>
      <c r="AJ50" s="18">
        <v>0</v>
      </c>
      <c r="AK50" s="18">
        <v>230098</v>
      </c>
      <c r="AL50" s="18" t="b">
        <v>0</v>
      </c>
      <c r="AM50" s="18">
        <v>0.56799999999999995</v>
      </c>
      <c r="AN50" s="18">
        <v>0.68600000000000005</v>
      </c>
      <c r="AO50" s="18">
        <v>1</v>
      </c>
      <c r="AP50" s="18">
        <v>-6.6349999999999998</v>
      </c>
      <c r="AQ50" s="18">
        <v>1</v>
      </c>
      <c r="AR50" s="18">
        <v>3.3000000000000002E-2</v>
      </c>
      <c r="AS50" s="18">
        <v>0.15</v>
      </c>
      <c r="AT50" s="32" t="s">
        <v>159</v>
      </c>
      <c r="AU50" s="18">
        <v>8.8099999999999998E-2</v>
      </c>
      <c r="AV50" s="18">
        <v>0.72499999999999998</v>
      </c>
      <c r="AW50" s="18">
        <v>172.07499999999999</v>
      </c>
      <c r="AX50" s="18">
        <v>4</v>
      </c>
      <c r="AY50" s="19" t="s">
        <v>24</v>
      </c>
    </row>
    <row r="51" spans="2:51" x14ac:dyDescent="0.35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F51" s="14" t="s">
        <v>171</v>
      </c>
      <c r="AG51" s="15" t="s">
        <v>156</v>
      </c>
      <c r="AH51" s="15" t="s">
        <v>172</v>
      </c>
      <c r="AI51" s="15" t="s">
        <v>158</v>
      </c>
      <c r="AJ51" s="15">
        <v>0</v>
      </c>
      <c r="AK51" s="15">
        <v>230098</v>
      </c>
      <c r="AL51" s="15" t="b">
        <v>0</v>
      </c>
      <c r="AM51" s="15">
        <v>0.56799999999999995</v>
      </c>
      <c r="AN51" s="15">
        <v>0.68600000000000005</v>
      </c>
      <c r="AO51" s="15">
        <v>1</v>
      </c>
      <c r="AP51" s="15">
        <v>-6.6349999999999998</v>
      </c>
      <c r="AQ51" s="15">
        <v>1</v>
      </c>
      <c r="AR51" s="15">
        <v>3.3000000000000002E-2</v>
      </c>
      <c r="AS51" s="15">
        <v>0.15</v>
      </c>
      <c r="AT51" s="31" t="s">
        <v>159</v>
      </c>
      <c r="AU51" s="15">
        <v>8.8099999999999998E-2</v>
      </c>
      <c r="AV51" s="15">
        <v>0.72499999999999998</v>
      </c>
      <c r="AW51" s="15">
        <v>172.07499999999999</v>
      </c>
      <c r="AX51" s="15">
        <v>4</v>
      </c>
      <c r="AY51" s="16" t="s">
        <v>24</v>
      </c>
    </row>
    <row r="52" spans="2:51" x14ac:dyDescent="0.3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F52" s="17" t="s">
        <v>173</v>
      </c>
      <c r="AG52" s="18" t="s">
        <v>156</v>
      </c>
      <c r="AH52" s="18" t="s">
        <v>174</v>
      </c>
      <c r="AI52" s="18" t="s">
        <v>158</v>
      </c>
      <c r="AJ52" s="18">
        <v>0</v>
      </c>
      <c r="AK52" s="18">
        <v>230098</v>
      </c>
      <c r="AL52" s="18" t="b">
        <v>0</v>
      </c>
      <c r="AM52" s="18">
        <v>0.56799999999999995</v>
      </c>
      <c r="AN52" s="18">
        <v>0.68600000000000005</v>
      </c>
      <c r="AO52" s="18">
        <v>1</v>
      </c>
      <c r="AP52" s="18">
        <v>-6.6349999999999998</v>
      </c>
      <c r="AQ52" s="18">
        <v>1</v>
      </c>
      <c r="AR52" s="18">
        <v>3.3000000000000002E-2</v>
      </c>
      <c r="AS52" s="18">
        <v>0.15</v>
      </c>
      <c r="AT52" s="32" t="s">
        <v>159</v>
      </c>
      <c r="AU52" s="18">
        <v>8.8099999999999998E-2</v>
      </c>
      <c r="AV52" s="18">
        <v>0.72499999999999998</v>
      </c>
      <c r="AW52" s="18">
        <v>172.07499999999999</v>
      </c>
      <c r="AX52" s="18">
        <v>4</v>
      </c>
      <c r="AY52" s="19" t="s">
        <v>24</v>
      </c>
    </row>
    <row r="53" spans="2:51" x14ac:dyDescent="0.35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F53" s="14" t="s">
        <v>175</v>
      </c>
      <c r="AG53" s="15" t="s">
        <v>176</v>
      </c>
      <c r="AH53" s="15" t="s">
        <v>177</v>
      </c>
      <c r="AI53" s="15" t="s">
        <v>178</v>
      </c>
      <c r="AJ53" s="15">
        <v>46</v>
      </c>
      <c r="AK53" s="15">
        <v>213098</v>
      </c>
      <c r="AL53" s="15" t="b">
        <v>0</v>
      </c>
      <c r="AM53" s="15">
        <v>0.59599999999999997</v>
      </c>
      <c r="AN53" s="15">
        <v>0.2</v>
      </c>
      <c r="AO53" s="15">
        <v>0</v>
      </c>
      <c r="AP53" s="15">
        <v>-10.423999999999999</v>
      </c>
      <c r="AQ53" s="15">
        <v>0</v>
      </c>
      <c r="AR53" s="15">
        <v>3.0499999999999999E-2</v>
      </c>
      <c r="AS53" s="15">
        <v>0.91</v>
      </c>
      <c r="AT53" s="15">
        <v>1.83E-4</v>
      </c>
      <c r="AU53" s="15">
        <v>8.8400000000000006E-2</v>
      </c>
      <c r="AV53" s="15">
        <v>0.308</v>
      </c>
      <c r="AW53" s="15">
        <v>107.893</v>
      </c>
      <c r="AX53" s="15">
        <v>4</v>
      </c>
      <c r="AY53" s="16" t="s">
        <v>24</v>
      </c>
    </row>
    <row r="54" spans="2:51" x14ac:dyDescent="0.3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F54" s="17" t="s">
        <v>179</v>
      </c>
      <c r="AG54" s="18" t="s">
        <v>180</v>
      </c>
      <c r="AH54" s="18" t="s">
        <v>181</v>
      </c>
      <c r="AI54" s="18" t="s">
        <v>182</v>
      </c>
      <c r="AJ54" s="18">
        <v>61</v>
      </c>
      <c r="AK54" s="18">
        <v>232360</v>
      </c>
      <c r="AL54" s="18" t="b">
        <v>0</v>
      </c>
      <c r="AM54" s="18">
        <v>0.373</v>
      </c>
      <c r="AN54" s="18">
        <v>0.91400000000000003</v>
      </c>
      <c r="AO54" s="18">
        <v>0</v>
      </c>
      <c r="AP54" s="18">
        <v>-4.1849999999999996</v>
      </c>
      <c r="AQ54" s="18">
        <v>1</v>
      </c>
      <c r="AR54" s="18">
        <v>5.6500000000000002E-2</v>
      </c>
      <c r="AS54" s="18">
        <v>7.5999999999999998E-2</v>
      </c>
      <c r="AT54" s="18">
        <v>0</v>
      </c>
      <c r="AU54" s="18">
        <v>0.66900000000000004</v>
      </c>
      <c r="AV54" s="18">
        <v>0.56000000000000005</v>
      </c>
      <c r="AW54" s="18">
        <v>168.21</v>
      </c>
      <c r="AX54" s="18">
        <v>4</v>
      </c>
      <c r="AY54" s="19" t="s">
        <v>24</v>
      </c>
    </row>
    <row r="55" spans="2:51" x14ac:dyDescent="0.3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F55" s="14" t="s">
        <v>183</v>
      </c>
      <c r="AG55" s="15" t="s">
        <v>184</v>
      </c>
      <c r="AH55" s="15" t="s">
        <v>185</v>
      </c>
      <c r="AI55" s="15" t="s">
        <v>186</v>
      </c>
      <c r="AJ55" s="15">
        <v>60</v>
      </c>
      <c r="AK55" s="15">
        <v>241119</v>
      </c>
      <c r="AL55" s="15" t="b">
        <v>0</v>
      </c>
      <c r="AM55" s="15">
        <v>0.49399999999999999</v>
      </c>
      <c r="AN55" s="15">
        <v>0.65200000000000002</v>
      </c>
      <c r="AO55" s="15">
        <v>6</v>
      </c>
      <c r="AP55" s="15">
        <v>-5.8630000000000004</v>
      </c>
      <c r="AQ55" s="15">
        <v>0</v>
      </c>
      <c r="AR55" s="15">
        <v>3.1399999999999997E-2</v>
      </c>
      <c r="AS55" s="15">
        <v>7.5399999999999995E-2</v>
      </c>
      <c r="AT55" s="15">
        <v>2.5600000000000002E-3</v>
      </c>
      <c r="AU55" s="15">
        <v>0.125</v>
      </c>
      <c r="AV55" s="15">
        <v>0.29799999999999999</v>
      </c>
      <c r="AW55" s="15">
        <v>137.018</v>
      </c>
      <c r="AX55" s="15">
        <v>4</v>
      </c>
      <c r="AY55" s="16" t="s">
        <v>24</v>
      </c>
    </row>
    <row r="56" spans="2:51" x14ac:dyDescent="0.3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F56" s="17" t="s">
        <v>187</v>
      </c>
      <c r="AG56" s="18" t="s">
        <v>188</v>
      </c>
      <c r="AH56" s="18" t="s">
        <v>189</v>
      </c>
      <c r="AI56" s="18" t="s">
        <v>190</v>
      </c>
      <c r="AJ56" s="18">
        <v>68</v>
      </c>
      <c r="AK56" s="18">
        <v>220239</v>
      </c>
      <c r="AL56" s="18" t="b">
        <v>0</v>
      </c>
      <c r="AM56" s="18">
        <v>0.44700000000000001</v>
      </c>
      <c r="AN56" s="18">
        <v>0.39300000000000002</v>
      </c>
      <c r="AO56" s="18">
        <v>5</v>
      </c>
      <c r="AP56" s="18">
        <v>-8.65</v>
      </c>
      <c r="AQ56" s="18">
        <v>1</v>
      </c>
      <c r="AR56" s="18">
        <v>3.7999999999999999E-2</v>
      </c>
      <c r="AS56" s="18">
        <v>0.78500000000000003</v>
      </c>
      <c r="AT56" s="18">
        <v>0</v>
      </c>
      <c r="AU56" s="18">
        <v>0.28000000000000003</v>
      </c>
      <c r="AV56" s="18">
        <v>0.56399999999999995</v>
      </c>
      <c r="AW56" s="18">
        <v>73.138999999999996</v>
      </c>
      <c r="AX56" s="18">
        <v>3</v>
      </c>
      <c r="AY56" s="19" t="s">
        <v>24</v>
      </c>
    </row>
    <row r="57" spans="2:51" x14ac:dyDescent="0.3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F57" s="14" t="s">
        <v>191</v>
      </c>
      <c r="AG57" s="15" t="s">
        <v>192</v>
      </c>
      <c r="AH57" s="15" t="s">
        <v>193</v>
      </c>
      <c r="AI57" s="15" t="s">
        <v>194</v>
      </c>
      <c r="AJ57" s="15">
        <v>52</v>
      </c>
      <c r="AK57" s="15">
        <v>171543</v>
      </c>
      <c r="AL57" s="15" t="b">
        <v>0</v>
      </c>
      <c r="AM57" s="15">
        <v>0.57599999999999996</v>
      </c>
      <c r="AN57" s="15">
        <v>0.33100000000000002</v>
      </c>
      <c r="AO57" s="15">
        <v>6</v>
      </c>
      <c r="AP57" s="15">
        <v>-9.3889999999999993</v>
      </c>
      <c r="AQ57" s="15">
        <v>0</v>
      </c>
      <c r="AR57" s="15">
        <v>3.0599999999999999E-2</v>
      </c>
      <c r="AS57" s="15">
        <v>0.89400000000000002</v>
      </c>
      <c r="AT57" s="31" t="s">
        <v>195</v>
      </c>
      <c r="AU57" s="15">
        <v>0.129</v>
      </c>
      <c r="AV57" s="15">
        <v>0.40699999999999997</v>
      </c>
      <c r="AW57" s="15">
        <v>149.02000000000001</v>
      </c>
      <c r="AX57" s="15">
        <v>4</v>
      </c>
      <c r="AY57" s="16" t="s">
        <v>24</v>
      </c>
    </row>
    <row r="58" spans="2:51" x14ac:dyDescent="0.3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F58" s="17" t="s">
        <v>196</v>
      </c>
      <c r="AG58" s="18" t="s">
        <v>184</v>
      </c>
      <c r="AH58" s="18" t="s">
        <v>185</v>
      </c>
      <c r="AI58" s="18" t="s">
        <v>197</v>
      </c>
      <c r="AJ58" s="18">
        <v>62</v>
      </c>
      <c r="AK58" s="18">
        <v>286865</v>
      </c>
      <c r="AL58" s="18" t="b">
        <v>0</v>
      </c>
      <c r="AM58" s="18">
        <v>0.53600000000000003</v>
      </c>
      <c r="AN58" s="18">
        <v>0.89</v>
      </c>
      <c r="AO58" s="18">
        <v>1</v>
      </c>
      <c r="AP58" s="18">
        <v>-5.2220000000000004</v>
      </c>
      <c r="AQ58" s="18">
        <v>1</v>
      </c>
      <c r="AR58" s="18">
        <v>3.7499999999999999E-2</v>
      </c>
      <c r="AS58" s="18">
        <v>7.8E-2</v>
      </c>
      <c r="AT58" s="18">
        <v>2.0199999999999999E-2</v>
      </c>
      <c r="AU58" s="18">
        <v>0.13100000000000001</v>
      </c>
      <c r="AV58" s="18">
        <v>0.27300000000000002</v>
      </c>
      <c r="AW58" s="18">
        <v>121.974</v>
      </c>
      <c r="AX58" s="18">
        <v>4</v>
      </c>
      <c r="AY58" s="19" t="s">
        <v>24</v>
      </c>
    </row>
    <row r="59" spans="2:51" x14ac:dyDescent="0.35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F59" s="14" t="s">
        <v>198</v>
      </c>
      <c r="AG59" s="15" t="s">
        <v>199</v>
      </c>
      <c r="AH59" s="15" t="s">
        <v>200</v>
      </c>
      <c r="AI59" s="15" t="s">
        <v>200</v>
      </c>
      <c r="AJ59" s="15">
        <v>51</v>
      </c>
      <c r="AK59" s="15">
        <v>234473</v>
      </c>
      <c r="AL59" s="15" t="b">
        <v>0</v>
      </c>
      <c r="AM59" s="15">
        <v>0.52600000000000002</v>
      </c>
      <c r="AN59" s="15">
        <v>0.33300000000000002</v>
      </c>
      <c r="AO59" s="15">
        <v>4</v>
      </c>
      <c r="AP59" s="15">
        <v>-13.02</v>
      </c>
      <c r="AQ59" s="15">
        <v>1</v>
      </c>
      <c r="AR59" s="15">
        <v>3.1399999999999997E-2</v>
      </c>
      <c r="AS59" s="15">
        <v>0.91</v>
      </c>
      <c r="AT59" s="15">
        <v>0.16800000000000001</v>
      </c>
      <c r="AU59" s="15">
        <v>0.111</v>
      </c>
      <c r="AV59" s="15">
        <v>0.159</v>
      </c>
      <c r="AW59" s="15">
        <v>94.950999999999993</v>
      </c>
      <c r="AX59" s="15">
        <v>4</v>
      </c>
      <c r="AY59" s="16" t="s">
        <v>24</v>
      </c>
    </row>
    <row r="60" spans="2:51" x14ac:dyDescent="0.35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F60" s="17" t="s">
        <v>201</v>
      </c>
      <c r="AG60" s="18" t="s">
        <v>39</v>
      </c>
      <c r="AH60" s="18" t="s">
        <v>202</v>
      </c>
      <c r="AI60" s="18" t="s">
        <v>202</v>
      </c>
      <c r="AJ60" s="18">
        <v>0</v>
      </c>
      <c r="AK60" s="18">
        <v>216000</v>
      </c>
      <c r="AL60" s="18" t="b">
        <v>0</v>
      </c>
      <c r="AM60" s="18">
        <v>0.501</v>
      </c>
      <c r="AN60" s="18">
        <v>0.38100000000000001</v>
      </c>
      <c r="AO60" s="18">
        <v>0</v>
      </c>
      <c r="AP60" s="18">
        <v>-9.4480000000000004</v>
      </c>
      <c r="AQ60" s="18">
        <v>1</v>
      </c>
      <c r="AR60" s="18">
        <v>3.5999999999999997E-2</v>
      </c>
      <c r="AS60" s="18">
        <v>0.68700000000000006</v>
      </c>
      <c r="AT60" s="18">
        <v>1.33E-3</v>
      </c>
      <c r="AU60" s="18">
        <v>0.11899999999999999</v>
      </c>
      <c r="AV60" s="18">
        <v>0.502</v>
      </c>
      <c r="AW60" s="18">
        <v>80.075000000000003</v>
      </c>
      <c r="AX60" s="18">
        <v>4</v>
      </c>
      <c r="AY60" s="19" t="s">
        <v>24</v>
      </c>
    </row>
    <row r="61" spans="2:51" x14ac:dyDescent="0.35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F61" s="14" t="s">
        <v>203</v>
      </c>
      <c r="AG61" s="15" t="s">
        <v>204</v>
      </c>
      <c r="AH61" s="15" t="s">
        <v>205</v>
      </c>
      <c r="AI61" s="15" t="s">
        <v>206</v>
      </c>
      <c r="AJ61" s="15">
        <v>67</v>
      </c>
      <c r="AK61" s="15">
        <v>232760</v>
      </c>
      <c r="AL61" s="15" t="b">
        <v>0</v>
      </c>
      <c r="AM61" s="15">
        <v>0.27</v>
      </c>
      <c r="AN61" s="15">
        <v>0.27500000000000002</v>
      </c>
      <c r="AO61" s="15">
        <v>0</v>
      </c>
      <c r="AP61" s="15">
        <v>-10.356999999999999</v>
      </c>
      <c r="AQ61" s="15">
        <v>1</v>
      </c>
      <c r="AR61" s="15">
        <v>3.56E-2</v>
      </c>
      <c r="AS61" s="15">
        <v>0.83399999999999996</v>
      </c>
      <c r="AT61" s="15">
        <v>0</v>
      </c>
      <c r="AU61" s="15">
        <v>0.14599999999999999</v>
      </c>
      <c r="AV61" s="15">
        <v>0.23100000000000001</v>
      </c>
      <c r="AW61" s="15">
        <v>168.964</v>
      </c>
      <c r="AX61" s="15">
        <v>4</v>
      </c>
      <c r="AY61" s="16" t="s">
        <v>24</v>
      </c>
    </row>
    <row r="62" spans="2:51" x14ac:dyDescent="0.3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F62" s="17" t="s">
        <v>207</v>
      </c>
      <c r="AG62" s="18" t="s">
        <v>39</v>
      </c>
      <c r="AH62" s="18" t="s">
        <v>208</v>
      </c>
      <c r="AI62" s="18" t="s">
        <v>208</v>
      </c>
      <c r="AJ62" s="18">
        <v>57</v>
      </c>
      <c r="AK62" s="18">
        <v>178600</v>
      </c>
      <c r="AL62" s="18" t="b">
        <v>1</v>
      </c>
      <c r="AM62" s="18">
        <v>0.73099999999999998</v>
      </c>
      <c r="AN62" s="18">
        <v>0.50700000000000001</v>
      </c>
      <c r="AO62" s="18">
        <v>0</v>
      </c>
      <c r="AP62" s="18">
        <v>-6.4770000000000003</v>
      </c>
      <c r="AQ62" s="18">
        <v>1</v>
      </c>
      <c r="AR62" s="18">
        <v>4.5999999999999999E-2</v>
      </c>
      <c r="AS62" s="18">
        <v>0.57199999999999995</v>
      </c>
      <c r="AT62" s="18">
        <v>0</v>
      </c>
      <c r="AU62" s="18">
        <v>9.1200000000000003E-2</v>
      </c>
      <c r="AV62" s="18">
        <v>0.26500000000000001</v>
      </c>
      <c r="AW62" s="18">
        <v>117.96899999999999</v>
      </c>
      <c r="AX62" s="18">
        <v>4</v>
      </c>
      <c r="AY62" s="19" t="s">
        <v>24</v>
      </c>
    </row>
    <row r="63" spans="2:51" x14ac:dyDescent="0.35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F63" s="14" t="s">
        <v>209</v>
      </c>
      <c r="AG63" s="15" t="s">
        <v>60</v>
      </c>
      <c r="AH63" s="15" t="s">
        <v>210</v>
      </c>
      <c r="AI63" s="15" t="s">
        <v>210</v>
      </c>
      <c r="AJ63" s="15">
        <v>75</v>
      </c>
      <c r="AK63" s="15">
        <v>254400</v>
      </c>
      <c r="AL63" s="15" t="b">
        <v>0</v>
      </c>
      <c r="AM63" s="15">
        <v>0.375</v>
      </c>
      <c r="AN63" s="15">
        <v>0.45700000000000002</v>
      </c>
      <c r="AO63" s="15">
        <v>3</v>
      </c>
      <c r="AP63" s="15">
        <v>-7.0179999999999998</v>
      </c>
      <c r="AQ63" s="15">
        <v>1</v>
      </c>
      <c r="AR63" s="15">
        <v>3.15E-2</v>
      </c>
      <c r="AS63" s="15">
        <v>0.86799999999999999</v>
      </c>
      <c r="AT63" s="15">
        <v>1.4500000000000001E-2</v>
      </c>
      <c r="AU63" s="15">
        <v>0.191</v>
      </c>
      <c r="AV63" s="15">
        <v>0.41499999999999998</v>
      </c>
      <c r="AW63" s="15">
        <v>174.839</v>
      </c>
      <c r="AX63" s="15">
        <v>3</v>
      </c>
      <c r="AY63" s="16" t="s">
        <v>24</v>
      </c>
    </row>
    <row r="64" spans="2:51" x14ac:dyDescent="0.35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F64" s="17" t="s">
        <v>211</v>
      </c>
      <c r="AG64" s="18" t="s">
        <v>184</v>
      </c>
      <c r="AH64" s="18" t="s">
        <v>212</v>
      </c>
      <c r="AI64" s="18" t="s">
        <v>213</v>
      </c>
      <c r="AJ64" s="18">
        <v>62</v>
      </c>
      <c r="AK64" s="18">
        <v>244320</v>
      </c>
      <c r="AL64" s="18" t="b">
        <v>0</v>
      </c>
      <c r="AM64" s="18">
        <v>0.43</v>
      </c>
      <c r="AN64" s="18">
        <v>0.79100000000000004</v>
      </c>
      <c r="AO64" s="18">
        <v>6</v>
      </c>
      <c r="AP64" s="18">
        <v>-5.4189999999999996</v>
      </c>
      <c r="AQ64" s="18">
        <v>0</v>
      </c>
      <c r="AR64" s="18">
        <v>3.0200000000000001E-2</v>
      </c>
      <c r="AS64" s="18">
        <v>7.2599999999999998E-2</v>
      </c>
      <c r="AT64" s="18">
        <v>1.9300000000000001E-2</v>
      </c>
      <c r="AU64" s="18">
        <v>0.11</v>
      </c>
      <c r="AV64" s="18">
        <v>0.217</v>
      </c>
      <c r="AW64" s="18">
        <v>171.864</v>
      </c>
      <c r="AX64" s="18">
        <v>4</v>
      </c>
      <c r="AY64" s="19" t="s">
        <v>24</v>
      </c>
    </row>
    <row r="65" spans="2:51" x14ac:dyDescent="0.35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F65" s="14" t="s">
        <v>214</v>
      </c>
      <c r="AG65" s="15" t="s">
        <v>215</v>
      </c>
      <c r="AH65" s="15" t="s">
        <v>216</v>
      </c>
      <c r="AI65" s="15" t="s">
        <v>217</v>
      </c>
      <c r="AJ65" s="15">
        <v>66</v>
      </c>
      <c r="AK65" s="15">
        <v>124933</v>
      </c>
      <c r="AL65" s="15" t="b">
        <v>0</v>
      </c>
      <c r="AM65" s="15">
        <v>0.61599999999999999</v>
      </c>
      <c r="AN65" s="15">
        <v>0.28199999999999997</v>
      </c>
      <c r="AO65" s="15">
        <v>1</v>
      </c>
      <c r="AP65" s="15">
        <v>-15.317</v>
      </c>
      <c r="AQ65" s="15">
        <v>1</v>
      </c>
      <c r="AR65" s="15">
        <v>3.3099999999999997E-2</v>
      </c>
      <c r="AS65" s="15">
        <v>0.98299999999999998</v>
      </c>
      <c r="AT65" s="15">
        <v>0.83299999999999996</v>
      </c>
      <c r="AU65" s="15">
        <v>0.13</v>
      </c>
      <c r="AV65" s="15">
        <v>0.435</v>
      </c>
      <c r="AW65" s="15">
        <v>96.638000000000005</v>
      </c>
      <c r="AX65" s="15">
        <v>4</v>
      </c>
      <c r="AY65" s="16" t="s">
        <v>24</v>
      </c>
    </row>
    <row r="66" spans="2:51" x14ac:dyDescent="0.35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F66" s="17" t="s">
        <v>218</v>
      </c>
      <c r="AG66" s="18" t="s">
        <v>91</v>
      </c>
      <c r="AH66" s="18" t="s">
        <v>97</v>
      </c>
      <c r="AI66" s="18" t="s">
        <v>219</v>
      </c>
      <c r="AJ66" s="18">
        <v>64</v>
      </c>
      <c r="AK66" s="18">
        <v>222146</v>
      </c>
      <c r="AL66" s="18" t="b">
        <v>0</v>
      </c>
      <c r="AM66" s="18">
        <v>0.70499999999999996</v>
      </c>
      <c r="AN66" s="18">
        <v>0.34699999999999998</v>
      </c>
      <c r="AO66" s="18">
        <v>2</v>
      </c>
      <c r="AP66" s="18">
        <v>-8.2490000000000006</v>
      </c>
      <c r="AQ66" s="18">
        <v>1</v>
      </c>
      <c r="AR66" s="18">
        <v>3.0099999999999998E-2</v>
      </c>
      <c r="AS66" s="18">
        <v>0.67400000000000004</v>
      </c>
      <c r="AT66" s="18">
        <v>0</v>
      </c>
      <c r="AU66" s="18">
        <v>0.12</v>
      </c>
      <c r="AV66" s="18">
        <v>0.36</v>
      </c>
      <c r="AW66" s="18">
        <v>80.057000000000002</v>
      </c>
      <c r="AX66" s="18">
        <v>4</v>
      </c>
      <c r="AY66" s="19" t="s">
        <v>24</v>
      </c>
    </row>
    <row r="67" spans="2:51" x14ac:dyDescent="0.35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F67" s="14" t="s">
        <v>220</v>
      </c>
      <c r="AG67" s="15" t="s">
        <v>221</v>
      </c>
      <c r="AH67" s="15" t="s">
        <v>222</v>
      </c>
      <c r="AI67" s="15" t="s">
        <v>223</v>
      </c>
      <c r="AJ67" s="15">
        <v>62</v>
      </c>
      <c r="AK67" s="15">
        <v>181852</v>
      </c>
      <c r="AL67" s="15" t="b">
        <v>0</v>
      </c>
      <c r="AM67" s="15">
        <v>0.58199999999999996</v>
      </c>
      <c r="AN67" s="15">
        <v>0.255</v>
      </c>
      <c r="AO67" s="15">
        <v>4</v>
      </c>
      <c r="AP67" s="15">
        <v>-10.254</v>
      </c>
      <c r="AQ67" s="15">
        <v>1</v>
      </c>
      <c r="AR67" s="15">
        <v>3.0599999999999999E-2</v>
      </c>
      <c r="AS67" s="15">
        <v>0.77200000000000002</v>
      </c>
      <c r="AT67" s="15">
        <v>0</v>
      </c>
      <c r="AU67" s="15">
        <v>8.8900000000000007E-2</v>
      </c>
      <c r="AV67" s="15">
        <v>0.28499999999999998</v>
      </c>
      <c r="AW67" s="15">
        <v>139.88399999999999</v>
      </c>
      <c r="AX67" s="15">
        <v>4</v>
      </c>
      <c r="AY67" s="16" t="s">
        <v>24</v>
      </c>
    </row>
    <row r="68" spans="2:51" x14ac:dyDescent="0.35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F68" s="17" t="s">
        <v>224</v>
      </c>
      <c r="AG68" s="18" t="s">
        <v>225</v>
      </c>
      <c r="AH68" s="18" t="s">
        <v>226</v>
      </c>
      <c r="AI68" s="18" t="s">
        <v>227</v>
      </c>
      <c r="AJ68" s="18">
        <v>58</v>
      </c>
      <c r="AK68" s="18">
        <v>186584</v>
      </c>
      <c r="AL68" s="18" t="b">
        <v>0</v>
      </c>
      <c r="AM68" s="18">
        <v>0.54900000000000004</v>
      </c>
      <c r="AN68" s="18">
        <v>0.27400000000000002</v>
      </c>
      <c r="AO68" s="18">
        <v>1</v>
      </c>
      <c r="AP68" s="18">
        <v>-12.565</v>
      </c>
      <c r="AQ68" s="18">
        <v>1</v>
      </c>
      <c r="AR68" s="18">
        <v>3.7900000000000003E-2</v>
      </c>
      <c r="AS68" s="18">
        <v>0.79800000000000004</v>
      </c>
      <c r="AT68" s="32" t="s">
        <v>228</v>
      </c>
      <c r="AU68" s="18">
        <v>0.10299999999999999</v>
      </c>
      <c r="AV68" s="18">
        <v>0.20699999999999999</v>
      </c>
      <c r="AW68" s="18">
        <v>86.664000000000001</v>
      </c>
      <c r="AX68" s="18">
        <v>4</v>
      </c>
      <c r="AY68" s="19" t="s">
        <v>24</v>
      </c>
    </row>
    <row r="69" spans="2:51" x14ac:dyDescent="0.35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F69" s="14" t="s">
        <v>229</v>
      </c>
      <c r="AG69" s="15" t="s">
        <v>230</v>
      </c>
      <c r="AH69" s="15" t="s">
        <v>231</v>
      </c>
      <c r="AI69" s="15" t="s">
        <v>231</v>
      </c>
      <c r="AJ69" s="15">
        <v>65</v>
      </c>
      <c r="AK69" s="15">
        <v>159600</v>
      </c>
      <c r="AL69" s="15" t="b">
        <v>0</v>
      </c>
      <c r="AM69" s="15">
        <v>0.78700000000000003</v>
      </c>
      <c r="AN69" s="15">
        <v>0.35499999999999998</v>
      </c>
      <c r="AO69" s="15">
        <v>0</v>
      </c>
      <c r="AP69" s="15">
        <v>-11.429</v>
      </c>
      <c r="AQ69" s="15">
        <v>1</v>
      </c>
      <c r="AR69" s="15">
        <v>2.8799999999999999E-2</v>
      </c>
      <c r="AS69" s="15">
        <v>0.89600000000000002</v>
      </c>
      <c r="AT69" s="15">
        <v>2.01E-2</v>
      </c>
      <c r="AU69" s="15">
        <v>0.111</v>
      </c>
      <c r="AV69" s="15">
        <v>0.48</v>
      </c>
      <c r="AW69" s="15">
        <v>99.977999999999994</v>
      </c>
      <c r="AX69" s="15">
        <v>4</v>
      </c>
      <c r="AY69" s="16" t="s">
        <v>24</v>
      </c>
    </row>
    <row r="70" spans="2:51" x14ac:dyDescent="0.3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F70" s="17" t="s">
        <v>232</v>
      </c>
      <c r="AG70" s="18" t="s">
        <v>204</v>
      </c>
      <c r="AH70" s="18" t="s">
        <v>233</v>
      </c>
      <c r="AI70" s="18" t="s">
        <v>234</v>
      </c>
      <c r="AJ70" s="18">
        <v>67</v>
      </c>
      <c r="AK70" s="18">
        <v>250266</v>
      </c>
      <c r="AL70" s="18" t="b">
        <v>0</v>
      </c>
      <c r="AM70" s="18">
        <v>0.39700000000000002</v>
      </c>
      <c r="AN70" s="18">
        <v>0.30299999999999999</v>
      </c>
      <c r="AO70" s="18">
        <v>5</v>
      </c>
      <c r="AP70" s="18">
        <v>-7.508</v>
      </c>
      <c r="AQ70" s="18">
        <v>1</v>
      </c>
      <c r="AR70" s="18">
        <v>4.3499999999999997E-2</v>
      </c>
      <c r="AS70" s="18">
        <v>0.38100000000000001</v>
      </c>
      <c r="AT70" s="18">
        <v>0</v>
      </c>
      <c r="AU70" s="18">
        <v>0.10100000000000001</v>
      </c>
      <c r="AV70" s="18">
        <v>0.17199999999999999</v>
      </c>
      <c r="AW70" s="18">
        <v>81.05</v>
      </c>
      <c r="AX70" s="18">
        <v>4</v>
      </c>
      <c r="AY70" s="19" t="s">
        <v>24</v>
      </c>
    </row>
    <row r="71" spans="2:51" x14ac:dyDescent="0.35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F71" s="14" t="s">
        <v>235</v>
      </c>
      <c r="AG71" s="15" t="s">
        <v>184</v>
      </c>
      <c r="AH71" s="15" t="s">
        <v>236</v>
      </c>
      <c r="AI71" s="15" t="s">
        <v>237</v>
      </c>
      <c r="AJ71" s="15">
        <v>65</v>
      </c>
      <c r="AK71" s="15">
        <v>318908</v>
      </c>
      <c r="AL71" s="15" t="b">
        <v>0</v>
      </c>
      <c r="AM71" s="15">
        <v>0.54800000000000004</v>
      </c>
      <c r="AN71" s="15">
        <v>0.42</v>
      </c>
      <c r="AO71" s="15">
        <v>0</v>
      </c>
      <c r="AP71" s="15">
        <v>-7.8419999999999996</v>
      </c>
      <c r="AQ71" s="15">
        <v>1</v>
      </c>
      <c r="AR71" s="15">
        <v>2.7699999999999999E-2</v>
      </c>
      <c r="AS71" s="15">
        <v>0.19800000000000001</v>
      </c>
      <c r="AT71" s="31" t="s">
        <v>238</v>
      </c>
      <c r="AU71" s="15">
        <v>8.9899999999999994E-2</v>
      </c>
      <c r="AV71" s="15">
        <v>0.19600000000000001</v>
      </c>
      <c r="AW71" s="15">
        <v>128.012</v>
      </c>
      <c r="AX71" s="15">
        <v>4</v>
      </c>
      <c r="AY71" s="16" t="s">
        <v>24</v>
      </c>
    </row>
    <row r="72" spans="2:51" x14ac:dyDescent="0.3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F72" s="17" t="s">
        <v>239</v>
      </c>
      <c r="AG72" s="18" t="s">
        <v>240</v>
      </c>
      <c r="AH72" s="18" t="s">
        <v>241</v>
      </c>
      <c r="AI72" s="18" t="s">
        <v>242</v>
      </c>
      <c r="AJ72" s="18">
        <v>44</v>
      </c>
      <c r="AK72" s="18">
        <v>222351</v>
      </c>
      <c r="AL72" s="18" t="b">
        <v>0</v>
      </c>
      <c r="AM72" s="18">
        <v>0.78700000000000003</v>
      </c>
      <c r="AN72" s="18">
        <v>0.40300000000000002</v>
      </c>
      <c r="AO72" s="18">
        <v>0</v>
      </c>
      <c r="AP72" s="18">
        <v>-11.989000000000001</v>
      </c>
      <c r="AQ72" s="18">
        <v>1</v>
      </c>
      <c r="AR72" s="18">
        <v>3.3000000000000002E-2</v>
      </c>
      <c r="AS72" s="18">
        <v>0.60299999999999998</v>
      </c>
      <c r="AT72" s="18">
        <v>8.5699999999999995E-3</v>
      </c>
      <c r="AU72" s="18">
        <v>0.13100000000000001</v>
      </c>
      <c r="AV72" s="18">
        <v>0.26400000000000001</v>
      </c>
      <c r="AW72" s="18">
        <v>118.042</v>
      </c>
      <c r="AX72" s="18">
        <v>4</v>
      </c>
      <c r="AY72" s="19" t="s">
        <v>24</v>
      </c>
    </row>
    <row r="73" spans="2:51" x14ac:dyDescent="0.35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F73" s="14" t="s">
        <v>243</v>
      </c>
      <c r="AG73" s="15" t="s">
        <v>188</v>
      </c>
      <c r="AH73" s="15" t="s">
        <v>244</v>
      </c>
      <c r="AI73" s="15" t="s">
        <v>245</v>
      </c>
      <c r="AJ73" s="15">
        <v>55</v>
      </c>
      <c r="AK73" s="15">
        <v>219480</v>
      </c>
      <c r="AL73" s="15" t="b">
        <v>0</v>
      </c>
      <c r="AM73" s="15">
        <v>0.48399999999999999</v>
      </c>
      <c r="AN73" s="15">
        <v>0.57299999999999995</v>
      </c>
      <c r="AO73" s="15">
        <v>5</v>
      </c>
      <c r="AP73" s="15">
        <v>-6.1829999999999998</v>
      </c>
      <c r="AQ73" s="15">
        <v>1</v>
      </c>
      <c r="AR73" s="15">
        <v>2.98E-2</v>
      </c>
      <c r="AS73" s="15">
        <v>8.8200000000000001E-2</v>
      </c>
      <c r="AT73" s="31" t="s">
        <v>246</v>
      </c>
      <c r="AU73" s="15">
        <v>0.15</v>
      </c>
      <c r="AV73" s="15">
        <v>0.34599999999999997</v>
      </c>
      <c r="AW73" s="15">
        <v>139.96600000000001</v>
      </c>
      <c r="AX73" s="15">
        <v>3</v>
      </c>
      <c r="AY73" s="16" t="s">
        <v>24</v>
      </c>
    </row>
    <row r="74" spans="2:51" x14ac:dyDescent="0.35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F74" s="17" t="s">
        <v>247</v>
      </c>
      <c r="AG74" s="18" t="s">
        <v>248</v>
      </c>
      <c r="AH74" s="18" t="s">
        <v>249</v>
      </c>
      <c r="AI74" s="18" t="s">
        <v>250</v>
      </c>
      <c r="AJ74" s="18">
        <v>70</v>
      </c>
      <c r="AK74" s="18">
        <v>221693</v>
      </c>
      <c r="AL74" s="18" t="b">
        <v>0</v>
      </c>
      <c r="AM74" s="18">
        <v>0.38200000000000001</v>
      </c>
      <c r="AN74" s="18">
        <v>0.41599999999999998</v>
      </c>
      <c r="AO74" s="18">
        <v>0</v>
      </c>
      <c r="AP74" s="18">
        <v>-9.3030000000000008</v>
      </c>
      <c r="AQ74" s="18">
        <v>1</v>
      </c>
      <c r="AR74" s="18">
        <v>3.0200000000000001E-2</v>
      </c>
      <c r="AS74" s="18">
        <v>7.3300000000000004E-2</v>
      </c>
      <c r="AT74" s="18">
        <v>0</v>
      </c>
      <c r="AU74" s="18">
        <v>7.1900000000000006E-2</v>
      </c>
      <c r="AV74" s="18">
        <v>0.125</v>
      </c>
      <c r="AW74" s="18">
        <v>102.089</v>
      </c>
      <c r="AX74" s="18">
        <v>4</v>
      </c>
      <c r="AY74" s="19" t="s">
        <v>24</v>
      </c>
    </row>
    <row r="75" spans="2:51" x14ac:dyDescent="0.35">
      <c r="AF75" s="14" t="s">
        <v>251</v>
      </c>
      <c r="AG75" s="15" t="s">
        <v>184</v>
      </c>
      <c r="AH75" s="15" t="s">
        <v>252</v>
      </c>
      <c r="AI75" s="15" t="s">
        <v>253</v>
      </c>
      <c r="AJ75" s="15">
        <v>57</v>
      </c>
      <c r="AK75" s="15">
        <v>354400</v>
      </c>
      <c r="AL75" s="15" t="b">
        <v>0</v>
      </c>
      <c r="AM75" s="15">
        <v>0.54100000000000004</v>
      </c>
      <c r="AN75" s="15">
        <v>0.57499999999999996</v>
      </c>
      <c r="AO75" s="15">
        <v>9</v>
      </c>
      <c r="AP75" s="15">
        <v>-9.4629999999999992</v>
      </c>
      <c r="AQ75" s="15">
        <v>1</v>
      </c>
      <c r="AR75" s="15">
        <v>4.9099999999999998E-2</v>
      </c>
      <c r="AS75" s="15">
        <v>0.67700000000000005</v>
      </c>
      <c r="AT75" s="15">
        <v>0.215</v>
      </c>
      <c r="AU75" s="15">
        <v>0.10199999999999999</v>
      </c>
      <c r="AV75" s="15">
        <v>0.42799999999999999</v>
      </c>
      <c r="AW75" s="15">
        <v>91.98</v>
      </c>
      <c r="AX75" s="15">
        <v>4</v>
      </c>
      <c r="AY75" s="16" t="s">
        <v>24</v>
      </c>
    </row>
    <row r="76" spans="2:51" x14ac:dyDescent="0.35">
      <c r="AF76" s="17" t="s">
        <v>254</v>
      </c>
      <c r="AG76" s="18" t="s">
        <v>255</v>
      </c>
      <c r="AH76" s="18" t="s">
        <v>256</v>
      </c>
      <c r="AI76" s="18" t="s">
        <v>256</v>
      </c>
      <c r="AJ76" s="18">
        <v>56</v>
      </c>
      <c r="AK76" s="18">
        <v>177500</v>
      </c>
      <c r="AL76" s="18" t="b">
        <v>0</v>
      </c>
      <c r="AM76" s="18">
        <v>0.60699999999999998</v>
      </c>
      <c r="AN76" s="18">
        <v>0.47299999999999998</v>
      </c>
      <c r="AO76" s="18">
        <v>2</v>
      </c>
      <c r="AP76" s="18">
        <v>-8.5549999999999997</v>
      </c>
      <c r="AQ76" s="18">
        <v>1</v>
      </c>
      <c r="AR76" s="18">
        <v>3.4000000000000002E-2</v>
      </c>
      <c r="AS76" s="18">
        <v>0.71199999999999997</v>
      </c>
      <c r="AT76" s="18">
        <v>0</v>
      </c>
      <c r="AU76" s="18">
        <v>0.66</v>
      </c>
      <c r="AV76" s="18">
        <v>0.54</v>
      </c>
      <c r="AW76" s="18">
        <v>119.69799999999999</v>
      </c>
      <c r="AX76" s="18">
        <v>4</v>
      </c>
      <c r="AY76" s="19" t="s">
        <v>24</v>
      </c>
    </row>
    <row r="77" spans="2:51" x14ac:dyDescent="0.35">
      <c r="AF77" s="14" t="s">
        <v>257</v>
      </c>
      <c r="AG77" s="15" t="s">
        <v>258</v>
      </c>
      <c r="AH77" s="15" t="s">
        <v>259</v>
      </c>
      <c r="AI77" s="15" t="s">
        <v>260</v>
      </c>
      <c r="AJ77" s="15">
        <v>56</v>
      </c>
      <c r="AK77" s="15">
        <v>247840</v>
      </c>
      <c r="AL77" s="15" t="b">
        <v>0</v>
      </c>
      <c r="AM77" s="15">
        <v>0.41699999999999998</v>
      </c>
      <c r="AN77" s="15">
        <v>0.59499999999999997</v>
      </c>
      <c r="AO77" s="15">
        <v>6</v>
      </c>
      <c r="AP77" s="15">
        <v>-7.84</v>
      </c>
      <c r="AQ77" s="15">
        <v>1</v>
      </c>
      <c r="AR77" s="15">
        <v>3.9600000000000003E-2</v>
      </c>
      <c r="AS77" s="15">
        <v>0.158</v>
      </c>
      <c r="AT77" s="15">
        <v>2.6899999999999998E-4</v>
      </c>
      <c r="AU77" s="15">
        <v>0.10100000000000001</v>
      </c>
      <c r="AV77" s="15">
        <v>0.11700000000000001</v>
      </c>
      <c r="AW77" s="15">
        <v>147.928</v>
      </c>
      <c r="AX77" s="15">
        <v>4</v>
      </c>
      <c r="AY77" s="16" t="s">
        <v>24</v>
      </c>
    </row>
    <row r="78" spans="2:51" x14ac:dyDescent="0.35">
      <c r="AF78" s="17" t="s">
        <v>261</v>
      </c>
      <c r="AG78" s="18" t="s">
        <v>50</v>
      </c>
      <c r="AH78" s="18" t="s">
        <v>64</v>
      </c>
      <c r="AI78" s="18" t="s">
        <v>103</v>
      </c>
      <c r="AJ78" s="18">
        <v>67</v>
      </c>
      <c r="AK78" s="18">
        <v>216386</v>
      </c>
      <c r="AL78" s="18" t="b">
        <v>0</v>
      </c>
      <c r="AM78" s="18">
        <v>0.57199999999999995</v>
      </c>
      <c r="AN78" s="18">
        <v>0.45400000000000001</v>
      </c>
      <c r="AO78" s="18">
        <v>3</v>
      </c>
      <c r="AP78" s="18">
        <v>-10.286</v>
      </c>
      <c r="AQ78" s="18">
        <v>1</v>
      </c>
      <c r="AR78" s="18">
        <v>2.58E-2</v>
      </c>
      <c r="AS78" s="18">
        <v>0.47699999999999998</v>
      </c>
      <c r="AT78" s="32" t="s">
        <v>104</v>
      </c>
      <c r="AU78" s="18">
        <v>9.74E-2</v>
      </c>
      <c r="AV78" s="18">
        <v>0.51500000000000001</v>
      </c>
      <c r="AW78" s="18">
        <v>140.18199999999999</v>
      </c>
      <c r="AX78" s="18">
        <v>4</v>
      </c>
      <c r="AY78" s="19" t="s">
        <v>24</v>
      </c>
    </row>
    <row r="79" spans="2:51" x14ac:dyDescent="0.35">
      <c r="AF79" s="14" t="s">
        <v>262</v>
      </c>
      <c r="AG79" s="15" t="s">
        <v>263</v>
      </c>
      <c r="AH79" s="15" t="s">
        <v>264</v>
      </c>
      <c r="AI79" s="15" t="s">
        <v>265</v>
      </c>
      <c r="AJ79" s="15">
        <v>62</v>
      </c>
      <c r="AK79" s="15">
        <v>229320</v>
      </c>
      <c r="AL79" s="15" t="b">
        <v>0</v>
      </c>
      <c r="AM79" s="15">
        <v>0.70899999999999996</v>
      </c>
      <c r="AN79" s="15">
        <v>0.91300000000000003</v>
      </c>
      <c r="AO79" s="15">
        <v>7</v>
      </c>
      <c r="AP79" s="15">
        <v>-5.1479999999999997</v>
      </c>
      <c r="AQ79" s="15">
        <v>1</v>
      </c>
      <c r="AR79" s="15">
        <v>7.4800000000000005E-2</v>
      </c>
      <c r="AS79" s="15">
        <v>1.8200000000000001E-2</v>
      </c>
      <c r="AT79" s="15">
        <v>0</v>
      </c>
      <c r="AU79" s="15">
        <v>0.16700000000000001</v>
      </c>
      <c r="AV79" s="15">
        <v>0.51900000000000002</v>
      </c>
      <c r="AW79" s="15">
        <v>108.024</v>
      </c>
      <c r="AX79" s="15">
        <v>4</v>
      </c>
      <c r="AY79" s="16" t="s">
        <v>24</v>
      </c>
    </row>
    <row r="80" spans="2:51" x14ac:dyDescent="0.35">
      <c r="AF80" s="17" t="s">
        <v>266</v>
      </c>
      <c r="AG80" s="18" t="s">
        <v>267</v>
      </c>
      <c r="AH80" s="18" t="s">
        <v>268</v>
      </c>
      <c r="AI80" s="18" t="s">
        <v>269</v>
      </c>
      <c r="AJ80" s="18">
        <v>45</v>
      </c>
      <c r="AK80" s="18">
        <v>330933</v>
      </c>
      <c r="AL80" s="18" t="b">
        <v>0</v>
      </c>
      <c r="AM80" s="18">
        <v>0.53700000000000003</v>
      </c>
      <c r="AN80" s="18">
        <v>0.34200000000000003</v>
      </c>
      <c r="AO80" s="18">
        <v>2</v>
      </c>
      <c r="AP80" s="18">
        <v>-13.553000000000001</v>
      </c>
      <c r="AQ80" s="18">
        <v>1</v>
      </c>
      <c r="AR80" s="18">
        <v>2.7300000000000001E-2</v>
      </c>
      <c r="AS80" s="18">
        <v>0.64500000000000002</v>
      </c>
      <c r="AT80" s="18">
        <v>0.26600000000000001</v>
      </c>
      <c r="AU80" s="18">
        <v>6.8699999999999997E-2</v>
      </c>
      <c r="AV80" s="18">
        <v>0.253</v>
      </c>
      <c r="AW80" s="18">
        <v>109.236</v>
      </c>
      <c r="AX80" s="18">
        <v>4</v>
      </c>
      <c r="AY80" s="19" t="s">
        <v>24</v>
      </c>
    </row>
    <row r="81" spans="32:51" x14ac:dyDescent="0.35">
      <c r="AF81" s="14" t="s">
        <v>270</v>
      </c>
      <c r="AG81" s="15" t="s">
        <v>271</v>
      </c>
      <c r="AH81" s="15" t="s">
        <v>272</v>
      </c>
      <c r="AI81" s="15" t="s">
        <v>273</v>
      </c>
      <c r="AJ81" s="15">
        <v>64</v>
      </c>
      <c r="AK81" s="15">
        <v>172213</v>
      </c>
      <c r="AL81" s="15" t="b">
        <v>0</v>
      </c>
      <c r="AM81" s="15">
        <v>0.60199999999999998</v>
      </c>
      <c r="AN81" s="15">
        <v>0.33600000000000002</v>
      </c>
      <c r="AO81" s="15">
        <v>8</v>
      </c>
      <c r="AP81" s="15">
        <v>-11.106</v>
      </c>
      <c r="AQ81" s="15">
        <v>1</v>
      </c>
      <c r="AR81" s="15">
        <v>3.6900000000000002E-2</v>
      </c>
      <c r="AS81" s="15">
        <v>0.88300000000000001</v>
      </c>
      <c r="AT81" s="15">
        <v>1.6999999999999999E-3</v>
      </c>
      <c r="AU81" s="15">
        <v>0.14299999999999999</v>
      </c>
      <c r="AV81" s="15">
        <v>0.33500000000000002</v>
      </c>
      <c r="AW81" s="15">
        <v>90.894000000000005</v>
      </c>
      <c r="AX81" s="15">
        <v>4</v>
      </c>
      <c r="AY81" s="16" t="s">
        <v>24</v>
      </c>
    </row>
    <row r="82" spans="32:51" x14ac:dyDescent="0.35">
      <c r="AF82" s="17" t="s">
        <v>274</v>
      </c>
      <c r="AG82" s="18" t="s">
        <v>50</v>
      </c>
      <c r="AH82" s="18" t="s">
        <v>275</v>
      </c>
      <c r="AI82" s="18" t="s">
        <v>276</v>
      </c>
      <c r="AJ82" s="18">
        <v>65</v>
      </c>
      <c r="AK82" s="18">
        <v>226106</v>
      </c>
      <c r="AL82" s="18" t="b">
        <v>0</v>
      </c>
      <c r="AM82" s="18">
        <v>0.64300000000000002</v>
      </c>
      <c r="AN82" s="18">
        <v>0.63800000000000001</v>
      </c>
      <c r="AO82" s="18">
        <v>1</v>
      </c>
      <c r="AP82" s="18">
        <v>-4.9470000000000001</v>
      </c>
      <c r="AQ82" s="18">
        <v>0</v>
      </c>
      <c r="AR82" s="18">
        <v>4.07E-2</v>
      </c>
      <c r="AS82" s="18">
        <v>0.20399999999999999</v>
      </c>
      <c r="AT82" s="18">
        <v>0</v>
      </c>
      <c r="AU82" s="18">
        <v>7.0699999999999999E-2</v>
      </c>
      <c r="AV82" s="18">
        <v>0.6</v>
      </c>
      <c r="AW82" s="18">
        <v>82.001000000000005</v>
      </c>
      <c r="AX82" s="18">
        <v>4</v>
      </c>
      <c r="AY82" s="19" t="s">
        <v>24</v>
      </c>
    </row>
    <row r="83" spans="32:51" x14ac:dyDescent="0.35">
      <c r="AF83" s="14" t="s">
        <v>277</v>
      </c>
      <c r="AG83" s="15" t="s">
        <v>278</v>
      </c>
      <c r="AH83" s="15" t="s">
        <v>109</v>
      </c>
      <c r="AI83" s="15" t="s">
        <v>279</v>
      </c>
      <c r="AJ83" s="15">
        <v>0</v>
      </c>
      <c r="AK83" s="15">
        <v>235173</v>
      </c>
      <c r="AL83" s="15" t="b">
        <v>0</v>
      </c>
      <c r="AM83" s="15">
        <v>0.45100000000000001</v>
      </c>
      <c r="AN83" s="15">
        <v>0.7</v>
      </c>
      <c r="AO83" s="15">
        <v>10</v>
      </c>
      <c r="AP83" s="15">
        <v>-6.5970000000000004</v>
      </c>
      <c r="AQ83" s="15">
        <v>0</v>
      </c>
      <c r="AR83" s="15">
        <v>4.3099999999999999E-2</v>
      </c>
      <c r="AS83" s="15">
        <v>0.45500000000000002</v>
      </c>
      <c r="AT83" s="15">
        <v>2.33E-3</v>
      </c>
      <c r="AU83" s="15">
        <v>0.40500000000000003</v>
      </c>
      <c r="AV83" s="15">
        <v>0.37</v>
      </c>
      <c r="AW83" s="15">
        <v>150.05500000000001</v>
      </c>
      <c r="AX83" s="15">
        <v>4</v>
      </c>
      <c r="AY83" s="16" t="s">
        <v>24</v>
      </c>
    </row>
    <row r="84" spans="32:51" x14ac:dyDescent="0.35">
      <c r="AF84" s="17" t="s">
        <v>280</v>
      </c>
      <c r="AG84" s="18" t="s">
        <v>278</v>
      </c>
      <c r="AH84" s="18" t="s">
        <v>281</v>
      </c>
      <c r="AI84" s="18" t="s">
        <v>282</v>
      </c>
      <c r="AJ84" s="18">
        <v>0</v>
      </c>
      <c r="AK84" s="18">
        <v>195213</v>
      </c>
      <c r="AL84" s="18" t="b">
        <v>0</v>
      </c>
      <c r="AM84" s="18">
        <v>0.54600000000000004</v>
      </c>
      <c r="AN84" s="18">
        <v>0.39100000000000001</v>
      </c>
      <c r="AO84" s="18">
        <v>2</v>
      </c>
      <c r="AP84" s="18">
        <v>-10.786</v>
      </c>
      <c r="AQ84" s="18">
        <v>0</v>
      </c>
      <c r="AR84" s="18">
        <v>6.3E-2</v>
      </c>
      <c r="AS84" s="18">
        <v>0.78400000000000003</v>
      </c>
      <c r="AT84" s="32" t="s">
        <v>283</v>
      </c>
      <c r="AU84" s="18">
        <v>5.5199999999999999E-2</v>
      </c>
      <c r="AV84" s="18">
        <v>0.20200000000000001</v>
      </c>
      <c r="AW84" s="18">
        <v>139.66900000000001</v>
      </c>
      <c r="AX84" s="18">
        <v>4</v>
      </c>
      <c r="AY84" s="19" t="s">
        <v>24</v>
      </c>
    </row>
    <row r="85" spans="32:51" x14ac:dyDescent="0.35">
      <c r="AF85" s="14" t="s">
        <v>284</v>
      </c>
      <c r="AG85" s="15" t="s">
        <v>149</v>
      </c>
      <c r="AH85" s="15" t="s">
        <v>285</v>
      </c>
      <c r="AI85" s="15" t="s">
        <v>286</v>
      </c>
      <c r="AJ85" s="15">
        <v>68</v>
      </c>
      <c r="AK85" s="15">
        <v>236306</v>
      </c>
      <c r="AL85" s="15" t="b">
        <v>0</v>
      </c>
      <c r="AM85" s="15">
        <v>0.56100000000000005</v>
      </c>
      <c r="AN85" s="15">
        <v>0.32700000000000001</v>
      </c>
      <c r="AO85" s="15">
        <v>11</v>
      </c>
      <c r="AP85" s="15">
        <v>-10.835000000000001</v>
      </c>
      <c r="AQ85" s="15">
        <v>0</v>
      </c>
      <c r="AR85" s="15">
        <v>3.27E-2</v>
      </c>
      <c r="AS85" s="15">
        <v>0.90200000000000002</v>
      </c>
      <c r="AT85" s="15">
        <v>4.6900000000000002E-4</v>
      </c>
      <c r="AU85" s="15">
        <v>0.111</v>
      </c>
      <c r="AV85" s="15">
        <v>0.29799999999999999</v>
      </c>
      <c r="AW85" s="15">
        <v>161.858</v>
      </c>
      <c r="AX85" s="15">
        <v>4</v>
      </c>
      <c r="AY85" s="16" t="s">
        <v>24</v>
      </c>
    </row>
    <row r="86" spans="32:51" x14ac:dyDescent="0.35">
      <c r="AF86" s="17" t="s">
        <v>287</v>
      </c>
      <c r="AG86" s="18" t="s">
        <v>278</v>
      </c>
      <c r="AH86" s="18" t="s">
        <v>288</v>
      </c>
      <c r="AI86" s="18" t="s">
        <v>289</v>
      </c>
      <c r="AJ86" s="18">
        <v>0</v>
      </c>
      <c r="AK86" s="18">
        <v>181400</v>
      </c>
      <c r="AL86" s="18" t="b">
        <v>0</v>
      </c>
      <c r="AM86" s="18">
        <v>0.47899999999999998</v>
      </c>
      <c r="AN86" s="18">
        <v>0.54100000000000004</v>
      </c>
      <c r="AO86" s="18">
        <v>0</v>
      </c>
      <c r="AP86" s="18">
        <v>-9.8620000000000001</v>
      </c>
      <c r="AQ86" s="18">
        <v>1</v>
      </c>
      <c r="AR86" s="18">
        <v>5.4300000000000001E-2</v>
      </c>
      <c r="AS86" s="18">
        <v>0.74</v>
      </c>
      <c r="AT86" s="18">
        <v>0</v>
      </c>
      <c r="AU86" s="18">
        <v>0.108</v>
      </c>
      <c r="AV86" s="18">
        <v>0.3</v>
      </c>
      <c r="AW86" s="18">
        <v>85.994</v>
      </c>
      <c r="AX86" s="18">
        <v>4</v>
      </c>
      <c r="AY86" s="19" t="s">
        <v>24</v>
      </c>
    </row>
    <row r="87" spans="32:51" x14ac:dyDescent="0.35">
      <c r="AF87" s="14" t="s">
        <v>290</v>
      </c>
      <c r="AG87" s="15" t="s">
        <v>278</v>
      </c>
      <c r="AH87" s="15" t="s">
        <v>102</v>
      </c>
      <c r="AI87" s="15" t="s">
        <v>289</v>
      </c>
      <c r="AJ87" s="15">
        <v>0</v>
      </c>
      <c r="AK87" s="15">
        <v>181400</v>
      </c>
      <c r="AL87" s="15" t="b">
        <v>0</v>
      </c>
      <c r="AM87" s="15">
        <v>0.47899999999999998</v>
      </c>
      <c r="AN87" s="15">
        <v>0.54100000000000004</v>
      </c>
      <c r="AO87" s="15">
        <v>0</v>
      </c>
      <c r="AP87" s="15">
        <v>-9.8620000000000001</v>
      </c>
      <c r="AQ87" s="15">
        <v>1</v>
      </c>
      <c r="AR87" s="15">
        <v>5.4300000000000001E-2</v>
      </c>
      <c r="AS87" s="15">
        <v>0.74</v>
      </c>
      <c r="AT87" s="15">
        <v>0</v>
      </c>
      <c r="AU87" s="15">
        <v>0.108</v>
      </c>
      <c r="AV87" s="15">
        <v>0.3</v>
      </c>
      <c r="AW87" s="15">
        <v>85.994</v>
      </c>
      <c r="AX87" s="15">
        <v>4</v>
      </c>
      <c r="AY87" s="16" t="s">
        <v>24</v>
      </c>
    </row>
    <row r="88" spans="32:51" x14ac:dyDescent="0.35">
      <c r="AF88" s="17" t="s">
        <v>291</v>
      </c>
      <c r="AG88" s="18" t="s">
        <v>149</v>
      </c>
      <c r="AH88" s="18" t="s">
        <v>285</v>
      </c>
      <c r="AI88" s="18" t="s">
        <v>292</v>
      </c>
      <c r="AJ88" s="18">
        <v>61</v>
      </c>
      <c r="AK88" s="18">
        <v>164500</v>
      </c>
      <c r="AL88" s="18" t="b">
        <v>0</v>
      </c>
      <c r="AM88" s="18">
        <v>0.436</v>
      </c>
      <c r="AN88" s="18">
        <v>0.4</v>
      </c>
      <c r="AO88" s="18">
        <v>7</v>
      </c>
      <c r="AP88" s="18">
        <v>-11.484999999999999</v>
      </c>
      <c r="AQ88" s="18">
        <v>1</v>
      </c>
      <c r="AR88" s="18">
        <v>2.7199999999999998E-2</v>
      </c>
      <c r="AS88" s="18">
        <v>0.90400000000000003</v>
      </c>
      <c r="AT88" s="18">
        <v>1.0499999999999999E-3</v>
      </c>
      <c r="AU88" s="18">
        <v>0.125</v>
      </c>
      <c r="AV88" s="18">
        <v>0.35099999999999998</v>
      </c>
      <c r="AW88" s="18">
        <v>100.73399999999999</v>
      </c>
      <c r="AX88" s="18">
        <v>4</v>
      </c>
      <c r="AY88" s="19" t="s">
        <v>24</v>
      </c>
    </row>
    <row r="89" spans="32:51" x14ac:dyDescent="0.35">
      <c r="AF89" s="14" t="s">
        <v>293</v>
      </c>
      <c r="AG89" s="15" t="s">
        <v>204</v>
      </c>
      <c r="AH89" s="15" t="s">
        <v>294</v>
      </c>
      <c r="AI89" s="15" t="s">
        <v>295</v>
      </c>
      <c r="AJ89" s="15">
        <v>70</v>
      </c>
      <c r="AK89" s="15">
        <v>220573</v>
      </c>
      <c r="AL89" s="15" t="b">
        <v>0</v>
      </c>
      <c r="AM89" s="15">
        <v>0.55100000000000005</v>
      </c>
      <c r="AN89" s="15">
        <v>0.83599999999999997</v>
      </c>
      <c r="AO89" s="15">
        <v>10</v>
      </c>
      <c r="AP89" s="15">
        <v>-3.8380000000000001</v>
      </c>
      <c r="AQ89" s="15">
        <v>0</v>
      </c>
      <c r="AR89" s="15">
        <v>5.2400000000000002E-2</v>
      </c>
      <c r="AS89" s="15">
        <v>5.0200000000000002E-3</v>
      </c>
      <c r="AT89" s="31" t="s">
        <v>296</v>
      </c>
      <c r="AU89" s="15">
        <v>4.2500000000000003E-2</v>
      </c>
      <c r="AV89" s="15">
        <v>0.75800000000000001</v>
      </c>
      <c r="AW89" s="15">
        <v>185.06299999999999</v>
      </c>
      <c r="AX89" s="15">
        <v>4</v>
      </c>
      <c r="AY89" s="16" t="s">
        <v>24</v>
      </c>
    </row>
    <row r="90" spans="32:51" x14ac:dyDescent="0.35">
      <c r="AF90" s="17" t="s">
        <v>297</v>
      </c>
      <c r="AG90" s="18" t="s">
        <v>135</v>
      </c>
      <c r="AH90" s="18" t="s">
        <v>298</v>
      </c>
      <c r="AI90" s="18" t="s">
        <v>137</v>
      </c>
      <c r="AJ90" s="18">
        <v>0</v>
      </c>
      <c r="AK90" s="18">
        <v>257493</v>
      </c>
      <c r="AL90" s="18" t="b">
        <v>0</v>
      </c>
      <c r="AM90" s="18">
        <v>0.40899999999999997</v>
      </c>
      <c r="AN90" s="18">
        <v>0.153</v>
      </c>
      <c r="AO90" s="18">
        <v>6</v>
      </c>
      <c r="AP90" s="18">
        <v>-10.74</v>
      </c>
      <c r="AQ90" s="18">
        <v>0</v>
      </c>
      <c r="AR90" s="18">
        <v>3.0599999999999999E-2</v>
      </c>
      <c r="AS90" s="18">
        <v>0.93899999999999995</v>
      </c>
      <c r="AT90" s="32" t="s">
        <v>138</v>
      </c>
      <c r="AU90" s="18">
        <v>0.108</v>
      </c>
      <c r="AV90" s="18">
        <v>0.18</v>
      </c>
      <c r="AW90" s="18">
        <v>85.262</v>
      </c>
      <c r="AX90" s="18">
        <v>4</v>
      </c>
      <c r="AY90" s="19" t="s">
        <v>24</v>
      </c>
    </row>
    <row r="91" spans="32:51" x14ac:dyDescent="0.35">
      <c r="AF91" s="14" t="s">
        <v>299</v>
      </c>
      <c r="AG91" s="15" t="s">
        <v>135</v>
      </c>
      <c r="AH91" s="15" t="s">
        <v>300</v>
      </c>
      <c r="AI91" s="15" t="s">
        <v>137</v>
      </c>
      <c r="AJ91" s="15">
        <v>0</v>
      </c>
      <c r="AK91" s="15">
        <v>257493</v>
      </c>
      <c r="AL91" s="15" t="b">
        <v>0</v>
      </c>
      <c r="AM91" s="15">
        <v>0.40899999999999997</v>
      </c>
      <c r="AN91" s="15">
        <v>0.153</v>
      </c>
      <c r="AO91" s="15">
        <v>6</v>
      </c>
      <c r="AP91" s="15">
        <v>-10.74</v>
      </c>
      <c r="AQ91" s="15">
        <v>0</v>
      </c>
      <c r="AR91" s="15">
        <v>3.0599999999999999E-2</v>
      </c>
      <c r="AS91" s="15">
        <v>0.93899999999999995</v>
      </c>
      <c r="AT91" s="31" t="s">
        <v>138</v>
      </c>
      <c r="AU91" s="15">
        <v>0.108</v>
      </c>
      <c r="AV91" s="15">
        <v>0.18</v>
      </c>
      <c r="AW91" s="15">
        <v>85.262</v>
      </c>
      <c r="AX91" s="15">
        <v>4</v>
      </c>
      <c r="AY91" s="16" t="s">
        <v>24</v>
      </c>
    </row>
    <row r="92" spans="32:51" x14ac:dyDescent="0.35">
      <c r="AF92" s="17" t="s">
        <v>301</v>
      </c>
      <c r="AG92" s="18" t="s">
        <v>248</v>
      </c>
      <c r="AH92" s="18" t="s">
        <v>302</v>
      </c>
      <c r="AI92" s="18" t="s">
        <v>303</v>
      </c>
      <c r="AJ92" s="18">
        <v>62</v>
      </c>
      <c r="AK92" s="18">
        <v>210612</v>
      </c>
      <c r="AL92" s="18" t="b">
        <v>0</v>
      </c>
      <c r="AM92" s="18">
        <v>0.6</v>
      </c>
      <c r="AN92" s="18">
        <v>0.84499999999999997</v>
      </c>
      <c r="AO92" s="18">
        <v>10</v>
      </c>
      <c r="AP92" s="18">
        <v>-7.0759999999999996</v>
      </c>
      <c r="AQ92" s="18">
        <v>1</v>
      </c>
      <c r="AR92" s="18">
        <v>3.1099999999999999E-2</v>
      </c>
      <c r="AS92" s="18">
        <v>4.8000000000000001E-2</v>
      </c>
      <c r="AT92" s="18">
        <v>0</v>
      </c>
      <c r="AU92" s="18">
        <v>0.24</v>
      </c>
      <c r="AV92" s="18">
        <v>0.39200000000000002</v>
      </c>
      <c r="AW92" s="18">
        <v>97.631</v>
      </c>
      <c r="AX92" s="18">
        <v>4</v>
      </c>
      <c r="AY92" s="19" t="s">
        <v>24</v>
      </c>
    </row>
    <row r="93" spans="32:51" x14ac:dyDescent="0.35">
      <c r="AF93" s="14" t="s">
        <v>304</v>
      </c>
      <c r="AG93" s="15" t="s">
        <v>305</v>
      </c>
      <c r="AH93" s="15" t="s">
        <v>298</v>
      </c>
      <c r="AI93" s="15" t="s">
        <v>306</v>
      </c>
      <c r="AJ93" s="15">
        <v>0</v>
      </c>
      <c r="AK93" s="15">
        <v>154440</v>
      </c>
      <c r="AL93" s="15" t="b">
        <v>0</v>
      </c>
      <c r="AM93" s="15">
        <v>0.49199999999999999</v>
      </c>
      <c r="AN93" s="15">
        <v>0.14499999999999999</v>
      </c>
      <c r="AO93" s="15">
        <v>2</v>
      </c>
      <c r="AP93" s="15">
        <v>-14.504</v>
      </c>
      <c r="AQ93" s="15">
        <v>0</v>
      </c>
      <c r="AR93" s="15">
        <v>4.2200000000000001E-2</v>
      </c>
      <c r="AS93" s="15">
        <v>0.872</v>
      </c>
      <c r="AT93" s="31" t="s">
        <v>307</v>
      </c>
      <c r="AU93" s="15">
        <v>0.107</v>
      </c>
      <c r="AV93" s="15">
        <v>0.218</v>
      </c>
      <c r="AW93" s="15">
        <v>90.078000000000003</v>
      </c>
      <c r="AX93" s="15">
        <v>4</v>
      </c>
      <c r="AY93" s="16" t="s">
        <v>24</v>
      </c>
    </row>
    <row r="94" spans="32:51" x14ac:dyDescent="0.35">
      <c r="AF94" s="17" t="s">
        <v>308</v>
      </c>
      <c r="AG94" s="18" t="s">
        <v>305</v>
      </c>
      <c r="AH94" s="18" t="s">
        <v>309</v>
      </c>
      <c r="AI94" s="18" t="s">
        <v>306</v>
      </c>
      <c r="AJ94" s="18">
        <v>0</v>
      </c>
      <c r="AK94" s="18">
        <v>154440</v>
      </c>
      <c r="AL94" s="18" t="b">
        <v>0</v>
      </c>
      <c r="AM94" s="18">
        <v>0.49199999999999999</v>
      </c>
      <c r="AN94" s="18">
        <v>0.14499999999999999</v>
      </c>
      <c r="AO94" s="18">
        <v>2</v>
      </c>
      <c r="AP94" s="18">
        <v>-14.504</v>
      </c>
      <c r="AQ94" s="18">
        <v>0</v>
      </c>
      <c r="AR94" s="18">
        <v>4.2200000000000001E-2</v>
      </c>
      <c r="AS94" s="18">
        <v>0.872</v>
      </c>
      <c r="AT94" s="32" t="s">
        <v>307</v>
      </c>
      <c r="AU94" s="18">
        <v>0.107</v>
      </c>
      <c r="AV94" s="18">
        <v>0.218</v>
      </c>
      <c r="AW94" s="18">
        <v>90.078000000000003</v>
      </c>
      <c r="AX94" s="18">
        <v>4</v>
      </c>
      <c r="AY94" s="19" t="s">
        <v>24</v>
      </c>
    </row>
    <row r="95" spans="32:51" x14ac:dyDescent="0.35">
      <c r="AF95" s="14" t="s">
        <v>310</v>
      </c>
      <c r="AG95" s="15" t="s">
        <v>135</v>
      </c>
      <c r="AH95" s="15" t="s">
        <v>309</v>
      </c>
      <c r="AI95" s="15" t="s">
        <v>311</v>
      </c>
      <c r="AJ95" s="15">
        <v>0</v>
      </c>
      <c r="AK95" s="15">
        <v>263866</v>
      </c>
      <c r="AL95" s="15" t="b">
        <v>0</v>
      </c>
      <c r="AM95" s="15">
        <v>0.44700000000000001</v>
      </c>
      <c r="AN95" s="15">
        <v>0.55500000000000005</v>
      </c>
      <c r="AO95" s="15">
        <v>2</v>
      </c>
      <c r="AP95" s="15">
        <v>-6.0179999999999998</v>
      </c>
      <c r="AQ95" s="15">
        <v>1</v>
      </c>
      <c r="AR95" s="15">
        <v>3.49E-2</v>
      </c>
      <c r="AS95" s="15">
        <v>0.218</v>
      </c>
      <c r="AT95" s="31" t="s">
        <v>312</v>
      </c>
      <c r="AU95" s="15">
        <v>0.124</v>
      </c>
      <c r="AV95" s="15">
        <v>0.33</v>
      </c>
      <c r="AW95" s="15">
        <v>117.88800000000001</v>
      </c>
      <c r="AX95" s="15">
        <v>3</v>
      </c>
      <c r="AY95" s="16" t="s">
        <v>24</v>
      </c>
    </row>
    <row r="96" spans="32:51" x14ac:dyDescent="0.35">
      <c r="AF96" s="17" t="s">
        <v>313</v>
      </c>
      <c r="AG96" s="18" t="s">
        <v>305</v>
      </c>
      <c r="AH96" s="18" t="s">
        <v>314</v>
      </c>
      <c r="AI96" s="18" t="s">
        <v>306</v>
      </c>
      <c r="AJ96" s="18">
        <v>0</v>
      </c>
      <c r="AK96" s="18">
        <v>154440</v>
      </c>
      <c r="AL96" s="18" t="b">
        <v>0</v>
      </c>
      <c r="AM96" s="18">
        <v>0.49199999999999999</v>
      </c>
      <c r="AN96" s="18">
        <v>0.14499999999999999</v>
      </c>
      <c r="AO96" s="18">
        <v>2</v>
      </c>
      <c r="AP96" s="18">
        <v>-14.504</v>
      </c>
      <c r="AQ96" s="18">
        <v>0</v>
      </c>
      <c r="AR96" s="18">
        <v>4.2200000000000001E-2</v>
      </c>
      <c r="AS96" s="18">
        <v>0.872</v>
      </c>
      <c r="AT96" s="32" t="s">
        <v>307</v>
      </c>
      <c r="AU96" s="18">
        <v>0.107</v>
      </c>
      <c r="AV96" s="18">
        <v>0.218</v>
      </c>
      <c r="AW96" s="18">
        <v>90.078000000000003</v>
      </c>
      <c r="AX96" s="18">
        <v>4</v>
      </c>
      <c r="AY96" s="19" t="s">
        <v>24</v>
      </c>
    </row>
    <row r="97" spans="32:51" x14ac:dyDescent="0.35">
      <c r="AF97" s="14" t="s">
        <v>315</v>
      </c>
      <c r="AG97" s="15" t="s">
        <v>305</v>
      </c>
      <c r="AH97" s="15" t="s">
        <v>300</v>
      </c>
      <c r="AI97" s="15" t="s">
        <v>306</v>
      </c>
      <c r="AJ97" s="15">
        <v>0</v>
      </c>
      <c r="AK97" s="15">
        <v>154440</v>
      </c>
      <c r="AL97" s="15" t="b">
        <v>0</v>
      </c>
      <c r="AM97" s="15">
        <v>0.49199999999999999</v>
      </c>
      <c r="AN97" s="15">
        <v>0.14499999999999999</v>
      </c>
      <c r="AO97" s="15">
        <v>2</v>
      </c>
      <c r="AP97" s="15">
        <v>-14.504</v>
      </c>
      <c r="AQ97" s="15">
        <v>0</v>
      </c>
      <c r="AR97" s="15">
        <v>4.2200000000000001E-2</v>
      </c>
      <c r="AS97" s="15">
        <v>0.872</v>
      </c>
      <c r="AT97" s="31" t="s">
        <v>307</v>
      </c>
      <c r="AU97" s="15">
        <v>0.107</v>
      </c>
      <c r="AV97" s="15">
        <v>0.218</v>
      </c>
      <c r="AW97" s="15">
        <v>90.078000000000003</v>
      </c>
      <c r="AX97" s="15">
        <v>4</v>
      </c>
      <c r="AY97" s="16" t="s">
        <v>24</v>
      </c>
    </row>
    <row r="98" spans="32:51" x14ac:dyDescent="0.35">
      <c r="AF98" s="17" t="s">
        <v>316</v>
      </c>
      <c r="AG98" s="18" t="s">
        <v>305</v>
      </c>
      <c r="AH98" s="18" t="s">
        <v>136</v>
      </c>
      <c r="AI98" s="18" t="s">
        <v>306</v>
      </c>
      <c r="AJ98" s="18">
        <v>0</v>
      </c>
      <c r="AK98" s="18">
        <v>154440</v>
      </c>
      <c r="AL98" s="18" t="b">
        <v>0</v>
      </c>
      <c r="AM98" s="18">
        <v>0.49199999999999999</v>
      </c>
      <c r="AN98" s="18">
        <v>0.14499999999999999</v>
      </c>
      <c r="AO98" s="18">
        <v>2</v>
      </c>
      <c r="AP98" s="18">
        <v>-14.504</v>
      </c>
      <c r="AQ98" s="18">
        <v>0</v>
      </c>
      <c r="AR98" s="18">
        <v>4.2200000000000001E-2</v>
      </c>
      <c r="AS98" s="18">
        <v>0.872</v>
      </c>
      <c r="AT98" s="32" t="s">
        <v>307</v>
      </c>
      <c r="AU98" s="18">
        <v>0.107</v>
      </c>
      <c r="AV98" s="18">
        <v>0.218</v>
      </c>
      <c r="AW98" s="18">
        <v>90.078000000000003</v>
      </c>
      <c r="AX98" s="18">
        <v>4</v>
      </c>
      <c r="AY98" s="19" t="s">
        <v>24</v>
      </c>
    </row>
    <row r="99" spans="32:51" x14ac:dyDescent="0.35">
      <c r="AF99" s="14" t="s">
        <v>317</v>
      </c>
      <c r="AG99" s="15" t="s">
        <v>305</v>
      </c>
      <c r="AH99" s="15" t="s">
        <v>147</v>
      </c>
      <c r="AI99" s="15" t="s">
        <v>306</v>
      </c>
      <c r="AJ99" s="15">
        <v>0</v>
      </c>
      <c r="AK99" s="15">
        <v>154440</v>
      </c>
      <c r="AL99" s="15" t="b">
        <v>0</v>
      </c>
      <c r="AM99" s="15">
        <v>0.49199999999999999</v>
      </c>
      <c r="AN99" s="15">
        <v>0.14499999999999999</v>
      </c>
      <c r="AO99" s="15">
        <v>2</v>
      </c>
      <c r="AP99" s="15">
        <v>-14.504</v>
      </c>
      <c r="AQ99" s="15">
        <v>0</v>
      </c>
      <c r="AR99" s="15">
        <v>4.2200000000000001E-2</v>
      </c>
      <c r="AS99" s="15">
        <v>0.872</v>
      </c>
      <c r="AT99" s="31" t="s">
        <v>307</v>
      </c>
      <c r="AU99" s="15">
        <v>0.107</v>
      </c>
      <c r="AV99" s="15">
        <v>0.218</v>
      </c>
      <c r="AW99" s="15">
        <v>90.078000000000003</v>
      </c>
      <c r="AX99" s="15">
        <v>4</v>
      </c>
      <c r="AY99" s="16" t="s">
        <v>24</v>
      </c>
    </row>
    <row r="100" spans="32:51" x14ac:dyDescent="0.35">
      <c r="AF100" s="17" t="s">
        <v>318</v>
      </c>
      <c r="AG100" s="18" t="s">
        <v>305</v>
      </c>
      <c r="AH100" s="18" t="s">
        <v>126</v>
      </c>
      <c r="AI100" s="18" t="s">
        <v>306</v>
      </c>
      <c r="AJ100" s="18">
        <v>0</v>
      </c>
      <c r="AK100" s="18">
        <v>154440</v>
      </c>
      <c r="AL100" s="18" t="b">
        <v>0</v>
      </c>
      <c r="AM100" s="18">
        <v>0.49199999999999999</v>
      </c>
      <c r="AN100" s="18">
        <v>0.14499999999999999</v>
      </c>
      <c r="AO100" s="18">
        <v>2</v>
      </c>
      <c r="AP100" s="18">
        <v>-14.504</v>
      </c>
      <c r="AQ100" s="18">
        <v>0</v>
      </c>
      <c r="AR100" s="18">
        <v>4.2200000000000001E-2</v>
      </c>
      <c r="AS100" s="18">
        <v>0.872</v>
      </c>
      <c r="AT100" s="32" t="s">
        <v>307</v>
      </c>
      <c r="AU100" s="18">
        <v>0.107</v>
      </c>
      <c r="AV100" s="18">
        <v>0.218</v>
      </c>
      <c r="AW100" s="18">
        <v>90.078000000000003</v>
      </c>
      <c r="AX100" s="18">
        <v>4</v>
      </c>
      <c r="AY100" s="19" t="s">
        <v>24</v>
      </c>
    </row>
    <row r="101" spans="32:51" x14ac:dyDescent="0.35">
      <c r="AF101" s="14" t="s">
        <v>319</v>
      </c>
      <c r="AG101" s="15" t="s">
        <v>135</v>
      </c>
      <c r="AH101" s="15" t="s">
        <v>320</v>
      </c>
      <c r="AI101" s="15" t="s">
        <v>40</v>
      </c>
      <c r="AJ101" s="15">
        <v>0</v>
      </c>
      <c r="AK101" s="15">
        <v>177613</v>
      </c>
      <c r="AL101" s="15" t="b">
        <v>0</v>
      </c>
      <c r="AM101" s="15">
        <v>0.66100000000000003</v>
      </c>
      <c r="AN101" s="15">
        <v>0.93700000000000006</v>
      </c>
      <c r="AO101" s="15">
        <v>4</v>
      </c>
      <c r="AP101" s="15">
        <v>-5.157</v>
      </c>
      <c r="AQ101" s="15">
        <v>0</v>
      </c>
      <c r="AR101" s="15">
        <v>9.7900000000000001E-2</v>
      </c>
      <c r="AS101" s="15">
        <v>0.32200000000000001</v>
      </c>
      <c r="AT101" s="31" t="s">
        <v>321</v>
      </c>
      <c r="AU101" s="15">
        <v>0.19</v>
      </c>
      <c r="AV101" s="15">
        <v>0.80500000000000005</v>
      </c>
      <c r="AW101" s="15">
        <v>105.54900000000001</v>
      </c>
      <c r="AX101" s="15">
        <v>4</v>
      </c>
      <c r="AY101" s="16" t="s">
        <v>24</v>
      </c>
    </row>
    <row r="102" spans="32:51" x14ac:dyDescent="0.35">
      <c r="AF102" s="17" t="s">
        <v>322</v>
      </c>
      <c r="AG102" s="18" t="s">
        <v>135</v>
      </c>
      <c r="AH102" s="18" t="s">
        <v>323</v>
      </c>
      <c r="AI102" s="18" t="s">
        <v>324</v>
      </c>
      <c r="AJ102" s="18">
        <v>0</v>
      </c>
      <c r="AK102" s="18">
        <v>199040</v>
      </c>
      <c r="AL102" s="18" t="b">
        <v>0</v>
      </c>
      <c r="AM102" s="18">
        <v>0.60299999999999998</v>
      </c>
      <c r="AN102" s="18">
        <v>0.78</v>
      </c>
      <c r="AO102" s="18">
        <v>0</v>
      </c>
      <c r="AP102" s="18">
        <v>-5.5309999999999997</v>
      </c>
      <c r="AQ102" s="18">
        <v>1</v>
      </c>
      <c r="AR102" s="18">
        <v>4.3799999999999999E-2</v>
      </c>
      <c r="AS102" s="18">
        <v>0.13900000000000001</v>
      </c>
      <c r="AT102" s="18">
        <v>0</v>
      </c>
      <c r="AU102" s="18">
        <v>0.16400000000000001</v>
      </c>
      <c r="AV102" s="18">
        <v>0.69299999999999995</v>
      </c>
      <c r="AW102" s="18">
        <v>100.499</v>
      </c>
      <c r="AX102" s="18">
        <v>4</v>
      </c>
      <c r="AY102" s="19" t="s">
        <v>24</v>
      </c>
    </row>
    <row r="103" spans="32:51" x14ac:dyDescent="0.35">
      <c r="AF103" s="14" t="s">
        <v>325</v>
      </c>
      <c r="AG103" s="15" t="s">
        <v>180</v>
      </c>
      <c r="AH103" s="15" t="s">
        <v>326</v>
      </c>
      <c r="AI103" s="15" t="s">
        <v>327</v>
      </c>
      <c r="AJ103" s="15">
        <v>58</v>
      </c>
      <c r="AK103" s="15">
        <v>293040</v>
      </c>
      <c r="AL103" s="15" t="b">
        <v>0</v>
      </c>
      <c r="AM103" s="15">
        <v>0.626</v>
      </c>
      <c r="AN103" s="15">
        <v>0.65500000000000003</v>
      </c>
      <c r="AO103" s="15">
        <v>9</v>
      </c>
      <c r="AP103" s="15">
        <v>-6.69</v>
      </c>
      <c r="AQ103" s="15">
        <v>1</v>
      </c>
      <c r="AR103" s="15">
        <v>2.63E-2</v>
      </c>
      <c r="AS103" s="15">
        <v>0.503</v>
      </c>
      <c r="AT103" s="15">
        <v>0</v>
      </c>
      <c r="AU103" s="15">
        <v>0.13</v>
      </c>
      <c r="AV103" s="15">
        <v>0.54200000000000004</v>
      </c>
      <c r="AW103" s="15">
        <v>92.003</v>
      </c>
      <c r="AX103" s="15">
        <v>4</v>
      </c>
      <c r="AY103" s="16" t="s">
        <v>24</v>
      </c>
    </row>
    <row r="104" spans="32:51" x14ac:dyDescent="0.35">
      <c r="AF104" s="17" t="s">
        <v>328</v>
      </c>
      <c r="AG104" s="18" t="s">
        <v>329</v>
      </c>
      <c r="AH104" s="18" t="s">
        <v>330</v>
      </c>
      <c r="AI104" s="18" t="s">
        <v>331</v>
      </c>
      <c r="AJ104" s="18">
        <v>50</v>
      </c>
      <c r="AK104" s="18">
        <v>138495</v>
      </c>
      <c r="AL104" s="18" t="b">
        <v>0</v>
      </c>
      <c r="AM104" s="18">
        <v>0.79400000000000004</v>
      </c>
      <c r="AN104" s="18">
        <v>0.38</v>
      </c>
      <c r="AO104" s="18">
        <v>10</v>
      </c>
      <c r="AP104" s="18">
        <v>-8.7690000000000001</v>
      </c>
      <c r="AQ104" s="18">
        <v>0</v>
      </c>
      <c r="AR104" s="18">
        <v>4.7699999999999999E-2</v>
      </c>
      <c r="AS104" s="18">
        <v>0.76200000000000001</v>
      </c>
      <c r="AT104" s="18">
        <v>0</v>
      </c>
      <c r="AU104" s="18">
        <v>0.26200000000000001</v>
      </c>
      <c r="AV104" s="18">
        <v>0.61699999999999999</v>
      </c>
      <c r="AW104" s="18">
        <v>114.99</v>
      </c>
      <c r="AX104" s="18">
        <v>4</v>
      </c>
      <c r="AY104" s="19" t="s">
        <v>24</v>
      </c>
    </row>
    <row r="105" spans="32:51" x14ac:dyDescent="0.35">
      <c r="AF105" s="14" t="s">
        <v>332</v>
      </c>
      <c r="AG105" s="15" t="s">
        <v>184</v>
      </c>
      <c r="AH105" s="15" t="s">
        <v>333</v>
      </c>
      <c r="AI105" s="15" t="s">
        <v>334</v>
      </c>
      <c r="AJ105" s="15">
        <v>59</v>
      </c>
      <c r="AK105" s="15">
        <v>198626</v>
      </c>
      <c r="AL105" s="15" t="b">
        <v>0</v>
      </c>
      <c r="AM105" s="15">
        <v>0.52</v>
      </c>
      <c r="AN105" s="15">
        <v>0.27900000000000003</v>
      </c>
      <c r="AO105" s="15">
        <v>5</v>
      </c>
      <c r="AP105" s="15">
        <v>-10.739000000000001</v>
      </c>
      <c r="AQ105" s="15">
        <v>0</v>
      </c>
      <c r="AR105" s="15">
        <v>5.4699999999999999E-2</v>
      </c>
      <c r="AS105" s="15">
        <v>0.89400000000000002</v>
      </c>
      <c r="AT105" s="15">
        <v>1.05E-4</v>
      </c>
      <c r="AU105" s="15">
        <v>0.10299999999999999</v>
      </c>
      <c r="AV105" s="15">
        <v>9.5100000000000004E-2</v>
      </c>
      <c r="AW105" s="15">
        <v>69.641999999999996</v>
      </c>
      <c r="AX105" s="15">
        <v>4</v>
      </c>
      <c r="AY105" s="16" t="s">
        <v>24</v>
      </c>
    </row>
    <row r="106" spans="32:51" x14ac:dyDescent="0.35">
      <c r="AF106" s="17" t="s">
        <v>335</v>
      </c>
      <c r="AG106" s="18" t="s">
        <v>336</v>
      </c>
      <c r="AH106" s="18" t="s">
        <v>97</v>
      </c>
      <c r="AI106" s="18" t="s">
        <v>337</v>
      </c>
      <c r="AJ106" s="18">
        <v>57</v>
      </c>
      <c r="AK106" s="18">
        <v>292566</v>
      </c>
      <c r="AL106" s="18" t="b">
        <v>0</v>
      </c>
      <c r="AM106" s="18">
        <v>0.54500000000000004</v>
      </c>
      <c r="AN106" s="18">
        <v>0.65800000000000003</v>
      </c>
      <c r="AO106" s="18">
        <v>1</v>
      </c>
      <c r="AP106" s="18">
        <v>-7.1740000000000004</v>
      </c>
      <c r="AQ106" s="18">
        <v>1</v>
      </c>
      <c r="AR106" s="18">
        <v>4.7399999999999998E-2</v>
      </c>
      <c r="AS106" s="18">
        <v>0.496</v>
      </c>
      <c r="AT106" s="18">
        <v>0</v>
      </c>
      <c r="AU106" s="18">
        <v>0.105</v>
      </c>
      <c r="AV106" s="18">
        <v>0.68300000000000005</v>
      </c>
      <c r="AW106" s="18">
        <v>76.971000000000004</v>
      </c>
      <c r="AX106" s="18">
        <v>4</v>
      </c>
      <c r="AY106" s="19" t="s">
        <v>24</v>
      </c>
    </row>
    <row r="107" spans="32:51" x14ac:dyDescent="0.35">
      <c r="AF107" s="14" t="s">
        <v>338</v>
      </c>
      <c r="AG107" s="15" t="s">
        <v>339</v>
      </c>
      <c r="AH107" s="15" t="s">
        <v>340</v>
      </c>
      <c r="AI107" s="15" t="s">
        <v>340</v>
      </c>
      <c r="AJ107" s="15">
        <v>60</v>
      </c>
      <c r="AK107" s="15">
        <v>199019</v>
      </c>
      <c r="AL107" s="15" t="b">
        <v>0</v>
      </c>
      <c r="AM107" s="15">
        <v>0.72799999999999998</v>
      </c>
      <c r="AN107" s="15">
        <v>0.26600000000000001</v>
      </c>
      <c r="AO107" s="15">
        <v>8</v>
      </c>
      <c r="AP107" s="15">
        <v>-7.3220000000000001</v>
      </c>
      <c r="AQ107" s="15">
        <v>1</v>
      </c>
      <c r="AR107" s="15">
        <v>2.93E-2</v>
      </c>
      <c r="AS107" s="15">
        <v>0.872</v>
      </c>
      <c r="AT107" s="31" t="s">
        <v>341</v>
      </c>
      <c r="AU107" s="15">
        <v>0.114</v>
      </c>
      <c r="AV107" s="15">
        <v>0.307</v>
      </c>
      <c r="AW107" s="15">
        <v>115.18899999999999</v>
      </c>
      <c r="AX107" s="15">
        <v>4</v>
      </c>
      <c r="AY107" s="16" t="s">
        <v>24</v>
      </c>
    </row>
    <row r="108" spans="32:51" x14ac:dyDescent="0.35">
      <c r="AF108" s="17" t="s">
        <v>342</v>
      </c>
      <c r="AG108" s="18" t="s">
        <v>343</v>
      </c>
      <c r="AH108" s="18" t="s">
        <v>344</v>
      </c>
      <c r="AI108" s="18" t="s">
        <v>345</v>
      </c>
      <c r="AJ108" s="18">
        <v>61</v>
      </c>
      <c r="AK108" s="18">
        <v>181760</v>
      </c>
      <c r="AL108" s="18" t="b">
        <v>0</v>
      </c>
      <c r="AM108" s="18">
        <v>0.66</v>
      </c>
      <c r="AN108" s="18">
        <v>0.40699999999999997</v>
      </c>
      <c r="AO108" s="18">
        <v>7</v>
      </c>
      <c r="AP108" s="18">
        <v>-8.3810000000000002</v>
      </c>
      <c r="AQ108" s="18">
        <v>1</v>
      </c>
      <c r="AR108" s="18">
        <v>5.7099999999999998E-2</v>
      </c>
      <c r="AS108" s="18">
        <v>0.23599999999999999</v>
      </c>
      <c r="AT108" s="18">
        <v>0</v>
      </c>
      <c r="AU108" s="18">
        <v>0.109</v>
      </c>
      <c r="AV108" s="18">
        <v>0.25700000000000001</v>
      </c>
      <c r="AW108" s="18">
        <v>133.86000000000001</v>
      </c>
      <c r="AX108" s="18">
        <v>4</v>
      </c>
      <c r="AY108" s="19" t="s">
        <v>24</v>
      </c>
    </row>
    <row r="109" spans="32:51" x14ac:dyDescent="0.35">
      <c r="AF109" s="14" t="s">
        <v>346</v>
      </c>
      <c r="AG109" s="15" t="s">
        <v>347</v>
      </c>
      <c r="AH109" s="15" t="s">
        <v>348</v>
      </c>
      <c r="AI109" s="15" t="s">
        <v>349</v>
      </c>
      <c r="AJ109" s="15">
        <v>49</v>
      </c>
      <c r="AK109" s="15">
        <v>349920</v>
      </c>
      <c r="AL109" s="15" t="b">
        <v>0</v>
      </c>
      <c r="AM109" s="15">
        <v>0.35699999999999998</v>
      </c>
      <c r="AN109" s="15">
        <v>0.161</v>
      </c>
      <c r="AO109" s="15">
        <v>8</v>
      </c>
      <c r="AP109" s="15">
        <v>-10.667</v>
      </c>
      <c r="AQ109" s="15">
        <v>1</v>
      </c>
      <c r="AR109" s="15">
        <v>3.8800000000000001E-2</v>
      </c>
      <c r="AS109" s="15">
        <v>0.97099999999999997</v>
      </c>
      <c r="AT109" s="31" t="s">
        <v>350</v>
      </c>
      <c r="AU109" s="15">
        <v>0.35799999999999998</v>
      </c>
      <c r="AV109" s="15">
        <v>0.32500000000000001</v>
      </c>
      <c r="AW109" s="15">
        <v>83.448999999999998</v>
      </c>
      <c r="AX109" s="15">
        <v>4</v>
      </c>
      <c r="AY109" s="16" t="s">
        <v>24</v>
      </c>
    </row>
    <row r="110" spans="32:51" x14ac:dyDescent="0.35">
      <c r="AF110" s="17" t="s">
        <v>351</v>
      </c>
      <c r="AG110" s="18" t="s">
        <v>352</v>
      </c>
      <c r="AH110" s="18" t="s">
        <v>353</v>
      </c>
      <c r="AI110" s="18" t="s">
        <v>354</v>
      </c>
      <c r="AJ110" s="18">
        <v>55</v>
      </c>
      <c r="AK110" s="18">
        <v>204973</v>
      </c>
      <c r="AL110" s="18" t="b">
        <v>0</v>
      </c>
      <c r="AM110" s="18">
        <v>0.47899999999999998</v>
      </c>
      <c r="AN110" s="18">
        <v>0.154</v>
      </c>
      <c r="AO110" s="18">
        <v>2</v>
      </c>
      <c r="AP110" s="18">
        <v>-11.282</v>
      </c>
      <c r="AQ110" s="18">
        <v>1</v>
      </c>
      <c r="AR110" s="18">
        <v>3.5200000000000002E-2</v>
      </c>
      <c r="AS110" s="18">
        <v>0.91500000000000004</v>
      </c>
      <c r="AT110" s="18">
        <v>0</v>
      </c>
      <c r="AU110" s="18">
        <v>9.74E-2</v>
      </c>
      <c r="AV110" s="18">
        <v>0.36</v>
      </c>
      <c r="AW110" s="18">
        <v>147.20699999999999</v>
      </c>
      <c r="AX110" s="18">
        <v>4</v>
      </c>
      <c r="AY110" s="19" t="s">
        <v>24</v>
      </c>
    </row>
    <row r="111" spans="32:51" x14ac:dyDescent="0.35">
      <c r="AF111" s="14" t="s">
        <v>355</v>
      </c>
      <c r="AG111" s="15" t="s">
        <v>356</v>
      </c>
      <c r="AH111" s="15" t="s">
        <v>357</v>
      </c>
      <c r="AI111" s="15" t="s">
        <v>357</v>
      </c>
      <c r="AJ111" s="15">
        <v>51</v>
      </c>
      <c r="AK111" s="15">
        <v>322146</v>
      </c>
      <c r="AL111" s="15" t="b">
        <v>0</v>
      </c>
      <c r="AM111" s="15">
        <v>0.59199999999999997</v>
      </c>
      <c r="AN111" s="15">
        <v>0.76900000000000002</v>
      </c>
      <c r="AO111" s="15">
        <v>2</v>
      </c>
      <c r="AP111" s="15">
        <v>-5.2679999999999998</v>
      </c>
      <c r="AQ111" s="15">
        <v>1</v>
      </c>
      <c r="AR111" s="15">
        <v>3.1099999999999999E-2</v>
      </c>
      <c r="AS111" s="15">
        <v>0.31900000000000001</v>
      </c>
      <c r="AT111" s="31" t="s">
        <v>358</v>
      </c>
      <c r="AU111" s="15">
        <v>0.13700000000000001</v>
      </c>
      <c r="AV111" s="15">
        <v>0.38500000000000001</v>
      </c>
      <c r="AW111" s="15">
        <v>102.033</v>
      </c>
      <c r="AX111" s="15">
        <v>4</v>
      </c>
      <c r="AY111" s="16" t="s">
        <v>24</v>
      </c>
    </row>
    <row r="112" spans="32:51" x14ac:dyDescent="0.35">
      <c r="AF112" s="17" t="s">
        <v>359</v>
      </c>
      <c r="AG112" s="18" t="s">
        <v>240</v>
      </c>
      <c r="AH112" s="18" t="s">
        <v>360</v>
      </c>
      <c r="AI112" s="18" t="s">
        <v>361</v>
      </c>
      <c r="AJ112" s="18">
        <v>46</v>
      </c>
      <c r="AK112" s="18">
        <v>210375</v>
      </c>
      <c r="AL112" s="18" t="b">
        <v>0</v>
      </c>
      <c r="AM112" s="18">
        <v>0.7</v>
      </c>
      <c r="AN112" s="18">
        <v>0.45400000000000001</v>
      </c>
      <c r="AO112" s="18">
        <v>7</v>
      </c>
      <c r="AP112" s="18">
        <v>-10.39</v>
      </c>
      <c r="AQ112" s="18">
        <v>0</v>
      </c>
      <c r="AR112" s="18">
        <v>3.8800000000000001E-2</v>
      </c>
      <c r="AS112" s="18">
        <v>0.55000000000000004</v>
      </c>
      <c r="AT112" s="18">
        <v>2.2000000000000001E-3</v>
      </c>
      <c r="AU112" s="18">
        <v>0.121</v>
      </c>
      <c r="AV112" s="18">
        <v>0.34</v>
      </c>
      <c r="AW112" s="18">
        <v>80.010999999999996</v>
      </c>
      <c r="AX112" s="18">
        <v>3</v>
      </c>
      <c r="AY112" s="19" t="s">
        <v>24</v>
      </c>
    </row>
    <row r="113" spans="32:51" x14ac:dyDescent="0.35">
      <c r="AF113" s="14" t="s">
        <v>362</v>
      </c>
      <c r="AG113" s="15" t="s">
        <v>339</v>
      </c>
      <c r="AH113" s="15" t="s">
        <v>363</v>
      </c>
      <c r="AI113" s="15" t="s">
        <v>364</v>
      </c>
      <c r="AJ113" s="15">
        <v>57</v>
      </c>
      <c r="AK113" s="15">
        <v>131000</v>
      </c>
      <c r="AL113" s="15" t="b">
        <v>0</v>
      </c>
      <c r="AM113" s="15">
        <v>0.40200000000000002</v>
      </c>
      <c r="AN113" s="15">
        <v>0.19700000000000001</v>
      </c>
      <c r="AO113" s="15">
        <v>5</v>
      </c>
      <c r="AP113" s="15">
        <v>-10.775</v>
      </c>
      <c r="AQ113" s="15">
        <v>1</v>
      </c>
      <c r="AR113" s="15">
        <v>2.9499999999999998E-2</v>
      </c>
      <c r="AS113" s="15">
        <v>0.85799999999999998</v>
      </c>
      <c r="AT113" s="31" t="s">
        <v>365</v>
      </c>
      <c r="AU113" s="15">
        <v>0.114</v>
      </c>
      <c r="AV113" s="15">
        <v>0.14799999999999999</v>
      </c>
      <c r="AW113" s="15">
        <v>100.044</v>
      </c>
      <c r="AX113" s="15">
        <v>3</v>
      </c>
      <c r="AY113" s="16" t="s">
        <v>24</v>
      </c>
    </row>
    <row r="114" spans="32:51" x14ac:dyDescent="0.35">
      <c r="AF114" s="17" t="s">
        <v>366</v>
      </c>
      <c r="AG114" s="18" t="s">
        <v>184</v>
      </c>
      <c r="AH114" s="18" t="s">
        <v>367</v>
      </c>
      <c r="AI114" s="18" t="s">
        <v>367</v>
      </c>
      <c r="AJ114" s="18">
        <v>58</v>
      </c>
      <c r="AK114" s="18">
        <v>218531</v>
      </c>
      <c r="AL114" s="18" t="b">
        <v>0</v>
      </c>
      <c r="AM114" s="18">
        <v>0.50700000000000001</v>
      </c>
      <c r="AN114" s="18">
        <v>0.378</v>
      </c>
      <c r="AO114" s="18">
        <v>9</v>
      </c>
      <c r="AP114" s="18">
        <v>-9.0190000000000001</v>
      </c>
      <c r="AQ114" s="18">
        <v>1</v>
      </c>
      <c r="AR114" s="18">
        <v>3.32E-2</v>
      </c>
      <c r="AS114" s="18">
        <v>0.85199999999999998</v>
      </c>
      <c r="AT114" s="18">
        <v>2.12E-4</v>
      </c>
      <c r="AU114" s="18">
        <v>9.3700000000000006E-2</v>
      </c>
      <c r="AV114" s="18">
        <v>8.5000000000000006E-2</v>
      </c>
      <c r="AW114" s="18">
        <v>135.86000000000001</v>
      </c>
      <c r="AX114" s="18">
        <v>4</v>
      </c>
      <c r="AY114" s="19" t="s">
        <v>24</v>
      </c>
    </row>
    <row r="115" spans="32:51" x14ac:dyDescent="0.35">
      <c r="AF115" s="14" t="s">
        <v>368</v>
      </c>
      <c r="AG115" s="15" t="s">
        <v>26</v>
      </c>
      <c r="AH115" s="15" t="s">
        <v>369</v>
      </c>
      <c r="AI115" s="15" t="s">
        <v>369</v>
      </c>
      <c r="AJ115" s="15">
        <v>51</v>
      </c>
      <c r="AK115" s="15">
        <v>195945</v>
      </c>
      <c r="AL115" s="15" t="b">
        <v>0</v>
      </c>
      <c r="AM115" s="15">
        <v>0.61899999999999999</v>
      </c>
      <c r="AN115" s="15">
        <v>0.22600000000000001</v>
      </c>
      <c r="AO115" s="15">
        <v>4</v>
      </c>
      <c r="AP115" s="15">
        <v>-13.452999999999999</v>
      </c>
      <c r="AQ115" s="15">
        <v>1</v>
      </c>
      <c r="AR115" s="15">
        <v>6.4100000000000004E-2</v>
      </c>
      <c r="AS115" s="15">
        <v>0.95899999999999996</v>
      </c>
      <c r="AT115" s="31" t="s">
        <v>370</v>
      </c>
      <c r="AU115" s="15">
        <v>0.106</v>
      </c>
      <c r="AV115" s="15">
        <v>0.188</v>
      </c>
      <c r="AW115" s="15">
        <v>124.96</v>
      </c>
      <c r="AX115" s="15">
        <v>3</v>
      </c>
      <c r="AY115" s="16" t="s">
        <v>24</v>
      </c>
    </row>
    <row r="116" spans="32:51" x14ac:dyDescent="0.35">
      <c r="AF116" s="17" t="s">
        <v>371</v>
      </c>
      <c r="AG116" s="18" t="s">
        <v>372</v>
      </c>
      <c r="AH116" s="18" t="s">
        <v>373</v>
      </c>
      <c r="AI116" s="18" t="s">
        <v>374</v>
      </c>
      <c r="AJ116" s="18">
        <v>63</v>
      </c>
      <c r="AK116" s="18">
        <v>245933</v>
      </c>
      <c r="AL116" s="18" t="b">
        <v>0</v>
      </c>
      <c r="AM116" s="18">
        <v>0.40400000000000003</v>
      </c>
      <c r="AN116" s="18">
        <v>0.57099999999999995</v>
      </c>
      <c r="AO116" s="18">
        <v>0</v>
      </c>
      <c r="AP116" s="18">
        <v>-5.069</v>
      </c>
      <c r="AQ116" s="18">
        <v>1</v>
      </c>
      <c r="AR116" s="18">
        <v>3.0300000000000001E-2</v>
      </c>
      <c r="AS116" s="18">
        <v>0.182</v>
      </c>
      <c r="AT116" s="32" t="s">
        <v>375</v>
      </c>
      <c r="AU116" s="18">
        <v>0.129</v>
      </c>
      <c r="AV116" s="18">
        <v>0.28999999999999998</v>
      </c>
      <c r="AW116" s="18">
        <v>147.01</v>
      </c>
      <c r="AX116" s="18">
        <v>4</v>
      </c>
      <c r="AY116" s="19" t="s">
        <v>24</v>
      </c>
    </row>
    <row r="117" spans="32:51" x14ac:dyDescent="0.35">
      <c r="AF117" s="14" t="s">
        <v>376</v>
      </c>
      <c r="AG117" s="15" t="s">
        <v>377</v>
      </c>
      <c r="AH117" s="15" t="s">
        <v>378</v>
      </c>
      <c r="AI117" s="15" t="s">
        <v>378</v>
      </c>
      <c r="AJ117" s="15">
        <v>53</v>
      </c>
      <c r="AK117" s="15">
        <v>212386</v>
      </c>
      <c r="AL117" s="15" t="b">
        <v>0</v>
      </c>
      <c r="AM117" s="15">
        <v>0.41799999999999998</v>
      </c>
      <c r="AN117" s="15">
        <v>0.79</v>
      </c>
      <c r="AO117" s="15">
        <v>4</v>
      </c>
      <c r="AP117" s="15">
        <v>-6.5990000000000002</v>
      </c>
      <c r="AQ117" s="15">
        <v>0</v>
      </c>
      <c r="AR117" s="15">
        <v>5.0599999999999999E-2</v>
      </c>
      <c r="AS117" s="15">
        <v>2.8400000000000002E-2</v>
      </c>
      <c r="AT117" s="31" t="s">
        <v>379</v>
      </c>
      <c r="AU117" s="15">
        <v>0.11700000000000001</v>
      </c>
      <c r="AV117" s="15">
        <v>0.19700000000000001</v>
      </c>
      <c r="AW117" s="15">
        <v>175.97499999999999</v>
      </c>
      <c r="AX117" s="15">
        <v>4</v>
      </c>
      <c r="AY117" s="16" t="s">
        <v>24</v>
      </c>
    </row>
    <row r="118" spans="32:51" x14ac:dyDescent="0.35">
      <c r="AF118" s="17" t="s">
        <v>380</v>
      </c>
      <c r="AG118" s="18" t="s">
        <v>339</v>
      </c>
      <c r="AH118" s="18" t="s">
        <v>92</v>
      </c>
      <c r="AI118" s="18" t="s">
        <v>381</v>
      </c>
      <c r="AJ118" s="18">
        <v>60</v>
      </c>
      <c r="AK118" s="18">
        <v>225165</v>
      </c>
      <c r="AL118" s="18" t="b">
        <v>0</v>
      </c>
      <c r="AM118" s="18">
        <v>0.63300000000000001</v>
      </c>
      <c r="AN118" s="18">
        <v>0.29899999999999999</v>
      </c>
      <c r="AO118" s="18">
        <v>11</v>
      </c>
      <c r="AP118" s="18">
        <v>-7.798</v>
      </c>
      <c r="AQ118" s="18">
        <v>1</v>
      </c>
      <c r="AR118" s="18">
        <v>3.5299999999999998E-2</v>
      </c>
      <c r="AS118" s="18">
        <v>0.83299999999999996</v>
      </c>
      <c r="AT118" s="18">
        <v>0</v>
      </c>
      <c r="AU118" s="18">
        <v>0.109</v>
      </c>
      <c r="AV118" s="18">
        <v>0.34100000000000003</v>
      </c>
      <c r="AW118" s="18">
        <v>147.54900000000001</v>
      </c>
      <c r="AX118" s="18">
        <v>4</v>
      </c>
      <c r="AY118" s="19" t="s">
        <v>24</v>
      </c>
    </row>
    <row r="119" spans="32:51" x14ac:dyDescent="0.35">
      <c r="AF119" s="14" t="s">
        <v>382</v>
      </c>
      <c r="AG119" s="15" t="s">
        <v>83</v>
      </c>
      <c r="AH119" s="15" t="s">
        <v>383</v>
      </c>
      <c r="AI119" s="15" t="s">
        <v>383</v>
      </c>
      <c r="AJ119" s="15">
        <v>47</v>
      </c>
      <c r="AK119" s="15">
        <v>112008</v>
      </c>
      <c r="AL119" s="15" t="b">
        <v>0</v>
      </c>
      <c r="AM119" s="15">
        <v>0.56499999999999995</v>
      </c>
      <c r="AN119" s="15">
        <v>3.9199999999999999E-2</v>
      </c>
      <c r="AO119" s="15">
        <v>1</v>
      </c>
      <c r="AP119" s="15">
        <v>-28.276</v>
      </c>
      <c r="AQ119" s="15">
        <v>1</v>
      </c>
      <c r="AR119" s="15">
        <v>4.4999999999999998E-2</v>
      </c>
      <c r="AS119" s="15">
        <v>0.83499999999999996</v>
      </c>
      <c r="AT119" s="15">
        <v>0.183</v>
      </c>
      <c r="AU119" s="15">
        <v>0.11700000000000001</v>
      </c>
      <c r="AV119" s="15">
        <v>0.60099999999999998</v>
      </c>
      <c r="AW119" s="15">
        <v>125.399</v>
      </c>
      <c r="AX119" s="15">
        <v>4</v>
      </c>
      <c r="AY119" s="16" t="s">
        <v>24</v>
      </c>
    </row>
    <row r="120" spans="32:51" x14ac:dyDescent="0.35">
      <c r="AF120" s="17" t="s">
        <v>384</v>
      </c>
      <c r="AG120" s="18" t="s">
        <v>34</v>
      </c>
      <c r="AH120" s="18" t="s">
        <v>385</v>
      </c>
      <c r="AI120" s="18" t="s">
        <v>385</v>
      </c>
      <c r="AJ120" s="18">
        <v>60</v>
      </c>
      <c r="AK120" s="18">
        <v>123609</v>
      </c>
      <c r="AL120" s="18" t="b">
        <v>0</v>
      </c>
      <c r="AM120" s="18">
        <v>0.66400000000000003</v>
      </c>
      <c r="AN120" s="18">
        <v>7.5499999999999998E-2</v>
      </c>
      <c r="AO120" s="18">
        <v>10</v>
      </c>
      <c r="AP120" s="18">
        <v>-19.835999999999999</v>
      </c>
      <c r="AQ120" s="18">
        <v>1</v>
      </c>
      <c r="AR120" s="18">
        <v>3.8899999999999997E-2</v>
      </c>
      <c r="AS120" s="18">
        <v>0.91</v>
      </c>
      <c r="AT120" s="18">
        <v>0</v>
      </c>
      <c r="AU120" s="18">
        <v>0.16400000000000001</v>
      </c>
      <c r="AV120" s="18">
        <v>0.57499999999999996</v>
      </c>
      <c r="AW120" s="18">
        <v>80.004000000000005</v>
      </c>
      <c r="AX120" s="18">
        <v>1</v>
      </c>
      <c r="AY120" s="19" t="s">
        <v>24</v>
      </c>
    </row>
    <row r="121" spans="32:51" x14ac:dyDescent="0.35">
      <c r="AF121" s="14" t="s">
        <v>386</v>
      </c>
      <c r="AG121" s="15" t="s">
        <v>50</v>
      </c>
      <c r="AH121" s="15" t="s">
        <v>65</v>
      </c>
      <c r="AI121" s="15" t="s">
        <v>65</v>
      </c>
      <c r="AJ121" s="15">
        <v>66</v>
      </c>
      <c r="AK121" s="15">
        <v>240165</v>
      </c>
      <c r="AL121" s="15" t="b">
        <v>0</v>
      </c>
      <c r="AM121" s="15">
        <v>0.58499999999999996</v>
      </c>
      <c r="AN121" s="15">
        <v>0.30299999999999999</v>
      </c>
      <c r="AO121" s="15">
        <v>4</v>
      </c>
      <c r="AP121" s="15">
        <v>-10.058</v>
      </c>
      <c r="AQ121" s="15">
        <v>1</v>
      </c>
      <c r="AR121" s="15">
        <v>3.9800000000000002E-2</v>
      </c>
      <c r="AS121" s="15">
        <v>0.69399999999999995</v>
      </c>
      <c r="AT121" s="15">
        <v>0</v>
      </c>
      <c r="AU121" s="15">
        <v>0.115</v>
      </c>
      <c r="AV121" s="15">
        <v>0.14199999999999999</v>
      </c>
      <c r="AW121" s="15">
        <v>136.703</v>
      </c>
      <c r="AX121" s="15">
        <v>3</v>
      </c>
      <c r="AY121" s="16" t="s">
        <v>24</v>
      </c>
    </row>
    <row r="122" spans="32:51" x14ac:dyDescent="0.35">
      <c r="AF122" s="17" t="s">
        <v>387</v>
      </c>
      <c r="AG122" s="18" t="s">
        <v>388</v>
      </c>
      <c r="AH122" s="18" t="s">
        <v>389</v>
      </c>
      <c r="AI122" s="18" t="s">
        <v>389</v>
      </c>
      <c r="AJ122" s="18">
        <v>67</v>
      </c>
      <c r="AK122" s="18">
        <v>265843</v>
      </c>
      <c r="AL122" s="18" t="b">
        <v>0</v>
      </c>
      <c r="AM122" s="18">
        <v>0.65</v>
      </c>
      <c r="AN122" s="18">
        <v>0.27100000000000002</v>
      </c>
      <c r="AO122" s="18">
        <v>9</v>
      </c>
      <c r="AP122" s="18">
        <v>-11.081</v>
      </c>
      <c r="AQ122" s="18">
        <v>1</v>
      </c>
      <c r="AR122" s="18">
        <v>3.1399999999999997E-2</v>
      </c>
      <c r="AS122" s="18">
        <v>0.79400000000000004</v>
      </c>
      <c r="AT122" s="32" t="s">
        <v>390</v>
      </c>
      <c r="AU122" s="18">
        <v>0.19600000000000001</v>
      </c>
      <c r="AV122" s="18">
        <v>0.21</v>
      </c>
      <c r="AW122" s="18">
        <v>78.036000000000001</v>
      </c>
      <c r="AX122" s="18">
        <v>4</v>
      </c>
      <c r="AY122" s="19" t="s">
        <v>24</v>
      </c>
    </row>
    <row r="123" spans="32:51" x14ac:dyDescent="0.35">
      <c r="AF123" s="14" t="s">
        <v>391</v>
      </c>
      <c r="AG123" s="15" t="s">
        <v>392</v>
      </c>
      <c r="AH123" s="15" t="s">
        <v>393</v>
      </c>
      <c r="AI123" s="15" t="s">
        <v>394</v>
      </c>
      <c r="AJ123" s="15">
        <v>43</v>
      </c>
      <c r="AK123" s="15">
        <v>194194</v>
      </c>
      <c r="AL123" s="15" t="b">
        <v>0</v>
      </c>
      <c r="AM123" s="15">
        <v>0.53400000000000003</v>
      </c>
      <c r="AN123" s="15">
        <v>0.21299999999999999</v>
      </c>
      <c r="AO123" s="15">
        <v>1</v>
      </c>
      <c r="AP123" s="15">
        <v>-8.64</v>
      </c>
      <c r="AQ123" s="15">
        <v>1</v>
      </c>
      <c r="AR123" s="15">
        <v>2.8299999999999999E-2</v>
      </c>
      <c r="AS123" s="15">
        <v>0.88400000000000001</v>
      </c>
      <c r="AT123" s="15">
        <v>0</v>
      </c>
      <c r="AU123" s="15">
        <v>0.107</v>
      </c>
      <c r="AV123" s="15">
        <v>9.98E-2</v>
      </c>
      <c r="AW123" s="15">
        <v>98.385000000000005</v>
      </c>
      <c r="AX123" s="15">
        <v>4</v>
      </c>
      <c r="AY123" s="16" t="s">
        <v>24</v>
      </c>
    </row>
    <row r="124" spans="32:51" x14ac:dyDescent="0.35">
      <c r="AF124" s="17" t="s">
        <v>395</v>
      </c>
      <c r="AG124" s="18" t="s">
        <v>396</v>
      </c>
      <c r="AH124" s="18" t="s">
        <v>397</v>
      </c>
      <c r="AI124" s="18" t="s">
        <v>398</v>
      </c>
      <c r="AJ124" s="18">
        <v>54</v>
      </c>
      <c r="AK124" s="18">
        <v>154600</v>
      </c>
      <c r="AL124" s="18" t="b">
        <v>0</v>
      </c>
      <c r="AM124" s="18">
        <v>0.45600000000000002</v>
      </c>
      <c r="AN124" s="18">
        <v>0.38600000000000001</v>
      </c>
      <c r="AO124" s="18">
        <v>10</v>
      </c>
      <c r="AP124" s="18">
        <v>-10.292999999999999</v>
      </c>
      <c r="AQ124" s="18">
        <v>1</v>
      </c>
      <c r="AR124" s="18">
        <v>3.2000000000000001E-2</v>
      </c>
      <c r="AS124" s="18">
        <v>0.83499999999999996</v>
      </c>
      <c r="AT124" s="18">
        <v>0.108</v>
      </c>
      <c r="AU124" s="18">
        <v>0.38900000000000001</v>
      </c>
      <c r="AV124" s="18">
        <v>0.61199999999999999</v>
      </c>
      <c r="AW124" s="18">
        <v>165.733</v>
      </c>
      <c r="AX124" s="18">
        <v>4</v>
      </c>
      <c r="AY124" s="19" t="s">
        <v>24</v>
      </c>
    </row>
    <row r="125" spans="32:51" x14ac:dyDescent="0.35">
      <c r="AF125" s="14" t="s">
        <v>399</v>
      </c>
      <c r="AG125" s="15" t="s">
        <v>400</v>
      </c>
      <c r="AH125" s="15" t="s">
        <v>401</v>
      </c>
      <c r="AI125" s="15" t="s">
        <v>402</v>
      </c>
      <c r="AJ125" s="15">
        <v>60</v>
      </c>
      <c r="AK125" s="15">
        <v>158960</v>
      </c>
      <c r="AL125" s="15" t="b">
        <v>0</v>
      </c>
      <c r="AM125" s="15">
        <v>0.40899999999999997</v>
      </c>
      <c r="AN125" s="15">
        <v>0.23400000000000001</v>
      </c>
      <c r="AO125" s="15">
        <v>3</v>
      </c>
      <c r="AP125" s="15">
        <v>-13.711</v>
      </c>
      <c r="AQ125" s="15">
        <v>1</v>
      </c>
      <c r="AR125" s="15">
        <v>3.2300000000000002E-2</v>
      </c>
      <c r="AS125" s="15">
        <v>0.33800000000000002</v>
      </c>
      <c r="AT125" s="31" t="s">
        <v>403</v>
      </c>
      <c r="AU125" s="15">
        <v>8.9499999999999996E-2</v>
      </c>
      <c r="AV125" s="15">
        <v>0.14499999999999999</v>
      </c>
      <c r="AW125" s="15">
        <v>139.83199999999999</v>
      </c>
      <c r="AX125" s="15">
        <v>4</v>
      </c>
      <c r="AY125" s="16" t="s">
        <v>24</v>
      </c>
    </row>
    <row r="126" spans="32:51" x14ac:dyDescent="0.35">
      <c r="AF126" s="17" t="s">
        <v>404</v>
      </c>
      <c r="AG126" s="18" t="s">
        <v>57</v>
      </c>
      <c r="AH126" s="18" t="s">
        <v>405</v>
      </c>
      <c r="AI126" s="18" t="s">
        <v>406</v>
      </c>
      <c r="AJ126" s="18">
        <v>49</v>
      </c>
      <c r="AK126" s="18">
        <v>319000</v>
      </c>
      <c r="AL126" s="18" t="b">
        <v>0</v>
      </c>
      <c r="AM126" s="18">
        <v>0.502</v>
      </c>
      <c r="AN126" s="18">
        <v>0.53</v>
      </c>
      <c r="AO126" s="18">
        <v>2</v>
      </c>
      <c r="AP126" s="18">
        <v>-9.5730000000000004</v>
      </c>
      <c r="AQ126" s="18">
        <v>1</v>
      </c>
      <c r="AR126" s="18">
        <v>2.6599999999999999E-2</v>
      </c>
      <c r="AS126" s="18">
        <v>0.80500000000000005</v>
      </c>
      <c r="AT126" s="18">
        <v>7.3800000000000005E-4</v>
      </c>
      <c r="AU126" s="18">
        <v>7.2800000000000004E-2</v>
      </c>
      <c r="AV126" s="18">
        <v>0.10199999999999999</v>
      </c>
      <c r="AW126" s="18">
        <v>78.046000000000006</v>
      </c>
      <c r="AX126" s="18">
        <v>4</v>
      </c>
      <c r="AY126" s="19" t="s">
        <v>24</v>
      </c>
    </row>
    <row r="127" spans="32:51" x14ac:dyDescent="0.35">
      <c r="AF127" s="14" t="s">
        <v>407</v>
      </c>
      <c r="AG127" s="15" t="s">
        <v>408</v>
      </c>
      <c r="AH127" s="15" t="s">
        <v>409</v>
      </c>
      <c r="AI127" s="15" t="s">
        <v>409</v>
      </c>
      <c r="AJ127" s="15">
        <v>57</v>
      </c>
      <c r="AK127" s="15">
        <v>214360</v>
      </c>
      <c r="AL127" s="15" t="b">
        <v>0</v>
      </c>
      <c r="AM127" s="15">
        <v>0.496</v>
      </c>
      <c r="AN127" s="15">
        <v>0.11700000000000001</v>
      </c>
      <c r="AO127" s="15">
        <v>0</v>
      </c>
      <c r="AP127" s="15">
        <v>-12.884</v>
      </c>
      <c r="AQ127" s="15">
        <v>1</v>
      </c>
      <c r="AR127" s="15">
        <v>3.0099999999999998E-2</v>
      </c>
      <c r="AS127" s="15">
        <v>0.93300000000000005</v>
      </c>
      <c r="AT127" s="15">
        <v>0</v>
      </c>
      <c r="AU127" s="15">
        <v>0.126</v>
      </c>
      <c r="AV127" s="15">
        <v>0.318</v>
      </c>
      <c r="AW127" s="15">
        <v>78.067999999999998</v>
      </c>
      <c r="AX127" s="15">
        <v>4</v>
      </c>
      <c r="AY127" s="16" t="s">
        <v>24</v>
      </c>
    </row>
    <row r="128" spans="32:51" x14ac:dyDescent="0.35">
      <c r="AF128" s="17" t="s">
        <v>410</v>
      </c>
      <c r="AG128" s="18" t="s">
        <v>26</v>
      </c>
      <c r="AH128" s="18" t="s">
        <v>411</v>
      </c>
      <c r="AI128" s="18" t="s">
        <v>411</v>
      </c>
      <c r="AJ128" s="18">
        <v>42</v>
      </c>
      <c r="AK128" s="18">
        <v>204480</v>
      </c>
      <c r="AL128" s="18" t="b">
        <v>0</v>
      </c>
      <c r="AM128" s="18">
        <v>0.58499999999999996</v>
      </c>
      <c r="AN128" s="18">
        <v>0.72399999999999998</v>
      </c>
      <c r="AO128" s="18">
        <v>1</v>
      </c>
      <c r="AP128" s="18">
        <v>-6.5129999999999999</v>
      </c>
      <c r="AQ128" s="18">
        <v>0</v>
      </c>
      <c r="AR128" s="18">
        <v>7.4499999999999997E-2</v>
      </c>
      <c r="AS128" s="18">
        <v>0.315</v>
      </c>
      <c r="AT128" s="18">
        <v>6.8099999999999994E-2</v>
      </c>
      <c r="AU128" s="18">
        <v>4.48E-2</v>
      </c>
      <c r="AV128" s="18">
        <v>0.33300000000000002</v>
      </c>
      <c r="AW128" s="18">
        <v>187.48400000000001</v>
      </c>
      <c r="AX128" s="18">
        <v>3</v>
      </c>
      <c r="AY128" s="19" t="s">
        <v>24</v>
      </c>
    </row>
    <row r="129" spans="32:51" x14ac:dyDescent="0.35">
      <c r="AF129" s="14" t="s">
        <v>412</v>
      </c>
      <c r="AG129" s="15" t="s">
        <v>413</v>
      </c>
      <c r="AH129" s="15" t="s">
        <v>414</v>
      </c>
      <c r="AI129" s="15" t="s">
        <v>415</v>
      </c>
      <c r="AJ129" s="15">
        <v>67</v>
      </c>
      <c r="AK129" s="15">
        <v>277000</v>
      </c>
      <c r="AL129" s="15" t="b">
        <v>0</v>
      </c>
      <c r="AM129" s="15">
        <v>0.58199999999999996</v>
      </c>
      <c r="AN129" s="15">
        <v>0.253</v>
      </c>
      <c r="AO129" s="15">
        <v>10</v>
      </c>
      <c r="AP129" s="15">
        <v>-11.43</v>
      </c>
      <c r="AQ129" s="15">
        <v>1</v>
      </c>
      <c r="AR129" s="15">
        <v>2.5899999999999999E-2</v>
      </c>
      <c r="AS129" s="15">
        <v>0.82699999999999996</v>
      </c>
      <c r="AT129" s="31" t="s">
        <v>416</v>
      </c>
      <c r="AU129" s="15">
        <v>9.0999999999999998E-2</v>
      </c>
      <c r="AV129" s="15">
        <v>0.29399999999999998</v>
      </c>
      <c r="AW129" s="15">
        <v>90.186000000000007</v>
      </c>
      <c r="AX129" s="15">
        <v>4</v>
      </c>
      <c r="AY129" s="16" t="s">
        <v>24</v>
      </c>
    </row>
    <row r="130" spans="32:51" x14ac:dyDescent="0.35">
      <c r="AF130" s="17" t="s">
        <v>417</v>
      </c>
      <c r="AG130" s="18" t="s">
        <v>418</v>
      </c>
      <c r="AH130" s="18" t="s">
        <v>419</v>
      </c>
      <c r="AI130" s="18" t="s">
        <v>420</v>
      </c>
      <c r="AJ130" s="18">
        <v>61</v>
      </c>
      <c r="AK130" s="18">
        <v>214240</v>
      </c>
      <c r="AL130" s="18" t="b">
        <v>0</v>
      </c>
      <c r="AM130" s="18">
        <v>0.63700000000000001</v>
      </c>
      <c r="AN130" s="18">
        <v>0.14000000000000001</v>
      </c>
      <c r="AO130" s="18">
        <v>2</v>
      </c>
      <c r="AP130" s="18">
        <v>-11.472</v>
      </c>
      <c r="AQ130" s="18">
        <v>1</v>
      </c>
      <c r="AR130" s="18">
        <v>4.07E-2</v>
      </c>
      <c r="AS130" s="18">
        <v>0.90300000000000002</v>
      </c>
      <c r="AT130" s="18">
        <v>0</v>
      </c>
      <c r="AU130" s="18">
        <v>0.107</v>
      </c>
      <c r="AV130" s="18">
        <v>0.39200000000000002</v>
      </c>
      <c r="AW130" s="18">
        <v>139.78</v>
      </c>
      <c r="AX130" s="18">
        <v>4</v>
      </c>
      <c r="AY130" s="19" t="s">
        <v>24</v>
      </c>
    </row>
    <row r="131" spans="32:51" x14ac:dyDescent="0.35">
      <c r="AF131" s="14" t="s">
        <v>421</v>
      </c>
      <c r="AG131" s="15" t="s">
        <v>422</v>
      </c>
      <c r="AH131" s="15" t="s">
        <v>423</v>
      </c>
      <c r="AI131" s="15" t="s">
        <v>424</v>
      </c>
      <c r="AJ131" s="15">
        <v>71</v>
      </c>
      <c r="AK131" s="15">
        <v>215173</v>
      </c>
      <c r="AL131" s="15" t="b">
        <v>0</v>
      </c>
      <c r="AM131" s="15">
        <v>0.67200000000000004</v>
      </c>
      <c r="AN131" s="15">
        <v>0.623</v>
      </c>
      <c r="AO131" s="15">
        <v>9</v>
      </c>
      <c r="AP131" s="15">
        <v>-5.6989999999999998</v>
      </c>
      <c r="AQ131" s="15">
        <v>1</v>
      </c>
      <c r="AR131" s="15">
        <v>2.9700000000000001E-2</v>
      </c>
      <c r="AS131" s="15">
        <v>0.24099999999999999</v>
      </c>
      <c r="AT131" s="15">
        <v>0</v>
      </c>
      <c r="AU131" s="15">
        <v>8.48E-2</v>
      </c>
      <c r="AV131" s="15">
        <v>0.61699999999999999</v>
      </c>
      <c r="AW131" s="15">
        <v>92.018000000000001</v>
      </c>
      <c r="AX131" s="15">
        <v>4</v>
      </c>
      <c r="AY131" s="16" t="s">
        <v>24</v>
      </c>
    </row>
    <row r="132" spans="32:51" x14ac:dyDescent="0.35">
      <c r="AF132" s="17" t="s">
        <v>425</v>
      </c>
      <c r="AG132" s="18" t="s">
        <v>426</v>
      </c>
      <c r="AH132" s="18" t="s">
        <v>427</v>
      </c>
      <c r="AI132" s="18" t="s">
        <v>428</v>
      </c>
      <c r="AJ132" s="18">
        <v>49</v>
      </c>
      <c r="AK132" s="18">
        <v>296862</v>
      </c>
      <c r="AL132" s="18" t="b">
        <v>0</v>
      </c>
      <c r="AM132" s="18">
        <v>0.42199999999999999</v>
      </c>
      <c r="AN132" s="18">
        <v>0.27200000000000002</v>
      </c>
      <c r="AO132" s="18">
        <v>4</v>
      </c>
      <c r="AP132" s="18">
        <v>-10.772</v>
      </c>
      <c r="AQ132" s="18">
        <v>0</v>
      </c>
      <c r="AR132" s="18">
        <v>3.5299999999999998E-2</v>
      </c>
      <c r="AS132" s="18">
        <v>0.496</v>
      </c>
      <c r="AT132" s="32" t="s">
        <v>429</v>
      </c>
      <c r="AU132" s="18">
        <v>7.0400000000000004E-2</v>
      </c>
      <c r="AV132" s="18">
        <v>0.113</v>
      </c>
      <c r="AW132" s="18">
        <v>143.41300000000001</v>
      </c>
      <c r="AX132" s="18">
        <v>4</v>
      </c>
      <c r="AY132" s="19" t="s">
        <v>24</v>
      </c>
    </row>
    <row r="133" spans="32:51" x14ac:dyDescent="0.35">
      <c r="AF133" s="14" t="s">
        <v>430</v>
      </c>
      <c r="AG133" s="15" t="s">
        <v>431</v>
      </c>
      <c r="AH133" s="15" t="s">
        <v>432</v>
      </c>
      <c r="AI133" s="15" t="s">
        <v>433</v>
      </c>
      <c r="AJ133" s="15">
        <v>61</v>
      </c>
      <c r="AK133" s="15">
        <v>235813</v>
      </c>
      <c r="AL133" s="15" t="b">
        <v>0</v>
      </c>
      <c r="AM133" s="15">
        <v>0.47</v>
      </c>
      <c r="AN133" s="15">
        <v>0.80100000000000005</v>
      </c>
      <c r="AO133" s="15">
        <v>9</v>
      </c>
      <c r="AP133" s="15">
        <v>-6.4260000000000002</v>
      </c>
      <c r="AQ133" s="15">
        <v>1</v>
      </c>
      <c r="AR133" s="15">
        <v>3.5200000000000002E-2</v>
      </c>
      <c r="AS133" s="15">
        <v>7.5800000000000006E-2</v>
      </c>
      <c r="AT133" s="31" t="s">
        <v>434</v>
      </c>
      <c r="AU133" s="15">
        <v>0.218</v>
      </c>
      <c r="AV133" s="15">
        <v>0.43099999999999999</v>
      </c>
      <c r="AW133" s="15">
        <v>173.92</v>
      </c>
      <c r="AX133" s="15">
        <v>4</v>
      </c>
      <c r="AY133" s="16" t="s">
        <v>24</v>
      </c>
    </row>
    <row r="134" spans="32:51" x14ac:dyDescent="0.35">
      <c r="AF134" s="17" t="s">
        <v>435</v>
      </c>
      <c r="AG134" s="18" t="s">
        <v>431</v>
      </c>
      <c r="AH134" s="18" t="s">
        <v>436</v>
      </c>
      <c r="AI134" s="18" t="s">
        <v>437</v>
      </c>
      <c r="AJ134" s="18">
        <v>61</v>
      </c>
      <c r="AK134" s="18">
        <v>228933</v>
      </c>
      <c r="AL134" s="18" t="b">
        <v>0</v>
      </c>
      <c r="AM134" s="18">
        <v>0.56399999999999995</v>
      </c>
      <c r="AN134" s="18">
        <v>0.86399999999999999</v>
      </c>
      <c r="AO134" s="18">
        <v>4</v>
      </c>
      <c r="AP134" s="18">
        <v>-5.1210000000000004</v>
      </c>
      <c r="AQ134" s="18">
        <v>1</v>
      </c>
      <c r="AR134" s="18">
        <v>3.4099999999999998E-2</v>
      </c>
      <c r="AS134" s="18">
        <v>7.6100000000000001E-2</v>
      </c>
      <c r="AT134" s="18">
        <v>0</v>
      </c>
      <c r="AU134" s="18">
        <v>0.182</v>
      </c>
      <c r="AV134" s="18">
        <v>0.53400000000000003</v>
      </c>
      <c r="AW134" s="18">
        <v>95.983999999999995</v>
      </c>
      <c r="AX134" s="18">
        <v>4</v>
      </c>
      <c r="AY134" s="19" t="s">
        <v>24</v>
      </c>
    </row>
    <row r="135" spans="32:51" x14ac:dyDescent="0.35">
      <c r="AF135" s="14" t="s">
        <v>438</v>
      </c>
      <c r="AG135" s="15" t="s">
        <v>50</v>
      </c>
      <c r="AH135" s="15" t="s">
        <v>439</v>
      </c>
      <c r="AI135" s="15" t="s">
        <v>440</v>
      </c>
      <c r="AJ135" s="15">
        <v>20</v>
      </c>
      <c r="AK135" s="15">
        <v>339196</v>
      </c>
      <c r="AL135" s="15" t="b">
        <v>0</v>
      </c>
      <c r="AM135" s="15">
        <v>0.52100000000000002</v>
      </c>
      <c r="AN135" s="15">
        <v>0.495</v>
      </c>
      <c r="AO135" s="15">
        <v>5</v>
      </c>
      <c r="AP135" s="15">
        <v>-7.7560000000000002</v>
      </c>
      <c r="AQ135" s="15">
        <v>1</v>
      </c>
      <c r="AR135" s="15">
        <v>2.7E-2</v>
      </c>
      <c r="AS135" s="15">
        <v>0.128</v>
      </c>
      <c r="AT135" s="15">
        <v>0</v>
      </c>
      <c r="AU135" s="15">
        <v>0.29599999999999999</v>
      </c>
      <c r="AV135" s="15">
        <v>0.11600000000000001</v>
      </c>
      <c r="AW135" s="15">
        <v>135.06100000000001</v>
      </c>
      <c r="AX135" s="15">
        <v>4</v>
      </c>
      <c r="AY135" s="16" t="s">
        <v>24</v>
      </c>
    </row>
    <row r="136" spans="32:51" x14ac:dyDescent="0.35">
      <c r="AF136" s="17" t="s">
        <v>441</v>
      </c>
      <c r="AG136" s="18" t="s">
        <v>50</v>
      </c>
      <c r="AH136" s="18" t="s">
        <v>439</v>
      </c>
      <c r="AI136" s="18" t="s">
        <v>442</v>
      </c>
      <c r="AJ136" s="18">
        <v>22</v>
      </c>
      <c r="AK136" s="18">
        <v>296843</v>
      </c>
      <c r="AL136" s="18" t="b">
        <v>0</v>
      </c>
      <c r="AM136" s="18">
        <v>0.61599999999999999</v>
      </c>
      <c r="AN136" s="18">
        <v>0.81</v>
      </c>
      <c r="AO136" s="18">
        <v>2</v>
      </c>
      <c r="AP136" s="18">
        <v>-6.51</v>
      </c>
      <c r="AQ136" s="18">
        <v>1</v>
      </c>
      <c r="AR136" s="18">
        <v>6.6799999999999998E-2</v>
      </c>
      <c r="AS136" s="18">
        <v>0.36899999999999999</v>
      </c>
      <c r="AT136" s="18">
        <v>0</v>
      </c>
      <c r="AU136" s="18">
        <v>0.107</v>
      </c>
      <c r="AV136" s="18">
        <v>0.79</v>
      </c>
      <c r="AW136" s="18">
        <v>97.994</v>
      </c>
      <c r="AX136" s="18">
        <v>4</v>
      </c>
      <c r="AY136" s="19" t="s">
        <v>24</v>
      </c>
    </row>
    <row r="137" spans="32:51" x14ac:dyDescent="0.35">
      <c r="AF137" s="14" t="s">
        <v>443</v>
      </c>
      <c r="AG137" s="15" t="s">
        <v>50</v>
      </c>
      <c r="AH137" s="15" t="s">
        <v>439</v>
      </c>
      <c r="AI137" s="15" t="s">
        <v>444</v>
      </c>
      <c r="AJ137" s="15">
        <v>35</v>
      </c>
      <c r="AK137" s="15">
        <v>218240</v>
      </c>
      <c r="AL137" s="15" t="b">
        <v>0</v>
      </c>
      <c r="AM137" s="15">
        <v>0.61499999999999999</v>
      </c>
      <c r="AN137" s="15">
        <v>0.81200000000000006</v>
      </c>
      <c r="AO137" s="15">
        <v>7</v>
      </c>
      <c r="AP137" s="15">
        <v>-6.5730000000000004</v>
      </c>
      <c r="AQ137" s="15">
        <v>1</v>
      </c>
      <c r="AR137" s="15">
        <v>4.58E-2</v>
      </c>
      <c r="AS137" s="15">
        <v>0.184</v>
      </c>
      <c r="AT137" s="15">
        <v>0</v>
      </c>
      <c r="AU137" s="15">
        <v>0.32800000000000001</v>
      </c>
      <c r="AV137" s="15">
        <v>0.74</v>
      </c>
      <c r="AW137" s="15">
        <v>98.953999999999994</v>
      </c>
      <c r="AX137" s="15">
        <v>4</v>
      </c>
      <c r="AY137" s="16" t="s">
        <v>24</v>
      </c>
    </row>
    <row r="138" spans="32:51" x14ac:dyDescent="0.35">
      <c r="AF138" s="17" t="s">
        <v>445</v>
      </c>
      <c r="AG138" s="18" t="s">
        <v>149</v>
      </c>
      <c r="AH138" s="18" t="s">
        <v>285</v>
      </c>
      <c r="AI138" s="18" t="s">
        <v>446</v>
      </c>
      <c r="AJ138" s="18">
        <v>60</v>
      </c>
      <c r="AK138" s="18">
        <v>151773</v>
      </c>
      <c r="AL138" s="18" t="b">
        <v>0</v>
      </c>
      <c r="AM138" s="18">
        <v>0.47799999999999998</v>
      </c>
      <c r="AN138" s="18">
        <v>0.30499999999999999</v>
      </c>
      <c r="AO138" s="18">
        <v>5</v>
      </c>
      <c r="AP138" s="18">
        <v>-13.061999999999999</v>
      </c>
      <c r="AQ138" s="18">
        <v>1</v>
      </c>
      <c r="AR138" s="18">
        <v>3.0599999999999999E-2</v>
      </c>
      <c r="AS138" s="18">
        <v>0.67500000000000004</v>
      </c>
      <c r="AT138" s="18">
        <v>1.39E-3</v>
      </c>
      <c r="AU138" s="18">
        <v>0.16900000000000001</v>
      </c>
      <c r="AV138" s="18">
        <v>9.74E-2</v>
      </c>
      <c r="AW138" s="18">
        <v>108.66</v>
      </c>
      <c r="AX138" s="18">
        <v>4</v>
      </c>
      <c r="AY138" s="19" t="s">
        <v>24</v>
      </c>
    </row>
    <row r="139" spans="32:51" x14ac:dyDescent="0.35">
      <c r="AF139" s="14" t="s">
        <v>447</v>
      </c>
      <c r="AG139" s="15" t="s">
        <v>278</v>
      </c>
      <c r="AH139" s="15" t="s">
        <v>448</v>
      </c>
      <c r="AI139" s="15" t="s">
        <v>289</v>
      </c>
      <c r="AJ139" s="15">
        <v>59</v>
      </c>
      <c r="AK139" s="15">
        <v>181400</v>
      </c>
      <c r="AL139" s="15" t="b">
        <v>0</v>
      </c>
      <c r="AM139" s="15">
        <v>0.47899999999999998</v>
      </c>
      <c r="AN139" s="15">
        <v>0.54100000000000004</v>
      </c>
      <c r="AO139" s="15">
        <v>0</v>
      </c>
      <c r="AP139" s="15">
        <v>-9.8620000000000001</v>
      </c>
      <c r="AQ139" s="15">
        <v>1</v>
      </c>
      <c r="AR139" s="15">
        <v>5.45E-2</v>
      </c>
      <c r="AS139" s="15">
        <v>0.73699999999999999</v>
      </c>
      <c r="AT139" s="15">
        <v>0</v>
      </c>
      <c r="AU139" s="15">
        <v>0.108</v>
      </c>
      <c r="AV139" s="15">
        <v>0.32100000000000001</v>
      </c>
      <c r="AW139" s="15">
        <v>85.994</v>
      </c>
      <c r="AX139" s="15">
        <v>4</v>
      </c>
      <c r="AY139" s="16" t="s">
        <v>24</v>
      </c>
    </row>
    <row r="140" spans="32:51" x14ac:dyDescent="0.35">
      <c r="AF140" s="17" t="s">
        <v>449</v>
      </c>
      <c r="AG140" s="18" t="s">
        <v>135</v>
      </c>
      <c r="AH140" s="18" t="s">
        <v>450</v>
      </c>
      <c r="AI140" s="18" t="s">
        <v>324</v>
      </c>
      <c r="AJ140" s="18">
        <v>73</v>
      </c>
      <c r="AK140" s="18">
        <v>201706</v>
      </c>
      <c r="AL140" s="18" t="b">
        <v>0</v>
      </c>
      <c r="AM140" s="18">
        <v>0.58699999999999997</v>
      </c>
      <c r="AN140" s="18">
        <v>0.76700000000000002</v>
      </c>
      <c r="AO140" s="18">
        <v>0</v>
      </c>
      <c r="AP140" s="18">
        <v>-5.7130000000000001</v>
      </c>
      <c r="AQ140" s="18">
        <v>1</v>
      </c>
      <c r="AR140" s="18">
        <v>4.4900000000000002E-2</v>
      </c>
      <c r="AS140" s="18">
        <v>0.22500000000000001</v>
      </c>
      <c r="AT140" s="18">
        <v>0</v>
      </c>
      <c r="AU140" s="18">
        <v>0.112</v>
      </c>
      <c r="AV140" s="18">
        <v>0.66400000000000003</v>
      </c>
      <c r="AW140" s="18">
        <v>100.38</v>
      </c>
      <c r="AX140" s="18">
        <v>4</v>
      </c>
      <c r="AY140" s="19" t="s">
        <v>24</v>
      </c>
    </row>
    <row r="141" spans="32:51" x14ac:dyDescent="0.35">
      <c r="AF141" s="14" t="s">
        <v>451</v>
      </c>
      <c r="AG141" s="15" t="s">
        <v>50</v>
      </c>
      <c r="AH141" s="15" t="s">
        <v>439</v>
      </c>
      <c r="AI141" s="15" t="s">
        <v>452</v>
      </c>
      <c r="AJ141" s="15">
        <v>22</v>
      </c>
      <c r="AK141" s="15">
        <v>192260</v>
      </c>
      <c r="AL141" s="15" t="b">
        <v>0</v>
      </c>
      <c r="AM141" s="15">
        <v>0.51400000000000001</v>
      </c>
      <c r="AN141" s="15">
        <v>0.56899999999999995</v>
      </c>
      <c r="AO141" s="15">
        <v>6</v>
      </c>
      <c r="AP141" s="15">
        <v>-7.8659999999999997</v>
      </c>
      <c r="AQ141" s="15">
        <v>0</v>
      </c>
      <c r="AR141" s="15">
        <v>0.03</v>
      </c>
      <c r="AS141" s="15">
        <v>0.60099999999999998</v>
      </c>
      <c r="AT141" s="31" t="s">
        <v>453</v>
      </c>
      <c r="AU141" s="15">
        <v>0.218</v>
      </c>
      <c r="AV141" s="15">
        <v>0.26400000000000001</v>
      </c>
      <c r="AW141" s="15">
        <v>142.59700000000001</v>
      </c>
      <c r="AX141" s="15">
        <v>4</v>
      </c>
      <c r="AY141" s="16" t="s">
        <v>24</v>
      </c>
    </row>
    <row r="142" spans="32:51" x14ac:dyDescent="0.35">
      <c r="AF142" s="17" t="s">
        <v>454</v>
      </c>
      <c r="AG142" s="18" t="s">
        <v>50</v>
      </c>
      <c r="AH142" s="18" t="s">
        <v>439</v>
      </c>
      <c r="AI142" s="18" t="s">
        <v>455</v>
      </c>
      <c r="AJ142" s="18">
        <v>19</v>
      </c>
      <c r="AK142" s="18">
        <v>198855</v>
      </c>
      <c r="AL142" s="18" t="b">
        <v>0</v>
      </c>
      <c r="AM142" s="18">
        <v>0.64600000000000002</v>
      </c>
      <c r="AN142" s="18">
        <v>0.83599999999999997</v>
      </c>
      <c r="AO142" s="18">
        <v>1</v>
      </c>
      <c r="AP142" s="18">
        <v>-6.2030000000000003</v>
      </c>
      <c r="AQ142" s="18">
        <v>1</v>
      </c>
      <c r="AR142" s="18">
        <v>3.27E-2</v>
      </c>
      <c r="AS142" s="18">
        <v>0.30099999999999999</v>
      </c>
      <c r="AT142" s="32" t="s">
        <v>456</v>
      </c>
      <c r="AU142" s="18">
        <v>0.28999999999999998</v>
      </c>
      <c r="AV142" s="18">
        <v>0.72699999999999998</v>
      </c>
      <c r="AW142" s="18">
        <v>105.991</v>
      </c>
      <c r="AX142" s="18">
        <v>4</v>
      </c>
      <c r="AY142" s="19" t="s">
        <v>24</v>
      </c>
    </row>
    <row r="143" spans="32:51" x14ac:dyDescent="0.35">
      <c r="AF143" s="14" t="s">
        <v>457</v>
      </c>
      <c r="AG143" s="15" t="s">
        <v>50</v>
      </c>
      <c r="AH143" s="15" t="s">
        <v>439</v>
      </c>
      <c r="AI143" s="15" t="s">
        <v>458</v>
      </c>
      <c r="AJ143" s="15">
        <v>24</v>
      </c>
      <c r="AK143" s="15">
        <v>191889</v>
      </c>
      <c r="AL143" s="15" t="b">
        <v>0</v>
      </c>
      <c r="AM143" s="15">
        <v>0.56999999999999995</v>
      </c>
      <c r="AN143" s="15">
        <v>0.71099999999999997</v>
      </c>
      <c r="AO143" s="15">
        <v>9</v>
      </c>
      <c r="AP143" s="15">
        <v>-4.1550000000000002</v>
      </c>
      <c r="AQ143" s="15">
        <v>1</v>
      </c>
      <c r="AR143" s="15">
        <v>7.0300000000000001E-2</v>
      </c>
      <c r="AS143" s="15">
        <v>0.11899999999999999</v>
      </c>
      <c r="AT143" s="15">
        <v>0</v>
      </c>
      <c r="AU143" s="15">
        <v>0.35199999999999998</v>
      </c>
      <c r="AV143" s="15">
        <v>0.64800000000000002</v>
      </c>
      <c r="AW143" s="15">
        <v>163.11699999999999</v>
      </c>
      <c r="AX143" s="15">
        <v>4</v>
      </c>
      <c r="AY143" s="16" t="s">
        <v>24</v>
      </c>
    </row>
    <row r="144" spans="32:51" x14ac:dyDescent="0.35">
      <c r="AF144" s="17" t="s">
        <v>459</v>
      </c>
      <c r="AG144" s="18" t="s">
        <v>408</v>
      </c>
      <c r="AH144" s="18" t="s">
        <v>460</v>
      </c>
      <c r="AI144" s="18" t="s">
        <v>461</v>
      </c>
      <c r="AJ144" s="18">
        <v>57</v>
      </c>
      <c r="AK144" s="18">
        <v>171293</v>
      </c>
      <c r="AL144" s="18" t="b">
        <v>0</v>
      </c>
      <c r="AM144" s="18">
        <v>0.67800000000000005</v>
      </c>
      <c r="AN144" s="18">
        <v>0.19900000000000001</v>
      </c>
      <c r="AO144" s="18">
        <v>9</v>
      </c>
      <c r="AP144" s="18">
        <v>-9.7850000000000001</v>
      </c>
      <c r="AQ144" s="18">
        <v>1</v>
      </c>
      <c r="AR144" s="18">
        <v>3.0700000000000002E-2</v>
      </c>
      <c r="AS144" s="18">
        <v>0.95699999999999996</v>
      </c>
      <c r="AT144" s="32" t="s">
        <v>462</v>
      </c>
      <c r="AU144" s="18">
        <v>9.6799999999999997E-2</v>
      </c>
      <c r="AV144" s="18">
        <v>0.26200000000000001</v>
      </c>
      <c r="AW144" s="18">
        <v>72.006</v>
      </c>
      <c r="AX144" s="18">
        <v>4</v>
      </c>
      <c r="AY144" s="19" t="s">
        <v>24</v>
      </c>
    </row>
    <row r="145" spans="32:51" x14ac:dyDescent="0.35">
      <c r="AF145" s="14" t="s">
        <v>463</v>
      </c>
      <c r="AG145" s="15" t="s">
        <v>50</v>
      </c>
      <c r="AH145" s="15" t="s">
        <v>439</v>
      </c>
      <c r="AI145" s="15" t="s">
        <v>464</v>
      </c>
      <c r="AJ145" s="15">
        <v>35</v>
      </c>
      <c r="AK145" s="15">
        <v>256440</v>
      </c>
      <c r="AL145" s="15" t="b">
        <v>0</v>
      </c>
      <c r="AM145" s="15">
        <v>0.58899999999999997</v>
      </c>
      <c r="AN145" s="15">
        <v>0.86699999999999999</v>
      </c>
      <c r="AO145" s="15">
        <v>10</v>
      </c>
      <c r="AP145" s="15">
        <v>-4.5229999999999997</v>
      </c>
      <c r="AQ145" s="15">
        <v>1</v>
      </c>
      <c r="AR145" s="15">
        <v>3.85E-2</v>
      </c>
      <c r="AS145" s="15">
        <v>4.1000000000000002E-2</v>
      </c>
      <c r="AT145" s="15">
        <v>0</v>
      </c>
      <c r="AU145" s="15">
        <v>0.30599999999999999</v>
      </c>
      <c r="AV145" s="15">
        <v>0.79500000000000004</v>
      </c>
      <c r="AW145" s="15">
        <v>94.52</v>
      </c>
      <c r="AX145" s="15">
        <v>4</v>
      </c>
      <c r="AY145" s="16" t="s">
        <v>24</v>
      </c>
    </row>
    <row r="146" spans="32:51" x14ac:dyDescent="0.35">
      <c r="AF146" s="17" t="s">
        <v>465</v>
      </c>
      <c r="AG146" s="18" t="s">
        <v>50</v>
      </c>
      <c r="AH146" s="18" t="s">
        <v>439</v>
      </c>
      <c r="AI146" s="18" t="s">
        <v>466</v>
      </c>
      <c r="AJ146" s="18">
        <v>20</v>
      </c>
      <c r="AK146" s="18">
        <v>221425</v>
      </c>
      <c r="AL146" s="18" t="b">
        <v>0</v>
      </c>
      <c r="AM146" s="18">
        <v>0.626</v>
      </c>
      <c r="AN146" s="18">
        <v>0.92600000000000005</v>
      </c>
      <c r="AO146" s="18">
        <v>2</v>
      </c>
      <c r="AP146" s="18">
        <v>-4.4409999999999998</v>
      </c>
      <c r="AQ146" s="18">
        <v>1</v>
      </c>
      <c r="AR146" s="18">
        <v>4.7699999999999999E-2</v>
      </c>
      <c r="AS146" s="18">
        <v>2.6499999999999999E-2</v>
      </c>
      <c r="AT146" s="18">
        <v>0</v>
      </c>
      <c r="AU146" s="18">
        <v>0.159</v>
      </c>
      <c r="AV146" s="18">
        <v>0.54800000000000004</v>
      </c>
      <c r="AW146" s="18">
        <v>99.997</v>
      </c>
      <c r="AX146" s="18">
        <v>4</v>
      </c>
      <c r="AY146" s="19" t="s">
        <v>24</v>
      </c>
    </row>
    <row r="147" spans="32:51" x14ac:dyDescent="0.35">
      <c r="AF147" s="14" t="s">
        <v>467</v>
      </c>
      <c r="AG147" s="15" t="s">
        <v>50</v>
      </c>
      <c r="AH147" s="15" t="s">
        <v>439</v>
      </c>
      <c r="AI147" s="15" t="s">
        <v>468</v>
      </c>
      <c r="AJ147" s="15">
        <v>18</v>
      </c>
      <c r="AK147" s="15">
        <v>255047</v>
      </c>
      <c r="AL147" s="15" t="b">
        <v>0</v>
      </c>
      <c r="AM147" s="15">
        <v>0.68600000000000005</v>
      </c>
      <c r="AN147" s="15">
        <v>0.55600000000000005</v>
      </c>
      <c r="AO147" s="15">
        <v>1</v>
      </c>
      <c r="AP147" s="15">
        <v>-8.5</v>
      </c>
      <c r="AQ147" s="15">
        <v>0</v>
      </c>
      <c r="AR147" s="15">
        <v>2.7099999999999999E-2</v>
      </c>
      <c r="AS147" s="15">
        <v>0.53200000000000003</v>
      </c>
      <c r="AT147" s="15">
        <v>0</v>
      </c>
      <c r="AU147" s="15">
        <v>9.2200000000000004E-2</v>
      </c>
      <c r="AV147" s="15">
        <v>0.36</v>
      </c>
      <c r="AW147" s="15">
        <v>112.997</v>
      </c>
      <c r="AX147" s="15">
        <v>4</v>
      </c>
      <c r="AY147" s="16" t="s">
        <v>24</v>
      </c>
    </row>
    <row r="148" spans="32:51" x14ac:dyDescent="0.35">
      <c r="AF148" s="17" t="s">
        <v>469</v>
      </c>
      <c r="AG148" s="18" t="s">
        <v>50</v>
      </c>
      <c r="AH148" s="18" t="s">
        <v>439</v>
      </c>
      <c r="AI148" s="18" t="s">
        <v>470</v>
      </c>
      <c r="AJ148" s="18">
        <v>19</v>
      </c>
      <c r="AK148" s="18">
        <v>208793</v>
      </c>
      <c r="AL148" s="18" t="b">
        <v>0</v>
      </c>
      <c r="AM148" s="18">
        <v>0.56000000000000005</v>
      </c>
      <c r="AN148" s="18">
        <v>0.83199999999999996</v>
      </c>
      <c r="AO148" s="18">
        <v>9</v>
      </c>
      <c r="AP148" s="18">
        <v>-5.5949999999999998</v>
      </c>
      <c r="AQ148" s="18">
        <v>1</v>
      </c>
      <c r="AR148" s="18">
        <v>3.5200000000000002E-2</v>
      </c>
      <c r="AS148" s="18">
        <v>0.108</v>
      </c>
      <c r="AT148" s="18">
        <v>0</v>
      </c>
      <c r="AU148" s="18">
        <v>0.23200000000000001</v>
      </c>
      <c r="AV148" s="18">
        <v>0.80200000000000005</v>
      </c>
      <c r="AW148" s="18">
        <v>100.95699999999999</v>
      </c>
      <c r="AX148" s="18">
        <v>4</v>
      </c>
      <c r="AY148" s="19" t="s">
        <v>24</v>
      </c>
    </row>
    <row r="149" spans="32:51" x14ac:dyDescent="0.35">
      <c r="AF149" s="14" t="s">
        <v>471</v>
      </c>
      <c r="AG149" s="15" t="s">
        <v>50</v>
      </c>
      <c r="AH149" s="15" t="s">
        <v>439</v>
      </c>
      <c r="AI149" s="15" t="s">
        <v>472</v>
      </c>
      <c r="AJ149" s="15">
        <v>23</v>
      </c>
      <c r="AK149" s="15">
        <v>214552</v>
      </c>
      <c r="AL149" s="15" t="b">
        <v>0</v>
      </c>
      <c r="AM149" s="15">
        <v>0.61899999999999999</v>
      </c>
      <c r="AN149" s="15">
        <v>0.79300000000000004</v>
      </c>
      <c r="AO149" s="15">
        <v>5</v>
      </c>
      <c r="AP149" s="15">
        <v>-5.9640000000000004</v>
      </c>
      <c r="AQ149" s="15">
        <v>1</v>
      </c>
      <c r="AR149" s="15">
        <v>6.6100000000000006E-2</v>
      </c>
      <c r="AS149" s="15">
        <v>0.26300000000000001</v>
      </c>
      <c r="AT149" s="15">
        <v>0</v>
      </c>
      <c r="AU149" s="15">
        <v>8.2799999999999999E-2</v>
      </c>
      <c r="AV149" s="15">
        <v>0.89200000000000002</v>
      </c>
      <c r="AW149" s="15">
        <v>177.99100000000001</v>
      </c>
      <c r="AX149" s="15">
        <v>4</v>
      </c>
      <c r="AY149" s="16" t="s">
        <v>24</v>
      </c>
    </row>
    <row r="150" spans="32:51" x14ac:dyDescent="0.35">
      <c r="AF150" s="17" t="s">
        <v>473</v>
      </c>
      <c r="AG150" s="18" t="s">
        <v>50</v>
      </c>
      <c r="AH150" s="18" t="s">
        <v>439</v>
      </c>
      <c r="AI150" s="18" t="s">
        <v>474</v>
      </c>
      <c r="AJ150" s="18">
        <v>19</v>
      </c>
      <c r="AK150" s="18">
        <v>264280</v>
      </c>
      <c r="AL150" s="18" t="b">
        <v>0</v>
      </c>
      <c r="AM150" s="18">
        <v>0.56000000000000005</v>
      </c>
      <c r="AN150" s="18">
        <v>0.27800000000000002</v>
      </c>
      <c r="AO150" s="18">
        <v>3</v>
      </c>
      <c r="AP150" s="18">
        <v>-12.500999999999999</v>
      </c>
      <c r="AQ150" s="18">
        <v>1</v>
      </c>
      <c r="AR150" s="18">
        <v>9.2100000000000001E-2</v>
      </c>
      <c r="AS150" s="18">
        <v>0.73299999999999998</v>
      </c>
      <c r="AT150" s="18">
        <v>0</v>
      </c>
      <c r="AU150" s="18">
        <v>0.112</v>
      </c>
      <c r="AV150" s="18">
        <v>0.59399999999999997</v>
      </c>
      <c r="AW150" s="18">
        <v>102.187</v>
      </c>
      <c r="AX150" s="18">
        <v>4</v>
      </c>
      <c r="AY150" s="19" t="s">
        <v>24</v>
      </c>
    </row>
    <row r="151" spans="32:51" x14ac:dyDescent="0.35">
      <c r="AF151" s="14" t="s">
        <v>475</v>
      </c>
      <c r="AG151" s="15" t="s">
        <v>50</v>
      </c>
      <c r="AH151" s="15" t="s">
        <v>439</v>
      </c>
      <c r="AI151" s="15" t="s">
        <v>476</v>
      </c>
      <c r="AJ151" s="15">
        <v>18</v>
      </c>
      <c r="AK151" s="15">
        <v>289041</v>
      </c>
      <c r="AL151" s="15" t="b">
        <v>0</v>
      </c>
      <c r="AM151" s="15">
        <v>0.59499999999999997</v>
      </c>
      <c r="AN151" s="15">
        <v>0.80500000000000005</v>
      </c>
      <c r="AO151" s="15">
        <v>8</v>
      </c>
      <c r="AP151" s="15">
        <v>-7.9260000000000002</v>
      </c>
      <c r="AQ151" s="15">
        <v>1</v>
      </c>
      <c r="AR151" s="15">
        <v>5.4300000000000001E-2</v>
      </c>
      <c r="AS151" s="15">
        <v>1.67E-2</v>
      </c>
      <c r="AT151" s="31" t="s">
        <v>477</v>
      </c>
      <c r="AU151" s="15">
        <v>6.9099999999999995E-2</v>
      </c>
      <c r="AV151" s="15">
        <v>0.35899999999999999</v>
      </c>
      <c r="AW151" s="15">
        <v>102.44</v>
      </c>
      <c r="AX151" s="15">
        <v>4</v>
      </c>
      <c r="AY151" s="16" t="s">
        <v>24</v>
      </c>
    </row>
    <row r="152" spans="32:51" x14ac:dyDescent="0.35">
      <c r="AF152" s="17" t="s">
        <v>478</v>
      </c>
      <c r="AG152" s="18" t="s">
        <v>149</v>
      </c>
      <c r="AH152" s="18" t="s">
        <v>285</v>
      </c>
      <c r="AI152" s="18" t="s">
        <v>479</v>
      </c>
      <c r="AJ152" s="18">
        <v>65</v>
      </c>
      <c r="AK152" s="18">
        <v>322080</v>
      </c>
      <c r="AL152" s="18" t="b">
        <v>0</v>
      </c>
      <c r="AM152" s="18">
        <v>0.438</v>
      </c>
      <c r="AN152" s="18">
        <v>0.82699999999999996</v>
      </c>
      <c r="AO152" s="18">
        <v>8</v>
      </c>
      <c r="AP152" s="18">
        <v>-6.5309999999999997</v>
      </c>
      <c r="AQ152" s="18">
        <v>1</v>
      </c>
      <c r="AR152" s="18">
        <v>3.2800000000000003E-2</v>
      </c>
      <c r="AS152" s="18">
        <v>5.1200000000000002E-2</v>
      </c>
      <c r="AT152" s="18">
        <v>4.0200000000000001E-4</v>
      </c>
      <c r="AU152" s="18">
        <v>0.31900000000000001</v>
      </c>
      <c r="AV152" s="18">
        <v>0.64500000000000002</v>
      </c>
      <c r="AW152" s="18">
        <v>143.37700000000001</v>
      </c>
      <c r="AX152" s="18">
        <v>4</v>
      </c>
      <c r="AY152" s="19" t="s">
        <v>24</v>
      </c>
    </row>
    <row r="153" spans="32:51" x14ac:dyDescent="0.35">
      <c r="AF153" s="14" t="s">
        <v>480</v>
      </c>
      <c r="AG153" s="15" t="s">
        <v>481</v>
      </c>
      <c r="AH153" s="15" t="s">
        <v>482</v>
      </c>
      <c r="AI153" s="15" t="s">
        <v>482</v>
      </c>
      <c r="AJ153" s="15">
        <v>55</v>
      </c>
      <c r="AK153" s="15">
        <v>238971</v>
      </c>
      <c r="AL153" s="15" t="b">
        <v>0</v>
      </c>
      <c r="AM153" s="15">
        <v>0.58199999999999996</v>
      </c>
      <c r="AN153" s="15">
        <v>0.375</v>
      </c>
      <c r="AO153" s="15">
        <v>1</v>
      </c>
      <c r="AP153" s="15">
        <v>-13.276999999999999</v>
      </c>
      <c r="AQ153" s="15">
        <v>0</v>
      </c>
      <c r="AR153" s="15">
        <v>3.2899999999999999E-2</v>
      </c>
      <c r="AS153" s="15">
        <v>0.70199999999999996</v>
      </c>
      <c r="AT153" s="15">
        <v>6.3100000000000003E-2</v>
      </c>
      <c r="AU153" s="15">
        <v>0.13600000000000001</v>
      </c>
      <c r="AV153" s="15">
        <v>0.106</v>
      </c>
      <c r="AW153" s="15">
        <v>129.90899999999999</v>
      </c>
      <c r="AX153" s="15">
        <v>4</v>
      </c>
      <c r="AY153" s="16" t="s">
        <v>24</v>
      </c>
    </row>
    <row r="154" spans="32:51" x14ac:dyDescent="0.35">
      <c r="AF154" s="17" t="s">
        <v>483</v>
      </c>
      <c r="AG154" s="18" t="s">
        <v>484</v>
      </c>
      <c r="AH154" s="18" t="s">
        <v>485</v>
      </c>
      <c r="AI154" s="18" t="s">
        <v>486</v>
      </c>
      <c r="AJ154" s="18">
        <v>47</v>
      </c>
      <c r="AK154" s="18">
        <v>276575</v>
      </c>
      <c r="AL154" s="18" t="b">
        <v>0</v>
      </c>
      <c r="AM154" s="18">
        <v>0.45300000000000001</v>
      </c>
      <c r="AN154" s="18">
        <v>0.29499999999999998</v>
      </c>
      <c r="AO154" s="18">
        <v>7</v>
      </c>
      <c r="AP154" s="18">
        <v>-12.881</v>
      </c>
      <c r="AQ154" s="18">
        <v>1</v>
      </c>
      <c r="AR154" s="18">
        <v>2.9100000000000001E-2</v>
      </c>
      <c r="AS154" s="18">
        <v>0.51800000000000002</v>
      </c>
      <c r="AT154" s="18">
        <v>1.1E-4</v>
      </c>
      <c r="AU154" s="18">
        <v>0.29299999999999998</v>
      </c>
      <c r="AV154" s="18">
        <v>0.14000000000000001</v>
      </c>
      <c r="AW154" s="18">
        <v>146.02199999999999</v>
      </c>
      <c r="AX154" s="18">
        <v>4</v>
      </c>
      <c r="AY154" s="19" t="s">
        <v>24</v>
      </c>
    </row>
    <row r="155" spans="32:51" x14ac:dyDescent="0.35">
      <c r="AF155" s="14" t="s">
        <v>487</v>
      </c>
      <c r="AG155" s="15" t="s">
        <v>413</v>
      </c>
      <c r="AH155" s="15" t="s">
        <v>488</v>
      </c>
      <c r="AI155" s="15" t="s">
        <v>489</v>
      </c>
      <c r="AJ155" s="15">
        <v>56</v>
      </c>
      <c r="AK155" s="15">
        <v>249120</v>
      </c>
      <c r="AL155" s="15" t="b">
        <v>0</v>
      </c>
      <c r="AM155" s="15">
        <v>0.63600000000000001</v>
      </c>
      <c r="AN155" s="15">
        <v>0.625</v>
      </c>
      <c r="AO155" s="15">
        <v>11</v>
      </c>
      <c r="AP155" s="15">
        <v>-7.8949999999999996</v>
      </c>
      <c r="AQ155" s="15">
        <v>1</v>
      </c>
      <c r="AR155" s="15">
        <v>2.7699999999999999E-2</v>
      </c>
      <c r="AS155" s="15">
        <v>0.222</v>
      </c>
      <c r="AT155" s="31" t="s">
        <v>490</v>
      </c>
      <c r="AU155" s="15">
        <v>0.11899999999999999</v>
      </c>
      <c r="AV155" s="15">
        <v>0.34200000000000003</v>
      </c>
      <c r="AW155" s="15">
        <v>93.930999999999997</v>
      </c>
      <c r="AX155" s="15">
        <v>4</v>
      </c>
      <c r="AY155" s="16" t="s">
        <v>24</v>
      </c>
    </row>
    <row r="156" spans="32:51" x14ac:dyDescent="0.35">
      <c r="AF156" s="17" t="s">
        <v>491</v>
      </c>
      <c r="AG156" s="18" t="s">
        <v>492</v>
      </c>
      <c r="AH156" s="18" t="s">
        <v>493</v>
      </c>
      <c r="AI156" s="18" t="s">
        <v>493</v>
      </c>
      <c r="AJ156" s="18">
        <v>53</v>
      </c>
      <c r="AK156" s="18">
        <v>111734</v>
      </c>
      <c r="AL156" s="18" t="b">
        <v>0</v>
      </c>
      <c r="AM156" s="18">
        <v>0.63900000000000001</v>
      </c>
      <c r="AN156" s="18">
        <v>0.20100000000000001</v>
      </c>
      <c r="AO156" s="18">
        <v>7</v>
      </c>
      <c r="AP156" s="18">
        <v>-16.613</v>
      </c>
      <c r="AQ156" s="18">
        <v>0</v>
      </c>
      <c r="AR156" s="18">
        <v>5.2600000000000001E-2</v>
      </c>
      <c r="AS156" s="18">
        <v>0.90700000000000003</v>
      </c>
      <c r="AT156" s="32" t="s">
        <v>494</v>
      </c>
      <c r="AU156" s="18">
        <v>0.124</v>
      </c>
      <c r="AV156" s="18">
        <v>0.4</v>
      </c>
      <c r="AW156" s="18">
        <v>88.106999999999999</v>
      </c>
      <c r="AX156" s="18">
        <v>4</v>
      </c>
      <c r="AY156" s="19" t="s">
        <v>24</v>
      </c>
    </row>
    <row r="157" spans="32:51" x14ac:dyDescent="0.35">
      <c r="AF157" s="14" t="s">
        <v>495</v>
      </c>
      <c r="AG157" s="15" t="s">
        <v>356</v>
      </c>
      <c r="AH157" s="15" t="s">
        <v>357</v>
      </c>
      <c r="AI157" s="15" t="s">
        <v>496</v>
      </c>
      <c r="AJ157" s="15">
        <v>49</v>
      </c>
      <c r="AK157" s="15">
        <v>210760</v>
      </c>
      <c r="AL157" s="15" t="b">
        <v>0</v>
      </c>
      <c r="AM157" s="15">
        <v>0.69</v>
      </c>
      <c r="AN157" s="15">
        <v>0.42299999999999999</v>
      </c>
      <c r="AO157" s="15">
        <v>2</v>
      </c>
      <c r="AP157" s="15">
        <v>-9.1940000000000008</v>
      </c>
      <c r="AQ157" s="15">
        <v>0</v>
      </c>
      <c r="AR157" s="15">
        <v>2.9399999999999999E-2</v>
      </c>
      <c r="AS157" s="15">
        <v>0.88300000000000001</v>
      </c>
      <c r="AT157" s="15">
        <v>1.23E-2</v>
      </c>
      <c r="AU157" s="15">
        <v>0.111</v>
      </c>
      <c r="AV157" s="15">
        <v>0.59</v>
      </c>
      <c r="AW157" s="15">
        <v>130.12100000000001</v>
      </c>
      <c r="AX157" s="15">
        <v>4</v>
      </c>
      <c r="AY157" s="16" t="s">
        <v>24</v>
      </c>
    </row>
    <row r="158" spans="32:51" x14ac:dyDescent="0.35">
      <c r="AF158" s="17" t="s">
        <v>497</v>
      </c>
      <c r="AG158" s="18" t="s">
        <v>498</v>
      </c>
      <c r="AH158" s="18" t="s">
        <v>499</v>
      </c>
      <c r="AI158" s="18" t="s">
        <v>499</v>
      </c>
      <c r="AJ158" s="18">
        <v>51</v>
      </c>
      <c r="AK158" s="18">
        <v>255688</v>
      </c>
      <c r="AL158" s="18" t="b">
        <v>0</v>
      </c>
      <c r="AM158" s="18">
        <v>0.59899999999999998</v>
      </c>
      <c r="AN158" s="18">
        <v>0.34899999999999998</v>
      </c>
      <c r="AO158" s="18">
        <v>1</v>
      </c>
      <c r="AP158" s="18">
        <v>-9.2690000000000001</v>
      </c>
      <c r="AQ158" s="18">
        <v>1</v>
      </c>
      <c r="AR158" s="18">
        <v>3.0099999999999998E-2</v>
      </c>
      <c r="AS158" s="18">
        <v>0.81899999999999995</v>
      </c>
      <c r="AT158" s="18">
        <v>0</v>
      </c>
      <c r="AU158" s="18">
        <v>0.112</v>
      </c>
      <c r="AV158" s="18">
        <v>0.44400000000000001</v>
      </c>
      <c r="AW158" s="18">
        <v>147.91300000000001</v>
      </c>
      <c r="AX158" s="18">
        <v>4</v>
      </c>
      <c r="AY158" s="19" t="s">
        <v>24</v>
      </c>
    </row>
    <row r="159" spans="32:51" x14ac:dyDescent="0.35">
      <c r="AF159" s="14" t="s">
        <v>500</v>
      </c>
      <c r="AG159" s="15" t="s">
        <v>39</v>
      </c>
      <c r="AH159" s="15" t="s">
        <v>501</v>
      </c>
      <c r="AI159" s="15" t="s">
        <v>501</v>
      </c>
      <c r="AJ159" s="15">
        <v>53</v>
      </c>
      <c r="AK159" s="15">
        <v>181786</v>
      </c>
      <c r="AL159" s="15" t="b">
        <v>0</v>
      </c>
      <c r="AM159" s="15">
        <v>0.51900000000000002</v>
      </c>
      <c r="AN159" s="15">
        <v>0.26400000000000001</v>
      </c>
      <c r="AO159" s="15">
        <v>0</v>
      </c>
      <c r="AP159" s="15">
        <v>-11.170999999999999</v>
      </c>
      <c r="AQ159" s="15">
        <v>1</v>
      </c>
      <c r="AR159" s="15">
        <v>6.0100000000000001E-2</v>
      </c>
      <c r="AS159" s="15">
        <v>0.91800000000000004</v>
      </c>
      <c r="AT159" s="15">
        <v>2.5300000000000002E-4</v>
      </c>
      <c r="AU159" s="15">
        <v>0.23699999999999999</v>
      </c>
      <c r="AV159" s="15">
        <v>0.192</v>
      </c>
      <c r="AW159" s="15">
        <v>140.35400000000001</v>
      </c>
      <c r="AX159" s="15">
        <v>4</v>
      </c>
      <c r="AY159" s="16" t="s">
        <v>24</v>
      </c>
    </row>
    <row r="160" spans="32:51" x14ac:dyDescent="0.35">
      <c r="AF160" s="17" t="s">
        <v>502</v>
      </c>
      <c r="AG160" s="18" t="s">
        <v>248</v>
      </c>
      <c r="AH160" s="18" t="s">
        <v>503</v>
      </c>
      <c r="AI160" s="18" t="s">
        <v>504</v>
      </c>
      <c r="AJ160" s="18">
        <v>66</v>
      </c>
      <c r="AK160" s="18">
        <v>244600</v>
      </c>
      <c r="AL160" s="18" t="b">
        <v>0</v>
      </c>
      <c r="AM160" s="18">
        <v>0.64300000000000002</v>
      </c>
      <c r="AN160" s="18">
        <v>0.56899999999999995</v>
      </c>
      <c r="AO160" s="18">
        <v>7</v>
      </c>
      <c r="AP160" s="18">
        <v>-7.4589999999999996</v>
      </c>
      <c r="AQ160" s="18">
        <v>1</v>
      </c>
      <c r="AR160" s="18">
        <v>2.76E-2</v>
      </c>
      <c r="AS160" s="18">
        <v>0.54400000000000004</v>
      </c>
      <c r="AT160" s="32" t="s">
        <v>505</v>
      </c>
      <c r="AU160" s="18">
        <v>0.17799999999999999</v>
      </c>
      <c r="AV160" s="18">
        <v>0.27500000000000002</v>
      </c>
      <c r="AW160" s="18">
        <v>120.50700000000001</v>
      </c>
      <c r="AX160" s="18">
        <v>4</v>
      </c>
      <c r="AY160" s="19" t="s">
        <v>24</v>
      </c>
    </row>
    <row r="161" spans="32:51" x14ac:dyDescent="0.35">
      <c r="AF161" s="14" t="s">
        <v>506</v>
      </c>
      <c r="AG161" s="15" t="s">
        <v>184</v>
      </c>
      <c r="AH161" s="15" t="s">
        <v>507</v>
      </c>
      <c r="AI161" s="15" t="s">
        <v>508</v>
      </c>
      <c r="AJ161" s="15">
        <v>56</v>
      </c>
      <c r="AK161" s="15">
        <v>174546</v>
      </c>
      <c r="AL161" s="15" t="b">
        <v>0</v>
      </c>
      <c r="AM161" s="15">
        <v>0.57299999999999995</v>
      </c>
      <c r="AN161" s="15">
        <v>0.624</v>
      </c>
      <c r="AO161" s="15">
        <v>1</v>
      </c>
      <c r="AP161" s="15">
        <v>-9.0760000000000005</v>
      </c>
      <c r="AQ161" s="15">
        <v>0</v>
      </c>
      <c r="AR161" s="15">
        <v>3.2399999999999998E-2</v>
      </c>
      <c r="AS161" s="15">
        <v>0.47099999999999997</v>
      </c>
      <c r="AT161" s="15">
        <v>0.11700000000000001</v>
      </c>
      <c r="AU161" s="15">
        <v>0.114</v>
      </c>
      <c r="AV161" s="15">
        <v>0.52900000000000003</v>
      </c>
      <c r="AW161" s="15">
        <v>161.02500000000001</v>
      </c>
      <c r="AX161" s="15">
        <v>4</v>
      </c>
      <c r="AY161" s="16" t="s">
        <v>24</v>
      </c>
    </row>
    <row r="162" spans="32:51" x14ac:dyDescent="0.35">
      <c r="AF162" s="17" t="s">
        <v>509</v>
      </c>
      <c r="AG162" s="18" t="s">
        <v>426</v>
      </c>
      <c r="AH162" s="18" t="s">
        <v>510</v>
      </c>
      <c r="AI162" s="18" t="s">
        <v>511</v>
      </c>
      <c r="AJ162" s="18">
        <v>47</v>
      </c>
      <c r="AK162" s="18">
        <v>234330</v>
      </c>
      <c r="AL162" s="18" t="b">
        <v>0</v>
      </c>
      <c r="AM162" s="18">
        <v>0.65400000000000003</v>
      </c>
      <c r="AN162" s="18">
        <v>0.82099999999999995</v>
      </c>
      <c r="AO162" s="18">
        <v>7</v>
      </c>
      <c r="AP162" s="18">
        <v>-5.4720000000000004</v>
      </c>
      <c r="AQ162" s="18">
        <v>1</v>
      </c>
      <c r="AR162" s="18">
        <v>2.64E-2</v>
      </c>
      <c r="AS162" s="18">
        <v>6.6600000000000001E-3</v>
      </c>
      <c r="AT162" s="18">
        <v>2.99E-3</v>
      </c>
      <c r="AU162" s="18">
        <v>0.22800000000000001</v>
      </c>
      <c r="AV162" s="18">
        <v>0.61299999999999999</v>
      </c>
      <c r="AW162" s="18">
        <v>111.958</v>
      </c>
      <c r="AX162" s="18">
        <v>4</v>
      </c>
      <c r="AY162" s="19" t="s">
        <v>24</v>
      </c>
    </row>
    <row r="163" spans="32:51" x14ac:dyDescent="0.35">
      <c r="AF163" s="14" t="s">
        <v>512</v>
      </c>
      <c r="AG163" s="15" t="s">
        <v>513</v>
      </c>
      <c r="AH163" s="15" t="s">
        <v>514</v>
      </c>
      <c r="AI163" s="15" t="s">
        <v>515</v>
      </c>
      <c r="AJ163" s="15">
        <v>51</v>
      </c>
      <c r="AK163" s="15">
        <v>255600</v>
      </c>
      <c r="AL163" s="15" t="b">
        <v>0</v>
      </c>
      <c r="AM163" s="15">
        <v>0.42599999999999999</v>
      </c>
      <c r="AN163" s="15">
        <v>0.39900000000000002</v>
      </c>
      <c r="AO163" s="15">
        <v>0</v>
      </c>
      <c r="AP163" s="15">
        <v>-8.4469999999999992</v>
      </c>
      <c r="AQ163" s="15">
        <v>1</v>
      </c>
      <c r="AR163" s="15">
        <v>3.4000000000000002E-2</v>
      </c>
      <c r="AS163" s="15">
        <v>0.76100000000000001</v>
      </c>
      <c r="AT163" s="15">
        <v>1.1199999999999999E-3</v>
      </c>
      <c r="AU163" s="15">
        <v>0.11799999999999999</v>
      </c>
      <c r="AV163" s="15">
        <v>0.217</v>
      </c>
      <c r="AW163" s="15">
        <v>115.979</v>
      </c>
      <c r="AX163" s="15">
        <v>4</v>
      </c>
      <c r="AY163" s="16" t="s">
        <v>24</v>
      </c>
    </row>
    <row r="164" spans="32:51" x14ac:dyDescent="0.35">
      <c r="AF164" s="17" t="s">
        <v>516</v>
      </c>
      <c r="AG164" s="18" t="s">
        <v>517</v>
      </c>
      <c r="AH164" s="18" t="s">
        <v>518</v>
      </c>
      <c r="AI164" s="18" t="s">
        <v>518</v>
      </c>
      <c r="AJ164" s="18">
        <v>55</v>
      </c>
      <c r="AK164" s="18">
        <v>176542</v>
      </c>
      <c r="AL164" s="18" t="b">
        <v>0</v>
      </c>
      <c r="AM164" s="18">
        <v>0.505</v>
      </c>
      <c r="AN164" s="18">
        <v>0.21</v>
      </c>
      <c r="AO164" s="18">
        <v>11</v>
      </c>
      <c r="AP164" s="18">
        <v>-11.349</v>
      </c>
      <c r="AQ164" s="18">
        <v>1</v>
      </c>
      <c r="AR164" s="18">
        <v>2.9499999999999998E-2</v>
      </c>
      <c r="AS164" s="18">
        <v>0.90700000000000003</v>
      </c>
      <c r="AT164" s="18">
        <v>0</v>
      </c>
      <c r="AU164" s="18">
        <v>0.11</v>
      </c>
      <c r="AV164" s="18">
        <v>0.32300000000000001</v>
      </c>
      <c r="AW164" s="18">
        <v>80.721000000000004</v>
      </c>
      <c r="AX164" s="18">
        <v>4</v>
      </c>
      <c r="AY164" s="19" t="s">
        <v>24</v>
      </c>
    </row>
    <row r="165" spans="32:51" x14ac:dyDescent="0.35">
      <c r="AF165" s="14" t="s">
        <v>519</v>
      </c>
      <c r="AG165" s="15" t="s">
        <v>50</v>
      </c>
      <c r="AH165" s="15" t="s">
        <v>52</v>
      </c>
      <c r="AI165" s="15" t="s">
        <v>52</v>
      </c>
      <c r="AJ165" s="15">
        <v>60</v>
      </c>
      <c r="AK165" s="15">
        <v>243494</v>
      </c>
      <c r="AL165" s="15" t="b">
        <v>0</v>
      </c>
      <c r="AM165" s="15">
        <v>0.69299999999999995</v>
      </c>
      <c r="AN165" s="15">
        <v>0.43</v>
      </c>
      <c r="AO165" s="15">
        <v>11</v>
      </c>
      <c r="AP165" s="15">
        <v>-9.3949999999999996</v>
      </c>
      <c r="AQ165" s="15">
        <v>1</v>
      </c>
      <c r="AR165" s="15">
        <v>4.4200000000000003E-2</v>
      </c>
      <c r="AS165" s="15">
        <v>0.56499999999999995</v>
      </c>
      <c r="AT165" s="15">
        <v>0</v>
      </c>
      <c r="AU165" s="15">
        <v>9.2799999999999994E-2</v>
      </c>
      <c r="AV165" s="15">
        <v>0.73099999999999998</v>
      </c>
      <c r="AW165" s="15">
        <v>151.001</v>
      </c>
      <c r="AX165" s="15">
        <v>4</v>
      </c>
      <c r="AY165" s="16" t="s">
        <v>24</v>
      </c>
    </row>
    <row r="166" spans="32:51" x14ac:dyDescent="0.35">
      <c r="AF166" s="17" t="s">
        <v>520</v>
      </c>
      <c r="AG166" s="18" t="s">
        <v>521</v>
      </c>
      <c r="AH166" s="18" t="s">
        <v>522</v>
      </c>
      <c r="AI166" s="18" t="s">
        <v>522</v>
      </c>
      <c r="AJ166" s="18">
        <v>40</v>
      </c>
      <c r="AK166" s="18">
        <v>188695</v>
      </c>
      <c r="AL166" s="18" t="b">
        <v>0</v>
      </c>
      <c r="AM166" s="18">
        <v>0.73899999999999999</v>
      </c>
      <c r="AN166" s="18">
        <v>0.28699999999999998</v>
      </c>
      <c r="AO166" s="18">
        <v>6</v>
      </c>
      <c r="AP166" s="18">
        <v>-14.007</v>
      </c>
      <c r="AQ166" s="18">
        <v>0</v>
      </c>
      <c r="AR166" s="18">
        <v>5.8999999999999997E-2</v>
      </c>
      <c r="AS166" s="18">
        <v>0.96899999999999997</v>
      </c>
      <c r="AT166" s="18">
        <v>0.96099999999999997</v>
      </c>
      <c r="AU166" s="18">
        <v>0.111</v>
      </c>
      <c r="AV166" s="18">
        <v>0.55700000000000005</v>
      </c>
      <c r="AW166" s="18">
        <v>80.64</v>
      </c>
      <c r="AX166" s="18">
        <v>4</v>
      </c>
      <c r="AY166" s="19" t="s">
        <v>24</v>
      </c>
    </row>
    <row r="167" spans="32:51" x14ac:dyDescent="0.35">
      <c r="AF167" s="14" t="s">
        <v>523</v>
      </c>
      <c r="AG167" s="15" t="s">
        <v>45</v>
      </c>
      <c r="AH167" s="15" t="s">
        <v>47</v>
      </c>
      <c r="AI167" s="15" t="s">
        <v>47</v>
      </c>
      <c r="AJ167" s="15">
        <v>58</v>
      </c>
      <c r="AK167" s="15">
        <v>229400</v>
      </c>
      <c r="AL167" s="15" t="b">
        <v>0</v>
      </c>
      <c r="AM167" s="15">
        <v>0.45300000000000001</v>
      </c>
      <c r="AN167" s="15">
        <v>0.14599999999999999</v>
      </c>
      <c r="AO167" s="15">
        <v>2</v>
      </c>
      <c r="AP167" s="15">
        <v>-8.9760000000000009</v>
      </c>
      <c r="AQ167" s="15">
        <v>1</v>
      </c>
      <c r="AR167" s="15">
        <v>3.4299999999999997E-2</v>
      </c>
      <c r="AS167" s="15">
        <v>0.86699999999999999</v>
      </c>
      <c r="AT167" s="31" t="s">
        <v>524</v>
      </c>
      <c r="AU167" s="15">
        <v>9.4500000000000001E-2</v>
      </c>
      <c r="AV167" s="15">
        <v>9.1499999999999998E-2</v>
      </c>
      <c r="AW167" s="15">
        <v>137.905</v>
      </c>
      <c r="AX167" s="15">
        <v>3</v>
      </c>
      <c r="AY167" s="16" t="s">
        <v>24</v>
      </c>
    </row>
    <row r="168" spans="32:51" x14ac:dyDescent="0.35">
      <c r="AF168" s="17" t="s">
        <v>525</v>
      </c>
      <c r="AG168" s="18" t="s">
        <v>431</v>
      </c>
      <c r="AH168" s="18" t="s">
        <v>431</v>
      </c>
      <c r="AI168" s="18" t="s">
        <v>526</v>
      </c>
      <c r="AJ168" s="18">
        <v>55</v>
      </c>
      <c r="AK168" s="18">
        <v>216853</v>
      </c>
      <c r="AL168" s="18" t="b">
        <v>0</v>
      </c>
      <c r="AM168" s="18">
        <v>0.60599999999999998</v>
      </c>
      <c r="AN168" s="18">
        <v>0.54</v>
      </c>
      <c r="AO168" s="18">
        <v>7</v>
      </c>
      <c r="AP168" s="18">
        <v>-6.2709999999999999</v>
      </c>
      <c r="AQ168" s="18">
        <v>0</v>
      </c>
      <c r="AR168" s="18">
        <v>3.39E-2</v>
      </c>
      <c r="AS168" s="18">
        <v>0.182</v>
      </c>
      <c r="AT168" s="18">
        <v>1.44E-4</v>
      </c>
      <c r="AU168" s="18">
        <v>0.14399999999999999</v>
      </c>
      <c r="AV168" s="18">
        <v>0.249</v>
      </c>
      <c r="AW168" s="18">
        <v>79.951999999999998</v>
      </c>
      <c r="AX168" s="18">
        <v>4</v>
      </c>
      <c r="AY168" s="19" t="s">
        <v>24</v>
      </c>
    </row>
    <row r="169" spans="32:51" x14ac:dyDescent="0.35">
      <c r="AF169" s="14" t="s">
        <v>527</v>
      </c>
      <c r="AG169" s="15" t="s">
        <v>528</v>
      </c>
      <c r="AH169" s="15" t="s">
        <v>529</v>
      </c>
      <c r="AI169" s="15" t="s">
        <v>530</v>
      </c>
      <c r="AJ169" s="15">
        <v>50</v>
      </c>
      <c r="AK169" s="15">
        <v>149000</v>
      </c>
      <c r="AL169" s="15" t="b">
        <v>0</v>
      </c>
      <c r="AM169" s="15">
        <v>0.59499999999999997</v>
      </c>
      <c r="AN169" s="15">
        <v>0.64600000000000002</v>
      </c>
      <c r="AO169" s="15">
        <v>0</v>
      </c>
      <c r="AP169" s="15">
        <v>-5.4950000000000001</v>
      </c>
      <c r="AQ169" s="15">
        <v>1</v>
      </c>
      <c r="AR169" s="15">
        <v>3.27E-2</v>
      </c>
      <c r="AS169" s="15">
        <v>0.11</v>
      </c>
      <c r="AT169" s="15">
        <v>0</v>
      </c>
      <c r="AU169" s="15">
        <v>0.25800000000000001</v>
      </c>
      <c r="AV169" s="15">
        <v>0.56299999999999994</v>
      </c>
      <c r="AW169" s="15">
        <v>120.04900000000001</v>
      </c>
      <c r="AX169" s="15">
        <v>4</v>
      </c>
      <c r="AY169" s="16" t="s">
        <v>24</v>
      </c>
    </row>
    <row r="170" spans="32:51" x14ac:dyDescent="0.35">
      <c r="AF170" s="17" t="s">
        <v>531</v>
      </c>
      <c r="AG170" s="18" t="s">
        <v>532</v>
      </c>
      <c r="AH170" s="18" t="s">
        <v>533</v>
      </c>
      <c r="AI170" s="18" t="s">
        <v>534</v>
      </c>
      <c r="AJ170" s="18">
        <v>52</v>
      </c>
      <c r="AK170" s="18">
        <v>157231</v>
      </c>
      <c r="AL170" s="18" t="b">
        <v>0</v>
      </c>
      <c r="AM170" s="18">
        <v>0.73599999999999999</v>
      </c>
      <c r="AN170" s="18">
        <v>0.14499999999999999</v>
      </c>
      <c r="AO170" s="18">
        <v>11</v>
      </c>
      <c r="AP170" s="18">
        <v>-9.2149999999999999</v>
      </c>
      <c r="AQ170" s="18">
        <v>1</v>
      </c>
      <c r="AR170" s="18">
        <v>3.3599999999999998E-2</v>
      </c>
      <c r="AS170" s="18">
        <v>0.85499999999999998</v>
      </c>
      <c r="AT170" s="18">
        <v>0</v>
      </c>
      <c r="AU170" s="18">
        <v>0.108</v>
      </c>
      <c r="AV170" s="18">
        <v>0.23499999999999999</v>
      </c>
      <c r="AW170" s="18">
        <v>129.83199999999999</v>
      </c>
      <c r="AX170" s="18">
        <v>4</v>
      </c>
      <c r="AY170" s="19" t="s">
        <v>24</v>
      </c>
    </row>
    <row r="171" spans="32:51" x14ac:dyDescent="0.35">
      <c r="AF171" s="14" t="s">
        <v>535</v>
      </c>
      <c r="AG171" s="15" t="s">
        <v>517</v>
      </c>
      <c r="AH171" s="15" t="s">
        <v>536</v>
      </c>
      <c r="AI171" s="15" t="s">
        <v>536</v>
      </c>
      <c r="AJ171" s="15">
        <v>54</v>
      </c>
      <c r="AK171" s="15">
        <v>226603</v>
      </c>
      <c r="AL171" s="15" t="b">
        <v>0</v>
      </c>
      <c r="AM171" s="15">
        <v>0.47899999999999998</v>
      </c>
      <c r="AN171" s="15">
        <v>0.126</v>
      </c>
      <c r="AO171" s="15">
        <v>1</v>
      </c>
      <c r="AP171" s="15">
        <v>-13.974</v>
      </c>
      <c r="AQ171" s="15">
        <v>1</v>
      </c>
      <c r="AR171" s="15">
        <v>3.0300000000000001E-2</v>
      </c>
      <c r="AS171" s="15">
        <v>0.96599999999999997</v>
      </c>
      <c r="AT171" s="15">
        <v>0</v>
      </c>
      <c r="AU171" s="15">
        <v>0.113</v>
      </c>
      <c r="AV171" s="15">
        <v>0.27900000000000003</v>
      </c>
      <c r="AW171" s="15">
        <v>96.326999999999998</v>
      </c>
      <c r="AX171" s="15">
        <v>4</v>
      </c>
      <c r="AY171" s="16" t="s">
        <v>24</v>
      </c>
    </row>
    <row r="172" spans="32:51" x14ac:dyDescent="0.35">
      <c r="AF172" s="17" t="s">
        <v>537</v>
      </c>
      <c r="AG172" s="18" t="s">
        <v>204</v>
      </c>
      <c r="AH172" s="18" t="s">
        <v>205</v>
      </c>
      <c r="AI172" s="18" t="s">
        <v>538</v>
      </c>
      <c r="AJ172" s="18">
        <v>73</v>
      </c>
      <c r="AK172" s="18">
        <v>258826</v>
      </c>
      <c r="AL172" s="18" t="b">
        <v>0</v>
      </c>
      <c r="AM172" s="18">
        <v>0.58299999999999996</v>
      </c>
      <c r="AN172" s="18">
        <v>0.78600000000000003</v>
      </c>
      <c r="AO172" s="18">
        <v>2</v>
      </c>
      <c r="AP172" s="18">
        <v>-3.1419999999999999</v>
      </c>
      <c r="AQ172" s="18">
        <v>0</v>
      </c>
      <c r="AR172" s="18">
        <v>3.0099999999999998E-2</v>
      </c>
      <c r="AS172" s="18">
        <v>2.0799999999999999E-2</v>
      </c>
      <c r="AT172" s="18">
        <v>0</v>
      </c>
      <c r="AU172" s="18">
        <v>0.188</v>
      </c>
      <c r="AV172" s="18">
        <v>0.57299999999999995</v>
      </c>
      <c r="AW172" s="18">
        <v>123.05500000000001</v>
      </c>
      <c r="AX172" s="18">
        <v>4</v>
      </c>
      <c r="AY172" s="19" t="s">
        <v>24</v>
      </c>
    </row>
    <row r="173" spans="32:51" x14ac:dyDescent="0.35">
      <c r="AF173" s="14" t="s">
        <v>539</v>
      </c>
      <c r="AG173" s="15" t="s">
        <v>83</v>
      </c>
      <c r="AH173" s="15" t="s">
        <v>540</v>
      </c>
      <c r="AI173" s="15" t="s">
        <v>540</v>
      </c>
      <c r="AJ173" s="15">
        <v>38</v>
      </c>
      <c r="AK173" s="15">
        <v>194013</v>
      </c>
      <c r="AL173" s="15" t="b">
        <v>0</v>
      </c>
      <c r="AM173" s="15">
        <v>0.54900000000000004</v>
      </c>
      <c r="AN173" s="15">
        <v>0.29099999999999998</v>
      </c>
      <c r="AO173" s="15">
        <v>2</v>
      </c>
      <c r="AP173" s="15">
        <v>-13.457000000000001</v>
      </c>
      <c r="AQ173" s="15">
        <v>1</v>
      </c>
      <c r="AR173" s="15">
        <v>3.8800000000000001E-2</v>
      </c>
      <c r="AS173" s="15">
        <v>0.85799999999999998</v>
      </c>
      <c r="AT173" s="15">
        <v>8.4599999999999996E-4</v>
      </c>
      <c r="AU173" s="15">
        <v>0.129</v>
      </c>
      <c r="AV173" s="15">
        <v>0.376</v>
      </c>
      <c r="AW173" s="15">
        <v>75.153000000000006</v>
      </c>
      <c r="AX173" s="15">
        <v>4</v>
      </c>
      <c r="AY173" s="16" t="s">
        <v>24</v>
      </c>
    </row>
    <row r="174" spans="32:51" x14ac:dyDescent="0.35">
      <c r="AF174" s="17" t="s">
        <v>541</v>
      </c>
      <c r="AG174" s="18" t="s">
        <v>542</v>
      </c>
      <c r="AH174" s="18" t="s">
        <v>543</v>
      </c>
      <c r="AI174" s="18" t="s">
        <v>544</v>
      </c>
      <c r="AJ174" s="18">
        <v>53</v>
      </c>
      <c r="AK174" s="18">
        <v>242439</v>
      </c>
      <c r="AL174" s="18" t="b">
        <v>0</v>
      </c>
      <c r="AM174" s="18">
        <v>0.41799999999999998</v>
      </c>
      <c r="AN174" s="18">
        <v>0.48899999999999999</v>
      </c>
      <c r="AO174" s="18">
        <v>6</v>
      </c>
      <c r="AP174" s="18">
        <v>-8.3729999999999993</v>
      </c>
      <c r="AQ174" s="18">
        <v>0</v>
      </c>
      <c r="AR174" s="18">
        <v>3.2300000000000002E-2</v>
      </c>
      <c r="AS174" s="18">
        <v>0.28699999999999998</v>
      </c>
      <c r="AT174" s="18">
        <v>2.8799999999999999E-2</v>
      </c>
      <c r="AU174" s="18">
        <v>0.42</v>
      </c>
      <c r="AV174" s="18">
        <v>0.39800000000000002</v>
      </c>
      <c r="AW174" s="18">
        <v>72.891000000000005</v>
      </c>
      <c r="AX174" s="18">
        <v>4</v>
      </c>
      <c r="AY174" s="19" t="s">
        <v>24</v>
      </c>
    </row>
    <row r="175" spans="32:51" x14ac:dyDescent="0.35">
      <c r="AF175" s="14" t="s">
        <v>545</v>
      </c>
      <c r="AG175" s="15" t="s">
        <v>546</v>
      </c>
      <c r="AH175" s="15" t="s">
        <v>547</v>
      </c>
      <c r="AI175" s="15" t="s">
        <v>547</v>
      </c>
      <c r="AJ175" s="15">
        <v>55</v>
      </c>
      <c r="AK175" s="15">
        <v>232500</v>
      </c>
      <c r="AL175" s="15" t="b">
        <v>0</v>
      </c>
      <c r="AM175" s="15">
        <v>0.498</v>
      </c>
      <c r="AN175" s="15">
        <v>0.12</v>
      </c>
      <c r="AO175" s="15">
        <v>0</v>
      </c>
      <c r="AP175" s="15">
        <v>-17.721</v>
      </c>
      <c r="AQ175" s="15">
        <v>1</v>
      </c>
      <c r="AR175" s="15">
        <v>4.87E-2</v>
      </c>
      <c r="AS175" s="15">
        <v>0.85099999999999998</v>
      </c>
      <c r="AT175" s="15">
        <v>0</v>
      </c>
      <c r="AU175" s="15">
        <v>0.17100000000000001</v>
      </c>
      <c r="AV175" s="15">
        <v>0.33800000000000002</v>
      </c>
      <c r="AW175" s="15">
        <v>121.187</v>
      </c>
      <c r="AX175" s="15">
        <v>4</v>
      </c>
      <c r="AY175" s="16" t="s">
        <v>24</v>
      </c>
    </row>
    <row r="176" spans="32:51" x14ac:dyDescent="0.35">
      <c r="AF176" s="17" t="s">
        <v>548</v>
      </c>
      <c r="AG176" s="18" t="s">
        <v>549</v>
      </c>
      <c r="AH176" s="18" t="s">
        <v>550</v>
      </c>
      <c r="AI176" s="18" t="s">
        <v>550</v>
      </c>
      <c r="AJ176" s="18">
        <v>41</v>
      </c>
      <c r="AK176" s="18">
        <v>156787</v>
      </c>
      <c r="AL176" s="18" t="b">
        <v>0</v>
      </c>
      <c r="AM176" s="18">
        <v>0.76900000000000002</v>
      </c>
      <c r="AN176" s="18">
        <v>0.13500000000000001</v>
      </c>
      <c r="AO176" s="18">
        <v>5</v>
      </c>
      <c r="AP176" s="18">
        <v>-12.048999999999999</v>
      </c>
      <c r="AQ176" s="18">
        <v>0</v>
      </c>
      <c r="AR176" s="18">
        <v>6.0999999999999999E-2</v>
      </c>
      <c r="AS176" s="18">
        <v>0.98599999999999999</v>
      </c>
      <c r="AT176" s="18">
        <v>0.90500000000000003</v>
      </c>
      <c r="AU176" s="18">
        <v>0.106</v>
      </c>
      <c r="AV176" s="18">
        <v>0.47099999999999997</v>
      </c>
      <c r="AW176" s="18">
        <v>103.93899999999999</v>
      </c>
      <c r="AX176" s="18">
        <v>4</v>
      </c>
      <c r="AY176" s="19" t="s">
        <v>24</v>
      </c>
    </row>
    <row r="177" spans="32:51" x14ac:dyDescent="0.35">
      <c r="AF177" s="14" t="s">
        <v>551</v>
      </c>
      <c r="AG177" s="15" t="s">
        <v>552</v>
      </c>
      <c r="AH177" s="15" t="s">
        <v>553</v>
      </c>
      <c r="AI177" s="15" t="s">
        <v>553</v>
      </c>
      <c r="AJ177" s="15">
        <v>46</v>
      </c>
      <c r="AK177" s="15">
        <v>263823</v>
      </c>
      <c r="AL177" s="15" t="b">
        <v>0</v>
      </c>
      <c r="AM177" s="15">
        <v>0.434</v>
      </c>
      <c r="AN177" s="15">
        <v>0.46899999999999997</v>
      </c>
      <c r="AO177" s="15">
        <v>0</v>
      </c>
      <c r="AP177" s="15">
        <v>-7.8490000000000002</v>
      </c>
      <c r="AQ177" s="15">
        <v>0</v>
      </c>
      <c r="AR177" s="15">
        <v>2.6499999999999999E-2</v>
      </c>
      <c r="AS177" s="15">
        <v>0.52</v>
      </c>
      <c r="AT177" s="15">
        <v>3.28E-4</v>
      </c>
      <c r="AU177" s="15">
        <v>0.108</v>
      </c>
      <c r="AV177" s="15">
        <v>5.6800000000000003E-2</v>
      </c>
      <c r="AW177" s="15">
        <v>136.28200000000001</v>
      </c>
      <c r="AX177" s="15">
        <v>4</v>
      </c>
      <c r="AY177" s="16" t="s">
        <v>24</v>
      </c>
    </row>
    <row r="178" spans="32:51" x14ac:dyDescent="0.35">
      <c r="AF178" s="17" t="s">
        <v>554</v>
      </c>
      <c r="AG178" s="18" t="s">
        <v>555</v>
      </c>
      <c r="AH178" s="18" t="s">
        <v>556</v>
      </c>
      <c r="AI178" s="18" t="s">
        <v>556</v>
      </c>
      <c r="AJ178" s="18">
        <v>63</v>
      </c>
      <c r="AK178" s="18">
        <v>250916</v>
      </c>
      <c r="AL178" s="18" t="b">
        <v>0</v>
      </c>
      <c r="AM178" s="18">
        <v>0.45200000000000001</v>
      </c>
      <c r="AN178" s="18">
        <v>0.19800000000000001</v>
      </c>
      <c r="AO178" s="18">
        <v>10</v>
      </c>
      <c r="AP178" s="18">
        <v>-9.3740000000000006</v>
      </c>
      <c r="AQ178" s="18">
        <v>1</v>
      </c>
      <c r="AR178" s="18">
        <v>3.3500000000000002E-2</v>
      </c>
      <c r="AS178" s="18">
        <v>0.93100000000000005</v>
      </c>
      <c r="AT178" s="32" t="s">
        <v>557</v>
      </c>
      <c r="AU178" s="18">
        <v>0.1</v>
      </c>
      <c r="AV178" s="18">
        <v>0.217</v>
      </c>
      <c r="AW178" s="18">
        <v>119.499</v>
      </c>
      <c r="AX178" s="18">
        <v>4</v>
      </c>
      <c r="AY178" s="19" t="s">
        <v>24</v>
      </c>
    </row>
    <row r="179" spans="32:51" x14ac:dyDescent="0.35">
      <c r="AF179" s="14" t="s">
        <v>558</v>
      </c>
      <c r="AG179" s="15" t="s">
        <v>140</v>
      </c>
      <c r="AH179" s="15" t="s">
        <v>559</v>
      </c>
      <c r="AI179" s="15" t="s">
        <v>559</v>
      </c>
      <c r="AJ179" s="15">
        <v>66</v>
      </c>
      <c r="AK179" s="15">
        <v>238493</v>
      </c>
      <c r="AL179" s="15" t="b">
        <v>0</v>
      </c>
      <c r="AM179" s="15">
        <v>0.54400000000000004</v>
      </c>
      <c r="AN179" s="15">
        <v>0.5</v>
      </c>
      <c r="AO179" s="15">
        <v>11</v>
      </c>
      <c r="AP179" s="15">
        <v>-8.2530000000000001</v>
      </c>
      <c r="AQ179" s="15">
        <v>1</v>
      </c>
      <c r="AR179" s="15">
        <v>2.5999999999999999E-2</v>
      </c>
      <c r="AS179" s="15">
        <v>3.2500000000000001E-2</v>
      </c>
      <c r="AT179" s="31" t="s">
        <v>560</v>
      </c>
      <c r="AU179" s="15">
        <v>0.109</v>
      </c>
      <c r="AV179" s="15">
        <v>0.17699999999999999</v>
      </c>
      <c r="AW179" s="15">
        <v>93.620999999999995</v>
      </c>
      <c r="AX179" s="15">
        <v>4</v>
      </c>
      <c r="AY179" s="16" t="s">
        <v>24</v>
      </c>
    </row>
    <row r="180" spans="32:51" x14ac:dyDescent="0.35">
      <c r="AF180" s="17" t="s">
        <v>561</v>
      </c>
      <c r="AG180" s="18" t="s">
        <v>408</v>
      </c>
      <c r="AH180" s="18" t="s">
        <v>562</v>
      </c>
      <c r="AI180" s="18" t="s">
        <v>562</v>
      </c>
      <c r="AJ180" s="18">
        <v>54</v>
      </c>
      <c r="AK180" s="18">
        <v>215906</v>
      </c>
      <c r="AL180" s="18" t="b">
        <v>0</v>
      </c>
      <c r="AM180" s="18">
        <v>0.66200000000000003</v>
      </c>
      <c r="AN180" s="18">
        <v>0.187</v>
      </c>
      <c r="AO180" s="18">
        <v>2</v>
      </c>
      <c r="AP180" s="18">
        <v>-9.0030000000000001</v>
      </c>
      <c r="AQ180" s="18">
        <v>1</v>
      </c>
      <c r="AR180" s="18">
        <v>2.6800000000000001E-2</v>
      </c>
      <c r="AS180" s="18">
        <v>0.96899999999999997</v>
      </c>
      <c r="AT180" s="18">
        <v>2.7300000000000002E-4</v>
      </c>
      <c r="AU180" s="18">
        <v>9.2200000000000004E-2</v>
      </c>
      <c r="AV180" s="18">
        <v>0.23300000000000001</v>
      </c>
      <c r="AW180" s="18">
        <v>104.988</v>
      </c>
      <c r="AX180" s="18">
        <v>4</v>
      </c>
      <c r="AY180" s="19" t="s">
        <v>24</v>
      </c>
    </row>
    <row r="181" spans="32:51" x14ac:dyDescent="0.35">
      <c r="AF181" s="14" t="s">
        <v>563</v>
      </c>
      <c r="AG181" s="15" t="s">
        <v>34</v>
      </c>
      <c r="AH181" s="15" t="s">
        <v>564</v>
      </c>
      <c r="AI181" s="15" t="s">
        <v>564</v>
      </c>
      <c r="AJ181" s="15">
        <v>62</v>
      </c>
      <c r="AK181" s="15">
        <v>181136</v>
      </c>
      <c r="AL181" s="15" t="b">
        <v>0</v>
      </c>
      <c r="AM181" s="15">
        <v>0.497</v>
      </c>
      <c r="AN181" s="15">
        <v>0.13</v>
      </c>
      <c r="AO181" s="15">
        <v>6</v>
      </c>
      <c r="AP181" s="15">
        <v>-15.571</v>
      </c>
      <c r="AQ181" s="15">
        <v>1</v>
      </c>
      <c r="AR181" s="15">
        <v>4.36E-2</v>
      </c>
      <c r="AS181" s="15">
        <v>0.84099999999999997</v>
      </c>
      <c r="AT181" s="15">
        <v>0</v>
      </c>
      <c r="AU181" s="15">
        <v>0.111</v>
      </c>
      <c r="AV181" s="15">
        <v>0.17899999999999999</v>
      </c>
      <c r="AW181" s="15">
        <v>130.76900000000001</v>
      </c>
      <c r="AX181" s="15">
        <v>3</v>
      </c>
      <c r="AY181" s="16" t="s">
        <v>24</v>
      </c>
    </row>
    <row r="182" spans="32:51" x14ac:dyDescent="0.35">
      <c r="AF182" s="17" t="s">
        <v>565</v>
      </c>
      <c r="AG182" s="18" t="s">
        <v>517</v>
      </c>
      <c r="AH182" s="18" t="s">
        <v>566</v>
      </c>
      <c r="AI182" s="18" t="s">
        <v>567</v>
      </c>
      <c r="AJ182" s="18">
        <v>57</v>
      </c>
      <c r="AK182" s="18">
        <v>157466</v>
      </c>
      <c r="AL182" s="18" t="b">
        <v>0</v>
      </c>
      <c r="AM182" s="18">
        <v>0.52800000000000002</v>
      </c>
      <c r="AN182" s="18">
        <v>0.29099999999999998</v>
      </c>
      <c r="AO182" s="18">
        <v>10</v>
      </c>
      <c r="AP182" s="18">
        <v>-9.6959999999999997</v>
      </c>
      <c r="AQ182" s="18">
        <v>1</v>
      </c>
      <c r="AR182" s="18">
        <v>4.0099999999999997E-2</v>
      </c>
      <c r="AS182" s="18">
        <v>0.91400000000000003</v>
      </c>
      <c r="AT182" s="18">
        <v>0</v>
      </c>
      <c r="AU182" s="18">
        <v>0.121</v>
      </c>
      <c r="AV182" s="18">
        <v>0.35499999999999998</v>
      </c>
      <c r="AW182" s="18">
        <v>76.805000000000007</v>
      </c>
      <c r="AX182" s="18">
        <v>4</v>
      </c>
      <c r="AY182" s="19" t="s">
        <v>24</v>
      </c>
    </row>
    <row r="183" spans="32:51" x14ac:dyDescent="0.35">
      <c r="AF183" s="14" t="s">
        <v>568</v>
      </c>
      <c r="AG183" s="15" t="s">
        <v>569</v>
      </c>
      <c r="AH183" s="15" t="s">
        <v>570</v>
      </c>
      <c r="AI183" s="15" t="s">
        <v>570</v>
      </c>
      <c r="AJ183" s="15">
        <v>68</v>
      </c>
      <c r="AK183" s="15">
        <v>233728</v>
      </c>
      <c r="AL183" s="15" t="b">
        <v>0</v>
      </c>
      <c r="AM183" s="15">
        <v>0.46100000000000002</v>
      </c>
      <c r="AN183" s="15">
        <v>0.52200000000000002</v>
      </c>
      <c r="AO183" s="15">
        <v>11</v>
      </c>
      <c r="AP183" s="15">
        <v>-7.5129999999999999</v>
      </c>
      <c r="AQ183" s="15">
        <v>1</v>
      </c>
      <c r="AR183" s="15">
        <v>4.2999999999999997E-2</v>
      </c>
      <c r="AS183" s="15">
        <v>0.36</v>
      </c>
      <c r="AT183" s="15">
        <v>0</v>
      </c>
      <c r="AU183" s="15">
        <v>0.123</v>
      </c>
      <c r="AV183" s="15">
        <v>0.44600000000000001</v>
      </c>
      <c r="AW183" s="15">
        <v>157.768</v>
      </c>
      <c r="AX183" s="15">
        <v>4</v>
      </c>
      <c r="AY183" s="16" t="s">
        <v>24</v>
      </c>
    </row>
    <row r="184" spans="32:51" x14ac:dyDescent="0.35">
      <c r="AF184" s="17" t="s">
        <v>571</v>
      </c>
      <c r="AG184" s="18" t="s">
        <v>339</v>
      </c>
      <c r="AH184" s="18" t="s">
        <v>92</v>
      </c>
      <c r="AI184" s="18" t="s">
        <v>572</v>
      </c>
      <c r="AJ184" s="18">
        <v>62</v>
      </c>
      <c r="AK184" s="18">
        <v>216612</v>
      </c>
      <c r="AL184" s="18" t="b">
        <v>0</v>
      </c>
      <c r="AM184" s="18">
        <v>0.48299999999999998</v>
      </c>
      <c r="AN184" s="18">
        <v>0.50600000000000001</v>
      </c>
      <c r="AO184" s="18">
        <v>9</v>
      </c>
      <c r="AP184" s="18">
        <v>-6.0579999999999998</v>
      </c>
      <c r="AQ184" s="18">
        <v>1</v>
      </c>
      <c r="AR184" s="18">
        <v>3.4700000000000002E-2</v>
      </c>
      <c r="AS184" s="18">
        <v>0.39400000000000002</v>
      </c>
      <c r="AT184" s="18">
        <v>0</v>
      </c>
      <c r="AU184" s="18">
        <v>9.4600000000000004E-2</v>
      </c>
      <c r="AV184" s="18">
        <v>0.70499999999999996</v>
      </c>
      <c r="AW184" s="18">
        <v>87.337000000000003</v>
      </c>
      <c r="AX184" s="18">
        <v>4</v>
      </c>
      <c r="AY184" s="19" t="s">
        <v>24</v>
      </c>
    </row>
    <row r="185" spans="32:51" x14ac:dyDescent="0.35">
      <c r="AF185" s="14" t="s">
        <v>573</v>
      </c>
      <c r="AG185" s="15" t="s">
        <v>50</v>
      </c>
      <c r="AH185" s="15" t="s">
        <v>275</v>
      </c>
      <c r="AI185" s="15" t="s">
        <v>574</v>
      </c>
      <c r="AJ185" s="15">
        <v>53</v>
      </c>
      <c r="AK185" s="15">
        <v>245186</v>
      </c>
      <c r="AL185" s="15" t="b">
        <v>0</v>
      </c>
      <c r="AM185" s="15">
        <v>0.39200000000000002</v>
      </c>
      <c r="AN185" s="15">
        <v>0.42299999999999999</v>
      </c>
      <c r="AO185" s="15">
        <v>7</v>
      </c>
      <c r="AP185" s="15">
        <v>-7.8129999999999997</v>
      </c>
      <c r="AQ185" s="15">
        <v>1</v>
      </c>
      <c r="AR185" s="15">
        <v>3.4799999999999998E-2</v>
      </c>
      <c r="AS185" s="15">
        <v>0.27</v>
      </c>
      <c r="AT185" s="15">
        <v>0</v>
      </c>
      <c r="AU185" s="15">
        <v>0.11700000000000001</v>
      </c>
      <c r="AV185" s="15">
        <v>0.28799999999999998</v>
      </c>
      <c r="AW185" s="15">
        <v>113.53700000000001</v>
      </c>
      <c r="AX185" s="15">
        <v>4</v>
      </c>
      <c r="AY185" s="16" t="s">
        <v>24</v>
      </c>
    </row>
    <row r="186" spans="32:51" x14ac:dyDescent="0.35">
      <c r="AF186" s="17" t="s">
        <v>575</v>
      </c>
      <c r="AG186" s="18" t="s">
        <v>426</v>
      </c>
      <c r="AH186" s="18" t="s">
        <v>427</v>
      </c>
      <c r="AI186" s="18" t="s">
        <v>576</v>
      </c>
      <c r="AJ186" s="18">
        <v>44</v>
      </c>
      <c r="AK186" s="18">
        <v>219613</v>
      </c>
      <c r="AL186" s="18" t="b">
        <v>0</v>
      </c>
      <c r="AM186" s="18">
        <v>0.42</v>
      </c>
      <c r="AN186" s="18">
        <v>0.2</v>
      </c>
      <c r="AO186" s="18">
        <v>7</v>
      </c>
      <c r="AP186" s="18">
        <v>-18.827000000000002</v>
      </c>
      <c r="AQ186" s="18">
        <v>1</v>
      </c>
      <c r="AR186" s="18">
        <v>4.9200000000000001E-2</v>
      </c>
      <c r="AS186" s="18">
        <v>0.92900000000000005</v>
      </c>
      <c r="AT186" s="18">
        <v>0.49</v>
      </c>
      <c r="AU186" s="18">
        <v>7.5800000000000006E-2</v>
      </c>
      <c r="AV186" s="18">
        <v>0.16400000000000001</v>
      </c>
      <c r="AW186" s="18">
        <v>87.248000000000005</v>
      </c>
      <c r="AX186" s="18">
        <v>4</v>
      </c>
      <c r="AY186" s="19" t="s">
        <v>24</v>
      </c>
    </row>
    <row r="187" spans="32:51" x14ac:dyDescent="0.35">
      <c r="AF187" s="14" t="s">
        <v>577</v>
      </c>
      <c r="AG187" s="15" t="s">
        <v>431</v>
      </c>
      <c r="AH187" s="15" t="s">
        <v>432</v>
      </c>
      <c r="AI187" s="15" t="s">
        <v>578</v>
      </c>
      <c r="AJ187" s="15">
        <v>57</v>
      </c>
      <c r="AK187" s="15">
        <v>248960</v>
      </c>
      <c r="AL187" s="15" t="b">
        <v>0</v>
      </c>
      <c r="AM187" s="15">
        <v>0.65700000000000003</v>
      </c>
      <c r="AN187" s="15">
        <v>0.71599999999999997</v>
      </c>
      <c r="AO187" s="15">
        <v>2</v>
      </c>
      <c r="AP187" s="15">
        <v>-5.6749999999999998</v>
      </c>
      <c r="AQ187" s="15">
        <v>1</v>
      </c>
      <c r="AR187" s="15">
        <v>3.0099999999999998E-2</v>
      </c>
      <c r="AS187" s="15">
        <v>1.4E-2</v>
      </c>
      <c r="AT187" s="15">
        <v>0</v>
      </c>
      <c r="AU187" s="15">
        <v>4.8300000000000003E-2</v>
      </c>
      <c r="AV187" s="15">
        <v>0.435</v>
      </c>
      <c r="AW187" s="15">
        <v>93.924000000000007</v>
      </c>
      <c r="AX187" s="15">
        <v>4</v>
      </c>
      <c r="AY187" s="16" t="s">
        <v>24</v>
      </c>
    </row>
    <row r="188" spans="32:51" x14ac:dyDescent="0.35">
      <c r="AF188" s="17" t="s">
        <v>579</v>
      </c>
      <c r="AG188" s="18" t="s">
        <v>580</v>
      </c>
      <c r="AH188" s="18" t="s">
        <v>581</v>
      </c>
      <c r="AI188" s="18" t="s">
        <v>582</v>
      </c>
      <c r="AJ188" s="18">
        <v>52</v>
      </c>
      <c r="AK188" s="18">
        <v>252466</v>
      </c>
      <c r="AL188" s="18" t="b">
        <v>0</v>
      </c>
      <c r="AM188" s="18">
        <v>0.495</v>
      </c>
      <c r="AN188" s="18">
        <v>0.185</v>
      </c>
      <c r="AO188" s="18">
        <v>9</v>
      </c>
      <c r="AP188" s="18">
        <v>-13.824</v>
      </c>
      <c r="AQ188" s="18">
        <v>1</v>
      </c>
      <c r="AR188" s="18">
        <v>2.8799999999999999E-2</v>
      </c>
      <c r="AS188" s="18">
        <v>0.69199999999999995</v>
      </c>
      <c r="AT188" s="18">
        <v>4.0299999999999997E-3</v>
      </c>
      <c r="AU188" s="18">
        <v>0.109</v>
      </c>
      <c r="AV188" s="18">
        <v>0.19600000000000001</v>
      </c>
      <c r="AW188" s="18">
        <v>101.89</v>
      </c>
      <c r="AX188" s="18">
        <v>4</v>
      </c>
      <c r="AY188" s="19" t="s">
        <v>24</v>
      </c>
    </row>
    <row r="189" spans="32:51" x14ac:dyDescent="0.35">
      <c r="AF189" s="14" t="s">
        <v>583</v>
      </c>
      <c r="AG189" s="15" t="s">
        <v>39</v>
      </c>
      <c r="AH189" s="15" t="s">
        <v>584</v>
      </c>
      <c r="AI189" s="15" t="s">
        <v>585</v>
      </c>
      <c r="AJ189" s="15">
        <v>53</v>
      </c>
      <c r="AK189" s="15">
        <v>246613</v>
      </c>
      <c r="AL189" s="15" t="b">
        <v>0</v>
      </c>
      <c r="AM189" s="15">
        <v>0.55000000000000004</v>
      </c>
      <c r="AN189" s="15">
        <v>0.499</v>
      </c>
      <c r="AO189" s="15">
        <v>4</v>
      </c>
      <c r="AP189" s="15">
        <v>-9.5020000000000007</v>
      </c>
      <c r="AQ189" s="15">
        <v>1</v>
      </c>
      <c r="AR189" s="15">
        <v>3.3799999999999997E-2</v>
      </c>
      <c r="AS189" s="15">
        <v>0.47199999999999998</v>
      </c>
      <c r="AT189" s="31" t="s">
        <v>586</v>
      </c>
      <c r="AU189" s="15">
        <v>7.9799999999999996E-2</v>
      </c>
      <c r="AV189" s="15">
        <v>0.14399999999999999</v>
      </c>
      <c r="AW189" s="15">
        <v>86.965999999999994</v>
      </c>
      <c r="AX189" s="15">
        <v>1</v>
      </c>
      <c r="AY189" s="16" t="s">
        <v>24</v>
      </c>
    </row>
    <row r="190" spans="32:51" x14ac:dyDescent="0.35">
      <c r="AF190" s="17" t="s">
        <v>587</v>
      </c>
      <c r="AG190" s="18" t="s">
        <v>408</v>
      </c>
      <c r="AH190" s="18" t="s">
        <v>588</v>
      </c>
      <c r="AI190" s="18" t="s">
        <v>588</v>
      </c>
      <c r="AJ190" s="18">
        <v>53</v>
      </c>
      <c r="AK190" s="18">
        <v>198786</v>
      </c>
      <c r="AL190" s="18" t="b">
        <v>0</v>
      </c>
      <c r="AM190" s="18">
        <v>0.53400000000000003</v>
      </c>
      <c r="AN190" s="18">
        <v>0.35899999999999999</v>
      </c>
      <c r="AO190" s="18">
        <v>0</v>
      </c>
      <c r="AP190" s="18">
        <v>-9.3109999999999999</v>
      </c>
      <c r="AQ190" s="18">
        <v>1</v>
      </c>
      <c r="AR190" s="18">
        <v>2.9600000000000001E-2</v>
      </c>
      <c r="AS190" s="18">
        <v>0.44900000000000001</v>
      </c>
      <c r="AT190" s="32" t="s">
        <v>589</v>
      </c>
      <c r="AU190" s="18">
        <v>0.33100000000000002</v>
      </c>
      <c r="AV190" s="18">
        <v>0.26700000000000002</v>
      </c>
      <c r="AW190" s="18">
        <v>131.804</v>
      </c>
      <c r="AX190" s="18">
        <v>4</v>
      </c>
      <c r="AY190" s="19" t="s">
        <v>24</v>
      </c>
    </row>
    <row r="191" spans="32:51" x14ac:dyDescent="0.35">
      <c r="AF191" s="14" t="s">
        <v>590</v>
      </c>
      <c r="AG191" s="15" t="s">
        <v>591</v>
      </c>
      <c r="AH191" s="15" t="s">
        <v>592</v>
      </c>
      <c r="AI191" s="15" t="s">
        <v>593</v>
      </c>
      <c r="AJ191" s="15">
        <v>55</v>
      </c>
      <c r="AK191" s="15">
        <v>226640</v>
      </c>
      <c r="AL191" s="15" t="b">
        <v>0</v>
      </c>
      <c r="AM191" s="15">
        <v>0.378</v>
      </c>
      <c r="AN191" s="15">
        <v>0.52</v>
      </c>
      <c r="AO191" s="15">
        <v>11</v>
      </c>
      <c r="AP191" s="15">
        <v>-10.965</v>
      </c>
      <c r="AQ191" s="15">
        <v>1</v>
      </c>
      <c r="AR191" s="15">
        <v>3.8199999999999998E-2</v>
      </c>
      <c r="AS191" s="15">
        <v>0.77700000000000002</v>
      </c>
      <c r="AT191" s="15">
        <v>8.8800000000000004E-2</v>
      </c>
      <c r="AU191" s="15">
        <v>9.7900000000000001E-2</v>
      </c>
      <c r="AV191" s="15">
        <v>0.35699999999999998</v>
      </c>
      <c r="AW191" s="15">
        <v>73.744</v>
      </c>
      <c r="AX191" s="15">
        <v>4</v>
      </c>
      <c r="AY191" s="16" t="s">
        <v>24</v>
      </c>
    </row>
    <row r="192" spans="32:51" x14ac:dyDescent="0.35">
      <c r="AF192" s="17" t="s">
        <v>594</v>
      </c>
      <c r="AG192" s="18" t="s">
        <v>595</v>
      </c>
      <c r="AH192" s="18" t="s">
        <v>596</v>
      </c>
      <c r="AI192" s="18" t="s">
        <v>597</v>
      </c>
      <c r="AJ192" s="18">
        <v>66</v>
      </c>
      <c r="AK192" s="18">
        <v>203869</v>
      </c>
      <c r="AL192" s="18" t="b">
        <v>0</v>
      </c>
      <c r="AM192" s="18">
        <v>0.60599999999999998</v>
      </c>
      <c r="AN192" s="18">
        <v>0.34899999999999998</v>
      </c>
      <c r="AO192" s="18">
        <v>4</v>
      </c>
      <c r="AP192" s="18">
        <v>-13.967000000000001</v>
      </c>
      <c r="AQ192" s="18">
        <v>1</v>
      </c>
      <c r="AR192" s="18">
        <v>3.1899999999999998E-2</v>
      </c>
      <c r="AS192" s="18">
        <v>0.76400000000000001</v>
      </c>
      <c r="AT192" s="18">
        <v>0.30599999999999999</v>
      </c>
      <c r="AU192" s="18">
        <v>0.112</v>
      </c>
      <c r="AV192" s="18">
        <v>0.156</v>
      </c>
      <c r="AW192" s="18">
        <v>80.070999999999998</v>
      </c>
      <c r="AX192" s="18">
        <v>4</v>
      </c>
      <c r="AY192" s="19" t="s">
        <v>24</v>
      </c>
    </row>
    <row r="193" spans="32:51" x14ac:dyDescent="0.35">
      <c r="AF193" s="14" t="s">
        <v>598</v>
      </c>
      <c r="AG193" s="15" t="s">
        <v>57</v>
      </c>
      <c r="AH193" s="15" t="s">
        <v>599</v>
      </c>
      <c r="AI193" s="15" t="s">
        <v>600</v>
      </c>
      <c r="AJ193" s="15">
        <v>49</v>
      </c>
      <c r="AK193" s="15">
        <v>317441</v>
      </c>
      <c r="AL193" s="15" t="b">
        <v>0</v>
      </c>
      <c r="AM193" s="15">
        <v>0.48599999999999999</v>
      </c>
      <c r="AN193" s="15">
        <v>0.55500000000000005</v>
      </c>
      <c r="AO193" s="15">
        <v>2</v>
      </c>
      <c r="AP193" s="15">
        <v>-9.4659999999999993</v>
      </c>
      <c r="AQ193" s="15">
        <v>1</v>
      </c>
      <c r="AR193" s="15">
        <v>2.7099999999999999E-2</v>
      </c>
      <c r="AS193" s="15">
        <v>0.81799999999999995</v>
      </c>
      <c r="AT193" s="15">
        <v>2.6900000000000001E-3</v>
      </c>
      <c r="AU193" s="15">
        <v>0.109</v>
      </c>
      <c r="AV193" s="15">
        <v>9.9199999999999997E-2</v>
      </c>
      <c r="AW193" s="15">
        <v>77.986999999999995</v>
      </c>
      <c r="AX193" s="15">
        <v>4</v>
      </c>
      <c r="AY193" s="16" t="s">
        <v>24</v>
      </c>
    </row>
    <row r="194" spans="32:51" x14ac:dyDescent="0.35">
      <c r="AF194" s="17" t="s">
        <v>601</v>
      </c>
      <c r="AG194" s="18" t="s">
        <v>400</v>
      </c>
      <c r="AH194" s="18" t="s">
        <v>602</v>
      </c>
      <c r="AI194" s="18" t="s">
        <v>603</v>
      </c>
      <c r="AJ194" s="18">
        <v>60</v>
      </c>
      <c r="AK194" s="18">
        <v>261640</v>
      </c>
      <c r="AL194" s="18" t="b">
        <v>0</v>
      </c>
      <c r="AM194" s="18">
        <v>0.57699999999999996</v>
      </c>
      <c r="AN194" s="18">
        <v>0.44600000000000001</v>
      </c>
      <c r="AO194" s="18">
        <v>6</v>
      </c>
      <c r="AP194" s="18">
        <v>-11.343</v>
      </c>
      <c r="AQ194" s="18">
        <v>1</v>
      </c>
      <c r="AR194" s="18">
        <v>3.1300000000000001E-2</v>
      </c>
      <c r="AS194" s="18">
        <v>0.55400000000000005</v>
      </c>
      <c r="AT194" s="18">
        <v>7.8200000000000006E-2</v>
      </c>
      <c r="AU194" s="18">
        <v>0.11600000000000001</v>
      </c>
      <c r="AV194" s="18">
        <v>0.26200000000000001</v>
      </c>
      <c r="AW194" s="18">
        <v>81.004999999999995</v>
      </c>
      <c r="AX194" s="18">
        <v>4</v>
      </c>
      <c r="AY194" s="19" t="s">
        <v>24</v>
      </c>
    </row>
    <row r="195" spans="32:51" x14ac:dyDescent="0.35">
      <c r="AF195" s="14" t="s">
        <v>604</v>
      </c>
      <c r="AG195" s="15" t="s">
        <v>605</v>
      </c>
      <c r="AH195" s="15" t="s">
        <v>606</v>
      </c>
      <c r="AI195" s="15" t="s">
        <v>606</v>
      </c>
      <c r="AJ195" s="15">
        <v>38</v>
      </c>
      <c r="AK195" s="15">
        <v>211933</v>
      </c>
      <c r="AL195" s="15" t="b">
        <v>0</v>
      </c>
      <c r="AM195" s="15">
        <v>0.59</v>
      </c>
      <c r="AN195" s="15">
        <v>0.40699999999999997</v>
      </c>
      <c r="AO195" s="15">
        <v>4</v>
      </c>
      <c r="AP195" s="15">
        <v>-9.0790000000000006</v>
      </c>
      <c r="AQ195" s="15">
        <v>1</v>
      </c>
      <c r="AR195" s="15">
        <v>3.61E-2</v>
      </c>
      <c r="AS195" s="15">
        <v>0.86099999999999999</v>
      </c>
      <c r="AT195" s="31" t="s">
        <v>607</v>
      </c>
      <c r="AU195" s="15">
        <v>9.4E-2</v>
      </c>
      <c r="AV195" s="15">
        <v>0.27600000000000002</v>
      </c>
      <c r="AW195" s="15">
        <v>145.852</v>
      </c>
      <c r="AX195" s="15">
        <v>4</v>
      </c>
      <c r="AY195" s="16" t="s">
        <v>24</v>
      </c>
    </row>
    <row r="196" spans="32:51" x14ac:dyDescent="0.35">
      <c r="AF196" s="17" t="s">
        <v>608</v>
      </c>
      <c r="AG196" s="18" t="s">
        <v>609</v>
      </c>
      <c r="AH196" s="18" t="s">
        <v>610</v>
      </c>
      <c r="AI196" s="18" t="s">
        <v>611</v>
      </c>
      <c r="AJ196" s="18">
        <v>67</v>
      </c>
      <c r="AK196" s="18">
        <v>218800</v>
      </c>
      <c r="AL196" s="18" t="b">
        <v>0</v>
      </c>
      <c r="AM196" s="18">
        <v>0.53800000000000003</v>
      </c>
      <c r="AN196" s="18">
        <v>0.315</v>
      </c>
      <c r="AO196" s="18">
        <v>0</v>
      </c>
      <c r="AP196" s="18">
        <v>-10.057</v>
      </c>
      <c r="AQ196" s="18">
        <v>1</v>
      </c>
      <c r="AR196" s="18">
        <v>2.9100000000000001E-2</v>
      </c>
      <c r="AS196" s="18">
        <v>0.96</v>
      </c>
      <c r="AT196" s="18">
        <v>5.96E-3</v>
      </c>
      <c r="AU196" s="18">
        <v>9.7900000000000001E-2</v>
      </c>
      <c r="AV196" s="18">
        <v>0.4</v>
      </c>
      <c r="AW196" s="18">
        <v>91.921000000000006</v>
      </c>
      <c r="AX196" s="18">
        <v>3</v>
      </c>
      <c r="AY196" s="19" t="s">
        <v>24</v>
      </c>
    </row>
    <row r="197" spans="32:51" x14ac:dyDescent="0.35">
      <c r="AF197" s="14" t="s">
        <v>612</v>
      </c>
      <c r="AG197" s="15" t="s">
        <v>263</v>
      </c>
      <c r="AH197" s="15" t="s">
        <v>100</v>
      </c>
      <c r="AI197" s="15" t="s">
        <v>47</v>
      </c>
      <c r="AJ197" s="15">
        <v>57</v>
      </c>
      <c r="AK197" s="15">
        <v>233266</v>
      </c>
      <c r="AL197" s="15" t="b">
        <v>0</v>
      </c>
      <c r="AM197" s="15">
        <v>0.44700000000000001</v>
      </c>
      <c r="AN197" s="15">
        <v>0.158</v>
      </c>
      <c r="AO197" s="15">
        <v>2</v>
      </c>
      <c r="AP197" s="15">
        <v>-7.5709999999999997</v>
      </c>
      <c r="AQ197" s="15">
        <v>1</v>
      </c>
      <c r="AR197" s="15">
        <v>3.5999999999999997E-2</v>
      </c>
      <c r="AS197" s="15">
        <v>0.872</v>
      </c>
      <c r="AT197" s="31" t="s">
        <v>613</v>
      </c>
      <c r="AU197" s="15">
        <v>8.1600000000000006E-2</v>
      </c>
      <c r="AV197" s="15">
        <v>0.14199999999999999</v>
      </c>
      <c r="AW197" s="15">
        <v>140.94200000000001</v>
      </c>
      <c r="AX197" s="15">
        <v>3</v>
      </c>
      <c r="AY197" s="16" t="s">
        <v>24</v>
      </c>
    </row>
    <row r="198" spans="32:51" x14ac:dyDescent="0.35">
      <c r="AF198" s="17" t="s">
        <v>614</v>
      </c>
      <c r="AG198" s="18" t="s">
        <v>149</v>
      </c>
      <c r="AH198" s="18" t="s">
        <v>285</v>
      </c>
      <c r="AI198" s="18" t="s">
        <v>615</v>
      </c>
      <c r="AJ198" s="18">
        <v>60</v>
      </c>
      <c r="AK198" s="18">
        <v>156453</v>
      </c>
      <c r="AL198" s="18" t="b">
        <v>0</v>
      </c>
      <c r="AM198" s="18">
        <v>0.40100000000000002</v>
      </c>
      <c r="AN198" s="18">
        <v>0.57999999999999996</v>
      </c>
      <c r="AO198" s="18">
        <v>7</v>
      </c>
      <c r="AP198" s="18">
        <v>-6.86</v>
      </c>
      <c r="AQ198" s="18">
        <v>1</v>
      </c>
      <c r="AR198" s="18">
        <v>5.4100000000000002E-2</v>
      </c>
      <c r="AS198" s="18">
        <v>0.90600000000000003</v>
      </c>
      <c r="AT198" s="18">
        <v>0.217</v>
      </c>
      <c r="AU198" s="18">
        <v>0.13400000000000001</v>
      </c>
      <c r="AV198" s="18">
        <v>0.52600000000000002</v>
      </c>
      <c r="AW198" s="18">
        <v>173.27699999999999</v>
      </c>
      <c r="AX198" s="18">
        <v>3</v>
      </c>
      <c r="AY198" s="19" t="s">
        <v>24</v>
      </c>
    </row>
    <row r="199" spans="32:51" x14ac:dyDescent="0.35">
      <c r="AF199" s="14" t="s">
        <v>616</v>
      </c>
      <c r="AG199" s="15" t="s">
        <v>617</v>
      </c>
      <c r="AH199" s="15" t="s">
        <v>618</v>
      </c>
      <c r="AI199" s="15" t="s">
        <v>619</v>
      </c>
      <c r="AJ199" s="15">
        <v>64</v>
      </c>
      <c r="AK199" s="15">
        <v>165133</v>
      </c>
      <c r="AL199" s="15" t="b">
        <v>0</v>
      </c>
      <c r="AM199" s="15">
        <v>0.502</v>
      </c>
      <c r="AN199" s="15">
        <v>0.311</v>
      </c>
      <c r="AO199" s="15">
        <v>1</v>
      </c>
      <c r="AP199" s="15">
        <v>-13.420999999999999</v>
      </c>
      <c r="AQ199" s="15">
        <v>1</v>
      </c>
      <c r="AR199" s="15">
        <v>2.8500000000000001E-2</v>
      </c>
      <c r="AS199" s="15">
        <v>0.61699999999999999</v>
      </c>
      <c r="AT199" s="31" t="s">
        <v>620</v>
      </c>
      <c r="AU199" s="15">
        <v>0.129</v>
      </c>
      <c r="AV199" s="15">
        <v>0.4</v>
      </c>
      <c r="AW199" s="15">
        <v>107.61199999999999</v>
      </c>
      <c r="AX199" s="15">
        <v>4</v>
      </c>
      <c r="AY199" s="16" t="s">
        <v>24</v>
      </c>
    </row>
    <row r="200" spans="32:51" x14ac:dyDescent="0.35">
      <c r="AF200" s="17" t="s">
        <v>621</v>
      </c>
      <c r="AG200" s="18" t="s">
        <v>622</v>
      </c>
      <c r="AH200" s="18" t="s">
        <v>623</v>
      </c>
      <c r="AI200" s="18" t="s">
        <v>624</v>
      </c>
      <c r="AJ200" s="18">
        <v>0</v>
      </c>
      <c r="AK200" s="18">
        <v>216626</v>
      </c>
      <c r="AL200" s="18" t="b">
        <v>0</v>
      </c>
      <c r="AM200" s="18">
        <v>0.67800000000000005</v>
      </c>
      <c r="AN200" s="18">
        <v>0.61199999999999999</v>
      </c>
      <c r="AO200" s="18">
        <v>4</v>
      </c>
      <c r="AP200" s="18">
        <v>-9.7639999999999993</v>
      </c>
      <c r="AQ200" s="18">
        <v>1</v>
      </c>
      <c r="AR200" s="18">
        <v>3.39E-2</v>
      </c>
      <c r="AS200" s="18">
        <v>0.1</v>
      </c>
      <c r="AT200" s="18">
        <v>0.316</v>
      </c>
      <c r="AU200" s="18">
        <v>0.16400000000000001</v>
      </c>
      <c r="AV200" s="18">
        <v>0.85699999999999998</v>
      </c>
      <c r="AW200" s="18">
        <v>118.381</v>
      </c>
      <c r="AX200" s="18">
        <v>4</v>
      </c>
      <c r="AY200" s="19" t="s">
        <v>24</v>
      </c>
    </row>
    <row r="201" spans="32:51" x14ac:dyDescent="0.35">
      <c r="AF201" s="14" t="s">
        <v>625</v>
      </c>
      <c r="AG201" s="15" t="s">
        <v>626</v>
      </c>
      <c r="AH201" s="15" t="s">
        <v>627</v>
      </c>
      <c r="AI201" s="15" t="s">
        <v>628</v>
      </c>
      <c r="AJ201" s="15">
        <v>0</v>
      </c>
      <c r="AK201" s="15">
        <v>251426</v>
      </c>
      <c r="AL201" s="15" t="b">
        <v>0</v>
      </c>
      <c r="AM201" s="15">
        <v>0.65</v>
      </c>
      <c r="AN201" s="15">
        <v>0.40600000000000003</v>
      </c>
      <c r="AO201" s="15">
        <v>7</v>
      </c>
      <c r="AP201" s="15">
        <v>-13.492000000000001</v>
      </c>
      <c r="AQ201" s="15">
        <v>1</v>
      </c>
      <c r="AR201" s="15">
        <v>7.6100000000000001E-2</v>
      </c>
      <c r="AS201" s="15">
        <v>0.56799999999999995</v>
      </c>
      <c r="AT201" s="15">
        <v>0</v>
      </c>
      <c r="AU201" s="15">
        <v>0.48399999999999999</v>
      </c>
      <c r="AV201" s="15">
        <v>0.86199999999999999</v>
      </c>
      <c r="AW201" s="15">
        <v>79.641999999999996</v>
      </c>
      <c r="AX201" s="15">
        <v>4</v>
      </c>
      <c r="AY201" s="16" t="s">
        <v>24</v>
      </c>
    </row>
    <row r="202" spans="32:51" x14ac:dyDescent="0.35">
      <c r="AF202" s="17" t="s">
        <v>629</v>
      </c>
      <c r="AG202" s="18" t="s">
        <v>630</v>
      </c>
      <c r="AH202" s="18" t="s">
        <v>631</v>
      </c>
      <c r="AI202" s="18" t="s">
        <v>632</v>
      </c>
      <c r="AJ202" s="18">
        <v>0</v>
      </c>
      <c r="AK202" s="18">
        <v>209293</v>
      </c>
      <c r="AL202" s="18" t="b">
        <v>0</v>
      </c>
      <c r="AM202" s="18">
        <v>0.64900000000000002</v>
      </c>
      <c r="AN202" s="18">
        <v>0.39900000000000002</v>
      </c>
      <c r="AO202" s="18">
        <v>6</v>
      </c>
      <c r="AP202" s="18">
        <v>-7.8940000000000001</v>
      </c>
      <c r="AQ202" s="18">
        <v>1</v>
      </c>
      <c r="AR202" s="18">
        <v>2.5600000000000001E-2</v>
      </c>
      <c r="AS202" s="18">
        <v>0.184</v>
      </c>
      <c r="AT202" s="18">
        <v>1.08E-4</v>
      </c>
      <c r="AU202" s="18">
        <v>0.113</v>
      </c>
      <c r="AV202" s="18">
        <v>0.34200000000000003</v>
      </c>
      <c r="AW202" s="18">
        <v>97.498000000000005</v>
      </c>
      <c r="AX202" s="18">
        <v>3</v>
      </c>
      <c r="AY202" s="19" t="s">
        <v>24</v>
      </c>
    </row>
    <row r="203" spans="32:51" x14ac:dyDescent="0.35">
      <c r="AF203" s="14" t="s">
        <v>633</v>
      </c>
      <c r="AG203" s="15" t="s">
        <v>180</v>
      </c>
      <c r="AH203" s="15" t="s">
        <v>634</v>
      </c>
      <c r="AI203" s="15" t="s">
        <v>635</v>
      </c>
      <c r="AJ203" s="15">
        <v>61</v>
      </c>
      <c r="AK203" s="15">
        <v>308146</v>
      </c>
      <c r="AL203" s="15" t="b">
        <v>0</v>
      </c>
      <c r="AM203" s="15">
        <v>0.52300000000000002</v>
      </c>
      <c r="AN203" s="15">
        <v>0.44500000000000001</v>
      </c>
      <c r="AO203" s="15">
        <v>10</v>
      </c>
      <c r="AP203" s="15">
        <v>-6.359</v>
      </c>
      <c r="AQ203" s="15">
        <v>1</v>
      </c>
      <c r="AR203" s="15">
        <v>3.2899999999999999E-2</v>
      </c>
      <c r="AS203" s="15">
        <v>0.188</v>
      </c>
      <c r="AT203" s="15">
        <v>0</v>
      </c>
      <c r="AU203" s="15">
        <v>0.18</v>
      </c>
      <c r="AV203" s="15">
        <v>0.33600000000000002</v>
      </c>
      <c r="AW203" s="15">
        <v>78.956999999999994</v>
      </c>
      <c r="AX203" s="15">
        <v>4</v>
      </c>
      <c r="AY203" s="16" t="s">
        <v>24</v>
      </c>
    </row>
    <row r="204" spans="32:51" x14ac:dyDescent="0.35">
      <c r="AF204" s="17" t="s">
        <v>636</v>
      </c>
      <c r="AG204" s="18" t="s">
        <v>637</v>
      </c>
      <c r="AH204" s="18" t="s">
        <v>638</v>
      </c>
      <c r="AI204" s="18" t="s">
        <v>639</v>
      </c>
      <c r="AJ204" s="18">
        <v>50</v>
      </c>
      <c r="AK204" s="18">
        <v>221170</v>
      </c>
      <c r="AL204" s="18" t="b">
        <v>0</v>
      </c>
      <c r="AM204" s="18">
        <v>0.53800000000000003</v>
      </c>
      <c r="AN204" s="18">
        <v>0.16200000000000001</v>
      </c>
      <c r="AO204" s="18">
        <v>5</v>
      </c>
      <c r="AP204" s="18">
        <v>-13.31</v>
      </c>
      <c r="AQ204" s="18">
        <v>1</v>
      </c>
      <c r="AR204" s="18">
        <v>2.9899999999999999E-2</v>
      </c>
      <c r="AS204" s="18">
        <v>0.84699999999999998</v>
      </c>
      <c r="AT204" s="18">
        <v>0</v>
      </c>
      <c r="AU204" s="18">
        <v>0.114</v>
      </c>
      <c r="AV204" s="18">
        <v>0.36599999999999999</v>
      </c>
      <c r="AW204" s="18">
        <v>94.980999999999995</v>
      </c>
      <c r="AX204" s="18">
        <v>4</v>
      </c>
      <c r="AY204" s="19" t="s">
        <v>24</v>
      </c>
    </row>
    <row r="205" spans="32:51" x14ac:dyDescent="0.35">
      <c r="AF205" s="14" t="s">
        <v>640</v>
      </c>
      <c r="AG205" s="15" t="s">
        <v>641</v>
      </c>
      <c r="AH205" s="15" t="s">
        <v>642</v>
      </c>
      <c r="AI205" s="15" t="s">
        <v>642</v>
      </c>
      <c r="AJ205" s="15">
        <v>47</v>
      </c>
      <c r="AK205" s="15">
        <v>330786</v>
      </c>
      <c r="AL205" s="15" t="b">
        <v>0</v>
      </c>
      <c r="AM205" s="15">
        <v>0.51900000000000002</v>
      </c>
      <c r="AN205" s="15">
        <v>0.42899999999999999</v>
      </c>
      <c r="AO205" s="15">
        <v>11</v>
      </c>
      <c r="AP205" s="15">
        <v>-7.7069999999999999</v>
      </c>
      <c r="AQ205" s="15">
        <v>0</v>
      </c>
      <c r="AR205" s="15">
        <v>3.1699999999999999E-2</v>
      </c>
      <c r="AS205" s="15">
        <v>0.65800000000000003</v>
      </c>
      <c r="AT205" s="15">
        <v>0</v>
      </c>
      <c r="AU205" s="15">
        <v>0.111</v>
      </c>
      <c r="AV205" s="15">
        <v>0.39600000000000002</v>
      </c>
      <c r="AW205" s="15">
        <v>129.49100000000001</v>
      </c>
      <c r="AX205" s="15">
        <v>4</v>
      </c>
      <c r="AY205" s="16" t="s">
        <v>24</v>
      </c>
    </row>
    <row r="206" spans="32:51" x14ac:dyDescent="0.35">
      <c r="AF206" s="17" t="s">
        <v>643</v>
      </c>
      <c r="AG206" s="18" t="s">
        <v>34</v>
      </c>
      <c r="AH206" s="18" t="s">
        <v>644</v>
      </c>
      <c r="AI206" s="18" t="s">
        <v>644</v>
      </c>
      <c r="AJ206" s="18">
        <v>58</v>
      </c>
      <c r="AK206" s="18">
        <v>234135</v>
      </c>
      <c r="AL206" s="18" t="b">
        <v>0</v>
      </c>
      <c r="AM206" s="18">
        <v>0.58499999999999996</v>
      </c>
      <c r="AN206" s="18">
        <v>0.10299999999999999</v>
      </c>
      <c r="AO206" s="18">
        <v>7</v>
      </c>
      <c r="AP206" s="18">
        <v>-12.682</v>
      </c>
      <c r="AQ206" s="18">
        <v>1</v>
      </c>
      <c r="AR206" s="18">
        <v>3.09E-2</v>
      </c>
      <c r="AS206" s="18">
        <v>0.80100000000000005</v>
      </c>
      <c r="AT206" s="18">
        <v>0</v>
      </c>
      <c r="AU206" s="18">
        <v>0.126</v>
      </c>
      <c r="AV206" s="18">
        <v>0.17899999999999999</v>
      </c>
      <c r="AW206" s="18">
        <v>133.05699999999999</v>
      </c>
      <c r="AX206" s="18">
        <v>4</v>
      </c>
      <c r="AY206" s="19" t="s">
        <v>24</v>
      </c>
    </row>
    <row r="207" spans="32:51" x14ac:dyDescent="0.35">
      <c r="AF207" s="14" t="s">
        <v>645</v>
      </c>
      <c r="AG207" s="15" t="s">
        <v>646</v>
      </c>
      <c r="AH207" s="15" t="s">
        <v>647</v>
      </c>
      <c r="AI207" s="15" t="s">
        <v>647</v>
      </c>
      <c r="AJ207" s="15">
        <v>30</v>
      </c>
      <c r="AK207" s="15">
        <v>173250</v>
      </c>
      <c r="AL207" s="15" t="b">
        <v>0</v>
      </c>
      <c r="AM207" s="15">
        <v>0.57799999999999996</v>
      </c>
      <c r="AN207" s="15">
        <v>0.76300000000000001</v>
      </c>
      <c r="AO207" s="15">
        <v>2</v>
      </c>
      <c r="AP207" s="15">
        <v>-4.8239999999999998</v>
      </c>
      <c r="AQ207" s="15">
        <v>1</v>
      </c>
      <c r="AR207" s="15">
        <v>9.98E-2</v>
      </c>
      <c r="AS207" s="15">
        <v>9.1600000000000001E-2</v>
      </c>
      <c r="AT207" s="31" t="s">
        <v>648</v>
      </c>
      <c r="AU207" s="15">
        <v>7.4300000000000005E-2</v>
      </c>
      <c r="AV207" s="15">
        <v>0.39400000000000002</v>
      </c>
      <c r="AW207" s="15">
        <v>96.808000000000007</v>
      </c>
      <c r="AX207" s="15">
        <v>4</v>
      </c>
      <c r="AY207" s="16" t="s">
        <v>24</v>
      </c>
    </row>
    <row r="208" spans="32:51" x14ac:dyDescent="0.35">
      <c r="AF208" s="17" t="s">
        <v>649</v>
      </c>
      <c r="AG208" s="18" t="s">
        <v>650</v>
      </c>
      <c r="AH208" s="18" t="s">
        <v>651</v>
      </c>
      <c r="AI208" s="18" t="s">
        <v>652</v>
      </c>
      <c r="AJ208" s="18">
        <v>52</v>
      </c>
      <c r="AK208" s="18">
        <v>336619</v>
      </c>
      <c r="AL208" s="18" t="b">
        <v>0</v>
      </c>
      <c r="AM208" s="18">
        <v>0.223</v>
      </c>
      <c r="AN208" s="18">
        <v>0.89100000000000001</v>
      </c>
      <c r="AO208" s="18">
        <v>1</v>
      </c>
      <c r="AP208" s="18">
        <v>-3.6259999999999999</v>
      </c>
      <c r="AQ208" s="18">
        <v>0</v>
      </c>
      <c r="AR208" s="18">
        <v>0.13800000000000001</v>
      </c>
      <c r="AS208" s="18">
        <v>0.32500000000000001</v>
      </c>
      <c r="AT208" s="18">
        <v>0</v>
      </c>
      <c r="AU208" s="18">
        <v>0.28699999999999998</v>
      </c>
      <c r="AV208" s="18">
        <v>0.33300000000000002</v>
      </c>
      <c r="AW208" s="18">
        <v>159.88800000000001</v>
      </c>
      <c r="AX208" s="18">
        <v>4</v>
      </c>
      <c r="AY208" s="19" t="s">
        <v>24</v>
      </c>
    </row>
    <row r="209" spans="32:51" x14ac:dyDescent="0.35">
      <c r="AF209" s="14" t="s">
        <v>653</v>
      </c>
      <c r="AG209" s="15" t="s">
        <v>225</v>
      </c>
      <c r="AH209" s="15" t="s">
        <v>654</v>
      </c>
      <c r="AI209" s="15" t="s">
        <v>654</v>
      </c>
      <c r="AJ209" s="15">
        <v>55</v>
      </c>
      <c r="AK209" s="15">
        <v>144830</v>
      </c>
      <c r="AL209" s="15" t="b">
        <v>0</v>
      </c>
      <c r="AM209" s="15">
        <v>0.38200000000000001</v>
      </c>
      <c r="AN209" s="15">
        <v>0.157</v>
      </c>
      <c r="AO209" s="15">
        <v>1</v>
      </c>
      <c r="AP209" s="15">
        <v>-16.157</v>
      </c>
      <c r="AQ209" s="15">
        <v>1</v>
      </c>
      <c r="AR209" s="15">
        <v>3.61E-2</v>
      </c>
      <c r="AS209" s="15">
        <v>0.878</v>
      </c>
      <c r="AT209" s="15">
        <v>4.73E-4</v>
      </c>
      <c r="AU209" s="15">
        <v>0.112</v>
      </c>
      <c r="AV209" s="15">
        <v>0.224</v>
      </c>
      <c r="AW209" s="15">
        <v>136.11000000000001</v>
      </c>
      <c r="AX209" s="15">
        <v>4</v>
      </c>
      <c r="AY209" s="16" t="s">
        <v>24</v>
      </c>
    </row>
    <row r="210" spans="32:51" x14ac:dyDescent="0.35">
      <c r="AF210" s="17" t="s">
        <v>655</v>
      </c>
      <c r="AG210" s="18" t="s">
        <v>60</v>
      </c>
      <c r="AH210" s="18" t="s">
        <v>656</v>
      </c>
      <c r="AI210" s="18" t="s">
        <v>656</v>
      </c>
      <c r="AJ210" s="18">
        <v>67</v>
      </c>
      <c r="AK210" s="18">
        <v>221538</v>
      </c>
      <c r="AL210" s="18" t="b">
        <v>0</v>
      </c>
      <c r="AM210" s="18">
        <v>0.64200000000000002</v>
      </c>
      <c r="AN210" s="18">
        <v>0.374</v>
      </c>
      <c r="AO210" s="18">
        <v>5</v>
      </c>
      <c r="AP210" s="18">
        <v>-10.606</v>
      </c>
      <c r="AQ210" s="18">
        <v>1</v>
      </c>
      <c r="AR210" s="18">
        <v>3.2000000000000001E-2</v>
      </c>
      <c r="AS210" s="18">
        <v>0.42299999999999999</v>
      </c>
      <c r="AT210" s="32" t="s">
        <v>657</v>
      </c>
      <c r="AU210" s="18">
        <v>0.435</v>
      </c>
      <c r="AV210" s="18">
        <v>9.7900000000000001E-2</v>
      </c>
      <c r="AW210" s="18">
        <v>129.863</v>
      </c>
      <c r="AX210" s="18">
        <v>4</v>
      </c>
      <c r="AY210" s="19" t="s">
        <v>24</v>
      </c>
    </row>
    <row r="211" spans="32:51" x14ac:dyDescent="0.35">
      <c r="AF211" s="14" t="s">
        <v>658</v>
      </c>
      <c r="AG211" s="15" t="s">
        <v>199</v>
      </c>
      <c r="AH211" s="15" t="s">
        <v>659</v>
      </c>
      <c r="AI211" s="15" t="s">
        <v>659</v>
      </c>
      <c r="AJ211" s="15">
        <v>45</v>
      </c>
      <c r="AK211" s="15">
        <v>192972</v>
      </c>
      <c r="AL211" s="15" t="b">
        <v>0</v>
      </c>
      <c r="AM211" s="15">
        <v>0.436</v>
      </c>
      <c r="AN211" s="15">
        <v>0.23899999999999999</v>
      </c>
      <c r="AO211" s="15">
        <v>7</v>
      </c>
      <c r="AP211" s="15">
        <v>-12.83</v>
      </c>
      <c r="AQ211" s="15">
        <v>1</v>
      </c>
      <c r="AR211" s="15">
        <v>2.8199999999999999E-2</v>
      </c>
      <c r="AS211" s="15">
        <v>0.86099999999999999</v>
      </c>
      <c r="AT211" s="31" t="s">
        <v>660</v>
      </c>
      <c r="AU211" s="15">
        <v>9.0200000000000002E-2</v>
      </c>
      <c r="AV211" s="15">
        <v>0.13700000000000001</v>
      </c>
      <c r="AW211" s="15">
        <v>73.760999999999996</v>
      </c>
      <c r="AX211" s="15">
        <v>4</v>
      </c>
      <c r="AY211" s="16" t="s">
        <v>24</v>
      </c>
    </row>
    <row r="212" spans="32:51" x14ac:dyDescent="0.35">
      <c r="AF212" s="17" t="s">
        <v>661</v>
      </c>
      <c r="AG212" s="18" t="s">
        <v>339</v>
      </c>
      <c r="AH212" s="18" t="s">
        <v>97</v>
      </c>
      <c r="AI212" s="18" t="s">
        <v>662</v>
      </c>
      <c r="AJ212" s="18">
        <v>56</v>
      </c>
      <c r="AK212" s="18">
        <v>278640</v>
      </c>
      <c r="AL212" s="18" t="b">
        <v>0</v>
      </c>
      <c r="AM212" s="18">
        <v>0.70199999999999996</v>
      </c>
      <c r="AN212" s="18">
        <v>0.32600000000000001</v>
      </c>
      <c r="AO212" s="18">
        <v>1</v>
      </c>
      <c r="AP212" s="18">
        <v>-6.6379999999999999</v>
      </c>
      <c r="AQ212" s="18">
        <v>1</v>
      </c>
      <c r="AR212" s="18">
        <v>2.7199999999999998E-2</v>
      </c>
      <c r="AS212" s="18">
        <v>0.70499999999999996</v>
      </c>
      <c r="AT212" s="18">
        <v>0</v>
      </c>
      <c r="AU212" s="18">
        <v>0.16800000000000001</v>
      </c>
      <c r="AV212" s="18">
        <v>0.628</v>
      </c>
      <c r="AW212" s="18">
        <v>79.903999999999996</v>
      </c>
      <c r="AX212" s="18">
        <v>4</v>
      </c>
      <c r="AY212" s="19" t="s">
        <v>24</v>
      </c>
    </row>
    <row r="213" spans="32:51" x14ac:dyDescent="0.35">
      <c r="AF213" s="14" t="s">
        <v>663</v>
      </c>
      <c r="AG213" s="15" t="s">
        <v>664</v>
      </c>
      <c r="AH213" s="15" t="s">
        <v>222</v>
      </c>
      <c r="AI213" s="15" t="s">
        <v>665</v>
      </c>
      <c r="AJ213" s="15">
        <v>37</v>
      </c>
      <c r="AK213" s="15">
        <v>212864</v>
      </c>
      <c r="AL213" s="15" t="b">
        <v>0</v>
      </c>
      <c r="AM213" s="15">
        <v>0.59299999999999997</v>
      </c>
      <c r="AN213" s="15">
        <v>0.29199999999999998</v>
      </c>
      <c r="AO213" s="15">
        <v>11</v>
      </c>
      <c r="AP213" s="15">
        <v>-12.755000000000001</v>
      </c>
      <c r="AQ213" s="15">
        <v>1</v>
      </c>
      <c r="AR213" s="15">
        <v>3.6400000000000002E-2</v>
      </c>
      <c r="AS213" s="15">
        <v>0.82799999999999996</v>
      </c>
      <c r="AT213" s="15">
        <v>0</v>
      </c>
      <c r="AU213" s="15">
        <v>0.17399999999999999</v>
      </c>
      <c r="AV213" s="15">
        <v>0.375</v>
      </c>
      <c r="AW213" s="15">
        <v>111.121</v>
      </c>
      <c r="AX213" s="15">
        <v>4</v>
      </c>
      <c r="AY213" s="16" t="s">
        <v>24</v>
      </c>
    </row>
    <row r="214" spans="32:51" x14ac:dyDescent="0.35">
      <c r="AF214" s="17" t="s">
        <v>666</v>
      </c>
      <c r="AG214" s="18" t="s">
        <v>305</v>
      </c>
      <c r="AH214" s="18" t="s">
        <v>667</v>
      </c>
      <c r="AI214" s="18" t="s">
        <v>668</v>
      </c>
      <c r="AJ214" s="18">
        <v>54</v>
      </c>
      <c r="AK214" s="18">
        <v>219466</v>
      </c>
      <c r="AL214" s="18" t="b">
        <v>0</v>
      </c>
      <c r="AM214" s="18">
        <v>0.28499999999999998</v>
      </c>
      <c r="AN214" s="18">
        <v>0.186</v>
      </c>
      <c r="AO214" s="18">
        <v>1</v>
      </c>
      <c r="AP214" s="18">
        <v>-12.728999999999999</v>
      </c>
      <c r="AQ214" s="18">
        <v>1</v>
      </c>
      <c r="AR214" s="18">
        <v>2.8799999999999999E-2</v>
      </c>
      <c r="AS214" s="18">
        <v>0.76</v>
      </c>
      <c r="AT214" s="32" t="s">
        <v>669</v>
      </c>
      <c r="AU214" s="18">
        <v>0.104</v>
      </c>
      <c r="AV214" s="18">
        <v>0.20300000000000001</v>
      </c>
      <c r="AW214" s="18">
        <v>153.84800000000001</v>
      </c>
      <c r="AX214" s="18">
        <v>4</v>
      </c>
      <c r="AY214" s="19" t="s">
        <v>24</v>
      </c>
    </row>
    <row r="215" spans="32:51" x14ac:dyDescent="0.35">
      <c r="AF215" s="14" t="s">
        <v>670</v>
      </c>
      <c r="AG215" s="15" t="s">
        <v>413</v>
      </c>
      <c r="AH215" s="15" t="s">
        <v>488</v>
      </c>
      <c r="AI215" s="15" t="s">
        <v>489</v>
      </c>
      <c r="AJ215" s="15">
        <v>66</v>
      </c>
      <c r="AK215" s="15">
        <v>249120</v>
      </c>
      <c r="AL215" s="15" t="b">
        <v>0</v>
      </c>
      <c r="AM215" s="15">
        <v>0.63600000000000001</v>
      </c>
      <c r="AN215" s="15">
        <v>0.625</v>
      </c>
      <c r="AO215" s="15">
        <v>11</v>
      </c>
      <c r="AP215" s="15">
        <v>-7.8949999999999996</v>
      </c>
      <c r="AQ215" s="15">
        <v>1</v>
      </c>
      <c r="AR215" s="15">
        <v>2.7699999999999999E-2</v>
      </c>
      <c r="AS215" s="15">
        <v>0.222</v>
      </c>
      <c r="AT215" s="31" t="s">
        <v>490</v>
      </c>
      <c r="AU215" s="15">
        <v>0.11899999999999999</v>
      </c>
      <c r="AV215" s="15">
        <v>0.34200000000000003</v>
      </c>
      <c r="AW215" s="15">
        <v>93.930999999999997</v>
      </c>
      <c r="AX215" s="15">
        <v>4</v>
      </c>
      <c r="AY215" s="16" t="s">
        <v>24</v>
      </c>
    </row>
    <row r="216" spans="32:51" x14ac:dyDescent="0.35">
      <c r="AF216" s="17" t="s">
        <v>671</v>
      </c>
      <c r="AG216" s="18" t="s">
        <v>258</v>
      </c>
      <c r="AH216" s="18" t="s">
        <v>672</v>
      </c>
      <c r="AI216" s="18" t="s">
        <v>673</v>
      </c>
      <c r="AJ216" s="18">
        <v>63</v>
      </c>
      <c r="AK216" s="18">
        <v>148400</v>
      </c>
      <c r="AL216" s="18" t="b">
        <v>0</v>
      </c>
      <c r="AM216" s="18">
        <v>0.69799999999999995</v>
      </c>
      <c r="AN216" s="18">
        <v>0.28499999999999998</v>
      </c>
      <c r="AO216" s="18">
        <v>0</v>
      </c>
      <c r="AP216" s="18">
        <v>-7.6319999999999997</v>
      </c>
      <c r="AQ216" s="18">
        <v>1</v>
      </c>
      <c r="AR216" s="18">
        <v>5.5300000000000002E-2</v>
      </c>
      <c r="AS216" s="18">
        <v>0.92700000000000005</v>
      </c>
      <c r="AT216" s="18">
        <v>0</v>
      </c>
      <c r="AU216" s="18">
        <v>8.8300000000000003E-2</v>
      </c>
      <c r="AV216" s="18">
        <v>0.53</v>
      </c>
      <c r="AW216" s="18">
        <v>135.02699999999999</v>
      </c>
      <c r="AX216" s="18">
        <v>4</v>
      </c>
      <c r="AY216" s="19" t="s">
        <v>24</v>
      </c>
    </row>
    <row r="217" spans="32:51" x14ac:dyDescent="0.35">
      <c r="AF217" s="14" t="s">
        <v>674</v>
      </c>
      <c r="AG217" s="15" t="s">
        <v>675</v>
      </c>
      <c r="AH217" s="15" t="s">
        <v>62</v>
      </c>
      <c r="AI217" s="15" t="s">
        <v>676</v>
      </c>
      <c r="AJ217" s="15">
        <v>58</v>
      </c>
      <c r="AK217" s="15">
        <v>244800</v>
      </c>
      <c r="AL217" s="15" t="b">
        <v>0</v>
      </c>
      <c r="AM217" s="15">
        <v>0.60099999999999998</v>
      </c>
      <c r="AN217" s="15">
        <v>0.439</v>
      </c>
      <c r="AO217" s="15">
        <v>8</v>
      </c>
      <c r="AP217" s="15">
        <v>-7.5890000000000004</v>
      </c>
      <c r="AQ217" s="15">
        <v>1</v>
      </c>
      <c r="AR217" s="15">
        <v>2.69E-2</v>
      </c>
      <c r="AS217" s="15">
        <v>6.4199999999999993E-2</v>
      </c>
      <c r="AT217" s="15">
        <v>0</v>
      </c>
      <c r="AU217" s="15">
        <v>9.4200000000000006E-2</v>
      </c>
      <c r="AV217" s="15">
        <v>0.27500000000000002</v>
      </c>
      <c r="AW217" s="15">
        <v>99.975999999999999</v>
      </c>
      <c r="AX217" s="15">
        <v>4</v>
      </c>
      <c r="AY217" s="16" t="s">
        <v>24</v>
      </c>
    </row>
    <row r="218" spans="32:51" x14ac:dyDescent="0.35">
      <c r="AF218" s="17" t="s">
        <v>677</v>
      </c>
      <c r="AG218" s="18" t="s">
        <v>78</v>
      </c>
      <c r="AH218" s="18" t="s">
        <v>678</v>
      </c>
      <c r="AI218" s="18" t="s">
        <v>80</v>
      </c>
      <c r="AJ218" s="18">
        <v>55</v>
      </c>
      <c r="AK218" s="18">
        <v>270840</v>
      </c>
      <c r="AL218" s="18" t="b">
        <v>0</v>
      </c>
      <c r="AM218" s="18">
        <v>0.33200000000000002</v>
      </c>
      <c r="AN218" s="18">
        <v>0.29799999999999999</v>
      </c>
      <c r="AO218" s="18">
        <v>4</v>
      </c>
      <c r="AP218" s="18">
        <v>-14.173999999999999</v>
      </c>
      <c r="AQ218" s="18">
        <v>1</v>
      </c>
      <c r="AR218" s="18">
        <v>5.6899999999999999E-2</v>
      </c>
      <c r="AS218" s="18">
        <v>0.875</v>
      </c>
      <c r="AT218" s="18">
        <v>7.8399999999999997E-3</v>
      </c>
      <c r="AU218" s="18">
        <v>0.114</v>
      </c>
      <c r="AV218" s="18">
        <v>0.24299999999999999</v>
      </c>
      <c r="AW218" s="18">
        <v>83.555000000000007</v>
      </c>
      <c r="AX218" s="18">
        <v>4</v>
      </c>
      <c r="AY218" s="19" t="s">
        <v>24</v>
      </c>
    </row>
    <row r="219" spans="32:51" x14ac:dyDescent="0.35">
      <c r="AF219" s="14" t="s">
        <v>679</v>
      </c>
      <c r="AG219" s="15" t="s">
        <v>680</v>
      </c>
      <c r="AH219" s="15" t="s">
        <v>681</v>
      </c>
      <c r="AI219" s="15" t="s">
        <v>682</v>
      </c>
      <c r="AJ219" s="15">
        <v>65</v>
      </c>
      <c r="AK219" s="15">
        <v>279826</v>
      </c>
      <c r="AL219" s="15" t="b">
        <v>0</v>
      </c>
      <c r="AM219" s="15">
        <v>0.38600000000000001</v>
      </c>
      <c r="AN219" s="15">
        <v>0.45200000000000001</v>
      </c>
      <c r="AO219" s="15">
        <v>2</v>
      </c>
      <c r="AP219" s="15">
        <v>-7.7149999999999999</v>
      </c>
      <c r="AQ219" s="15">
        <v>1</v>
      </c>
      <c r="AR219" s="15">
        <v>2.7799999999999998E-2</v>
      </c>
      <c r="AS219" s="15">
        <v>0.41699999999999998</v>
      </c>
      <c r="AT219" s="15">
        <v>0</v>
      </c>
      <c r="AU219" s="15">
        <v>8.8099999999999998E-2</v>
      </c>
      <c r="AV219" s="15">
        <v>0.28699999999999998</v>
      </c>
      <c r="AW219" s="15">
        <v>169.83699999999999</v>
      </c>
      <c r="AX219" s="15">
        <v>3</v>
      </c>
      <c r="AY219" s="16" t="s">
        <v>24</v>
      </c>
    </row>
    <row r="220" spans="32:51" x14ac:dyDescent="0.35">
      <c r="AF220" s="17" t="s">
        <v>683</v>
      </c>
      <c r="AG220" s="18" t="s">
        <v>60</v>
      </c>
      <c r="AH220" s="18" t="s">
        <v>61</v>
      </c>
      <c r="AI220" s="18" t="s">
        <v>684</v>
      </c>
      <c r="AJ220" s="18">
        <v>69</v>
      </c>
      <c r="AK220" s="18">
        <v>244067</v>
      </c>
      <c r="AL220" s="18" t="b">
        <v>0</v>
      </c>
      <c r="AM220" s="18">
        <v>0.62</v>
      </c>
      <c r="AN220" s="18">
        <v>0.66800000000000004</v>
      </c>
      <c r="AO220" s="18">
        <v>9</v>
      </c>
      <c r="AP220" s="18">
        <v>-5.7190000000000003</v>
      </c>
      <c r="AQ220" s="18">
        <v>1</v>
      </c>
      <c r="AR220" s="18">
        <v>3.0499999999999999E-2</v>
      </c>
      <c r="AS220" s="18">
        <v>8.7999999999999995E-2</v>
      </c>
      <c r="AT220" s="18">
        <v>0</v>
      </c>
      <c r="AU220" s="18">
        <v>0.36199999999999999</v>
      </c>
      <c r="AV220" s="18">
        <v>0.183</v>
      </c>
      <c r="AW220" s="18">
        <v>118.01300000000001</v>
      </c>
      <c r="AX220" s="18">
        <v>4</v>
      </c>
      <c r="AY220" s="19" t="s">
        <v>24</v>
      </c>
    </row>
    <row r="221" spans="32:51" x14ac:dyDescent="0.35">
      <c r="AF221" s="14" t="s">
        <v>685</v>
      </c>
      <c r="AG221" s="15" t="s">
        <v>664</v>
      </c>
      <c r="AH221" s="15" t="s">
        <v>572</v>
      </c>
      <c r="AI221" s="15" t="s">
        <v>572</v>
      </c>
      <c r="AJ221" s="15">
        <v>44</v>
      </c>
      <c r="AK221" s="15">
        <v>214738</v>
      </c>
      <c r="AL221" s="15" t="b">
        <v>0</v>
      </c>
      <c r="AM221" s="15">
        <v>0.39400000000000002</v>
      </c>
      <c r="AN221" s="15">
        <v>0.28100000000000003</v>
      </c>
      <c r="AO221" s="15">
        <v>9</v>
      </c>
      <c r="AP221" s="15">
        <v>-11.12</v>
      </c>
      <c r="AQ221" s="15">
        <v>1</v>
      </c>
      <c r="AR221" s="15">
        <v>4.1399999999999999E-2</v>
      </c>
      <c r="AS221" s="15">
        <v>0.82599999999999996</v>
      </c>
      <c r="AT221" s="15">
        <v>0</v>
      </c>
      <c r="AU221" s="15">
        <v>8.5400000000000004E-2</v>
      </c>
      <c r="AV221" s="15">
        <v>0.48499999999999999</v>
      </c>
      <c r="AW221" s="15">
        <v>90.043999999999997</v>
      </c>
      <c r="AX221" s="15">
        <v>4</v>
      </c>
      <c r="AY221" s="16" t="s">
        <v>24</v>
      </c>
    </row>
    <row r="222" spans="32:51" x14ac:dyDescent="0.35">
      <c r="AF222" s="17" t="s">
        <v>686</v>
      </c>
      <c r="AG222" s="18" t="s">
        <v>26</v>
      </c>
      <c r="AH222" s="18" t="s">
        <v>687</v>
      </c>
      <c r="AI222" s="18" t="s">
        <v>687</v>
      </c>
      <c r="AJ222" s="18">
        <v>39</v>
      </c>
      <c r="AK222" s="18">
        <v>207677</v>
      </c>
      <c r="AL222" s="18" t="b">
        <v>0</v>
      </c>
      <c r="AM222" s="18">
        <v>0.59</v>
      </c>
      <c r="AN222" s="18">
        <v>0.55200000000000005</v>
      </c>
      <c r="AO222" s="18">
        <v>7</v>
      </c>
      <c r="AP222" s="18">
        <v>-10.496</v>
      </c>
      <c r="AQ222" s="18">
        <v>1</v>
      </c>
      <c r="AR222" s="18">
        <v>4.07E-2</v>
      </c>
      <c r="AS222" s="18">
        <v>0.65400000000000003</v>
      </c>
      <c r="AT222" s="18">
        <v>3.59E-4</v>
      </c>
      <c r="AU222" s="18">
        <v>0.128</v>
      </c>
      <c r="AV222" s="18">
        <v>0.63500000000000001</v>
      </c>
      <c r="AW222" s="18">
        <v>155.101</v>
      </c>
      <c r="AX222" s="18">
        <v>5</v>
      </c>
      <c r="AY222" s="19" t="s">
        <v>24</v>
      </c>
    </row>
    <row r="223" spans="32:51" x14ac:dyDescent="0.35">
      <c r="AF223" s="14" t="s">
        <v>688</v>
      </c>
      <c r="AG223" s="15" t="s">
        <v>184</v>
      </c>
      <c r="AH223" s="15" t="s">
        <v>507</v>
      </c>
      <c r="AI223" s="15" t="s">
        <v>689</v>
      </c>
      <c r="AJ223" s="15">
        <v>54</v>
      </c>
      <c r="AK223" s="15">
        <v>265506</v>
      </c>
      <c r="AL223" s="15" t="b">
        <v>0</v>
      </c>
      <c r="AM223" s="15">
        <v>0.53900000000000003</v>
      </c>
      <c r="AN223" s="15">
        <v>0.71699999999999997</v>
      </c>
      <c r="AO223" s="15">
        <v>3</v>
      </c>
      <c r="AP223" s="15">
        <v>-7.3849999999999998</v>
      </c>
      <c r="AQ223" s="15">
        <v>1</v>
      </c>
      <c r="AR223" s="15">
        <v>3.1E-2</v>
      </c>
      <c r="AS223" s="15">
        <v>2.9799999999999998E-4</v>
      </c>
      <c r="AT223" s="15">
        <v>0.111</v>
      </c>
      <c r="AU223" s="15">
        <v>0.125</v>
      </c>
      <c r="AV223" s="15">
        <v>0.21199999999999999</v>
      </c>
      <c r="AW223" s="15">
        <v>117.973</v>
      </c>
      <c r="AX223" s="15">
        <v>4</v>
      </c>
      <c r="AY223" s="16" t="s">
        <v>24</v>
      </c>
    </row>
    <row r="224" spans="32:51" x14ac:dyDescent="0.35">
      <c r="AF224" s="17" t="s">
        <v>690</v>
      </c>
      <c r="AG224" s="18" t="s">
        <v>664</v>
      </c>
      <c r="AH224" s="18" t="s">
        <v>691</v>
      </c>
      <c r="AI224" s="18" t="s">
        <v>692</v>
      </c>
      <c r="AJ224" s="18">
        <v>44</v>
      </c>
      <c r="AK224" s="18">
        <v>188494</v>
      </c>
      <c r="AL224" s="18" t="b">
        <v>0</v>
      </c>
      <c r="AM224" s="18">
        <v>0.54300000000000004</v>
      </c>
      <c r="AN224" s="18">
        <v>0.13800000000000001</v>
      </c>
      <c r="AO224" s="18">
        <v>0</v>
      </c>
      <c r="AP224" s="18">
        <v>-14.331</v>
      </c>
      <c r="AQ224" s="18">
        <v>1</v>
      </c>
      <c r="AR224" s="18">
        <v>5.3100000000000001E-2</v>
      </c>
      <c r="AS224" s="18">
        <v>0.79100000000000004</v>
      </c>
      <c r="AT224" s="18">
        <v>0</v>
      </c>
      <c r="AU224" s="18">
        <v>0.185</v>
      </c>
      <c r="AV224" s="18">
        <v>0.3</v>
      </c>
      <c r="AW224" s="18">
        <v>115.65</v>
      </c>
      <c r="AX224" s="18">
        <v>4</v>
      </c>
      <c r="AY224" s="19" t="s">
        <v>24</v>
      </c>
    </row>
    <row r="225" spans="32:51" x14ac:dyDescent="0.35">
      <c r="AF225" s="14" t="s">
        <v>693</v>
      </c>
      <c r="AG225" s="15" t="s">
        <v>60</v>
      </c>
      <c r="AH225" s="15" t="s">
        <v>694</v>
      </c>
      <c r="AI225" s="15" t="s">
        <v>694</v>
      </c>
      <c r="AJ225" s="15">
        <v>70</v>
      </c>
      <c r="AK225" s="15">
        <v>210354</v>
      </c>
      <c r="AL225" s="15" t="b">
        <v>0</v>
      </c>
      <c r="AM225" s="15">
        <v>0.62</v>
      </c>
      <c r="AN225" s="15">
        <v>0.54700000000000004</v>
      </c>
      <c r="AO225" s="15">
        <v>1</v>
      </c>
      <c r="AP225" s="15">
        <v>-6.7720000000000002</v>
      </c>
      <c r="AQ225" s="15">
        <v>1</v>
      </c>
      <c r="AR225" s="15">
        <v>2.4799999999999999E-2</v>
      </c>
      <c r="AS225" s="15">
        <v>0.112</v>
      </c>
      <c r="AT225" s="15">
        <v>0</v>
      </c>
      <c r="AU225" s="15">
        <v>0.19</v>
      </c>
      <c r="AV225" s="15">
        <v>0.20799999999999999</v>
      </c>
      <c r="AW225" s="15">
        <v>98.031999999999996</v>
      </c>
      <c r="AX225" s="15">
        <v>4</v>
      </c>
      <c r="AY225" s="16" t="s">
        <v>24</v>
      </c>
    </row>
    <row r="226" spans="32:51" x14ac:dyDescent="0.35">
      <c r="AF226" s="17" t="s">
        <v>695</v>
      </c>
      <c r="AG226" s="18" t="s">
        <v>696</v>
      </c>
      <c r="AH226" s="18" t="s">
        <v>697</v>
      </c>
      <c r="AI226" s="18" t="s">
        <v>697</v>
      </c>
      <c r="AJ226" s="18">
        <v>64</v>
      </c>
      <c r="AK226" s="18">
        <v>200706</v>
      </c>
      <c r="AL226" s="18" t="b">
        <v>0</v>
      </c>
      <c r="AM226" s="18">
        <v>0.76100000000000001</v>
      </c>
      <c r="AN226" s="18">
        <v>0.311</v>
      </c>
      <c r="AO226" s="18">
        <v>5</v>
      </c>
      <c r="AP226" s="18">
        <v>-10.597</v>
      </c>
      <c r="AQ226" s="18">
        <v>1</v>
      </c>
      <c r="AR226" s="18">
        <v>6.9199999999999998E-2</v>
      </c>
      <c r="AS226" s="18">
        <v>0.64700000000000002</v>
      </c>
      <c r="AT226" s="18">
        <v>0</v>
      </c>
      <c r="AU226" s="18">
        <v>0.15</v>
      </c>
      <c r="AV226" s="18">
        <v>0.55300000000000005</v>
      </c>
      <c r="AW226" s="18">
        <v>109.89100000000001</v>
      </c>
      <c r="AX226" s="18">
        <v>4</v>
      </c>
      <c r="AY226" s="19" t="s">
        <v>24</v>
      </c>
    </row>
    <row r="227" spans="32:51" x14ac:dyDescent="0.35">
      <c r="AF227" s="14" t="s">
        <v>698</v>
      </c>
      <c r="AG227" s="15" t="s">
        <v>83</v>
      </c>
      <c r="AH227" s="15" t="s">
        <v>699</v>
      </c>
      <c r="AI227" s="15" t="s">
        <v>699</v>
      </c>
      <c r="AJ227" s="15">
        <v>40</v>
      </c>
      <c r="AK227" s="15">
        <v>199256</v>
      </c>
      <c r="AL227" s="15" t="b">
        <v>0</v>
      </c>
      <c r="AM227" s="15">
        <v>0.67400000000000004</v>
      </c>
      <c r="AN227" s="15">
        <v>0.122</v>
      </c>
      <c r="AO227" s="15">
        <v>1</v>
      </c>
      <c r="AP227" s="15">
        <v>-17.963000000000001</v>
      </c>
      <c r="AQ227" s="15">
        <v>1</v>
      </c>
      <c r="AR227" s="15">
        <v>4.2700000000000002E-2</v>
      </c>
      <c r="AS227" s="15">
        <v>0.88200000000000001</v>
      </c>
      <c r="AT227" s="15">
        <v>0</v>
      </c>
      <c r="AU227" s="15">
        <v>0.13900000000000001</v>
      </c>
      <c r="AV227" s="15">
        <v>0.33900000000000002</v>
      </c>
      <c r="AW227" s="15">
        <v>130.01400000000001</v>
      </c>
      <c r="AX227" s="15">
        <v>4</v>
      </c>
      <c r="AY227" s="16" t="s">
        <v>24</v>
      </c>
    </row>
    <row r="228" spans="32:51" x14ac:dyDescent="0.35">
      <c r="AF228" s="17" t="s">
        <v>700</v>
      </c>
      <c r="AG228" s="18" t="s">
        <v>546</v>
      </c>
      <c r="AH228" s="18" t="s">
        <v>701</v>
      </c>
      <c r="AI228" s="18" t="s">
        <v>701</v>
      </c>
      <c r="AJ228" s="18">
        <v>47</v>
      </c>
      <c r="AK228" s="18">
        <v>205666</v>
      </c>
      <c r="AL228" s="18" t="b">
        <v>0</v>
      </c>
      <c r="AM228" s="18">
        <v>0.42899999999999999</v>
      </c>
      <c r="AN228" s="18">
        <v>0.35799999999999998</v>
      </c>
      <c r="AO228" s="18">
        <v>0</v>
      </c>
      <c r="AP228" s="18">
        <v>-9.0760000000000005</v>
      </c>
      <c r="AQ228" s="18">
        <v>1</v>
      </c>
      <c r="AR228" s="18">
        <v>3.4599999999999999E-2</v>
      </c>
      <c r="AS228" s="18">
        <v>0.61399999999999999</v>
      </c>
      <c r="AT228" s="18">
        <v>0</v>
      </c>
      <c r="AU228" s="18">
        <v>8.7499999999999994E-2</v>
      </c>
      <c r="AV228" s="18">
        <v>0.187</v>
      </c>
      <c r="AW228" s="18">
        <v>134.279</v>
      </c>
      <c r="AX228" s="18">
        <v>4</v>
      </c>
      <c r="AY228" s="19" t="s">
        <v>24</v>
      </c>
    </row>
    <row r="229" spans="32:51" x14ac:dyDescent="0.35">
      <c r="AF229" s="14" t="s">
        <v>702</v>
      </c>
      <c r="AG229" s="15" t="s">
        <v>263</v>
      </c>
      <c r="AH229" s="15" t="s">
        <v>703</v>
      </c>
      <c r="AI229" s="15" t="s">
        <v>47</v>
      </c>
      <c r="AJ229" s="15">
        <v>40</v>
      </c>
      <c r="AK229" s="15">
        <v>229573</v>
      </c>
      <c r="AL229" s="15" t="b">
        <v>0</v>
      </c>
      <c r="AM229" s="15">
        <v>0.45600000000000002</v>
      </c>
      <c r="AN229" s="15">
        <v>0.10100000000000001</v>
      </c>
      <c r="AO229" s="15">
        <v>2</v>
      </c>
      <c r="AP229" s="15">
        <v>-11.75</v>
      </c>
      <c r="AQ229" s="15">
        <v>1</v>
      </c>
      <c r="AR229" s="15">
        <v>3.7999999999999999E-2</v>
      </c>
      <c r="AS229" s="15">
        <v>0.876</v>
      </c>
      <c r="AT229" s="31" t="s">
        <v>704</v>
      </c>
      <c r="AU229" s="15">
        <v>7.7600000000000002E-2</v>
      </c>
      <c r="AV229" s="15">
        <v>0.155</v>
      </c>
      <c r="AW229" s="15">
        <v>139.89599999999999</v>
      </c>
      <c r="AX229" s="15">
        <v>3</v>
      </c>
      <c r="AY229" s="16" t="s">
        <v>24</v>
      </c>
    </row>
    <row r="230" spans="32:51" x14ac:dyDescent="0.35">
      <c r="AF230" s="17" t="s">
        <v>705</v>
      </c>
      <c r="AG230" s="18" t="s">
        <v>60</v>
      </c>
      <c r="AH230" s="18" t="s">
        <v>61</v>
      </c>
      <c r="AI230" s="18" t="s">
        <v>706</v>
      </c>
      <c r="AJ230" s="18">
        <v>55</v>
      </c>
      <c r="AK230" s="18">
        <v>240952</v>
      </c>
      <c r="AL230" s="18" t="b">
        <v>0</v>
      </c>
      <c r="AM230" s="18">
        <v>0.64700000000000002</v>
      </c>
      <c r="AN230" s="18">
        <v>0.56699999999999995</v>
      </c>
      <c r="AO230" s="18">
        <v>1</v>
      </c>
      <c r="AP230" s="18">
        <v>-8.9710000000000001</v>
      </c>
      <c r="AQ230" s="18">
        <v>1</v>
      </c>
      <c r="AR230" s="18">
        <v>3.2800000000000003E-2</v>
      </c>
      <c r="AS230" s="18">
        <v>3.1800000000000002E-2</v>
      </c>
      <c r="AT230" s="18">
        <v>0</v>
      </c>
      <c r="AU230" s="18">
        <v>0.13300000000000001</v>
      </c>
      <c r="AV230" s="18">
        <v>0.374</v>
      </c>
      <c r="AW230" s="18">
        <v>125.871</v>
      </c>
      <c r="AX230" s="18">
        <v>4</v>
      </c>
      <c r="AY230" s="19" t="s">
        <v>24</v>
      </c>
    </row>
    <row r="231" spans="32:51" x14ac:dyDescent="0.35">
      <c r="AF231" s="14" t="s">
        <v>707</v>
      </c>
      <c r="AG231" s="15" t="s">
        <v>708</v>
      </c>
      <c r="AH231" s="15" t="s">
        <v>709</v>
      </c>
      <c r="AI231" s="15" t="s">
        <v>710</v>
      </c>
      <c r="AJ231" s="15">
        <v>57</v>
      </c>
      <c r="AK231" s="15">
        <v>199594</v>
      </c>
      <c r="AL231" s="15" t="b">
        <v>0</v>
      </c>
      <c r="AM231" s="15">
        <v>0.32200000000000001</v>
      </c>
      <c r="AN231" s="15">
        <v>0.21299999999999999</v>
      </c>
      <c r="AO231" s="15">
        <v>10</v>
      </c>
      <c r="AP231" s="15">
        <v>-14.914999999999999</v>
      </c>
      <c r="AQ231" s="15">
        <v>0</v>
      </c>
      <c r="AR231" s="15">
        <v>3.1800000000000002E-2</v>
      </c>
      <c r="AS231" s="15">
        <v>0.61099999999999999</v>
      </c>
      <c r="AT231" s="15">
        <v>0</v>
      </c>
      <c r="AU231" s="15">
        <v>0.113</v>
      </c>
      <c r="AV231" s="15">
        <v>0.16</v>
      </c>
      <c r="AW231" s="15">
        <v>160.38900000000001</v>
      </c>
      <c r="AX231" s="15">
        <v>4</v>
      </c>
      <c r="AY231" s="16" t="s">
        <v>24</v>
      </c>
    </row>
    <row r="232" spans="32:51" x14ac:dyDescent="0.35">
      <c r="AF232" s="17" t="s">
        <v>711</v>
      </c>
      <c r="AG232" s="18" t="s">
        <v>712</v>
      </c>
      <c r="AH232" s="18" t="s">
        <v>713</v>
      </c>
      <c r="AI232" s="18" t="s">
        <v>714</v>
      </c>
      <c r="AJ232" s="18">
        <v>48</v>
      </c>
      <c r="AK232" s="18">
        <v>317280</v>
      </c>
      <c r="AL232" s="18" t="b">
        <v>0</v>
      </c>
      <c r="AM232" s="18">
        <v>0.48199999999999998</v>
      </c>
      <c r="AN232" s="18">
        <v>0.38100000000000001</v>
      </c>
      <c r="AO232" s="18">
        <v>2</v>
      </c>
      <c r="AP232" s="18">
        <v>-13.93</v>
      </c>
      <c r="AQ232" s="18">
        <v>1</v>
      </c>
      <c r="AR232" s="18">
        <v>3.1099999999999999E-2</v>
      </c>
      <c r="AS232" s="18">
        <v>0.45500000000000002</v>
      </c>
      <c r="AT232" s="18">
        <v>2.9499999999999999E-3</v>
      </c>
      <c r="AU232" s="18">
        <v>0.114</v>
      </c>
      <c r="AV232" s="18">
        <v>0.42</v>
      </c>
      <c r="AW232" s="18">
        <v>81.712000000000003</v>
      </c>
      <c r="AX232" s="18">
        <v>4</v>
      </c>
      <c r="AY232" s="19" t="s">
        <v>24</v>
      </c>
    </row>
    <row r="233" spans="32:51" x14ac:dyDescent="0.35">
      <c r="AF233" s="14" t="s">
        <v>715</v>
      </c>
      <c r="AG233" s="15" t="s">
        <v>716</v>
      </c>
      <c r="AH233" s="15" t="s">
        <v>717</v>
      </c>
      <c r="AI233" s="15" t="s">
        <v>718</v>
      </c>
      <c r="AJ233" s="15">
        <v>54</v>
      </c>
      <c r="AK233" s="15">
        <v>231965</v>
      </c>
      <c r="AL233" s="15" t="b">
        <v>0</v>
      </c>
      <c r="AM233" s="15">
        <v>0.39300000000000002</v>
      </c>
      <c r="AN233" s="15">
        <v>0.20699999999999999</v>
      </c>
      <c r="AO233" s="15">
        <v>10</v>
      </c>
      <c r="AP233" s="15">
        <v>-11.865</v>
      </c>
      <c r="AQ233" s="15">
        <v>1</v>
      </c>
      <c r="AR233" s="15">
        <v>3.9199999999999999E-2</v>
      </c>
      <c r="AS233" s="15">
        <v>0.877</v>
      </c>
      <c r="AT233" s="15">
        <v>0</v>
      </c>
      <c r="AU233" s="15">
        <v>0.104</v>
      </c>
      <c r="AV233" s="15">
        <v>0.26200000000000001</v>
      </c>
      <c r="AW233" s="15">
        <v>163.99</v>
      </c>
      <c r="AX233" s="15">
        <v>4</v>
      </c>
      <c r="AY233" s="16" t="s">
        <v>24</v>
      </c>
    </row>
    <row r="234" spans="32:51" x14ac:dyDescent="0.35">
      <c r="AF234" s="17" t="s">
        <v>719</v>
      </c>
      <c r="AG234" s="18" t="s">
        <v>221</v>
      </c>
      <c r="AH234" s="18" t="s">
        <v>222</v>
      </c>
      <c r="AI234" s="18" t="s">
        <v>720</v>
      </c>
      <c r="AJ234" s="18">
        <v>53</v>
      </c>
      <c r="AK234" s="18">
        <v>200800</v>
      </c>
      <c r="AL234" s="18" t="b">
        <v>0</v>
      </c>
      <c r="AM234" s="18">
        <v>0.42299999999999999</v>
      </c>
      <c r="AN234" s="18">
        <v>0.20699999999999999</v>
      </c>
      <c r="AO234" s="18">
        <v>7</v>
      </c>
      <c r="AP234" s="18">
        <v>-8.8109999999999999</v>
      </c>
      <c r="AQ234" s="18">
        <v>1</v>
      </c>
      <c r="AR234" s="18">
        <v>2.8899999999999999E-2</v>
      </c>
      <c r="AS234" s="18">
        <v>0.88700000000000001</v>
      </c>
      <c r="AT234" s="18">
        <v>0</v>
      </c>
      <c r="AU234" s="18">
        <v>9.4799999999999995E-2</v>
      </c>
      <c r="AV234" s="18">
        <v>0.20899999999999999</v>
      </c>
      <c r="AW234" s="18">
        <v>149.66399999999999</v>
      </c>
      <c r="AX234" s="18">
        <v>4</v>
      </c>
      <c r="AY234" s="19" t="s">
        <v>24</v>
      </c>
    </row>
    <row r="235" spans="32:51" x14ac:dyDescent="0.35">
      <c r="AF235" s="14" t="s">
        <v>721</v>
      </c>
      <c r="AG235" s="15" t="s">
        <v>225</v>
      </c>
      <c r="AH235" s="15" t="s">
        <v>722</v>
      </c>
      <c r="AI235" s="15" t="s">
        <v>723</v>
      </c>
      <c r="AJ235" s="15">
        <v>60</v>
      </c>
      <c r="AK235" s="15">
        <v>261665</v>
      </c>
      <c r="AL235" s="15" t="b">
        <v>0</v>
      </c>
      <c r="AM235" s="15">
        <v>0.52200000000000002</v>
      </c>
      <c r="AN235" s="15">
        <v>0.152</v>
      </c>
      <c r="AO235" s="15">
        <v>2</v>
      </c>
      <c r="AP235" s="15">
        <v>-14.996</v>
      </c>
      <c r="AQ235" s="15">
        <v>1</v>
      </c>
      <c r="AR235" s="15">
        <v>3.0300000000000001E-2</v>
      </c>
      <c r="AS235" s="15">
        <v>0.78800000000000003</v>
      </c>
      <c r="AT235" s="31" t="s">
        <v>724</v>
      </c>
      <c r="AU235" s="15">
        <v>0.14799999999999999</v>
      </c>
      <c r="AV235" s="15">
        <v>0.13300000000000001</v>
      </c>
      <c r="AW235" s="15">
        <v>144.05500000000001</v>
      </c>
      <c r="AX235" s="15">
        <v>4</v>
      </c>
      <c r="AY235" s="16" t="s">
        <v>24</v>
      </c>
    </row>
    <row r="236" spans="32:51" x14ac:dyDescent="0.35">
      <c r="AF236" s="17" t="s">
        <v>725</v>
      </c>
      <c r="AG236" s="18" t="s">
        <v>408</v>
      </c>
      <c r="AH236" s="18" t="s">
        <v>726</v>
      </c>
      <c r="AI236" s="18" t="s">
        <v>726</v>
      </c>
      <c r="AJ236" s="18">
        <v>54</v>
      </c>
      <c r="AK236" s="18">
        <v>231605</v>
      </c>
      <c r="AL236" s="18" t="b">
        <v>0</v>
      </c>
      <c r="AM236" s="18">
        <v>0.54700000000000004</v>
      </c>
      <c r="AN236" s="18">
        <v>0.313</v>
      </c>
      <c r="AO236" s="18">
        <v>0</v>
      </c>
      <c r="AP236" s="18">
        <v>-7.9820000000000002</v>
      </c>
      <c r="AQ236" s="18">
        <v>1</v>
      </c>
      <c r="AR236" s="18">
        <v>3.15E-2</v>
      </c>
      <c r="AS236" s="18">
        <v>0.61199999999999999</v>
      </c>
      <c r="AT236" s="32" t="s">
        <v>727</v>
      </c>
      <c r="AU236" s="18">
        <v>0.111</v>
      </c>
      <c r="AV236" s="18">
        <v>0.26100000000000001</v>
      </c>
      <c r="AW236" s="18">
        <v>133.73699999999999</v>
      </c>
      <c r="AX236" s="18">
        <v>4</v>
      </c>
      <c r="AY236" s="19" t="s">
        <v>24</v>
      </c>
    </row>
    <row r="237" spans="32:51" x14ac:dyDescent="0.35">
      <c r="AF237" s="14" t="s">
        <v>728</v>
      </c>
      <c r="AG237" s="15" t="s">
        <v>712</v>
      </c>
      <c r="AH237" s="15" t="s">
        <v>729</v>
      </c>
      <c r="AI237" s="15" t="s">
        <v>730</v>
      </c>
      <c r="AJ237" s="15">
        <v>62</v>
      </c>
      <c r="AK237" s="15">
        <v>306200</v>
      </c>
      <c r="AL237" s="15" t="b">
        <v>0</v>
      </c>
      <c r="AM237" s="15">
        <v>0.504</v>
      </c>
      <c r="AN237" s="15">
        <v>0.32100000000000001</v>
      </c>
      <c r="AO237" s="15">
        <v>7</v>
      </c>
      <c r="AP237" s="15">
        <v>-13.807</v>
      </c>
      <c r="AQ237" s="15">
        <v>1</v>
      </c>
      <c r="AR237" s="15">
        <v>3.1600000000000003E-2</v>
      </c>
      <c r="AS237" s="15">
        <v>0.14899999999999999</v>
      </c>
      <c r="AT237" s="15">
        <v>1.07E-4</v>
      </c>
      <c r="AU237" s="15">
        <v>0.14699999999999999</v>
      </c>
      <c r="AV237" s="15">
        <v>0.57699999999999996</v>
      </c>
      <c r="AW237" s="15">
        <v>170.13399999999999</v>
      </c>
      <c r="AX237" s="15">
        <v>3</v>
      </c>
      <c r="AY237" s="16" t="s">
        <v>24</v>
      </c>
    </row>
    <row r="238" spans="32:51" x14ac:dyDescent="0.35">
      <c r="AF238" s="17" t="s">
        <v>731</v>
      </c>
      <c r="AG238" s="18" t="s">
        <v>696</v>
      </c>
      <c r="AH238" s="18" t="s">
        <v>732</v>
      </c>
      <c r="AI238" s="18" t="s">
        <v>733</v>
      </c>
      <c r="AJ238" s="18">
        <v>51</v>
      </c>
      <c r="AK238" s="18">
        <v>224847</v>
      </c>
      <c r="AL238" s="18" t="b">
        <v>0</v>
      </c>
      <c r="AM238" s="18">
        <v>0.46600000000000003</v>
      </c>
      <c r="AN238" s="18">
        <v>0.161</v>
      </c>
      <c r="AO238" s="18">
        <v>7</v>
      </c>
      <c r="AP238" s="18">
        <v>-14.497999999999999</v>
      </c>
      <c r="AQ238" s="18">
        <v>1</v>
      </c>
      <c r="AR238" s="18">
        <v>4.9200000000000001E-2</v>
      </c>
      <c r="AS238" s="18">
        <v>0.97899999999999998</v>
      </c>
      <c r="AT238" s="18">
        <v>2.3800000000000001E-4</v>
      </c>
      <c r="AU238" s="18">
        <v>0.23100000000000001</v>
      </c>
      <c r="AV238" s="18">
        <v>0.17100000000000001</v>
      </c>
      <c r="AW238" s="18">
        <v>139.167</v>
      </c>
      <c r="AX238" s="18">
        <v>3</v>
      </c>
      <c r="AY238" s="19" t="s">
        <v>24</v>
      </c>
    </row>
    <row r="239" spans="32:51" x14ac:dyDescent="0.35">
      <c r="AF239" s="14" t="s">
        <v>734</v>
      </c>
      <c r="AG239" s="15" t="s">
        <v>735</v>
      </c>
      <c r="AH239" s="15" t="s">
        <v>736</v>
      </c>
      <c r="AI239" s="15" t="s">
        <v>737</v>
      </c>
      <c r="AJ239" s="15">
        <v>61</v>
      </c>
      <c r="AK239" s="15">
        <v>250063</v>
      </c>
      <c r="AL239" s="15" t="b">
        <v>0</v>
      </c>
      <c r="AM239" s="15">
        <v>0.61899999999999999</v>
      </c>
      <c r="AN239" s="15">
        <v>0.28000000000000003</v>
      </c>
      <c r="AO239" s="15">
        <v>8</v>
      </c>
      <c r="AP239" s="15">
        <v>-10.238</v>
      </c>
      <c r="AQ239" s="15">
        <v>0</v>
      </c>
      <c r="AR239" s="15">
        <v>3.1699999999999999E-2</v>
      </c>
      <c r="AS239" s="15">
        <v>0.73</v>
      </c>
      <c r="AT239" s="15">
        <v>0</v>
      </c>
      <c r="AU239" s="15">
        <v>0.10299999999999999</v>
      </c>
      <c r="AV239" s="15">
        <v>0.29199999999999998</v>
      </c>
      <c r="AW239" s="15">
        <v>129.94800000000001</v>
      </c>
      <c r="AX239" s="15">
        <v>4</v>
      </c>
      <c r="AY239" s="16" t="s">
        <v>24</v>
      </c>
    </row>
    <row r="240" spans="32:51" x14ac:dyDescent="0.35">
      <c r="AF240" s="17" t="s">
        <v>738</v>
      </c>
      <c r="AG240" s="18" t="s">
        <v>400</v>
      </c>
      <c r="AH240" s="18" t="s">
        <v>602</v>
      </c>
      <c r="AI240" s="18" t="s">
        <v>739</v>
      </c>
      <c r="AJ240" s="18">
        <v>51</v>
      </c>
      <c r="AK240" s="18">
        <v>201933</v>
      </c>
      <c r="AL240" s="18" t="b">
        <v>0</v>
      </c>
      <c r="AM240" s="18">
        <v>0.59599999999999997</v>
      </c>
      <c r="AN240" s="18">
        <v>0.42899999999999999</v>
      </c>
      <c r="AO240" s="18">
        <v>3</v>
      </c>
      <c r="AP240" s="18">
        <v>-10.16</v>
      </c>
      <c r="AQ240" s="18">
        <v>1</v>
      </c>
      <c r="AR240" s="18">
        <v>3.7699999999999997E-2</v>
      </c>
      <c r="AS240" s="18">
        <v>0.77500000000000002</v>
      </c>
      <c r="AT240" s="18">
        <v>1.0699999999999999E-2</v>
      </c>
      <c r="AU240" s="18">
        <v>9.6199999999999994E-2</v>
      </c>
      <c r="AV240" s="18">
        <v>0.22900000000000001</v>
      </c>
      <c r="AW240" s="18">
        <v>148.08600000000001</v>
      </c>
      <c r="AX240" s="18">
        <v>4</v>
      </c>
      <c r="AY240" s="19" t="s">
        <v>24</v>
      </c>
    </row>
    <row r="241" spans="32:51" x14ac:dyDescent="0.35">
      <c r="AF241" s="14" t="s">
        <v>740</v>
      </c>
      <c r="AG241" s="15" t="s">
        <v>271</v>
      </c>
      <c r="AH241" s="15" t="s">
        <v>741</v>
      </c>
      <c r="AI241" s="15" t="s">
        <v>742</v>
      </c>
      <c r="AJ241" s="15">
        <v>63</v>
      </c>
      <c r="AK241" s="15">
        <v>158013</v>
      </c>
      <c r="AL241" s="15" t="b">
        <v>0</v>
      </c>
      <c r="AM241" s="15">
        <v>0.64500000000000002</v>
      </c>
      <c r="AN241" s="15">
        <v>0.16900000000000001</v>
      </c>
      <c r="AO241" s="15">
        <v>9</v>
      </c>
      <c r="AP241" s="15">
        <v>-15.744</v>
      </c>
      <c r="AQ241" s="15">
        <v>1</v>
      </c>
      <c r="AR241" s="15">
        <v>3.1699999999999999E-2</v>
      </c>
      <c r="AS241" s="15">
        <v>0.84399999999999997</v>
      </c>
      <c r="AT241" s="15">
        <v>1.9000000000000001E-4</v>
      </c>
      <c r="AU241" s="15">
        <v>0.109</v>
      </c>
      <c r="AV241" s="15">
        <v>0.17799999999999999</v>
      </c>
      <c r="AW241" s="15">
        <v>167.82599999999999</v>
      </c>
      <c r="AX241" s="15">
        <v>4</v>
      </c>
      <c r="AY241" s="16" t="s">
        <v>24</v>
      </c>
    </row>
    <row r="242" spans="32:51" x14ac:dyDescent="0.35">
      <c r="AF242" s="17" t="s">
        <v>743</v>
      </c>
      <c r="AG242" s="18" t="s">
        <v>712</v>
      </c>
      <c r="AH242" s="18" t="s">
        <v>744</v>
      </c>
      <c r="AI242" s="18" t="s">
        <v>745</v>
      </c>
      <c r="AJ242" s="18">
        <v>65</v>
      </c>
      <c r="AK242" s="18">
        <v>296386</v>
      </c>
      <c r="AL242" s="18" t="b">
        <v>0</v>
      </c>
      <c r="AM242" s="18">
        <v>0.52200000000000002</v>
      </c>
      <c r="AN242" s="18">
        <v>0.25600000000000001</v>
      </c>
      <c r="AO242" s="18">
        <v>10</v>
      </c>
      <c r="AP242" s="18">
        <v>-11.215999999999999</v>
      </c>
      <c r="AQ242" s="18">
        <v>1</v>
      </c>
      <c r="AR242" s="18">
        <v>2.58E-2</v>
      </c>
      <c r="AS242" s="18">
        <v>0.86</v>
      </c>
      <c r="AT242" s="18">
        <v>8.0599999999999997E-4</v>
      </c>
      <c r="AU242" s="18">
        <v>0.14199999999999999</v>
      </c>
      <c r="AV242" s="18">
        <v>0.13</v>
      </c>
      <c r="AW242" s="18">
        <v>76.349000000000004</v>
      </c>
      <c r="AX242" s="18">
        <v>4</v>
      </c>
      <c r="AY242" s="19" t="s">
        <v>24</v>
      </c>
    </row>
    <row r="243" spans="32:51" x14ac:dyDescent="0.35">
      <c r="AF243" s="14" t="s">
        <v>746</v>
      </c>
      <c r="AG243" s="15" t="s">
        <v>747</v>
      </c>
      <c r="AH243" s="15" t="s">
        <v>747</v>
      </c>
      <c r="AI243" s="15" t="s">
        <v>748</v>
      </c>
      <c r="AJ243" s="15">
        <v>64</v>
      </c>
      <c r="AK243" s="15">
        <v>160453</v>
      </c>
      <c r="AL243" s="15" t="b">
        <v>0</v>
      </c>
      <c r="AM243" s="15">
        <v>0.68100000000000005</v>
      </c>
      <c r="AN243" s="15">
        <v>0.16800000000000001</v>
      </c>
      <c r="AO243" s="15">
        <v>7</v>
      </c>
      <c r="AP243" s="15">
        <v>-13.397</v>
      </c>
      <c r="AQ243" s="15">
        <v>1</v>
      </c>
      <c r="AR243" s="15">
        <v>2.9100000000000001E-2</v>
      </c>
      <c r="AS243" s="15">
        <v>0.79300000000000004</v>
      </c>
      <c r="AT243" s="15">
        <v>1.34E-4</v>
      </c>
      <c r="AU243" s="15">
        <v>0.109</v>
      </c>
      <c r="AV243" s="15">
        <v>0.28999999999999998</v>
      </c>
      <c r="AW243" s="15">
        <v>128.61500000000001</v>
      </c>
      <c r="AX243" s="15">
        <v>4</v>
      </c>
      <c r="AY243" s="16" t="s">
        <v>24</v>
      </c>
    </row>
    <row r="244" spans="32:51" x14ac:dyDescent="0.35">
      <c r="AF244" s="17" t="s">
        <v>749</v>
      </c>
      <c r="AG244" s="18" t="s">
        <v>339</v>
      </c>
      <c r="AH244" s="18" t="s">
        <v>363</v>
      </c>
      <c r="AI244" s="18" t="s">
        <v>750</v>
      </c>
      <c r="AJ244" s="18">
        <v>57</v>
      </c>
      <c r="AK244" s="18">
        <v>182442</v>
      </c>
      <c r="AL244" s="18" t="b">
        <v>0</v>
      </c>
      <c r="AM244" s="18">
        <v>0.73599999999999999</v>
      </c>
      <c r="AN244" s="18">
        <v>0.36399999999999999</v>
      </c>
      <c r="AO244" s="18">
        <v>1</v>
      </c>
      <c r="AP244" s="18">
        <v>-5.9660000000000002</v>
      </c>
      <c r="AQ244" s="18">
        <v>1</v>
      </c>
      <c r="AR244" s="18">
        <v>3.49E-2</v>
      </c>
      <c r="AS244" s="18">
        <v>0.74099999999999999</v>
      </c>
      <c r="AT244" s="18">
        <v>0</v>
      </c>
      <c r="AU244" s="18">
        <v>9.3200000000000005E-2</v>
      </c>
      <c r="AV244" s="18">
        <v>0.371</v>
      </c>
      <c r="AW244" s="18">
        <v>110.023</v>
      </c>
      <c r="AX244" s="18">
        <v>4</v>
      </c>
      <c r="AY244" s="19" t="s">
        <v>24</v>
      </c>
    </row>
    <row r="245" spans="32:51" x14ac:dyDescent="0.35">
      <c r="AF245" s="14" t="s">
        <v>751</v>
      </c>
      <c r="AG245" s="15" t="s">
        <v>752</v>
      </c>
      <c r="AH245" s="15" t="s">
        <v>275</v>
      </c>
      <c r="AI245" s="15" t="s">
        <v>753</v>
      </c>
      <c r="AJ245" s="15">
        <v>54</v>
      </c>
      <c r="AK245" s="15">
        <v>181360</v>
      </c>
      <c r="AL245" s="15" t="b">
        <v>0</v>
      </c>
      <c r="AM245" s="15">
        <v>0.45100000000000001</v>
      </c>
      <c r="AN245" s="15">
        <v>0.52800000000000002</v>
      </c>
      <c r="AO245" s="15">
        <v>2</v>
      </c>
      <c r="AP245" s="15">
        <v>-6.984</v>
      </c>
      <c r="AQ245" s="15">
        <v>1</v>
      </c>
      <c r="AR245" s="15">
        <v>3.6400000000000002E-2</v>
      </c>
      <c r="AS245" s="15">
        <v>0.36599999999999999</v>
      </c>
      <c r="AT245" s="15">
        <v>0</v>
      </c>
      <c r="AU245" s="15">
        <v>8.1100000000000005E-2</v>
      </c>
      <c r="AV245" s="15">
        <v>0.52700000000000002</v>
      </c>
      <c r="AW245" s="15">
        <v>139.28</v>
      </c>
      <c r="AX245" s="15">
        <v>5</v>
      </c>
      <c r="AY245" s="16" t="s">
        <v>24</v>
      </c>
    </row>
    <row r="246" spans="32:51" x14ac:dyDescent="0.35">
      <c r="AF246" s="17" t="s">
        <v>754</v>
      </c>
      <c r="AG246" s="18" t="s">
        <v>755</v>
      </c>
      <c r="AH246" s="18" t="s">
        <v>756</v>
      </c>
      <c r="AI246" s="18" t="s">
        <v>757</v>
      </c>
      <c r="AJ246" s="18">
        <v>37</v>
      </c>
      <c r="AK246" s="18">
        <v>169318</v>
      </c>
      <c r="AL246" s="18" t="b">
        <v>1</v>
      </c>
      <c r="AM246" s="18">
        <v>0.371</v>
      </c>
      <c r="AN246" s="18">
        <v>0.67400000000000004</v>
      </c>
      <c r="AO246" s="18">
        <v>9</v>
      </c>
      <c r="AP246" s="18">
        <v>-3.72</v>
      </c>
      <c r="AQ246" s="18">
        <v>1</v>
      </c>
      <c r="AR246" s="18">
        <v>4.8800000000000003E-2</v>
      </c>
      <c r="AS246" s="18">
        <v>0.16900000000000001</v>
      </c>
      <c r="AT246" s="18">
        <v>0</v>
      </c>
      <c r="AU246" s="18">
        <v>8.8900000000000007E-2</v>
      </c>
      <c r="AV246" s="18">
        <v>0.92</v>
      </c>
      <c r="AW246" s="18">
        <v>87.602999999999994</v>
      </c>
      <c r="AX246" s="18">
        <v>4</v>
      </c>
      <c r="AY246" s="19" t="s">
        <v>24</v>
      </c>
    </row>
    <row r="247" spans="32:51" x14ac:dyDescent="0.35">
      <c r="AF247" s="14" t="s">
        <v>758</v>
      </c>
      <c r="AG247" s="15" t="s">
        <v>204</v>
      </c>
      <c r="AH247" s="15" t="s">
        <v>294</v>
      </c>
      <c r="AI247" s="15" t="s">
        <v>759</v>
      </c>
      <c r="AJ247" s="15">
        <v>63</v>
      </c>
      <c r="AK247" s="15">
        <v>218573</v>
      </c>
      <c r="AL247" s="15" t="b">
        <v>0</v>
      </c>
      <c r="AM247" s="15">
        <v>0.73099999999999998</v>
      </c>
      <c r="AN247" s="15">
        <v>0.57199999999999995</v>
      </c>
      <c r="AO247" s="15">
        <v>6</v>
      </c>
      <c r="AP247" s="15">
        <v>-7.8890000000000002</v>
      </c>
      <c r="AQ247" s="15">
        <v>0</v>
      </c>
      <c r="AR247" s="15">
        <v>4.4499999999999998E-2</v>
      </c>
      <c r="AS247" s="15">
        <v>0.105</v>
      </c>
      <c r="AT247" s="15">
        <v>1.2E-4</v>
      </c>
      <c r="AU247" s="15">
        <v>0.13300000000000001</v>
      </c>
      <c r="AV247" s="15">
        <v>0.94699999999999995</v>
      </c>
      <c r="AW247" s="15">
        <v>154.03800000000001</v>
      </c>
      <c r="AX247" s="15">
        <v>4</v>
      </c>
      <c r="AY247" s="16" t="s">
        <v>24</v>
      </c>
    </row>
    <row r="248" spans="32:51" x14ac:dyDescent="0.35">
      <c r="AF248" s="17" t="s">
        <v>760</v>
      </c>
      <c r="AG248" s="18" t="s">
        <v>761</v>
      </c>
      <c r="AH248" s="18" t="s">
        <v>762</v>
      </c>
      <c r="AI248" s="18" t="s">
        <v>763</v>
      </c>
      <c r="AJ248" s="18">
        <v>53</v>
      </c>
      <c r="AK248" s="18">
        <v>149160</v>
      </c>
      <c r="AL248" s="18" t="b">
        <v>0</v>
      </c>
      <c r="AM248" s="18">
        <v>0.69</v>
      </c>
      <c r="AN248" s="18">
        <v>0.33400000000000002</v>
      </c>
      <c r="AO248" s="18">
        <v>9</v>
      </c>
      <c r="AP248" s="18">
        <v>-5.6260000000000003</v>
      </c>
      <c r="AQ248" s="18">
        <v>1</v>
      </c>
      <c r="AR248" s="18">
        <v>6.6000000000000003E-2</v>
      </c>
      <c r="AS248" s="18">
        <v>0.94699999999999995</v>
      </c>
      <c r="AT248" s="18">
        <v>0</v>
      </c>
      <c r="AU248" s="18">
        <v>8.9499999999999996E-2</v>
      </c>
      <c r="AV248" s="18">
        <v>0.8</v>
      </c>
      <c r="AW248" s="18">
        <v>74.721000000000004</v>
      </c>
      <c r="AX248" s="18">
        <v>4</v>
      </c>
      <c r="AY248" s="19" t="s">
        <v>24</v>
      </c>
    </row>
    <row r="249" spans="32:51" x14ac:dyDescent="0.35">
      <c r="AF249" s="14" t="s">
        <v>764</v>
      </c>
      <c r="AG249" s="15" t="s">
        <v>765</v>
      </c>
      <c r="AH249" s="15" t="s">
        <v>766</v>
      </c>
      <c r="AI249" s="15" t="s">
        <v>767</v>
      </c>
      <c r="AJ249" s="15">
        <v>0</v>
      </c>
      <c r="AK249" s="15">
        <v>183293</v>
      </c>
      <c r="AL249" s="15" t="b">
        <v>0</v>
      </c>
      <c r="AM249" s="15">
        <v>0.59399999999999997</v>
      </c>
      <c r="AN249" s="15">
        <v>0.307</v>
      </c>
      <c r="AO249" s="15">
        <v>10</v>
      </c>
      <c r="AP249" s="15">
        <v>-13.061999999999999</v>
      </c>
      <c r="AQ249" s="15">
        <v>1</v>
      </c>
      <c r="AR249" s="15">
        <v>2.4899999999999999E-2</v>
      </c>
      <c r="AS249" s="15">
        <v>0.79600000000000004</v>
      </c>
      <c r="AT249" s="15">
        <v>4.1399999999999999E-2</v>
      </c>
      <c r="AU249" s="15">
        <v>0.15</v>
      </c>
      <c r="AV249" s="15">
        <v>0.24</v>
      </c>
      <c r="AW249" s="15">
        <v>94.025999999999996</v>
      </c>
      <c r="AX249" s="15">
        <v>3</v>
      </c>
      <c r="AY249" s="16" t="s">
        <v>24</v>
      </c>
    </row>
    <row r="250" spans="32:51" x14ac:dyDescent="0.35">
      <c r="AF250" s="17" t="s">
        <v>768</v>
      </c>
      <c r="AG250" s="18" t="s">
        <v>769</v>
      </c>
      <c r="AH250" s="18" t="s">
        <v>770</v>
      </c>
      <c r="AI250" s="18" t="s">
        <v>771</v>
      </c>
      <c r="AJ250" s="18">
        <v>36</v>
      </c>
      <c r="AK250" s="18">
        <v>169266</v>
      </c>
      <c r="AL250" s="18" t="b">
        <v>1</v>
      </c>
      <c r="AM250" s="18">
        <v>0.60799999999999998</v>
      </c>
      <c r="AN250" s="18">
        <v>0.91700000000000004</v>
      </c>
      <c r="AO250" s="18">
        <v>11</v>
      </c>
      <c r="AP250" s="18">
        <v>-5.3410000000000002</v>
      </c>
      <c r="AQ250" s="18">
        <v>1</v>
      </c>
      <c r="AR250" s="18">
        <v>6.0100000000000001E-2</v>
      </c>
      <c r="AS250" s="18">
        <v>0.23599999999999999</v>
      </c>
      <c r="AT250" s="18">
        <v>0</v>
      </c>
      <c r="AU250" s="18">
        <v>0.13</v>
      </c>
      <c r="AV250" s="18">
        <v>0.93600000000000005</v>
      </c>
      <c r="AW250" s="18">
        <v>117.875</v>
      </c>
      <c r="AX250" s="18">
        <v>4</v>
      </c>
      <c r="AY250" s="19" t="s">
        <v>24</v>
      </c>
    </row>
    <row r="251" spans="32:51" x14ac:dyDescent="0.35">
      <c r="AF251" s="14" t="s">
        <v>772</v>
      </c>
      <c r="AG251" s="15" t="s">
        <v>773</v>
      </c>
      <c r="AH251" s="15" t="s">
        <v>774</v>
      </c>
      <c r="AI251" s="15" t="s">
        <v>775</v>
      </c>
      <c r="AJ251" s="15">
        <v>0</v>
      </c>
      <c r="AK251" s="15">
        <v>272640</v>
      </c>
      <c r="AL251" s="15" t="b">
        <v>0</v>
      </c>
      <c r="AM251" s="15">
        <v>0.68700000000000006</v>
      </c>
      <c r="AN251" s="15">
        <v>0.49399999999999999</v>
      </c>
      <c r="AO251" s="15">
        <v>1</v>
      </c>
      <c r="AP251" s="15">
        <v>-9.4209999999999994</v>
      </c>
      <c r="AQ251" s="15">
        <v>1</v>
      </c>
      <c r="AR251" s="15">
        <v>5.0500000000000003E-2</v>
      </c>
      <c r="AS251" s="15">
        <v>0.32400000000000001</v>
      </c>
      <c r="AT251" s="31" t="s">
        <v>776</v>
      </c>
      <c r="AU251" s="15">
        <v>8.6699999999999999E-2</v>
      </c>
      <c r="AV251" s="15">
        <v>0.621</v>
      </c>
      <c r="AW251" s="15">
        <v>93.269000000000005</v>
      </c>
      <c r="AX251" s="15">
        <v>1</v>
      </c>
      <c r="AY251" s="16" t="s">
        <v>24</v>
      </c>
    </row>
    <row r="252" spans="32:51" x14ac:dyDescent="0.35">
      <c r="AF252" s="17" t="s">
        <v>777</v>
      </c>
      <c r="AG252" s="18" t="s">
        <v>773</v>
      </c>
      <c r="AH252" s="18" t="s">
        <v>778</v>
      </c>
      <c r="AI252" s="18" t="s">
        <v>775</v>
      </c>
      <c r="AJ252" s="18">
        <v>0</v>
      </c>
      <c r="AK252" s="18">
        <v>272640</v>
      </c>
      <c r="AL252" s="18" t="b">
        <v>0</v>
      </c>
      <c r="AM252" s="18">
        <v>0.68700000000000006</v>
      </c>
      <c r="AN252" s="18">
        <v>0.49399999999999999</v>
      </c>
      <c r="AO252" s="18">
        <v>1</v>
      </c>
      <c r="AP252" s="18">
        <v>-9.4209999999999994</v>
      </c>
      <c r="AQ252" s="18">
        <v>1</v>
      </c>
      <c r="AR252" s="18">
        <v>5.0500000000000003E-2</v>
      </c>
      <c r="AS252" s="18">
        <v>0.32400000000000001</v>
      </c>
      <c r="AT252" s="32" t="s">
        <v>776</v>
      </c>
      <c r="AU252" s="18">
        <v>8.6699999999999999E-2</v>
      </c>
      <c r="AV252" s="18">
        <v>0.621</v>
      </c>
      <c r="AW252" s="18">
        <v>93.269000000000005</v>
      </c>
      <c r="AX252" s="18">
        <v>1</v>
      </c>
      <c r="AY252" s="19" t="s">
        <v>24</v>
      </c>
    </row>
    <row r="253" spans="32:51" x14ac:dyDescent="0.35">
      <c r="AF253" s="14" t="s">
        <v>779</v>
      </c>
      <c r="AG253" s="15" t="s">
        <v>352</v>
      </c>
      <c r="AH253" s="15" t="s">
        <v>780</v>
      </c>
      <c r="AI253" s="15" t="s">
        <v>781</v>
      </c>
      <c r="AJ253" s="15">
        <v>55</v>
      </c>
      <c r="AK253" s="15">
        <v>176509</v>
      </c>
      <c r="AL253" s="15" t="b">
        <v>0</v>
      </c>
      <c r="AM253" s="15">
        <v>0.65200000000000002</v>
      </c>
      <c r="AN253" s="15">
        <v>0.15</v>
      </c>
      <c r="AO253" s="15">
        <v>5</v>
      </c>
      <c r="AP253" s="15">
        <v>-12.699</v>
      </c>
      <c r="AQ253" s="15">
        <v>1</v>
      </c>
      <c r="AR253" s="15">
        <v>3.6299999999999999E-2</v>
      </c>
      <c r="AS253" s="15">
        <v>0.92300000000000004</v>
      </c>
      <c r="AT253" s="15">
        <v>0</v>
      </c>
      <c r="AU253" s="15">
        <v>0.10199999999999999</v>
      </c>
      <c r="AV253" s="15">
        <v>0.36099999999999999</v>
      </c>
      <c r="AW253" s="15">
        <v>104.018</v>
      </c>
      <c r="AX253" s="15">
        <v>3</v>
      </c>
      <c r="AY253" s="16" t="s">
        <v>24</v>
      </c>
    </row>
    <row r="254" spans="32:51" x14ac:dyDescent="0.35">
      <c r="AF254" s="17" t="s">
        <v>782</v>
      </c>
      <c r="AG254" s="18" t="s">
        <v>352</v>
      </c>
      <c r="AH254" s="18" t="s">
        <v>783</v>
      </c>
      <c r="AI254" s="18" t="s">
        <v>784</v>
      </c>
      <c r="AJ254" s="18">
        <v>57</v>
      </c>
      <c r="AK254" s="18">
        <v>179886</v>
      </c>
      <c r="AL254" s="18" t="b">
        <v>0</v>
      </c>
      <c r="AM254" s="18">
        <v>0.76500000000000001</v>
      </c>
      <c r="AN254" s="18">
        <v>0.24099999999999999</v>
      </c>
      <c r="AO254" s="18">
        <v>4</v>
      </c>
      <c r="AP254" s="18">
        <v>-8.8650000000000002</v>
      </c>
      <c r="AQ254" s="18">
        <v>1</v>
      </c>
      <c r="AR254" s="18">
        <v>3.73E-2</v>
      </c>
      <c r="AS254" s="18">
        <v>0.873</v>
      </c>
      <c r="AT254" s="18">
        <v>0</v>
      </c>
      <c r="AU254" s="18">
        <v>0.111</v>
      </c>
      <c r="AV254" s="18">
        <v>0.182</v>
      </c>
      <c r="AW254" s="18">
        <v>123.95</v>
      </c>
      <c r="AX254" s="18">
        <v>4</v>
      </c>
      <c r="AY254" s="19" t="s">
        <v>24</v>
      </c>
    </row>
    <row r="255" spans="32:51" x14ac:dyDescent="0.35">
      <c r="AF255" s="14" t="s">
        <v>785</v>
      </c>
      <c r="AG255" s="15" t="s">
        <v>192</v>
      </c>
      <c r="AH255" s="15" t="s">
        <v>786</v>
      </c>
      <c r="AI255" s="15" t="s">
        <v>787</v>
      </c>
      <c r="AJ255" s="15">
        <v>54</v>
      </c>
      <c r="AK255" s="15">
        <v>184200</v>
      </c>
      <c r="AL255" s="15" t="b">
        <v>0</v>
      </c>
      <c r="AM255" s="15">
        <v>0.58899999999999997</v>
      </c>
      <c r="AN255" s="15">
        <v>0.249</v>
      </c>
      <c r="AO255" s="15">
        <v>2</v>
      </c>
      <c r="AP255" s="15">
        <v>-10.086</v>
      </c>
      <c r="AQ255" s="15">
        <v>1</v>
      </c>
      <c r="AR255" s="15">
        <v>3.2899999999999999E-2</v>
      </c>
      <c r="AS255" s="15">
        <v>0.71699999999999997</v>
      </c>
      <c r="AT255" s="15">
        <v>0</v>
      </c>
      <c r="AU255" s="15">
        <v>0.106</v>
      </c>
      <c r="AV255" s="15">
        <v>0.36299999999999999</v>
      </c>
      <c r="AW255" s="15">
        <v>150.096</v>
      </c>
      <c r="AX255" s="15">
        <v>3</v>
      </c>
      <c r="AY255" s="16" t="s">
        <v>24</v>
      </c>
    </row>
    <row r="256" spans="32:51" x14ac:dyDescent="0.35">
      <c r="AF256" s="17" t="s">
        <v>788</v>
      </c>
      <c r="AG256" s="18" t="s">
        <v>180</v>
      </c>
      <c r="AH256" s="18" t="s">
        <v>326</v>
      </c>
      <c r="AI256" s="18" t="s">
        <v>789</v>
      </c>
      <c r="AJ256" s="18">
        <v>44</v>
      </c>
      <c r="AK256" s="18">
        <v>447306</v>
      </c>
      <c r="AL256" s="18" t="b">
        <v>0</v>
      </c>
      <c r="AM256" s="18">
        <v>0.58799999999999997</v>
      </c>
      <c r="AN256" s="18">
        <v>0.60399999999999998</v>
      </c>
      <c r="AO256" s="18">
        <v>9</v>
      </c>
      <c r="AP256" s="18">
        <v>-7.6020000000000003</v>
      </c>
      <c r="AQ256" s="18">
        <v>1</v>
      </c>
      <c r="AR256" s="18">
        <v>2.4E-2</v>
      </c>
      <c r="AS256" s="18">
        <v>0.34300000000000003</v>
      </c>
      <c r="AT256" s="32" t="s">
        <v>790</v>
      </c>
      <c r="AU256" s="18">
        <v>0.252</v>
      </c>
      <c r="AV256" s="18">
        <v>0.35099999999999998</v>
      </c>
      <c r="AW256" s="18">
        <v>92.02</v>
      </c>
      <c r="AX256" s="18">
        <v>4</v>
      </c>
      <c r="AY256" s="19" t="s">
        <v>24</v>
      </c>
    </row>
    <row r="257" spans="32:51" x14ac:dyDescent="0.35">
      <c r="AF257" s="14" t="s">
        <v>791</v>
      </c>
      <c r="AG257" s="15" t="s">
        <v>792</v>
      </c>
      <c r="AH257" s="15" t="s">
        <v>793</v>
      </c>
      <c r="AI257" s="15" t="s">
        <v>794</v>
      </c>
      <c r="AJ257" s="15">
        <v>51</v>
      </c>
      <c r="AK257" s="15">
        <v>108346</v>
      </c>
      <c r="AL257" s="15" t="b">
        <v>0</v>
      </c>
      <c r="AM257" s="15">
        <v>0.73499999999999999</v>
      </c>
      <c r="AN257" s="15">
        <v>0.20300000000000001</v>
      </c>
      <c r="AO257" s="15">
        <v>9</v>
      </c>
      <c r="AP257" s="15">
        <v>-13.237</v>
      </c>
      <c r="AQ257" s="15">
        <v>0</v>
      </c>
      <c r="AR257" s="15">
        <v>5.3900000000000003E-2</v>
      </c>
      <c r="AS257" s="15">
        <v>0.85399999999999998</v>
      </c>
      <c r="AT257" s="15">
        <v>1.64E-3</v>
      </c>
      <c r="AU257" s="15">
        <v>0.105</v>
      </c>
      <c r="AV257" s="15">
        <v>0.47899999999999998</v>
      </c>
      <c r="AW257" s="15">
        <v>113.913</v>
      </c>
      <c r="AX257" s="15">
        <v>4</v>
      </c>
      <c r="AY257" s="16" t="s">
        <v>24</v>
      </c>
    </row>
    <row r="258" spans="32:51" x14ac:dyDescent="0.35">
      <c r="AF258" s="17" t="s">
        <v>795</v>
      </c>
      <c r="AG258" s="18" t="s">
        <v>664</v>
      </c>
      <c r="AH258" s="18" t="s">
        <v>796</v>
      </c>
      <c r="AI258" s="18" t="s">
        <v>796</v>
      </c>
      <c r="AJ258" s="18">
        <v>42</v>
      </c>
      <c r="AK258" s="18">
        <v>160768</v>
      </c>
      <c r="AL258" s="18" t="b">
        <v>0</v>
      </c>
      <c r="AM258" s="18">
        <v>0.65500000000000003</v>
      </c>
      <c r="AN258" s="18">
        <v>0.14699999999999999</v>
      </c>
      <c r="AO258" s="18">
        <v>8</v>
      </c>
      <c r="AP258" s="18">
        <v>-14.409000000000001</v>
      </c>
      <c r="AQ258" s="18">
        <v>1</v>
      </c>
      <c r="AR258" s="18">
        <v>3.7100000000000001E-2</v>
      </c>
      <c r="AS258" s="18">
        <v>0.88</v>
      </c>
      <c r="AT258" s="18">
        <v>0</v>
      </c>
      <c r="AU258" s="18">
        <v>0.26600000000000001</v>
      </c>
      <c r="AV258" s="18">
        <v>0.32800000000000001</v>
      </c>
      <c r="AW258" s="18">
        <v>116.10299999999999</v>
      </c>
      <c r="AX258" s="18">
        <v>4</v>
      </c>
      <c r="AY258" s="19" t="s">
        <v>24</v>
      </c>
    </row>
    <row r="259" spans="32:51" x14ac:dyDescent="0.35">
      <c r="AF259" s="14" t="s">
        <v>797</v>
      </c>
      <c r="AG259" s="15" t="s">
        <v>650</v>
      </c>
      <c r="AH259" s="15" t="s">
        <v>798</v>
      </c>
      <c r="AI259" s="15" t="s">
        <v>799</v>
      </c>
      <c r="AJ259" s="15">
        <v>47</v>
      </c>
      <c r="AK259" s="15">
        <v>304320</v>
      </c>
      <c r="AL259" s="15" t="b">
        <v>0</v>
      </c>
      <c r="AM259" s="15">
        <v>0.36299999999999999</v>
      </c>
      <c r="AN259" s="15">
        <v>0.81899999999999995</v>
      </c>
      <c r="AO259" s="15">
        <v>7</v>
      </c>
      <c r="AP259" s="15">
        <v>-3.1280000000000001</v>
      </c>
      <c r="AQ259" s="15">
        <v>1</v>
      </c>
      <c r="AR259" s="15">
        <v>6.3399999999999998E-2</v>
      </c>
      <c r="AS259" s="15">
        <v>5.91E-2</v>
      </c>
      <c r="AT259" s="15">
        <v>0</v>
      </c>
      <c r="AU259" s="15">
        <v>9.8799999999999999E-2</v>
      </c>
      <c r="AV259" s="15">
        <v>0.46800000000000003</v>
      </c>
      <c r="AW259" s="15">
        <v>122.527</v>
      </c>
      <c r="AX259" s="15">
        <v>4</v>
      </c>
      <c r="AY259" s="16" t="s">
        <v>24</v>
      </c>
    </row>
    <row r="260" spans="32:51" x14ac:dyDescent="0.35">
      <c r="AF260" s="17" t="s">
        <v>800</v>
      </c>
      <c r="AG260" s="18" t="s">
        <v>801</v>
      </c>
      <c r="AH260" s="18" t="s">
        <v>802</v>
      </c>
      <c r="AI260" s="18" t="s">
        <v>802</v>
      </c>
      <c r="AJ260" s="18">
        <v>54</v>
      </c>
      <c r="AK260" s="18">
        <v>201508</v>
      </c>
      <c r="AL260" s="18" t="b">
        <v>0</v>
      </c>
      <c r="AM260" s="18">
        <v>0.47299999999999998</v>
      </c>
      <c r="AN260" s="18">
        <v>0.26300000000000001</v>
      </c>
      <c r="AO260" s="18">
        <v>9</v>
      </c>
      <c r="AP260" s="18">
        <v>-8.609</v>
      </c>
      <c r="AQ260" s="18">
        <v>1</v>
      </c>
      <c r="AR260" s="18">
        <v>3.3000000000000002E-2</v>
      </c>
      <c r="AS260" s="18">
        <v>0.81399999999999995</v>
      </c>
      <c r="AT260" s="18">
        <v>0</v>
      </c>
      <c r="AU260" s="18">
        <v>0.14199999999999999</v>
      </c>
      <c r="AV260" s="18">
        <v>0.315</v>
      </c>
      <c r="AW260" s="18">
        <v>87.144999999999996</v>
      </c>
      <c r="AX260" s="18">
        <v>4</v>
      </c>
      <c r="AY260" s="19" t="s">
        <v>24</v>
      </c>
    </row>
    <row r="261" spans="32:51" x14ac:dyDescent="0.35">
      <c r="AF261" s="14" t="s">
        <v>803</v>
      </c>
      <c r="AG261" s="15" t="s">
        <v>60</v>
      </c>
      <c r="AH261" s="15" t="s">
        <v>804</v>
      </c>
      <c r="AI261" s="15" t="s">
        <v>804</v>
      </c>
      <c r="AJ261" s="15">
        <v>73</v>
      </c>
      <c r="AK261" s="15">
        <v>241132</v>
      </c>
      <c r="AL261" s="15" t="b">
        <v>0</v>
      </c>
      <c r="AM261" s="15">
        <v>0.67600000000000005</v>
      </c>
      <c r="AN261" s="15">
        <v>0.76800000000000002</v>
      </c>
      <c r="AO261" s="15">
        <v>5</v>
      </c>
      <c r="AP261" s="15">
        <v>-5.6950000000000003</v>
      </c>
      <c r="AQ261" s="15">
        <v>0</v>
      </c>
      <c r="AR261" s="15">
        <v>2.9399999999999999E-2</v>
      </c>
      <c r="AS261" s="15">
        <v>0.14899999999999999</v>
      </c>
      <c r="AT261" s="15">
        <v>1.47E-3</v>
      </c>
      <c r="AU261" s="15">
        <v>0.34499999999999997</v>
      </c>
      <c r="AV261" s="15">
        <v>0.49299999999999999</v>
      </c>
      <c r="AW261" s="15">
        <v>105.999</v>
      </c>
      <c r="AX261" s="15">
        <v>4</v>
      </c>
      <c r="AY261" s="16" t="s">
        <v>24</v>
      </c>
    </row>
    <row r="262" spans="32:51" x14ac:dyDescent="0.35">
      <c r="AF262" s="17" t="s">
        <v>805</v>
      </c>
      <c r="AG262" s="18" t="s">
        <v>339</v>
      </c>
      <c r="AH262" s="18" t="s">
        <v>97</v>
      </c>
      <c r="AI262" s="18" t="s">
        <v>806</v>
      </c>
      <c r="AJ262" s="18">
        <v>56</v>
      </c>
      <c r="AK262" s="18">
        <v>263710</v>
      </c>
      <c r="AL262" s="18" t="b">
        <v>0</v>
      </c>
      <c r="AM262" s="18">
        <v>0.41</v>
      </c>
      <c r="AN262" s="18">
        <v>0.221</v>
      </c>
      <c r="AO262" s="18">
        <v>5</v>
      </c>
      <c r="AP262" s="18">
        <v>-11.673</v>
      </c>
      <c r="AQ262" s="18">
        <v>1</v>
      </c>
      <c r="AR262" s="18">
        <v>3.15E-2</v>
      </c>
      <c r="AS262" s="18">
        <v>0.76800000000000002</v>
      </c>
      <c r="AT262" s="18">
        <v>0</v>
      </c>
      <c r="AU262" s="18">
        <v>0.106</v>
      </c>
      <c r="AV262" s="18">
        <v>0.22800000000000001</v>
      </c>
      <c r="AW262" s="18">
        <v>139.529</v>
      </c>
      <c r="AX262" s="18">
        <v>3</v>
      </c>
      <c r="AY262" s="19" t="s">
        <v>24</v>
      </c>
    </row>
    <row r="263" spans="32:51" x14ac:dyDescent="0.35">
      <c r="AF263" s="14" t="s">
        <v>807</v>
      </c>
      <c r="AG263" s="15" t="s">
        <v>637</v>
      </c>
      <c r="AH263" s="15" t="s">
        <v>808</v>
      </c>
      <c r="AI263" s="15" t="s">
        <v>808</v>
      </c>
      <c r="AJ263" s="15">
        <v>56</v>
      </c>
      <c r="AK263" s="15">
        <v>246345</v>
      </c>
      <c r="AL263" s="15" t="b">
        <v>0</v>
      </c>
      <c r="AM263" s="15">
        <v>0.439</v>
      </c>
      <c r="AN263" s="15">
        <v>0.217</v>
      </c>
      <c r="AO263" s="15">
        <v>2</v>
      </c>
      <c r="AP263" s="15">
        <v>-13.166</v>
      </c>
      <c r="AQ263" s="15">
        <v>1</v>
      </c>
      <c r="AR263" s="15">
        <v>4.1300000000000003E-2</v>
      </c>
      <c r="AS263" s="15">
        <v>0.93300000000000005</v>
      </c>
      <c r="AT263" s="15">
        <v>0</v>
      </c>
      <c r="AU263" s="15">
        <v>0.126</v>
      </c>
      <c r="AV263" s="15">
        <v>0.373</v>
      </c>
      <c r="AW263" s="15">
        <v>144.41300000000001</v>
      </c>
      <c r="AX263" s="15">
        <v>4</v>
      </c>
      <c r="AY263" s="16" t="s">
        <v>24</v>
      </c>
    </row>
    <row r="264" spans="32:51" x14ac:dyDescent="0.35">
      <c r="AF264" s="17" t="s">
        <v>809</v>
      </c>
      <c r="AG264" s="18" t="s">
        <v>50</v>
      </c>
      <c r="AH264" s="18" t="s">
        <v>810</v>
      </c>
      <c r="AI264" s="18" t="s">
        <v>811</v>
      </c>
      <c r="AJ264" s="18">
        <v>59</v>
      </c>
      <c r="AK264" s="18">
        <v>257173</v>
      </c>
      <c r="AL264" s="18" t="b">
        <v>0</v>
      </c>
      <c r="AM264" s="18">
        <v>0.58199999999999996</v>
      </c>
      <c r="AN264" s="18">
        <v>0.34699999999999998</v>
      </c>
      <c r="AO264" s="18">
        <v>7</v>
      </c>
      <c r="AP264" s="18">
        <v>-14.769</v>
      </c>
      <c r="AQ264" s="18">
        <v>1</v>
      </c>
      <c r="AR264" s="18">
        <v>3.0499999999999999E-2</v>
      </c>
      <c r="AS264" s="18">
        <v>0.317</v>
      </c>
      <c r="AT264" s="18">
        <v>6.7799999999999996E-3</v>
      </c>
      <c r="AU264" s="18">
        <v>0.111</v>
      </c>
      <c r="AV264" s="18">
        <v>7.9699999999999993E-2</v>
      </c>
      <c r="AW264" s="18">
        <v>97.956999999999994</v>
      </c>
      <c r="AX264" s="18">
        <v>4</v>
      </c>
      <c r="AY264" s="19" t="s">
        <v>24</v>
      </c>
    </row>
    <row r="265" spans="32:51" x14ac:dyDescent="0.35">
      <c r="AF265" s="14" t="s">
        <v>812</v>
      </c>
      <c r="AG265" s="15" t="s">
        <v>813</v>
      </c>
      <c r="AH265" s="15" t="s">
        <v>814</v>
      </c>
      <c r="AI265" s="15" t="s">
        <v>815</v>
      </c>
      <c r="AJ265" s="15">
        <v>57</v>
      </c>
      <c r="AK265" s="15">
        <v>159012</v>
      </c>
      <c r="AL265" s="15" t="b">
        <v>0</v>
      </c>
      <c r="AM265" s="15">
        <v>0.42599999999999999</v>
      </c>
      <c r="AN265" s="15">
        <v>0.127</v>
      </c>
      <c r="AO265" s="15">
        <v>6</v>
      </c>
      <c r="AP265" s="15">
        <v>-13.287000000000001</v>
      </c>
      <c r="AQ265" s="15">
        <v>1</v>
      </c>
      <c r="AR265" s="15">
        <v>6.4799999999999996E-2</v>
      </c>
      <c r="AS265" s="15">
        <v>0.86299999999999999</v>
      </c>
      <c r="AT265" s="31" t="s">
        <v>816</v>
      </c>
      <c r="AU265" s="15">
        <v>9.9299999999999999E-2</v>
      </c>
      <c r="AV265" s="15">
        <v>0.14899999999999999</v>
      </c>
      <c r="AW265" s="15">
        <v>62.534999999999997</v>
      </c>
      <c r="AX265" s="15">
        <v>5</v>
      </c>
      <c r="AY265" s="16" t="s">
        <v>24</v>
      </c>
    </row>
    <row r="266" spans="32:51" x14ac:dyDescent="0.35">
      <c r="AF266" s="17" t="s">
        <v>817</v>
      </c>
      <c r="AG266" s="18" t="s">
        <v>230</v>
      </c>
      <c r="AH266" s="18" t="s">
        <v>818</v>
      </c>
      <c r="AI266" s="18" t="s">
        <v>818</v>
      </c>
      <c r="AJ266" s="18">
        <v>56</v>
      </c>
      <c r="AK266" s="18">
        <v>178546</v>
      </c>
      <c r="AL266" s="18" t="b">
        <v>0</v>
      </c>
      <c r="AM266" s="18">
        <v>0.69599999999999995</v>
      </c>
      <c r="AN266" s="18">
        <v>0.26100000000000001</v>
      </c>
      <c r="AO266" s="18">
        <v>9</v>
      </c>
      <c r="AP266" s="18">
        <v>-12.106999999999999</v>
      </c>
      <c r="AQ266" s="18">
        <v>0</v>
      </c>
      <c r="AR266" s="18">
        <v>3.61E-2</v>
      </c>
      <c r="AS266" s="18">
        <v>0.73699999999999999</v>
      </c>
      <c r="AT266" s="32" t="s">
        <v>819</v>
      </c>
      <c r="AU266" s="18">
        <v>0.11</v>
      </c>
      <c r="AV266" s="18">
        <v>0.36099999999999999</v>
      </c>
      <c r="AW266" s="18">
        <v>136.053</v>
      </c>
      <c r="AX266" s="18">
        <v>3</v>
      </c>
      <c r="AY266" s="19" t="s">
        <v>24</v>
      </c>
    </row>
    <row r="267" spans="32:51" x14ac:dyDescent="0.35">
      <c r="AF267" s="14" t="s">
        <v>820</v>
      </c>
      <c r="AG267" s="15" t="s">
        <v>821</v>
      </c>
      <c r="AH267" s="15" t="s">
        <v>822</v>
      </c>
      <c r="AI267" s="15" t="s">
        <v>823</v>
      </c>
      <c r="AJ267" s="15">
        <v>57</v>
      </c>
      <c r="AK267" s="15">
        <v>268800</v>
      </c>
      <c r="AL267" s="15" t="b">
        <v>0</v>
      </c>
      <c r="AM267" s="15">
        <v>0.54900000000000004</v>
      </c>
      <c r="AN267" s="15">
        <v>0.24</v>
      </c>
      <c r="AO267" s="15">
        <v>0</v>
      </c>
      <c r="AP267" s="15">
        <v>-7.7779999999999996</v>
      </c>
      <c r="AQ267" s="15">
        <v>1</v>
      </c>
      <c r="AR267" s="15">
        <v>3.3799999999999997E-2</v>
      </c>
      <c r="AS267" s="15">
        <v>0.94699999999999995</v>
      </c>
      <c r="AT267" s="15">
        <v>0</v>
      </c>
      <c r="AU267" s="15">
        <v>0.106</v>
      </c>
      <c r="AV267" s="15">
        <v>0.16700000000000001</v>
      </c>
      <c r="AW267" s="15">
        <v>119.58</v>
      </c>
      <c r="AX267" s="15">
        <v>4</v>
      </c>
      <c r="AY267" s="16" t="s">
        <v>24</v>
      </c>
    </row>
    <row r="268" spans="32:51" x14ac:dyDescent="0.35">
      <c r="AF268" s="17" t="s">
        <v>824</v>
      </c>
      <c r="AG268" s="18" t="s">
        <v>825</v>
      </c>
      <c r="AH268" s="18" t="s">
        <v>826</v>
      </c>
      <c r="AI268" s="18" t="s">
        <v>826</v>
      </c>
      <c r="AJ268" s="18">
        <v>51</v>
      </c>
      <c r="AK268" s="18">
        <v>197850</v>
      </c>
      <c r="AL268" s="18" t="b">
        <v>0</v>
      </c>
      <c r="AM268" s="18">
        <v>0.54100000000000004</v>
      </c>
      <c r="AN268" s="18">
        <v>0.192</v>
      </c>
      <c r="AO268" s="18">
        <v>0</v>
      </c>
      <c r="AP268" s="18">
        <v>-13.994999999999999</v>
      </c>
      <c r="AQ268" s="18">
        <v>0</v>
      </c>
      <c r="AR268" s="18">
        <v>2.8199999999999999E-2</v>
      </c>
      <c r="AS268" s="18">
        <v>0.89300000000000002</v>
      </c>
      <c r="AT268" s="18">
        <v>0</v>
      </c>
      <c r="AU268" s="18">
        <v>0.193</v>
      </c>
      <c r="AV268" s="18">
        <v>0.317</v>
      </c>
      <c r="AW268" s="18">
        <v>139.93799999999999</v>
      </c>
      <c r="AX268" s="18">
        <v>4</v>
      </c>
      <c r="AY268" s="19" t="s">
        <v>24</v>
      </c>
    </row>
    <row r="269" spans="32:51" x14ac:dyDescent="0.35">
      <c r="AF269" s="14" t="s">
        <v>827</v>
      </c>
      <c r="AG269" s="15" t="s">
        <v>431</v>
      </c>
      <c r="AH269" s="15" t="s">
        <v>431</v>
      </c>
      <c r="AI269" s="15" t="s">
        <v>828</v>
      </c>
      <c r="AJ269" s="15">
        <v>48</v>
      </c>
      <c r="AK269" s="15">
        <v>222400</v>
      </c>
      <c r="AL269" s="15" t="b">
        <v>0</v>
      </c>
      <c r="AM269" s="15">
        <v>0.66200000000000003</v>
      </c>
      <c r="AN269" s="15">
        <v>0.71099999999999997</v>
      </c>
      <c r="AO269" s="15">
        <v>5</v>
      </c>
      <c r="AP269" s="15">
        <v>-4.9240000000000004</v>
      </c>
      <c r="AQ269" s="15">
        <v>1</v>
      </c>
      <c r="AR269" s="15">
        <v>2.7900000000000001E-2</v>
      </c>
      <c r="AS269" s="15">
        <v>6.8599999999999994E-2</v>
      </c>
      <c r="AT269" s="31" t="s">
        <v>88</v>
      </c>
      <c r="AU269" s="15">
        <v>8.5000000000000006E-2</v>
      </c>
      <c r="AV269" s="15">
        <v>0.35199999999999998</v>
      </c>
      <c r="AW269" s="15">
        <v>119.989</v>
      </c>
      <c r="AX269" s="15">
        <v>4</v>
      </c>
      <c r="AY269" s="16" t="s">
        <v>24</v>
      </c>
    </row>
    <row r="270" spans="32:51" x14ac:dyDescent="0.35">
      <c r="AF270" s="17" t="s">
        <v>829</v>
      </c>
      <c r="AG270" s="18" t="s">
        <v>34</v>
      </c>
      <c r="AH270" s="18" t="s">
        <v>830</v>
      </c>
      <c r="AI270" s="18" t="s">
        <v>830</v>
      </c>
      <c r="AJ270" s="18">
        <v>52</v>
      </c>
      <c r="AK270" s="18">
        <v>142379</v>
      </c>
      <c r="AL270" s="18" t="b">
        <v>0</v>
      </c>
      <c r="AM270" s="18">
        <v>0.66500000000000004</v>
      </c>
      <c r="AN270" s="18">
        <v>0.185</v>
      </c>
      <c r="AO270" s="18">
        <v>1</v>
      </c>
      <c r="AP270" s="18">
        <v>-13.852</v>
      </c>
      <c r="AQ270" s="18">
        <v>1</v>
      </c>
      <c r="AR270" s="18">
        <v>3.8100000000000002E-2</v>
      </c>
      <c r="AS270" s="18">
        <v>0.91300000000000003</v>
      </c>
      <c r="AT270" s="18">
        <v>0</v>
      </c>
      <c r="AU270" s="18">
        <v>0.33400000000000002</v>
      </c>
      <c r="AV270" s="18">
        <v>0.45800000000000002</v>
      </c>
      <c r="AW270" s="18">
        <v>82.474000000000004</v>
      </c>
      <c r="AX270" s="18">
        <v>4</v>
      </c>
      <c r="AY270" s="19" t="s">
        <v>24</v>
      </c>
    </row>
    <row r="271" spans="32:51" x14ac:dyDescent="0.35">
      <c r="AF271" s="14" t="s">
        <v>831</v>
      </c>
      <c r="AG271" s="15" t="s">
        <v>517</v>
      </c>
      <c r="AH271" s="15" t="s">
        <v>832</v>
      </c>
      <c r="AI271" s="15" t="s">
        <v>832</v>
      </c>
      <c r="AJ271" s="15">
        <v>54</v>
      </c>
      <c r="AK271" s="15">
        <v>194667</v>
      </c>
      <c r="AL271" s="15" t="b">
        <v>0</v>
      </c>
      <c r="AM271" s="15">
        <v>0.59099999999999997</v>
      </c>
      <c r="AN271" s="15">
        <v>0.17499999999999999</v>
      </c>
      <c r="AO271" s="15">
        <v>6</v>
      </c>
      <c r="AP271" s="15">
        <v>-12.959</v>
      </c>
      <c r="AQ271" s="15">
        <v>1</v>
      </c>
      <c r="AR271" s="15">
        <v>3.7999999999999999E-2</v>
      </c>
      <c r="AS271" s="15">
        <v>0.92700000000000005</v>
      </c>
      <c r="AT271" s="15">
        <v>0</v>
      </c>
      <c r="AU271" s="15">
        <v>0.13300000000000001</v>
      </c>
      <c r="AV271" s="15">
        <v>0.35199999999999998</v>
      </c>
      <c r="AW271" s="15">
        <v>139.90199999999999</v>
      </c>
      <c r="AX271" s="15">
        <v>4</v>
      </c>
      <c r="AY271" s="16" t="s">
        <v>24</v>
      </c>
    </row>
    <row r="272" spans="32:51" x14ac:dyDescent="0.35">
      <c r="AF272" s="17" t="s">
        <v>833</v>
      </c>
      <c r="AG272" s="18" t="s">
        <v>225</v>
      </c>
      <c r="AH272" s="18" t="s">
        <v>834</v>
      </c>
      <c r="AI272" s="18" t="s">
        <v>834</v>
      </c>
      <c r="AJ272" s="18">
        <v>55</v>
      </c>
      <c r="AK272" s="18">
        <v>212400</v>
      </c>
      <c r="AL272" s="18" t="b">
        <v>0</v>
      </c>
      <c r="AM272" s="18">
        <v>0.48899999999999999</v>
      </c>
      <c r="AN272" s="18">
        <v>0.183</v>
      </c>
      <c r="AO272" s="18">
        <v>0</v>
      </c>
      <c r="AP272" s="18">
        <v>-14.769</v>
      </c>
      <c r="AQ272" s="18">
        <v>1</v>
      </c>
      <c r="AR272" s="18">
        <v>3.3000000000000002E-2</v>
      </c>
      <c r="AS272" s="18">
        <v>0.90700000000000003</v>
      </c>
      <c r="AT272" s="32" t="s">
        <v>835</v>
      </c>
      <c r="AU272" s="18">
        <v>0.106</v>
      </c>
      <c r="AV272" s="18">
        <v>0.48599999999999999</v>
      </c>
      <c r="AW272" s="18">
        <v>79.960999999999999</v>
      </c>
      <c r="AX272" s="18">
        <v>4</v>
      </c>
      <c r="AY272" s="19" t="s">
        <v>24</v>
      </c>
    </row>
    <row r="273" spans="32:51" x14ac:dyDescent="0.35">
      <c r="AF273" s="14" t="s">
        <v>836</v>
      </c>
      <c r="AG273" s="15" t="s">
        <v>83</v>
      </c>
      <c r="AH273" s="15" t="s">
        <v>837</v>
      </c>
      <c r="AI273" s="15" t="s">
        <v>837</v>
      </c>
      <c r="AJ273" s="15">
        <v>41</v>
      </c>
      <c r="AK273" s="15">
        <v>196304</v>
      </c>
      <c r="AL273" s="15" t="b">
        <v>0</v>
      </c>
      <c r="AM273" s="15">
        <v>0.61799999999999999</v>
      </c>
      <c r="AN273" s="15">
        <v>8.3000000000000004E-2</v>
      </c>
      <c r="AO273" s="15">
        <v>4</v>
      </c>
      <c r="AP273" s="15">
        <v>-23.664999999999999</v>
      </c>
      <c r="AQ273" s="15">
        <v>1</v>
      </c>
      <c r="AR273" s="15">
        <v>5.7000000000000002E-2</v>
      </c>
      <c r="AS273" s="15">
        <v>0.745</v>
      </c>
      <c r="AT273" s="15">
        <v>1.2300000000000001E-4</v>
      </c>
      <c r="AU273" s="15">
        <v>0.14599999999999999</v>
      </c>
      <c r="AV273" s="15">
        <v>0.59699999999999998</v>
      </c>
      <c r="AW273" s="15">
        <v>90.864999999999995</v>
      </c>
      <c r="AX273" s="15">
        <v>4</v>
      </c>
      <c r="AY273" s="16" t="s">
        <v>24</v>
      </c>
    </row>
    <row r="274" spans="32:51" x14ac:dyDescent="0.35">
      <c r="AF274" s="17" t="s">
        <v>838</v>
      </c>
      <c r="AG274" s="18" t="s">
        <v>339</v>
      </c>
      <c r="AH274" s="18" t="s">
        <v>363</v>
      </c>
      <c r="AI274" s="18" t="s">
        <v>839</v>
      </c>
      <c r="AJ274" s="18">
        <v>49</v>
      </c>
      <c r="AK274" s="18">
        <v>230868</v>
      </c>
      <c r="AL274" s="18" t="b">
        <v>0</v>
      </c>
      <c r="AM274" s="18">
        <v>0.66400000000000003</v>
      </c>
      <c r="AN274" s="18">
        <v>0.31900000000000001</v>
      </c>
      <c r="AO274" s="18">
        <v>0</v>
      </c>
      <c r="AP274" s="18">
        <v>-8.1489999999999991</v>
      </c>
      <c r="AQ274" s="18">
        <v>0</v>
      </c>
      <c r="AR274" s="18">
        <v>2.7099999999999999E-2</v>
      </c>
      <c r="AS274" s="18">
        <v>0.86199999999999999</v>
      </c>
      <c r="AT274" s="18">
        <v>0</v>
      </c>
      <c r="AU274" s="18">
        <v>0.121</v>
      </c>
      <c r="AV274" s="18">
        <v>0.25800000000000001</v>
      </c>
      <c r="AW274" s="18">
        <v>105.036</v>
      </c>
      <c r="AX274" s="18">
        <v>4</v>
      </c>
      <c r="AY274" s="19" t="s">
        <v>24</v>
      </c>
    </row>
    <row r="275" spans="32:51" x14ac:dyDescent="0.35">
      <c r="AF275" s="14" t="s">
        <v>840</v>
      </c>
      <c r="AG275" s="15" t="s">
        <v>83</v>
      </c>
      <c r="AH275" s="15" t="s">
        <v>841</v>
      </c>
      <c r="AI275" s="15" t="s">
        <v>841</v>
      </c>
      <c r="AJ275" s="15">
        <v>37</v>
      </c>
      <c r="AK275" s="15">
        <v>186738</v>
      </c>
      <c r="AL275" s="15" t="b">
        <v>0</v>
      </c>
      <c r="AM275" s="15">
        <v>0.40799999999999997</v>
      </c>
      <c r="AN275" s="15">
        <v>0.26600000000000001</v>
      </c>
      <c r="AO275" s="15">
        <v>10</v>
      </c>
      <c r="AP275" s="15">
        <v>-12.9</v>
      </c>
      <c r="AQ275" s="15">
        <v>0</v>
      </c>
      <c r="AR275" s="15">
        <v>4.0399999999999998E-2</v>
      </c>
      <c r="AS275" s="15">
        <v>0.875</v>
      </c>
      <c r="AT275" s="15">
        <v>4.9799999999999996E-4</v>
      </c>
      <c r="AU275" s="15">
        <v>0.104</v>
      </c>
      <c r="AV275" s="15">
        <v>0.35</v>
      </c>
      <c r="AW275" s="15">
        <v>143.65100000000001</v>
      </c>
      <c r="AX275" s="15">
        <v>4</v>
      </c>
      <c r="AY275" s="16" t="s">
        <v>24</v>
      </c>
    </row>
    <row r="276" spans="32:51" x14ac:dyDescent="0.35">
      <c r="AF276" s="17" t="s">
        <v>842</v>
      </c>
      <c r="AG276" s="18" t="s">
        <v>34</v>
      </c>
      <c r="AH276" s="18" t="s">
        <v>843</v>
      </c>
      <c r="AI276" s="18" t="s">
        <v>843</v>
      </c>
      <c r="AJ276" s="18">
        <v>52</v>
      </c>
      <c r="AK276" s="18">
        <v>193536</v>
      </c>
      <c r="AL276" s="18" t="b">
        <v>0</v>
      </c>
      <c r="AM276" s="18">
        <v>0.623</v>
      </c>
      <c r="AN276" s="18">
        <v>0.13200000000000001</v>
      </c>
      <c r="AO276" s="18">
        <v>0</v>
      </c>
      <c r="AP276" s="18">
        <v>-13.667999999999999</v>
      </c>
      <c r="AQ276" s="18">
        <v>1</v>
      </c>
      <c r="AR276" s="18">
        <v>3.5000000000000003E-2</v>
      </c>
      <c r="AS276" s="18">
        <v>0.89300000000000002</v>
      </c>
      <c r="AT276" s="18">
        <v>0</v>
      </c>
      <c r="AU276" s="18">
        <v>0.217</v>
      </c>
      <c r="AV276" s="18">
        <v>0.26600000000000001</v>
      </c>
      <c r="AW276" s="18">
        <v>82.105000000000004</v>
      </c>
      <c r="AX276" s="18">
        <v>4</v>
      </c>
      <c r="AY276" s="19" t="s">
        <v>24</v>
      </c>
    </row>
    <row r="277" spans="32:51" x14ac:dyDescent="0.35">
      <c r="AF277" s="14" t="s">
        <v>844</v>
      </c>
      <c r="AG277" s="15" t="s">
        <v>825</v>
      </c>
      <c r="AH277" s="15" t="s">
        <v>845</v>
      </c>
      <c r="AI277" s="15" t="s">
        <v>845</v>
      </c>
      <c r="AJ277" s="15">
        <v>58</v>
      </c>
      <c r="AK277" s="15">
        <v>196819</v>
      </c>
      <c r="AL277" s="15" t="b">
        <v>0</v>
      </c>
      <c r="AM277" s="15">
        <v>0.49399999999999999</v>
      </c>
      <c r="AN277" s="15">
        <v>0.214</v>
      </c>
      <c r="AO277" s="15">
        <v>7</v>
      </c>
      <c r="AP277" s="15">
        <v>-11.041</v>
      </c>
      <c r="AQ277" s="15">
        <v>1</v>
      </c>
      <c r="AR277" s="15">
        <v>3.6299999999999999E-2</v>
      </c>
      <c r="AS277" s="15">
        <v>0.92</v>
      </c>
      <c r="AT277" s="31" t="s">
        <v>429</v>
      </c>
      <c r="AU277" s="15">
        <v>0.107</v>
      </c>
      <c r="AV277" s="15">
        <v>0.35</v>
      </c>
      <c r="AW277" s="15">
        <v>125.98099999999999</v>
      </c>
      <c r="AX277" s="15">
        <v>3</v>
      </c>
      <c r="AY277" s="16" t="s">
        <v>24</v>
      </c>
    </row>
    <row r="278" spans="32:51" x14ac:dyDescent="0.35">
      <c r="AF278" s="17" t="s">
        <v>846</v>
      </c>
      <c r="AG278" s="18" t="s">
        <v>847</v>
      </c>
      <c r="AH278" s="18" t="s">
        <v>848</v>
      </c>
      <c r="AI278" s="18" t="s">
        <v>849</v>
      </c>
      <c r="AJ278" s="18">
        <v>48</v>
      </c>
      <c r="AK278" s="18">
        <v>201440</v>
      </c>
      <c r="AL278" s="18" t="b">
        <v>0</v>
      </c>
      <c r="AM278" s="18">
        <v>0.374</v>
      </c>
      <c r="AN278" s="18">
        <v>0.183</v>
      </c>
      <c r="AO278" s="18">
        <v>9</v>
      </c>
      <c r="AP278" s="18">
        <v>-13.225</v>
      </c>
      <c r="AQ278" s="18">
        <v>1</v>
      </c>
      <c r="AR278" s="18">
        <v>2.81E-2</v>
      </c>
      <c r="AS278" s="18">
        <v>0.89700000000000002</v>
      </c>
      <c r="AT278" s="18">
        <v>3.8699999999999998E-2</v>
      </c>
      <c r="AU278" s="18">
        <v>0.109</v>
      </c>
      <c r="AV278" s="18">
        <v>0.13400000000000001</v>
      </c>
      <c r="AW278" s="18">
        <v>82.042000000000002</v>
      </c>
      <c r="AX278" s="18">
        <v>4</v>
      </c>
      <c r="AY278" s="19" t="s">
        <v>24</v>
      </c>
    </row>
    <row r="279" spans="32:51" x14ac:dyDescent="0.35">
      <c r="AF279" s="14" t="s">
        <v>850</v>
      </c>
      <c r="AG279" s="15" t="s">
        <v>591</v>
      </c>
      <c r="AH279" s="15" t="s">
        <v>851</v>
      </c>
      <c r="AI279" s="15" t="s">
        <v>851</v>
      </c>
      <c r="AJ279" s="15">
        <v>56</v>
      </c>
      <c r="AK279" s="15">
        <v>204998</v>
      </c>
      <c r="AL279" s="15" t="b">
        <v>0</v>
      </c>
      <c r="AM279" s="15">
        <v>0.55900000000000005</v>
      </c>
      <c r="AN279" s="15">
        <v>0.45500000000000002</v>
      </c>
      <c r="AO279" s="15">
        <v>5</v>
      </c>
      <c r="AP279" s="15">
        <v>-8.9369999999999994</v>
      </c>
      <c r="AQ279" s="15">
        <v>1</v>
      </c>
      <c r="AR279" s="15">
        <v>3.0599999999999999E-2</v>
      </c>
      <c r="AS279" s="15">
        <v>0.42099999999999999</v>
      </c>
      <c r="AT279" s="31" t="s">
        <v>852</v>
      </c>
      <c r="AU279" s="15">
        <v>0.10299999999999999</v>
      </c>
      <c r="AV279" s="15">
        <v>0.39600000000000002</v>
      </c>
      <c r="AW279" s="15">
        <v>159.98500000000001</v>
      </c>
      <c r="AX279" s="15">
        <v>4</v>
      </c>
      <c r="AY279" s="16" t="s">
        <v>24</v>
      </c>
    </row>
    <row r="280" spans="32:51" x14ac:dyDescent="0.35">
      <c r="AF280" s="17" t="s">
        <v>853</v>
      </c>
      <c r="AG280" s="18" t="s">
        <v>854</v>
      </c>
      <c r="AH280" s="18" t="s">
        <v>855</v>
      </c>
      <c r="AI280" s="18" t="s">
        <v>855</v>
      </c>
      <c r="AJ280" s="18">
        <v>46</v>
      </c>
      <c r="AK280" s="18">
        <v>219093</v>
      </c>
      <c r="AL280" s="18" t="b">
        <v>0</v>
      </c>
      <c r="AM280" s="18">
        <v>0.64200000000000002</v>
      </c>
      <c r="AN280" s="18">
        <v>0.40799999999999997</v>
      </c>
      <c r="AO280" s="18">
        <v>10</v>
      </c>
      <c r="AP280" s="18">
        <v>-8.1679999999999993</v>
      </c>
      <c r="AQ280" s="18">
        <v>1</v>
      </c>
      <c r="AR280" s="18">
        <v>3.9600000000000003E-2</v>
      </c>
      <c r="AS280" s="18">
        <v>0.72899999999999998</v>
      </c>
      <c r="AT280" s="18">
        <v>0</v>
      </c>
      <c r="AU280" s="18">
        <v>0.185</v>
      </c>
      <c r="AV280" s="18">
        <v>0.41099999999999998</v>
      </c>
      <c r="AW280" s="18">
        <v>119.81</v>
      </c>
      <c r="AX280" s="18">
        <v>4</v>
      </c>
      <c r="AY280" s="19" t="s">
        <v>24</v>
      </c>
    </row>
    <row r="281" spans="32:51" x14ac:dyDescent="0.35">
      <c r="AF281" s="14" t="s">
        <v>856</v>
      </c>
      <c r="AG281" s="15" t="s">
        <v>857</v>
      </c>
      <c r="AH281" s="15" t="s">
        <v>858</v>
      </c>
      <c r="AI281" s="15" t="s">
        <v>858</v>
      </c>
      <c r="AJ281" s="15">
        <v>55</v>
      </c>
      <c r="AK281" s="15">
        <v>171800</v>
      </c>
      <c r="AL281" s="15" t="b">
        <v>0</v>
      </c>
      <c r="AM281" s="15">
        <v>0.48</v>
      </c>
      <c r="AN281" s="15">
        <v>0.61799999999999999</v>
      </c>
      <c r="AO281" s="15">
        <v>2</v>
      </c>
      <c r="AP281" s="15">
        <v>-7.335</v>
      </c>
      <c r="AQ281" s="15">
        <v>1</v>
      </c>
      <c r="AR281" s="15">
        <v>5.0099999999999999E-2</v>
      </c>
      <c r="AS281" s="15">
        <v>0.84399999999999997</v>
      </c>
      <c r="AT281" s="31" t="s">
        <v>859</v>
      </c>
      <c r="AU281" s="15">
        <v>0.32500000000000001</v>
      </c>
      <c r="AV281" s="15">
        <v>0.34399999999999997</v>
      </c>
      <c r="AW281" s="15">
        <v>82.051000000000002</v>
      </c>
      <c r="AX281" s="15">
        <v>4</v>
      </c>
      <c r="AY281" s="16" t="s">
        <v>24</v>
      </c>
    </row>
    <row r="282" spans="32:51" x14ac:dyDescent="0.35">
      <c r="AF282" s="17" t="s">
        <v>860</v>
      </c>
      <c r="AG282" s="18" t="s">
        <v>34</v>
      </c>
      <c r="AH282" s="18" t="s">
        <v>861</v>
      </c>
      <c r="AI282" s="18" t="s">
        <v>862</v>
      </c>
      <c r="AJ282" s="18">
        <v>54</v>
      </c>
      <c r="AK282" s="18">
        <v>211624</v>
      </c>
      <c r="AL282" s="18" t="b">
        <v>0</v>
      </c>
      <c r="AM282" s="18">
        <v>0.27100000000000002</v>
      </c>
      <c r="AN282" s="18">
        <v>9.3700000000000006E-2</v>
      </c>
      <c r="AO282" s="18">
        <v>0</v>
      </c>
      <c r="AP282" s="18">
        <v>-15.035</v>
      </c>
      <c r="AQ282" s="18">
        <v>1</v>
      </c>
      <c r="AR282" s="18">
        <v>3.6700000000000003E-2</v>
      </c>
      <c r="AS282" s="18">
        <v>0.93899999999999995</v>
      </c>
      <c r="AT282" s="18">
        <v>0</v>
      </c>
      <c r="AU282" s="18">
        <v>0.108</v>
      </c>
      <c r="AV282" s="18">
        <v>0.14699999999999999</v>
      </c>
      <c r="AW282" s="18">
        <v>164.721</v>
      </c>
      <c r="AX282" s="18">
        <v>5</v>
      </c>
      <c r="AY282" s="19" t="s">
        <v>24</v>
      </c>
    </row>
    <row r="283" spans="32:51" x14ac:dyDescent="0.35">
      <c r="AF283" s="14" t="s">
        <v>863</v>
      </c>
      <c r="AG283" s="15" t="s">
        <v>864</v>
      </c>
      <c r="AH283" s="15" t="s">
        <v>864</v>
      </c>
      <c r="AI283" s="15" t="s">
        <v>865</v>
      </c>
      <c r="AJ283" s="15">
        <v>57</v>
      </c>
      <c r="AK283" s="15">
        <v>196240</v>
      </c>
      <c r="AL283" s="15" t="b">
        <v>0</v>
      </c>
      <c r="AM283" s="15">
        <v>0.59399999999999997</v>
      </c>
      <c r="AN283" s="15">
        <v>0.69499999999999995</v>
      </c>
      <c r="AO283" s="15">
        <v>8</v>
      </c>
      <c r="AP283" s="15">
        <v>-8.8719999999999999</v>
      </c>
      <c r="AQ283" s="15">
        <v>1</v>
      </c>
      <c r="AR283" s="15">
        <v>2.5899999999999999E-2</v>
      </c>
      <c r="AS283" s="15">
        <v>0.19</v>
      </c>
      <c r="AT283" s="31" t="s">
        <v>866</v>
      </c>
      <c r="AU283" s="15">
        <v>0.11899999999999999</v>
      </c>
      <c r="AV283" s="15">
        <v>0.17199999999999999</v>
      </c>
      <c r="AW283" s="15">
        <v>104.977</v>
      </c>
      <c r="AX283" s="15">
        <v>4</v>
      </c>
      <c r="AY283" s="16" t="s">
        <v>24</v>
      </c>
    </row>
    <row r="284" spans="32:51" x14ac:dyDescent="0.35">
      <c r="AF284" s="17" t="s">
        <v>867</v>
      </c>
      <c r="AG284" s="18" t="s">
        <v>39</v>
      </c>
      <c r="AH284" s="18" t="s">
        <v>868</v>
      </c>
      <c r="AI284" s="18" t="s">
        <v>868</v>
      </c>
      <c r="AJ284" s="18">
        <v>49</v>
      </c>
      <c r="AK284" s="18">
        <v>199459</v>
      </c>
      <c r="AL284" s="18" t="b">
        <v>0</v>
      </c>
      <c r="AM284" s="18">
        <v>0.57399999999999995</v>
      </c>
      <c r="AN284" s="18">
        <v>0.34399999999999997</v>
      </c>
      <c r="AO284" s="18">
        <v>4</v>
      </c>
      <c r="AP284" s="18">
        <v>-8.9949999999999992</v>
      </c>
      <c r="AQ284" s="18">
        <v>1</v>
      </c>
      <c r="AR284" s="18">
        <v>3.4500000000000003E-2</v>
      </c>
      <c r="AS284" s="18">
        <v>0.42099999999999999</v>
      </c>
      <c r="AT284" s="18">
        <v>0</v>
      </c>
      <c r="AU284" s="18">
        <v>8.0399999999999999E-2</v>
      </c>
      <c r="AV284" s="18">
        <v>9.8699999999999996E-2</v>
      </c>
      <c r="AW284" s="18">
        <v>147.92400000000001</v>
      </c>
      <c r="AX284" s="18">
        <v>3</v>
      </c>
      <c r="AY284" s="19" t="s">
        <v>24</v>
      </c>
    </row>
    <row r="285" spans="32:51" x14ac:dyDescent="0.35">
      <c r="AF285" s="14" t="s">
        <v>869</v>
      </c>
      <c r="AG285" s="15" t="s">
        <v>870</v>
      </c>
      <c r="AH285" s="15" t="s">
        <v>871</v>
      </c>
      <c r="AI285" s="15" t="s">
        <v>872</v>
      </c>
      <c r="AJ285" s="15">
        <v>55</v>
      </c>
      <c r="AK285" s="15">
        <v>169253</v>
      </c>
      <c r="AL285" s="15" t="b">
        <v>0</v>
      </c>
      <c r="AM285" s="15">
        <v>0.64700000000000002</v>
      </c>
      <c r="AN285" s="15">
        <v>0.29799999999999999</v>
      </c>
      <c r="AO285" s="15">
        <v>3</v>
      </c>
      <c r="AP285" s="15">
        <v>-7.91</v>
      </c>
      <c r="AQ285" s="15">
        <v>1</v>
      </c>
      <c r="AR285" s="15">
        <v>3.1099999999999999E-2</v>
      </c>
      <c r="AS285" s="15">
        <v>0.86099999999999999</v>
      </c>
      <c r="AT285" s="15">
        <v>0</v>
      </c>
      <c r="AU285" s="15">
        <v>0.12</v>
      </c>
      <c r="AV285" s="15">
        <v>0.31</v>
      </c>
      <c r="AW285" s="15">
        <v>106.244</v>
      </c>
      <c r="AX285" s="15">
        <v>4</v>
      </c>
      <c r="AY285" s="16" t="s">
        <v>24</v>
      </c>
    </row>
    <row r="286" spans="32:51" x14ac:dyDescent="0.35">
      <c r="AF286" s="17" t="s">
        <v>873</v>
      </c>
      <c r="AG286" s="18" t="s">
        <v>874</v>
      </c>
      <c r="AH286" s="18" t="s">
        <v>875</v>
      </c>
      <c r="AI286" s="18" t="s">
        <v>875</v>
      </c>
      <c r="AJ286" s="18">
        <v>51</v>
      </c>
      <c r="AK286" s="18">
        <v>137066</v>
      </c>
      <c r="AL286" s="18" t="b">
        <v>0</v>
      </c>
      <c r="AM286" s="18">
        <v>0.48599999999999999</v>
      </c>
      <c r="AN286" s="18">
        <v>3.9899999999999998E-2</v>
      </c>
      <c r="AO286" s="18">
        <v>0</v>
      </c>
      <c r="AP286" s="18">
        <v>-21.56</v>
      </c>
      <c r="AQ286" s="18">
        <v>1</v>
      </c>
      <c r="AR286" s="18">
        <v>4.0500000000000001E-2</v>
      </c>
      <c r="AS286" s="18">
        <v>0.95299999999999996</v>
      </c>
      <c r="AT286" s="32" t="s">
        <v>876</v>
      </c>
      <c r="AU286" s="18">
        <v>0.115</v>
      </c>
      <c r="AV286" s="18">
        <v>0.155</v>
      </c>
      <c r="AW286" s="18">
        <v>95.066000000000003</v>
      </c>
      <c r="AX286" s="18">
        <v>3</v>
      </c>
      <c r="AY286" s="19" t="s">
        <v>24</v>
      </c>
    </row>
    <row r="287" spans="32:51" x14ac:dyDescent="0.35">
      <c r="AF287" s="14" t="s">
        <v>877</v>
      </c>
      <c r="AG287" s="15" t="s">
        <v>83</v>
      </c>
      <c r="AH287" s="15" t="s">
        <v>878</v>
      </c>
      <c r="AI287" s="15" t="s">
        <v>878</v>
      </c>
      <c r="AJ287" s="15">
        <v>39</v>
      </c>
      <c r="AK287" s="15">
        <v>128798</v>
      </c>
      <c r="AL287" s="15" t="b">
        <v>1</v>
      </c>
      <c r="AM287" s="15">
        <v>0.73399999999999999</v>
      </c>
      <c r="AN287" s="15">
        <v>4.2299999999999997E-2</v>
      </c>
      <c r="AO287" s="15">
        <v>4</v>
      </c>
      <c r="AP287" s="15">
        <v>-24.831</v>
      </c>
      <c r="AQ287" s="15">
        <v>1</v>
      </c>
      <c r="AR287" s="15">
        <v>5.8299999999999998E-2</v>
      </c>
      <c r="AS287" s="15">
        <v>0.91600000000000004</v>
      </c>
      <c r="AT287" s="15">
        <v>0</v>
      </c>
      <c r="AU287" s="15">
        <v>0.108</v>
      </c>
      <c r="AV287" s="15">
        <v>0.14000000000000001</v>
      </c>
      <c r="AW287" s="15">
        <v>123.905</v>
      </c>
      <c r="AX287" s="15">
        <v>4</v>
      </c>
      <c r="AY287" s="16" t="s">
        <v>24</v>
      </c>
    </row>
    <row r="288" spans="32:51" x14ac:dyDescent="0.35">
      <c r="AF288" s="17" t="s">
        <v>879</v>
      </c>
      <c r="AG288" s="18" t="s">
        <v>400</v>
      </c>
      <c r="AH288" s="18" t="s">
        <v>880</v>
      </c>
      <c r="AI288" s="18" t="s">
        <v>881</v>
      </c>
      <c r="AJ288" s="18">
        <v>60</v>
      </c>
      <c r="AK288" s="18">
        <v>257972</v>
      </c>
      <c r="AL288" s="18" t="b">
        <v>0</v>
      </c>
      <c r="AM288" s="18">
        <v>0.71099999999999997</v>
      </c>
      <c r="AN288" s="18">
        <v>0.23100000000000001</v>
      </c>
      <c r="AO288" s="18">
        <v>2</v>
      </c>
      <c r="AP288" s="18">
        <v>-13.032999999999999</v>
      </c>
      <c r="AQ288" s="18">
        <v>1</v>
      </c>
      <c r="AR288" s="18">
        <v>3.4599999999999999E-2</v>
      </c>
      <c r="AS288" s="18">
        <v>0.83199999999999996</v>
      </c>
      <c r="AT288" s="18">
        <v>1.15E-3</v>
      </c>
      <c r="AU288" s="18">
        <v>0.105</v>
      </c>
      <c r="AV288" s="18">
        <v>0.186</v>
      </c>
      <c r="AW288" s="18">
        <v>125.062</v>
      </c>
      <c r="AX288" s="18">
        <v>4</v>
      </c>
      <c r="AY288" s="19" t="s">
        <v>24</v>
      </c>
    </row>
    <row r="289" spans="32:51" x14ac:dyDescent="0.35">
      <c r="AF289" s="14" t="s">
        <v>882</v>
      </c>
      <c r="AG289" s="15" t="s">
        <v>431</v>
      </c>
      <c r="AH289" s="15" t="s">
        <v>883</v>
      </c>
      <c r="AI289" s="15" t="s">
        <v>884</v>
      </c>
      <c r="AJ289" s="15">
        <v>60</v>
      </c>
      <c r="AK289" s="15">
        <v>146066</v>
      </c>
      <c r="AL289" s="15" t="b">
        <v>0</v>
      </c>
      <c r="AM289" s="15">
        <v>0.629</v>
      </c>
      <c r="AN289" s="15">
        <v>0.17399999999999999</v>
      </c>
      <c r="AO289" s="15">
        <v>6</v>
      </c>
      <c r="AP289" s="15">
        <v>-9.6969999999999992</v>
      </c>
      <c r="AQ289" s="15">
        <v>1</v>
      </c>
      <c r="AR289" s="15">
        <v>0.14099999999999999</v>
      </c>
      <c r="AS289" s="15">
        <v>0.61599999999999999</v>
      </c>
      <c r="AT289" s="15">
        <v>0</v>
      </c>
      <c r="AU289" s="15">
        <v>0.11799999999999999</v>
      </c>
      <c r="AV289" s="15">
        <v>0.30499999999999999</v>
      </c>
      <c r="AW289" s="15">
        <v>134.29499999999999</v>
      </c>
      <c r="AX289" s="15">
        <v>1</v>
      </c>
      <c r="AY289" s="16" t="s">
        <v>24</v>
      </c>
    </row>
    <row r="290" spans="32:51" x14ac:dyDescent="0.35">
      <c r="AF290" s="17" t="s">
        <v>885</v>
      </c>
      <c r="AG290" s="18" t="s">
        <v>886</v>
      </c>
      <c r="AH290" s="18" t="s">
        <v>887</v>
      </c>
      <c r="AI290" s="18" t="s">
        <v>888</v>
      </c>
      <c r="AJ290" s="18">
        <v>53</v>
      </c>
      <c r="AK290" s="18">
        <v>172708</v>
      </c>
      <c r="AL290" s="18" t="b">
        <v>0</v>
      </c>
      <c r="AM290" s="18">
        <v>0.61499999999999999</v>
      </c>
      <c r="AN290" s="18">
        <v>0.40600000000000003</v>
      </c>
      <c r="AO290" s="18">
        <v>6</v>
      </c>
      <c r="AP290" s="18">
        <v>-12.619</v>
      </c>
      <c r="AQ290" s="18">
        <v>1</v>
      </c>
      <c r="AR290" s="18">
        <v>3.5799999999999998E-2</v>
      </c>
      <c r="AS290" s="18">
        <v>0.54100000000000004</v>
      </c>
      <c r="AT290" s="32" t="s">
        <v>889</v>
      </c>
      <c r="AU290" s="18">
        <v>9.8199999999999996E-2</v>
      </c>
      <c r="AV290" s="18">
        <v>0.54100000000000004</v>
      </c>
      <c r="AW290" s="18">
        <v>166.035</v>
      </c>
      <c r="AX290" s="18">
        <v>4</v>
      </c>
      <c r="AY290" s="19" t="s">
        <v>24</v>
      </c>
    </row>
    <row r="291" spans="32:51" x14ac:dyDescent="0.35">
      <c r="AF291" s="14" t="s">
        <v>890</v>
      </c>
      <c r="AG291" s="15" t="s">
        <v>891</v>
      </c>
      <c r="AH291" s="15" t="s">
        <v>892</v>
      </c>
      <c r="AI291" s="33">
        <v>0.53541666666666665</v>
      </c>
      <c r="AJ291" s="15">
        <v>64</v>
      </c>
      <c r="AK291" s="15">
        <v>246280</v>
      </c>
      <c r="AL291" s="15" t="b">
        <v>0</v>
      </c>
      <c r="AM291" s="15">
        <v>0.503</v>
      </c>
      <c r="AN291" s="15">
        <v>0.35699999999999998</v>
      </c>
      <c r="AO291" s="15">
        <v>3</v>
      </c>
      <c r="AP291" s="15">
        <v>-9.36</v>
      </c>
      <c r="AQ291" s="15">
        <v>1</v>
      </c>
      <c r="AR291" s="15">
        <v>2.7199999999999998E-2</v>
      </c>
      <c r="AS291" s="15">
        <v>0.72699999999999998</v>
      </c>
      <c r="AT291" s="15">
        <v>0</v>
      </c>
      <c r="AU291" s="15">
        <v>0.128</v>
      </c>
      <c r="AV291" s="15">
        <v>0.438</v>
      </c>
      <c r="AW291" s="15">
        <v>136.13499999999999</v>
      </c>
      <c r="AX291" s="15">
        <v>4</v>
      </c>
      <c r="AY291" s="16" t="s">
        <v>24</v>
      </c>
    </row>
    <row r="292" spans="32:51" x14ac:dyDescent="0.35">
      <c r="AF292" s="17" t="s">
        <v>893</v>
      </c>
      <c r="AG292" s="18" t="s">
        <v>894</v>
      </c>
      <c r="AH292" s="18" t="s">
        <v>895</v>
      </c>
      <c r="AI292" s="18" t="s">
        <v>896</v>
      </c>
      <c r="AJ292" s="18">
        <v>34</v>
      </c>
      <c r="AK292" s="18">
        <v>331984</v>
      </c>
      <c r="AL292" s="18" t="b">
        <v>0</v>
      </c>
      <c r="AM292" s="18">
        <v>0.45</v>
      </c>
      <c r="AN292" s="18">
        <v>0.183</v>
      </c>
      <c r="AO292" s="18">
        <v>2</v>
      </c>
      <c r="AP292" s="18">
        <v>-9.0030000000000001</v>
      </c>
      <c r="AQ292" s="18">
        <v>1</v>
      </c>
      <c r="AR292" s="18">
        <v>3.09E-2</v>
      </c>
      <c r="AS292" s="18">
        <v>0.76200000000000001</v>
      </c>
      <c r="AT292" s="32" t="s">
        <v>897</v>
      </c>
      <c r="AU292" s="18">
        <v>0.11</v>
      </c>
      <c r="AV292" s="18">
        <v>0.219</v>
      </c>
      <c r="AW292" s="18">
        <v>61.192</v>
      </c>
      <c r="AX292" s="18">
        <v>4</v>
      </c>
      <c r="AY292" s="19" t="s">
        <v>24</v>
      </c>
    </row>
    <row r="293" spans="32:51" x14ac:dyDescent="0.35">
      <c r="AF293" s="14" t="s">
        <v>898</v>
      </c>
      <c r="AG293" s="15" t="s">
        <v>899</v>
      </c>
      <c r="AH293" s="15" t="s">
        <v>900</v>
      </c>
      <c r="AI293" s="15" t="s">
        <v>901</v>
      </c>
      <c r="AJ293" s="15">
        <v>50</v>
      </c>
      <c r="AK293" s="15">
        <v>216052</v>
      </c>
      <c r="AL293" s="15" t="b">
        <v>0</v>
      </c>
      <c r="AM293" s="15">
        <v>0.52500000000000002</v>
      </c>
      <c r="AN293" s="15">
        <v>0.46100000000000002</v>
      </c>
      <c r="AO293" s="15">
        <v>5</v>
      </c>
      <c r="AP293" s="15">
        <v>-9.4890000000000008</v>
      </c>
      <c r="AQ293" s="15">
        <v>0</v>
      </c>
      <c r="AR293" s="15">
        <v>8.7800000000000003E-2</v>
      </c>
      <c r="AS293" s="15">
        <v>0.77500000000000002</v>
      </c>
      <c r="AT293" s="31" t="s">
        <v>902</v>
      </c>
      <c r="AU293" s="15">
        <v>0.36199999999999999</v>
      </c>
      <c r="AV293" s="15">
        <v>0.20200000000000001</v>
      </c>
      <c r="AW293" s="15">
        <v>147.99700000000001</v>
      </c>
      <c r="AX293" s="15">
        <v>4</v>
      </c>
      <c r="AY293" s="16" t="s">
        <v>24</v>
      </c>
    </row>
    <row r="294" spans="32:51" x14ac:dyDescent="0.35">
      <c r="AF294" s="17" t="s">
        <v>903</v>
      </c>
      <c r="AG294" s="18" t="s">
        <v>418</v>
      </c>
      <c r="AH294" s="18" t="s">
        <v>904</v>
      </c>
      <c r="AI294" s="18" t="s">
        <v>904</v>
      </c>
      <c r="AJ294" s="18">
        <v>65</v>
      </c>
      <c r="AK294" s="18">
        <v>243933</v>
      </c>
      <c r="AL294" s="18" t="b">
        <v>0</v>
      </c>
      <c r="AM294" s="18">
        <v>0.55500000000000005</v>
      </c>
      <c r="AN294" s="18">
        <v>0.93400000000000005</v>
      </c>
      <c r="AO294" s="18">
        <v>9</v>
      </c>
      <c r="AP294" s="18">
        <v>-5.04</v>
      </c>
      <c r="AQ294" s="18">
        <v>1</v>
      </c>
      <c r="AR294" s="18">
        <v>0.113</v>
      </c>
      <c r="AS294" s="18">
        <v>2.6800000000000001E-3</v>
      </c>
      <c r="AT294" s="18">
        <v>0</v>
      </c>
      <c r="AU294" s="18">
        <v>0.122</v>
      </c>
      <c r="AV294" s="18">
        <v>0.42199999999999999</v>
      </c>
      <c r="AW294" s="18">
        <v>144.874</v>
      </c>
      <c r="AX294" s="18">
        <v>4</v>
      </c>
      <c r="AY294" s="19" t="s">
        <v>24</v>
      </c>
    </row>
    <row r="295" spans="32:51" x14ac:dyDescent="0.35">
      <c r="AF295" s="14" t="s">
        <v>905</v>
      </c>
      <c r="AG295" s="15" t="s">
        <v>617</v>
      </c>
      <c r="AH295" s="15" t="s">
        <v>618</v>
      </c>
      <c r="AI295" s="15" t="s">
        <v>906</v>
      </c>
      <c r="AJ295" s="15">
        <v>56</v>
      </c>
      <c r="AK295" s="15">
        <v>199786</v>
      </c>
      <c r="AL295" s="15" t="b">
        <v>0</v>
      </c>
      <c r="AM295" s="15">
        <v>0.67800000000000005</v>
      </c>
      <c r="AN295" s="15">
        <v>0.36299999999999999</v>
      </c>
      <c r="AO295" s="15">
        <v>11</v>
      </c>
      <c r="AP295" s="15">
        <v>-10.9</v>
      </c>
      <c r="AQ295" s="15">
        <v>1</v>
      </c>
      <c r="AR295" s="15">
        <v>3.1800000000000002E-2</v>
      </c>
      <c r="AS295" s="15">
        <v>0.872</v>
      </c>
      <c r="AT295" s="15">
        <v>1.01E-4</v>
      </c>
      <c r="AU295" s="15">
        <v>7.9799999999999996E-2</v>
      </c>
      <c r="AV295" s="15">
        <v>0.54300000000000004</v>
      </c>
      <c r="AW295" s="15">
        <v>75.004000000000005</v>
      </c>
      <c r="AX295" s="15">
        <v>5</v>
      </c>
      <c r="AY295" s="16" t="s">
        <v>24</v>
      </c>
    </row>
    <row r="296" spans="32:51" x14ac:dyDescent="0.35">
      <c r="AF296" s="17" t="s">
        <v>907</v>
      </c>
      <c r="AG296" s="18" t="s">
        <v>418</v>
      </c>
      <c r="AH296" s="18" t="s">
        <v>904</v>
      </c>
      <c r="AI296" s="18" t="s">
        <v>908</v>
      </c>
      <c r="AJ296" s="18">
        <v>57</v>
      </c>
      <c r="AK296" s="18">
        <v>256933</v>
      </c>
      <c r="AL296" s="18" t="b">
        <v>0</v>
      </c>
      <c r="AM296" s="18">
        <v>0.55500000000000005</v>
      </c>
      <c r="AN296" s="18">
        <v>0.45200000000000001</v>
      </c>
      <c r="AO296" s="18">
        <v>0</v>
      </c>
      <c r="AP296" s="18">
        <v>-9.6359999999999992</v>
      </c>
      <c r="AQ296" s="18">
        <v>1</v>
      </c>
      <c r="AR296" s="18">
        <v>5.5399999999999998E-2</v>
      </c>
      <c r="AS296" s="18">
        <v>0.69399999999999995</v>
      </c>
      <c r="AT296" s="18">
        <v>0</v>
      </c>
      <c r="AU296" s="18">
        <v>5.9499999999999997E-2</v>
      </c>
      <c r="AV296" s="18">
        <v>0.32100000000000001</v>
      </c>
      <c r="AW296" s="18">
        <v>179.92099999999999</v>
      </c>
      <c r="AX296" s="18">
        <v>4</v>
      </c>
      <c r="AY296" s="19" t="s">
        <v>24</v>
      </c>
    </row>
    <row r="297" spans="32:51" x14ac:dyDescent="0.35">
      <c r="AF297" s="14" t="s">
        <v>909</v>
      </c>
      <c r="AG297" s="15" t="s">
        <v>910</v>
      </c>
      <c r="AH297" s="15" t="s">
        <v>911</v>
      </c>
      <c r="AI297" s="15" t="s">
        <v>806</v>
      </c>
      <c r="AJ297" s="15">
        <v>43</v>
      </c>
      <c r="AK297" s="15">
        <v>279916</v>
      </c>
      <c r="AL297" s="15" t="b">
        <v>0</v>
      </c>
      <c r="AM297" s="15">
        <v>0.58599999999999997</v>
      </c>
      <c r="AN297" s="15">
        <v>0.39600000000000002</v>
      </c>
      <c r="AO297" s="15">
        <v>10</v>
      </c>
      <c r="AP297" s="15">
        <v>-9.9529999999999994</v>
      </c>
      <c r="AQ297" s="15">
        <v>1</v>
      </c>
      <c r="AR297" s="15">
        <v>3.1899999999999998E-2</v>
      </c>
      <c r="AS297" s="15">
        <v>0.89600000000000002</v>
      </c>
      <c r="AT297" s="15">
        <v>0.54300000000000004</v>
      </c>
      <c r="AU297" s="15">
        <v>9.9199999999999997E-2</v>
      </c>
      <c r="AV297" s="15">
        <v>0.16</v>
      </c>
      <c r="AW297" s="15">
        <v>142.59100000000001</v>
      </c>
      <c r="AX297" s="15">
        <v>3</v>
      </c>
      <c r="AY297" s="16" t="s">
        <v>24</v>
      </c>
    </row>
    <row r="298" spans="32:51" x14ac:dyDescent="0.35">
      <c r="AF298" s="17" t="s">
        <v>912</v>
      </c>
      <c r="AG298" s="18" t="s">
        <v>712</v>
      </c>
      <c r="AH298" s="18" t="s">
        <v>729</v>
      </c>
      <c r="AI298" s="18" t="s">
        <v>913</v>
      </c>
      <c r="AJ298" s="18">
        <v>64</v>
      </c>
      <c r="AK298" s="18">
        <v>250866</v>
      </c>
      <c r="AL298" s="18" t="b">
        <v>0</v>
      </c>
      <c r="AM298" s="18">
        <v>0.58799999999999997</v>
      </c>
      <c r="AN298" s="18">
        <v>0.14199999999999999</v>
      </c>
      <c r="AO298" s="18">
        <v>7</v>
      </c>
      <c r="AP298" s="18">
        <v>-15.196</v>
      </c>
      <c r="AQ298" s="18">
        <v>1</v>
      </c>
      <c r="AR298" s="18">
        <v>3.2899999999999999E-2</v>
      </c>
      <c r="AS298" s="18">
        <v>0.86299999999999999</v>
      </c>
      <c r="AT298" s="18">
        <v>1.6200000000000001E-4</v>
      </c>
      <c r="AU298" s="18">
        <v>9.5299999999999996E-2</v>
      </c>
      <c r="AV298" s="18">
        <v>0.28799999999999998</v>
      </c>
      <c r="AW298" s="18">
        <v>119.65600000000001</v>
      </c>
      <c r="AX298" s="18">
        <v>4</v>
      </c>
      <c r="AY298" s="19" t="s">
        <v>24</v>
      </c>
    </row>
    <row r="299" spans="32:51" x14ac:dyDescent="0.35">
      <c r="AF299" s="14" t="s">
        <v>914</v>
      </c>
      <c r="AG299" s="15" t="s">
        <v>149</v>
      </c>
      <c r="AH299" s="15" t="s">
        <v>285</v>
      </c>
      <c r="AI299" s="15" t="s">
        <v>915</v>
      </c>
      <c r="AJ299" s="15">
        <v>58</v>
      </c>
      <c r="AK299" s="15">
        <v>94053</v>
      </c>
      <c r="AL299" s="15" t="b">
        <v>0</v>
      </c>
      <c r="AM299" s="15">
        <v>0.72399999999999998</v>
      </c>
      <c r="AN299" s="15">
        <v>0.65200000000000002</v>
      </c>
      <c r="AO299" s="15">
        <v>3</v>
      </c>
      <c r="AP299" s="15">
        <v>-6.8689999999999998</v>
      </c>
      <c r="AQ299" s="15">
        <v>1</v>
      </c>
      <c r="AR299" s="15">
        <v>2.47E-2</v>
      </c>
      <c r="AS299" s="15">
        <v>0.46</v>
      </c>
      <c r="AT299" s="15">
        <v>1.4200000000000001E-4</v>
      </c>
      <c r="AU299" s="15">
        <v>0.10100000000000001</v>
      </c>
      <c r="AV299" s="15">
        <v>0.75</v>
      </c>
      <c r="AW299" s="15">
        <v>106.911</v>
      </c>
      <c r="AX299" s="15">
        <v>4</v>
      </c>
      <c r="AY299" s="16" t="s">
        <v>24</v>
      </c>
    </row>
    <row r="300" spans="32:51" x14ac:dyDescent="0.35">
      <c r="AF300" s="17" t="s">
        <v>916</v>
      </c>
      <c r="AG300" s="18" t="s">
        <v>917</v>
      </c>
      <c r="AH300" s="18" t="s">
        <v>918</v>
      </c>
      <c r="AI300" s="18" t="s">
        <v>918</v>
      </c>
      <c r="AJ300" s="18">
        <v>64</v>
      </c>
      <c r="AK300" s="18">
        <v>231813</v>
      </c>
      <c r="AL300" s="18" t="b">
        <v>0</v>
      </c>
      <c r="AM300" s="18">
        <v>0.56699999999999995</v>
      </c>
      <c r="AN300" s="18">
        <v>0.224</v>
      </c>
      <c r="AO300" s="18">
        <v>1</v>
      </c>
      <c r="AP300" s="18">
        <v>-10.023999999999999</v>
      </c>
      <c r="AQ300" s="18">
        <v>1</v>
      </c>
      <c r="AR300" s="18">
        <v>2.9899999999999999E-2</v>
      </c>
      <c r="AS300" s="18">
        <v>0.88700000000000001</v>
      </c>
      <c r="AT300" s="18">
        <v>0</v>
      </c>
      <c r="AU300" s="18">
        <v>0.109</v>
      </c>
      <c r="AV300" s="18">
        <v>0.2</v>
      </c>
      <c r="AW300" s="18">
        <v>124.44</v>
      </c>
      <c r="AX300" s="18">
        <v>4</v>
      </c>
      <c r="AY300" s="19" t="s">
        <v>24</v>
      </c>
    </row>
    <row r="301" spans="32:51" x14ac:dyDescent="0.35">
      <c r="AF301" s="14" t="s">
        <v>919</v>
      </c>
      <c r="AG301" s="15" t="s">
        <v>755</v>
      </c>
      <c r="AH301" s="15" t="s">
        <v>920</v>
      </c>
      <c r="AI301" s="15" t="s">
        <v>921</v>
      </c>
      <c r="AJ301" s="15">
        <v>35</v>
      </c>
      <c r="AK301" s="15">
        <v>150047</v>
      </c>
      <c r="AL301" s="15" t="b">
        <v>1</v>
      </c>
      <c r="AM301" s="15">
        <v>0.54400000000000004</v>
      </c>
      <c r="AN301" s="15">
        <v>0.83899999999999997</v>
      </c>
      <c r="AO301" s="15">
        <v>5</v>
      </c>
      <c r="AP301" s="15">
        <v>-8.9909999999999997</v>
      </c>
      <c r="AQ301" s="15">
        <v>1</v>
      </c>
      <c r="AR301" s="15">
        <v>5.6800000000000003E-2</v>
      </c>
      <c r="AS301" s="15">
        <v>0.78400000000000003</v>
      </c>
      <c r="AT301" s="15">
        <v>0</v>
      </c>
      <c r="AU301" s="15">
        <v>0.34100000000000003</v>
      </c>
      <c r="AV301" s="15">
        <v>0.96699999999999997</v>
      </c>
      <c r="AW301" s="15">
        <v>87.608999999999995</v>
      </c>
      <c r="AX301" s="15">
        <v>4</v>
      </c>
      <c r="AY301" s="16" t="s">
        <v>24</v>
      </c>
    </row>
    <row r="302" spans="32:51" x14ac:dyDescent="0.35">
      <c r="AF302" s="17" t="s">
        <v>922</v>
      </c>
      <c r="AG302" s="18" t="s">
        <v>712</v>
      </c>
      <c r="AH302" s="18" t="s">
        <v>923</v>
      </c>
      <c r="AI302" s="18" t="s">
        <v>924</v>
      </c>
      <c r="AJ302" s="18">
        <v>36</v>
      </c>
      <c r="AK302" s="18">
        <v>216773</v>
      </c>
      <c r="AL302" s="18" t="b">
        <v>0</v>
      </c>
      <c r="AM302" s="18">
        <v>0.55500000000000005</v>
      </c>
      <c r="AN302" s="18">
        <v>0.68</v>
      </c>
      <c r="AO302" s="18">
        <v>10</v>
      </c>
      <c r="AP302" s="18">
        <v>-8.3580000000000005</v>
      </c>
      <c r="AQ302" s="18">
        <v>0</v>
      </c>
      <c r="AR302" s="18">
        <v>3.2300000000000002E-2</v>
      </c>
      <c r="AS302" s="18">
        <v>0.126</v>
      </c>
      <c r="AT302" s="18">
        <v>9.0600000000000001E-4</v>
      </c>
      <c r="AU302" s="18">
        <v>5.0599999999999999E-2</v>
      </c>
      <c r="AV302" s="18">
        <v>0.90300000000000002</v>
      </c>
      <c r="AW302" s="18">
        <v>84.518000000000001</v>
      </c>
      <c r="AX302" s="18">
        <v>4</v>
      </c>
      <c r="AY302" s="19" t="s">
        <v>24</v>
      </c>
    </row>
    <row r="303" spans="32:51" x14ac:dyDescent="0.35">
      <c r="AF303" s="14" t="s">
        <v>925</v>
      </c>
      <c r="AG303" s="15" t="s">
        <v>329</v>
      </c>
      <c r="AH303" s="15" t="s">
        <v>926</v>
      </c>
      <c r="AI303" s="15" t="s">
        <v>927</v>
      </c>
      <c r="AJ303" s="15">
        <v>54</v>
      </c>
      <c r="AK303" s="15">
        <v>145771</v>
      </c>
      <c r="AL303" s="15" t="b">
        <v>0</v>
      </c>
      <c r="AM303" s="15">
        <v>0.69</v>
      </c>
      <c r="AN303" s="15">
        <v>0.30599999999999999</v>
      </c>
      <c r="AO303" s="15">
        <v>9</v>
      </c>
      <c r="AP303" s="15">
        <v>-9.1929999999999996</v>
      </c>
      <c r="AQ303" s="15">
        <v>1</v>
      </c>
      <c r="AR303" s="15">
        <v>3.56E-2</v>
      </c>
      <c r="AS303" s="15">
        <v>0.80500000000000005</v>
      </c>
      <c r="AT303" s="15">
        <v>0</v>
      </c>
      <c r="AU303" s="15">
        <v>9.6799999999999997E-2</v>
      </c>
      <c r="AV303" s="15">
        <v>0.42399999999999999</v>
      </c>
      <c r="AW303" s="15">
        <v>115.67100000000001</v>
      </c>
      <c r="AX303" s="15">
        <v>4</v>
      </c>
      <c r="AY303" s="16" t="s">
        <v>24</v>
      </c>
    </row>
    <row r="304" spans="32:51" x14ac:dyDescent="0.35">
      <c r="AF304" s="17" t="s">
        <v>928</v>
      </c>
      <c r="AG304" s="18" t="s">
        <v>426</v>
      </c>
      <c r="AH304" s="18" t="s">
        <v>929</v>
      </c>
      <c r="AI304" s="18" t="s">
        <v>930</v>
      </c>
      <c r="AJ304" s="18">
        <v>43</v>
      </c>
      <c r="AK304" s="18">
        <v>279260</v>
      </c>
      <c r="AL304" s="18" t="b">
        <v>0</v>
      </c>
      <c r="AM304" s="18">
        <v>0.51300000000000001</v>
      </c>
      <c r="AN304" s="18">
        <v>0.317</v>
      </c>
      <c r="AO304" s="18">
        <v>10</v>
      </c>
      <c r="AP304" s="18">
        <v>-17.036000000000001</v>
      </c>
      <c r="AQ304" s="18">
        <v>1</v>
      </c>
      <c r="AR304" s="18">
        <v>3.6299999999999999E-2</v>
      </c>
      <c r="AS304" s="18">
        <v>0.36499999999999999</v>
      </c>
      <c r="AT304" s="18">
        <v>3.0000000000000001E-3</v>
      </c>
      <c r="AU304" s="18">
        <v>0.11799999999999999</v>
      </c>
      <c r="AV304" s="18">
        <v>0.17699999999999999</v>
      </c>
      <c r="AW304" s="18">
        <v>84.852999999999994</v>
      </c>
      <c r="AX304" s="18">
        <v>4</v>
      </c>
      <c r="AY304" s="19" t="s">
        <v>24</v>
      </c>
    </row>
    <row r="305" spans="32:51" x14ac:dyDescent="0.35">
      <c r="AF305" s="14" t="s">
        <v>931</v>
      </c>
      <c r="AG305" s="15" t="s">
        <v>352</v>
      </c>
      <c r="AH305" s="15" t="s">
        <v>932</v>
      </c>
      <c r="AI305" s="15" t="s">
        <v>933</v>
      </c>
      <c r="AJ305" s="15">
        <v>49</v>
      </c>
      <c r="AK305" s="15">
        <v>162963</v>
      </c>
      <c r="AL305" s="15" t="b">
        <v>0</v>
      </c>
      <c r="AM305" s="15">
        <v>0.49399999999999999</v>
      </c>
      <c r="AN305" s="15">
        <v>0.152</v>
      </c>
      <c r="AO305" s="15">
        <v>3</v>
      </c>
      <c r="AP305" s="15">
        <v>-9.843</v>
      </c>
      <c r="AQ305" s="15">
        <v>1</v>
      </c>
      <c r="AR305" s="15">
        <v>3.1300000000000001E-2</v>
      </c>
      <c r="AS305" s="15">
        <v>0.94699999999999995</v>
      </c>
      <c r="AT305" s="15">
        <v>0</v>
      </c>
      <c r="AU305" s="15">
        <v>0.123</v>
      </c>
      <c r="AV305" s="15">
        <v>0.30399999999999999</v>
      </c>
      <c r="AW305" s="15">
        <v>134.178</v>
      </c>
      <c r="AX305" s="15">
        <v>4</v>
      </c>
      <c r="AY305" s="16" t="s">
        <v>24</v>
      </c>
    </row>
    <row r="306" spans="32:51" x14ac:dyDescent="0.35">
      <c r="AF306" s="17" t="s">
        <v>934</v>
      </c>
      <c r="AG306" s="18" t="s">
        <v>935</v>
      </c>
      <c r="AH306" s="18" t="s">
        <v>936</v>
      </c>
      <c r="AI306" s="18" t="s">
        <v>937</v>
      </c>
      <c r="AJ306" s="18">
        <v>55</v>
      </c>
      <c r="AK306" s="18">
        <v>166189</v>
      </c>
      <c r="AL306" s="18" t="b">
        <v>0</v>
      </c>
      <c r="AM306" s="18">
        <v>0.63400000000000001</v>
      </c>
      <c r="AN306" s="18">
        <v>0.26700000000000002</v>
      </c>
      <c r="AO306" s="18">
        <v>11</v>
      </c>
      <c r="AP306" s="18">
        <v>-7.3959999999999999</v>
      </c>
      <c r="AQ306" s="18">
        <v>1</v>
      </c>
      <c r="AR306" s="18">
        <v>4.3999999999999997E-2</v>
      </c>
      <c r="AS306" s="18">
        <v>0.84099999999999997</v>
      </c>
      <c r="AT306" s="18">
        <v>0</v>
      </c>
      <c r="AU306" s="18">
        <v>0.11</v>
      </c>
      <c r="AV306" s="18">
        <v>0.39100000000000001</v>
      </c>
      <c r="AW306" s="18">
        <v>143.51400000000001</v>
      </c>
      <c r="AX306" s="18">
        <v>4</v>
      </c>
      <c r="AY306" s="19" t="s">
        <v>24</v>
      </c>
    </row>
    <row r="307" spans="32:51" x14ac:dyDescent="0.35">
      <c r="AF307" s="14" t="s">
        <v>938</v>
      </c>
      <c r="AG307" s="15" t="s">
        <v>939</v>
      </c>
      <c r="AH307" s="15" t="s">
        <v>92</v>
      </c>
      <c r="AI307" s="15" t="s">
        <v>940</v>
      </c>
      <c r="AJ307" s="15">
        <v>54</v>
      </c>
      <c r="AK307" s="15">
        <v>244188</v>
      </c>
      <c r="AL307" s="15" t="b">
        <v>0</v>
      </c>
      <c r="AM307" s="15">
        <v>0.69399999999999995</v>
      </c>
      <c r="AN307" s="15">
        <v>0.47099999999999997</v>
      </c>
      <c r="AO307" s="15">
        <v>8</v>
      </c>
      <c r="AP307" s="15">
        <v>-8.6199999999999992</v>
      </c>
      <c r="AQ307" s="15">
        <v>1</v>
      </c>
      <c r="AR307" s="15">
        <v>2.81E-2</v>
      </c>
      <c r="AS307" s="15">
        <v>0.41099999999999998</v>
      </c>
      <c r="AT307" s="15">
        <v>0</v>
      </c>
      <c r="AU307" s="15">
        <v>0.23300000000000001</v>
      </c>
      <c r="AV307" s="15">
        <v>0.46600000000000003</v>
      </c>
      <c r="AW307" s="15">
        <v>95.003</v>
      </c>
      <c r="AX307" s="15">
        <v>4</v>
      </c>
      <c r="AY307" s="16" t="s">
        <v>24</v>
      </c>
    </row>
    <row r="308" spans="32:51" x14ac:dyDescent="0.35">
      <c r="AF308" s="17" t="s">
        <v>941</v>
      </c>
      <c r="AG308" s="18" t="s">
        <v>942</v>
      </c>
      <c r="AH308" s="18" t="s">
        <v>943</v>
      </c>
      <c r="AI308" s="18" t="s">
        <v>943</v>
      </c>
      <c r="AJ308" s="18">
        <v>55</v>
      </c>
      <c r="AK308" s="18">
        <v>165067</v>
      </c>
      <c r="AL308" s="18" t="b">
        <v>0</v>
      </c>
      <c r="AM308" s="18">
        <v>0.64300000000000002</v>
      </c>
      <c r="AN308" s="18">
        <v>0.11</v>
      </c>
      <c r="AO308" s="18">
        <v>6</v>
      </c>
      <c r="AP308" s="18">
        <v>-14.28</v>
      </c>
      <c r="AQ308" s="18">
        <v>1</v>
      </c>
      <c r="AR308" s="18">
        <v>2.9399999999999999E-2</v>
      </c>
      <c r="AS308" s="18">
        <v>0.876</v>
      </c>
      <c r="AT308" s="32" t="s">
        <v>944</v>
      </c>
      <c r="AU308" s="18">
        <v>0.112</v>
      </c>
      <c r="AV308" s="18">
        <v>0.152</v>
      </c>
      <c r="AW308" s="18">
        <v>101.995</v>
      </c>
      <c r="AX308" s="18">
        <v>4</v>
      </c>
      <c r="AY308" s="19" t="s">
        <v>24</v>
      </c>
    </row>
    <row r="309" spans="32:51" x14ac:dyDescent="0.35">
      <c r="AF309" s="14" t="s">
        <v>945</v>
      </c>
      <c r="AG309" s="15" t="s">
        <v>199</v>
      </c>
      <c r="AH309" s="15" t="s">
        <v>946</v>
      </c>
      <c r="AI309" s="15" t="s">
        <v>946</v>
      </c>
      <c r="AJ309" s="15">
        <v>39</v>
      </c>
      <c r="AK309" s="15">
        <v>208571</v>
      </c>
      <c r="AL309" s="15" t="b">
        <v>0</v>
      </c>
      <c r="AM309" s="15">
        <v>0.42199999999999999</v>
      </c>
      <c r="AN309" s="15">
        <v>0.41</v>
      </c>
      <c r="AO309" s="15">
        <v>6</v>
      </c>
      <c r="AP309" s="15">
        <v>-14.151</v>
      </c>
      <c r="AQ309" s="15">
        <v>0</v>
      </c>
      <c r="AR309" s="15">
        <v>4.6699999999999998E-2</v>
      </c>
      <c r="AS309" s="15">
        <v>8.5500000000000003E-3</v>
      </c>
      <c r="AT309" s="15">
        <v>0</v>
      </c>
      <c r="AU309" s="15">
        <v>0.104</v>
      </c>
      <c r="AV309" s="15">
        <v>0.35399999999999998</v>
      </c>
      <c r="AW309" s="15">
        <v>83.951999999999998</v>
      </c>
      <c r="AX309" s="15">
        <v>4</v>
      </c>
      <c r="AY309" s="16" t="s">
        <v>24</v>
      </c>
    </row>
    <row r="310" spans="32:51" x14ac:dyDescent="0.35">
      <c r="AF310" s="17" t="s">
        <v>947</v>
      </c>
      <c r="AG310" s="18" t="s">
        <v>948</v>
      </c>
      <c r="AH310" s="18" t="s">
        <v>949</v>
      </c>
      <c r="AI310" s="18" t="s">
        <v>950</v>
      </c>
      <c r="AJ310" s="18">
        <v>51</v>
      </c>
      <c r="AK310" s="18">
        <v>189240</v>
      </c>
      <c r="AL310" s="18" t="b">
        <v>0</v>
      </c>
      <c r="AM310" s="18">
        <v>0.54300000000000004</v>
      </c>
      <c r="AN310" s="18">
        <v>0.28799999999999998</v>
      </c>
      <c r="AO310" s="18">
        <v>0</v>
      </c>
      <c r="AP310" s="18">
        <v>-8.6080000000000005</v>
      </c>
      <c r="AQ310" s="18">
        <v>0</v>
      </c>
      <c r="AR310" s="18">
        <v>2.58E-2</v>
      </c>
      <c r="AS310" s="18">
        <v>0.66700000000000004</v>
      </c>
      <c r="AT310" s="18">
        <v>0</v>
      </c>
      <c r="AU310" s="18">
        <v>0.113</v>
      </c>
      <c r="AV310" s="18">
        <v>0.29299999999999998</v>
      </c>
      <c r="AW310" s="18">
        <v>95.435000000000002</v>
      </c>
      <c r="AX310" s="18">
        <v>4</v>
      </c>
      <c r="AY310" s="19" t="s">
        <v>24</v>
      </c>
    </row>
    <row r="311" spans="32:51" x14ac:dyDescent="0.35">
      <c r="AF311" s="14" t="s">
        <v>951</v>
      </c>
      <c r="AG311" s="15" t="s">
        <v>952</v>
      </c>
      <c r="AH311" s="15" t="s">
        <v>953</v>
      </c>
      <c r="AI311" s="15" t="s">
        <v>954</v>
      </c>
      <c r="AJ311" s="15">
        <v>52</v>
      </c>
      <c r="AK311" s="15">
        <v>182553</v>
      </c>
      <c r="AL311" s="15" t="b">
        <v>0</v>
      </c>
      <c r="AM311" s="15">
        <v>0.33200000000000002</v>
      </c>
      <c r="AN311" s="15">
        <v>0.28199999999999997</v>
      </c>
      <c r="AO311" s="15">
        <v>7</v>
      </c>
      <c r="AP311" s="15">
        <v>-7.2569999999999997</v>
      </c>
      <c r="AQ311" s="15">
        <v>1</v>
      </c>
      <c r="AR311" s="15">
        <v>4.3999999999999997E-2</v>
      </c>
      <c r="AS311" s="15">
        <v>0.82499999999999996</v>
      </c>
      <c r="AT311" s="15">
        <v>0</v>
      </c>
      <c r="AU311" s="15">
        <v>0.104</v>
      </c>
      <c r="AV311" s="15">
        <v>0.23400000000000001</v>
      </c>
      <c r="AW311" s="15">
        <v>187.05699999999999</v>
      </c>
      <c r="AX311" s="15">
        <v>4</v>
      </c>
      <c r="AY311" s="16" t="s">
        <v>24</v>
      </c>
    </row>
    <row r="312" spans="32:51" x14ac:dyDescent="0.35">
      <c r="AF312" s="17" t="s">
        <v>955</v>
      </c>
      <c r="AG312" s="18" t="s">
        <v>664</v>
      </c>
      <c r="AH312" s="18" t="s">
        <v>956</v>
      </c>
      <c r="AI312" s="18" t="s">
        <v>957</v>
      </c>
      <c r="AJ312" s="18">
        <v>56</v>
      </c>
      <c r="AK312" s="18">
        <v>183093</v>
      </c>
      <c r="AL312" s="18" t="b">
        <v>0</v>
      </c>
      <c r="AM312" s="18">
        <v>0.43</v>
      </c>
      <c r="AN312" s="18">
        <v>0.121</v>
      </c>
      <c r="AO312" s="18">
        <v>10</v>
      </c>
      <c r="AP312" s="18">
        <v>-15.148</v>
      </c>
      <c r="AQ312" s="18">
        <v>1</v>
      </c>
      <c r="AR312" s="18">
        <v>4.0399999999999998E-2</v>
      </c>
      <c r="AS312" s="18">
        <v>0.90800000000000003</v>
      </c>
      <c r="AT312" s="18">
        <v>0</v>
      </c>
      <c r="AU312" s="18">
        <v>0.161</v>
      </c>
      <c r="AV312" s="18">
        <v>0.46100000000000002</v>
      </c>
      <c r="AW312" s="18">
        <v>91.210999999999999</v>
      </c>
      <c r="AX312" s="18">
        <v>4</v>
      </c>
      <c r="AY312" s="19" t="s">
        <v>24</v>
      </c>
    </row>
    <row r="313" spans="32:51" x14ac:dyDescent="0.35">
      <c r="AF313" s="14" t="s">
        <v>958</v>
      </c>
      <c r="AG313" s="15" t="s">
        <v>959</v>
      </c>
      <c r="AH313" s="15" t="s">
        <v>960</v>
      </c>
      <c r="AI313" s="15" t="s">
        <v>961</v>
      </c>
      <c r="AJ313" s="15">
        <v>48</v>
      </c>
      <c r="AK313" s="15">
        <v>243724</v>
      </c>
      <c r="AL313" s="15" t="b">
        <v>0</v>
      </c>
      <c r="AM313" s="15">
        <v>0.432</v>
      </c>
      <c r="AN313" s="15">
        <v>0.19700000000000001</v>
      </c>
      <c r="AO313" s="15">
        <v>3</v>
      </c>
      <c r="AP313" s="15">
        <v>-9.2509999999999994</v>
      </c>
      <c r="AQ313" s="15">
        <v>1</v>
      </c>
      <c r="AR313" s="15">
        <v>4.1399999999999999E-2</v>
      </c>
      <c r="AS313" s="15">
        <v>0.87</v>
      </c>
      <c r="AT313" s="15">
        <v>0</v>
      </c>
      <c r="AU313" s="15">
        <v>0.11</v>
      </c>
      <c r="AV313" s="15">
        <v>0.34799999999999998</v>
      </c>
      <c r="AW313" s="15">
        <v>163.98500000000001</v>
      </c>
      <c r="AX313" s="15">
        <v>4</v>
      </c>
      <c r="AY313" s="16" t="s">
        <v>24</v>
      </c>
    </row>
    <row r="314" spans="32:51" x14ac:dyDescent="0.35">
      <c r="AF314" s="17" t="s">
        <v>962</v>
      </c>
      <c r="AG314" s="18" t="s">
        <v>356</v>
      </c>
      <c r="AH314" s="18" t="s">
        <v>357</v>
      </c>
      <c r="AI314" s="18" t="s">
        <v>357</v>
      </c>
      <c r="AJ314" s="18">
        <v>41</v>
      </c>
      <c r="AK314" s="18">
        <v>322146</v>
      </c>
      <c r="AL314" s="18" t="b">
        <v>0</v>
      </c>
      <c r="AM314" s="18">
        <v>0.59199999999999997</v>
      </c>
      <c r="AN314" s="18">
        <v>0.76900000000000002</v>
      </c>
      <c r="AO314" s="18">
        <v>2</v>
      </c>
      <c r="AP314" s="18">
        <v>-5.2679999999999998</v>
      </c>
      <c r="AQ314" s="18">
        <v>1</v>
      </c>
      <c r="AR314" s="18">
        <v>3.1099999999999999E-2</v>
      </c>
      <c r="AS314" s="18">
        <v>0.31900000000000001</v>
      </c>
      <c r="AT314" s="32" t="s">
        <v>358</v>
      </c>
      <c r="AU314" s="18">
        <v>0.13700000000000001</v>
      </c>
      <c r="AV314" s="18">
        <v>0.38500000000000001</v>
      </c>
      <c r="AW314" s="18">
        <v>102.033</v>
      </c>
      <c r="AX314" s="18">
        <v>4</v>
      </c>
      <c r="AY314" s="19" t="s">
        <v>24</v>
      </c>
    </row>
    <row r="315" spans="32:51" x14ac:dyDescent="0.35">
      <c r="AF315" s="14" t="s">
        <v>963</v>
      </c>
      <c r="AG315" s="15" t="s">
        <v>26</v>
      </c>
      <c r="AH315" s="15" t="s">
        <v>964</v>
      </c>
      <c r="AI315" s="15" t="s">
        <v>964</v>
      </c>
      <c r="AJ315" s="15">
        <v>40</v>
      </c>
      <c r="AK315" s="15">
        <v>209554</v>
      </c>
      <c r="AL315" s="15" t="b">
        <v>0</v>
      </c>
      <c r="AM315" s="15">
        <v>0.73299999999999998</v>
      </c>
      <c r="AN315" s="15">
        <v>0.29699999999999999</v>
      </c>
      <c r="AO315" s="15">
        <v>5</v>
      </c>
      <c r="AP315" s="15">
        <v>-14.452</v>
      </c>
      <c r="AQ315" s="15">
        <v>1</v>
      </c>
      <c r="AR315" s="15">
        <v>3.5900000000000001E-2</v>
      </c>
      <c r="AS315" s="15">
        <v>0.93500000000000005</v>
      </c>
      <c r="AT315" s="31" t="s">
        <v>965</v>
      </c>
      <c r="AU315" s="15">
        <v>0.108</v>
      </c>
      <c r="AV315" s="15">
        <v>0.76600000000000001</v>
      </c>
      <c r="AW315" s="15">
        <v>103.953</v>
      </c>
      <c r="AX315" s="15">
        <v>4</v>
      </c>
      <c r="AY315" s="16" t="s">
        <v>24</v>
      </c>
    </row>
    <row r="316" spans="32:51" x14ac:dyDescent="0.35">
      <c r="AF316" s="17" t="s">
        <v>966</v>
      </c>
      <c r="AG316" s="18" t="s">
        <v>34</v>
      </c>
      <c r="AH316" s="18" t="s">
        <v>967</v>
      </c>
      <c r="AI316" s="18" t="s">
        <v>968</v>
      </c>
      <c r="AJ316" s="18">
        <v>57</v>
      </c>
      <c r="AK316" s="18">
        <v>198403</v>
      </c>
      <c r="AL316" s="18" t="b">
        <v>0</v>
      </c>
      <c r="AM316" s="18">
        <v>0.39400000000000002</v>
      </c>
      <c r="AN316" s="18">
        <v>0.249</v>
      </c>
      <c r="AO316" s="18">
        <v>5</v>
      </c>
      <c r="AP316" s="18">
        <v>-10.484</v>
      </c>
      <c r="AQ316" s="18">
        <v>1</v>
      </c>
      <c r="AR316" s="18">
        <v>3.9600000000000003E-2</v>
      </c>
      <c r="AS316" s="18">
        <v>0.92700000000000005</v>
      </c>
      <c r="AT316" s="18">
        <v>0</v>
      </c>
      <c r="AU316" s="18">
        <v>0.115</v>
      </c>
      <c r="AV316" s="18">
        <v>0.32900000000000001</v>
      </c>
      <c r="AW316" s="18">
        <v>79.549000000000007</v>
      </c>
      <c r="AX316" s="18">
        <v>4</v>
      </c>
      <c r="AY316" s="19" t="s">
        <v>24</v>
      </c>
    </row>
    <row r="317" spans="32:51" x14ac:dyDescent="0.35">
      <c r="AF317" s="14" t="s">
        <v>969</v>
      </c>
      <c r="AG317" s="15" t="s">
        <v>970</v>
      </c>
      <c r="AH317" s="15" t="s">
        <v>971</v>
      </c>
      <c r="AI317" s="15" t="s">
        <v>972</v>
      </c>
      <c r="AJ317" s="15">
        <v>53</v>
      </c>
      <c r="AK317" s="15">
        <v>67746</v>
      </c>
      <c r="AL317" s="15" t="b">
        <v>0</v>
      </c>
      <c r="AM317" s="15">
        <v>0.41</v>
      </c>
      <c r="AN317" s="15">
        <v>0.23400000000000001</v>
      </c>
      <c r="AO317" s="15">
        <v>1</v>
      </c>
      <c r="AP317" s="15">
        <v>-15.236000000000001</v>
      </c>
      <c r="AQ317" s="15">
        <v>1</v>
      </c>
      <c r="AR317" s="15">
        <v>4.2099999999999999E-2</v>
      </c>
      <c r="AS317" s="15">
        <v>0.79800000000000004</v>
      </c>
      <c r="AT317" s="15">
        <v>3.0400000000000002E-3</v>
      </c>
      <c r="AU317" s="15">
        <v>0.108</v>
      </c>
      <c r="AV317" s="15">
        <v>0.19</v>
      </c>
      <c r="AW317" s="15">
        <v>93.72</v>
      </c>
      <c r="AX317" s="15">
        <v>4</v>
      </c>
      <c r="AY317" s="16" t="s">
        <v>24</v>
      </c>
    </row>
    <row r="318" spans="32:51" x14ac:dyDescent="0.35">
      <c r="AF318" s="17" t="s">
        <v>973</v>
      </c>
      <c r="AG318" s="18" t="s">
        <v>974</v>
      </c>
      <c r="AH318" s="18" t="s">
        <v>975</v>
      </c>
      <c r="AI318" s="18" t="s">
        <v>975</v>
      </c>
      <c r="AJ318" s="18">
        <v>30</v>
      </c>
      <c r="AK318" s="18">
        <v>129032</v>
      </c>
      <c r="AL318" s="18" t="b">
        <v>0</v>
      </c>
      <c r="AM318" s="18">
        <v>0.48</v>
      </c>
      <c r="AN318" s="18">
        <v>0.158</v>
      </c>
      <c r="AO318" s="18">
        <v>8</v>
      </c>
      <c r="AP318" s="18">
        <v>-15.239000000000001</v>
      </c>
      <c r="AQ318" s="18">
        <v>1</v>
      </c>
      <c r="AR318" s="18">
        <v>8.0699999999999994E-2</v>
      </c>
      <c r="AS318" s="18">
        <v>0.80900000000000005</v>
      </c>
      <c r="AT318" s="18">
        <v>0.88600000000000001</v>
      </c>
      <c r="AU318" s="18">
        <v>0.11700000000000001</v>
      </c>
      <c r="AV318" s="18">
        <v>0.498</v>
      </c>
      <c r="AW318" s="18">
        <v>86.106999999999999</v>
      </c>
      <c r="AX318" s="18">
        <v>4</v>
      </c>
      <c r="AY318" s="19" t="s">
        <v>24</v>
      </c>
    </row>
    <row r="319" spans="32:51" x14ac:dyDescent="0.35">
      <c r="AF319" s="14" t="s">
        <v>976</v>
      </c>
      <c r="AG319" s="15" t="s">
        <v>57</v>
      </c>
      <c r="AH319" s="15" t="s">
        <v>977</v>
      </c>
      <c r="AI319" s="15" t="s">
        <v>977</v>
      </c>
      <c r="AJ319" s="15">
        <v>49</v>
      </c>
      <c r="AK319" s="15">
        <v>218004</v>
      </c>
      <c r="AL319" s="15" t="b">
        <v>0</v>
      </c>
      <c r="AM319" s="15">
        <v>0.255</v>
      </c>
      <c r="AN319" s="15">
        <v>0.625</v>
      </c>
      <c r="AO319" s="15">
        <v>0</v>
      </c>
      <c r="AP319" s="15">
        <v>-8.31</v>
      </c>
      <c r="AQ319" s="15">
        <v>1</v>
      </c>
      <c r="AR319" s="15">
        <v>3.2300000000000002E-2</v>
      </c>
      <c r="AS319" s="15">
        <v>0.63</v>
      </c>
      <c r="AT319" s="15">
        <v>2.1100000000000001E-4</v>
      </c>
      <c r="AU319" s="15">
        <v>9.7600000000000006E-2</v>
      </c>
      <c r="AV319" s="15">
        <v>0.191</v>
      </c>
      <c r="AW319" s="15">
        <v>84.611000000000004</v>
      </c>
      <c r="AX319" s="15">
        <v>4</v>
      </c>
      <c r="AY319" s="16" t="s">
        <v>24</v>
      </c>
    </row>
    <row r="320" spans="32:51" x14ac:dyDescent="0.35">
      <c r="AF320" s="17" t="s">
        <v>978</v>
      </c>
      <c r="AG320" s="18" t="s">
        <v>979</v>
      </c>
      <c r="AH320" s="18" t="s">
        <v>222</v>
      </c>
      <c r="AI320" s="18" t="s">
        <v>980</v>
      </c>
      <c r="AJ320" s="18">
        <v>26</v>
      </c>
      <c r="AK320" s="18">
        <v>222911</v>
      </c>
      <c r="AL320" s="18" t="b">
        <v>0</v>
      </c>
      <c r="AM320" s="18">
        <v>0.52400000000000002</v>
      </c>
      <c r="AN320" s="18">
        <v>0.32800000000000001</v>
      </c>
      <c r="AO320" s="18">
        <v>11</v>
      </c>
      <c r="AP320" s="18">
        <v>-10.000999999999999</v>
      </c>
      <c r="AQ320" s="18">
        <v>1</v>
      </c>
      <c r="AR320" s="18">
        <v>4.0300000000000002E-2</v>
      </c>
      <c r="AS320" s="18">
        <v>0.81699999999999995</v>
      </c>
      <c r="AT320" s="18">
        <v>0</v>
      </c>
      <c r="AU320" s="18">
        <v>0.11799999999999999</v>
      </c>
      <c r="AV320" s="18">
        <v>0.59899999999999998</v>
      </c>
      <c r="AW320" s="18">
        <v>99.941000000000003</v>
      </c>
      <c r="AX320" s="18">
        <v>4</v>
      </c>
      <c r="AY320" s="19" t="s">
        <v>24</v>
      </c>
    </row>
    <row r="321" spans="32:51" x14ac:dyDescent="0.35">
      <c r="AF321" s="14" t="s">
        <v>981</v>
      </c>
      <c r="AG321" s="15" t="s">
        <v>982</v>
      </c>
      <c r="AH321" s="15" t="s">
        <v>983</v>
      </c>
      <c r="AI321" s="15" t="s">
        <v>984</v>
      </c>
      <c r="AJ321" s="15">
        <v>53</v>
      </c>
      <c r="AK321" s="15">
        <v>206693</v>
      </c>
      <c r="AL321" s="15" t="b">
        <v>0</v>
      </c>
      <c r="AM321" s="15">
        <v>0.46400000000000002</v>
      </c>
      <c r="AN321" s="15">
        <v>0.65300000000000002</v>
      </c>
      <c r="AO321" s="15">
        <v>6</v>
      </c>
      <c r="AP321" s="15">
        <v>-7.5140000000000002</v>
      </c>
      <c r="AQ321" s="15">
        <v>1</v>
      </c>
      <c r="AR321" s="15">
        <v>0.10100000000000001</v>
      </c>
      <c r="AS321" s="15">
        <v>0.19900000000000001</v>
      </c>
      <c r="AT321" s="15">
        <v>0</v>
      </c>
      <c r="AU321" s="15">
        <v>9.7900000000000001E-2</v>
      </c>
      <c r="AV321" s="15">
        <v>0.41599999999999998</v>
      </c>
      <c r="AW321" s="15">
        <v>162.196</v>
      </c>
      <c r="AX321" s="15">
        <v>4</v>
      </c>
      <c r="AY321" s="16" t="s">
        <v>24</v>
      </c>
    </row>
    <row r="322" spans="32:51" x14ac:dyDescent="0.35">
      <c r="AF322" s="17" t="s">
        <v>985</v>
      </c>
      <c r="AG322" s="18" t="s">
        <v>339</v>
      </c>
      <c r="AH322" s="18" t="s">
        <v>986</v>
      </c>
      <c r="AI322" s="18" t="s">
        <v>987</v>
      </c>
      <c r="AJ322" s="18">
        <v>52</v>
      </c>
      <c r="AK322" s="18">
        <v>246979</v>
      </c>
      <c r="AL322" s="18" t="b">
        <v>0</v>
      </c>
      <c r="AM322" s="18">
        <v>0.65900000000000003</v>
      </c>
      <c r="AN322" s="18">
        <v>0.33100000000000002</v>
      </c>
      <c r="AO322" s="18">
        <v>10</v>
      </c>
      <c r="AP322" s="18">
        <v>-8.9870000000000001</v>
      </c>
      <c r="AQ322" s="18">
        <v>1</v>
      </c>
      <c r="AR322" s="18">
        <v>3.2099999999999997E-2</v>
      </c>
      <c r="AS322" s="18">
        <v>0.80900000000000005</v>
      </c>
      <c r="AT322" s="18">
        <v>0</v>
      </c>
      <c r="AU322" s="18">
        <v>9.9599999999999994E-2</v>
      </c>
      <c r="AV322" s="18">
        <v>8.77E-2</v>
      </c>
      <c r="AW322" s="18">
        <v>105.01</v>
      </c>
      <c r="AX322" s="18">
        <v>4</v>
      </c>
      <c r="AY322" s="19" t="s">
        <v>24</v>
      </c>
    </row>
    <row r="323" spans="32:51" x14ac:dyDescent="0.35">
      <c r="AF323" s="14" t="s">
        <v>988</v>
      </c>
      <c r="AG323" s="15" t="s">
        <v>60</v>
      </c>
      <c r="AH323" s="15" t="s">
        <v>61</v>
      </c>
      <c r="AI323" s="15" t="s">
        <v>989</v>
      </c>
      <c r="AJ323" s="15">
        <v>51</v>
      </c>
      <c r="AK323" s="15">
        <v>282950</v>
      </c>
      <c r="AL323" s="15" t="b">
        <v>0</v>
      </c>
      <c r="AM323" s="15">
        <v>0.59199999999999997</v>
      </c>
      <c r="AN323" s="15">
        <v>0.49</v>
      </c>
      <c r="AO323" s="15">
        <v>10</v>
      </c>
      <c r="AP323" s="15">
        <v>-8.5079999999999991</v>
      </c>
      <c r="AQ323" s="15">
        <v>1</v>
      </c>
      <c r="AR323" s="15">
        <v>2.63E-2</v>
      </c>
      <c r="AS323" s="15">
        <v>0.39500000000000002</v>
      </c>
      <c r="AT323" s="15">
        <v>0</v>
      </c>
      <c r="AU323" s="15">
        <v>0.33300000000000002</v>
      </c>
      <c r="AV323" s="15">
        <v>0.437</v>
      </c>
      <c r="AW323" s="15">
        <v>99.994</v>
      </c>
      <c r="AX323" s="15">
        <v>4</v>
      </c>
      <c r="AY323" s="16" t="s">
        <v>24</v>
      </c>
    </row>
    <row r="324" spans="32:51" x14ac:dyDescent="0.35">
      <c r="AF324" s="17" t="s">
        <v>990</v>
      </c>
      <c r="AG324" s="18" t="s">
        <v>991</v>
      </c>
      <c r="AH324" s="18" t="s">
        <v>992</v>
      </c>
      <c r="AI324" s="18" t="s">
        <v>992</v>
      </c>
      <c r="AJ324" s="18">
        <v>35</v>
      </c>
      <c r="AK324" s="18">
        <v>222626</v>
      </c>
      <c r="AL324" s="18" t="b">
        <v>0</v>
      </c>
      <c r="AM324" s="18">
        <v>0.46700000000000003</v>
      </c>
      <c r="AN324" s="18">
        <v>0.85099999999999998</v>
      </c>
      <c r="AO324" s="18">
        <v>6</v>
      </c>
      <c r="AP324" s="18">
        <v>-4.2030000000000003</v>
      </c>
      <c r="AQ324" s="18">
        <v>1</v>
      </c>
      <c r="AR324" s="18">
        <v>5.2600000000000001E-2</v>
      </c>
      <c r="AS324" s="18">
        <v>3.5300000000000002E-4</v>
      </c>
      <c r="AT324" s="18">
        <v>0</v>
      </c>
      <c r="AU324" s="18">
        <v>0.33</v>
      </c>
      <c r="AV324" s="18">
        <v>0.64400000000000002</v>
      </c>
      <c r="AW324" s="18">
        <v>93.873000000000005</v>
      </c>
      <c r="AX324" s="18">
        <v>4</v>
      </c>
      <c r="AY324" s="19" t="s">
        <v>24</v>
      </c>
    </row>
    <row r="325" spans="32:51" x14ac:dyDescent="0.35">
      <c r="AF325" s="14" t="s">
        <v>993</v>
      </c>
      <c r="AG325" s="15" t="s">
        <v>994</v>
      </c>
      <c r="AH325" s="15" t="s">
        <v>995</v>
      </c>
      <c r="AI325" s="15" t="s">
        <v>996</v>
      </c>
      <c r="AJ325" s="15">
        <v>54</v>
      </c>
      <c r="AK325" s="15">
        <v>219692</v>
      </c>
      <c r="AL325" s="15" t="b">
        <v>0</v>
      </c>
      <c r="AM325" s="15">
        <v>0.56399999999999995</v>
      </c>
      <c r="AN325" s="15">
        <v>0.39100000000000001</v>
      </c>
      <c r="AO325" s="15">
        <v>5</v>
      </c>
      <c r="AP325" s="15">
        <v>-7.6550000000000002</v>
      </c>
      <c r="AQ325" s="15">
        <v>1</v>
      </c>
      <c r="AR325" s="15">
        <v>3.1099999999999999E-2</v>
      </c>
      <c r="AS325" s="15">
        <v>0.47799999999999998</v>
      </c>
      <c r="AT325" s="15">
        <v>0</v>
      </c>
      <c r="AU325" s="15">
        <v>0.127</v>
      </c>
      <c r="AV325" s="15">
        <v>0.10100000000000001</v>
      </c>
      <c r="AW325" s="15">
        <v>130.03</v>
      </c>
      <c r="AX325" s="15">
        <v>4</v>
      </c>
      <c r="AY325" s="16" t="s">
        <v>24</v>
      </c>
    </row>
    <row r="326" spans="32:51" x14ac:dyDescent="0.35">
      <c r="AF326" s="17" t="s">
        <v>997</v>
      </c>
      <c r="AG326" s="18" t="s">
        <v>998</v>
      </c>
      <c r="AH326" s="18" t="s">
        <v>999</v>
      </c>
      <c r="AI326" s="18" t="s">
        <v>1000</v>
      </c>
      <c r="AJ326" s="18">
        <v>50</v>
      </c>
      <c r="AK326" s="18">
        <v>170786</v>
      </c>
      <c r="AL326" s="18" t="b">
        <v>0</v>
      </c>
      <c r="AM326" s="18">
        <v>0.498</v>
      </c>
      <c r="AN326" s="18">
        <v>0.38400000000000001</v>
      </c>
      <c r="AO326" s="18">
        <v>4</v>
      </c>
      <c r="AP326" s="18">
        <v>-10.752000000000001</v>
      </c>
      <c r="AQ326" s="18">
        <v>1</v>
      </c>
      <c r="AR326" s="18">
        <v>9.7600000000000006E-2</v>
      </c>
      <c r="AS326" s="18">
        <v>0.81799999999999995</v>
      </c>
      <c r="AT326" s="18">
        <v>9.3700000000000001E-4</v>
      </c>
      <c r="AU326" s="18">
        <v>0.13</v>
      </c>
      <c r="AV326" s="18">
        <v>0.25</v>
      </c>
      <c r="AW326" s="18">
        <v>79.855999999999995</v>
      </c>
      <c r="AX326" s="18">
        <v>4</v>
      </c>
      <c r="AY326" s="19" t="s">
        <v>24</v>
      </c>
    </row>
    <row r="327" spans="32:51" x14ac:dyDescent="0.35">
      <c r="AF327" s="14" t="s">
        <v>1001</v>
      </c>
      <c r="AG327" s="15" t="s">
        <v>1002</v>
      </c>
      <c r="AH327" s="15" t="s">
        <v>1003</v>
      </c>
      <c r="AI327" s="15" t="s">
        <v>1004</v>
      </c>
      <c r="AJ327" s="15">
        <v>53</v>
      </c>
      <c r="AK327" s="15">
        <v>70133</v>
      </c>
      <c r="AL327" s="15" t="b">
        <v>0</v>
      </c>
      <c r="AM327" s="15">
        <v>0.38600000000000001</v>
      </c>
      <c r="AN327" s="15">
        <v>0.42799999999999999</v>
      </c>
      <c r="AO327" s="15">
        <v>10</v>
      </c>
      <c r="AP327" s="15">
        <v>-9.9489999999999998</v>
      </c>
      <c r="AQ327" s="15">
        <v>0</v>
      </c>
      <c r="AR327" s="15">
        <v>2.9499999999999998E-2</v>
      </c>
      <c r="AS327" s="15">
        <v>0.95099999999999996</v>
      </c>
      <c r="AT327" s="15">
        <v>0.88200000000000001</v>
      </c>
      <c r="AU327" s="15">
        <v>0.16200000000000001</v>
      </c>
      <c r="AV327" s="15">
        <v>0.73</v>
      </c>
      <c r="AW327" s="15">
        <v>172.31100000000001</v>
      </c>
      <c r="AX327" s="15">
        <v>4</v>
      </c>
      <c r="AY327" s="16" t="s">
        <v>24</v>
      </c>
    </row>
    <row r="328" spans="32:51" x14ac:dyDescent="0.35">
      <c r="AF328" s="17" t="s">
        <v>1005</v>
      </c>
      <c r="AG328" s="18" t="s">
        <v>39</v>
      </c>
      <c r="AH328" s="18" t="s">
        <v>1006</v>
      </c>
      <c r="AI328" s="18" t="s">
        <v>1007</v>
      </c>
      <c r="AJ328" s="18">
        <v>48</v>
      </c>
      <c r="AK328" s="18">
        <v>200346</v>
      </c>
      <c r="AL328" s="18" t="b">
        <v>0</v>
      </c>
      <c r="AM328" s="18">
        <v>0.70199999999999996</v>
      </c>
      <c r="AN328" s="18">
        <v>0.25900000000000001</v>
      </c>
      <c r="AO328" s="18">
        <v>2</v>
      </c>
      <c r="AP328" s="18">
        <v>-9.73</v>
      </c>
      <c r="AQ328" s="18">
        <v>1</v>
      </c>
      <c r="AR328" s="18">
        <v>4.0300000000000002E-2</v>
      </c>
      <c r="AS328" s="18">
        <v>0.878</v>
      </c>
      <c r="AT328" s="32" t="s">
        <v>1008</v>
      </c>
      <c r="AU328" s="18">
        <v>0.108</v>
      </c>
      <c r="AV328" s="18">
        <v>0.246</v>
      </c>
      <c r="AW328" s="18">
        <v>120.102</v>
      </c>
      <c r="AX328" s="18">
        <v>4</v>
      </c>
      <c r="AY328" s="19" t="s">
        <v>24</v>
      </c>
    </row>
    <row r="329" spans="32:51" x14ac:dyDescent="0.35">
      <c r="AF329" s="14" t="s">
        <v>1009</v>
      </c>
      <c r="AG329" s="15" t="s">
        <v>305</v>
      </c>
      <c r="AH329" s="15" t="s">
        <v>305</v>
      </c>
      <c r="AI329" s="15" t="s">
        <v>1010</v>
      </c>
      <c r="AJ329" s="15">
        <v>49</v>
      </c>
      <c r="AK329" s="15">
        <v>229653</v>
      </c>
      <c r="AL329" s="15" t="b">
        <v>0</v>
      </c>
      <c r="AM329" s="15">
        <v>0.747</v>
      </c>
      <c r="AN329" s="15">
        <v>0.26500000000000001</v>
      </c>
      <c r="AO329" s="15">
        <v>1</v>
      </c>
      <c r="AP329" s="15">
        <v>-14.141</v>
      </c>
      <c r="AQ329" s="15">
        <v>1</v>
      </c>
      <c r="AR329" s="15">
        <v>3.5400000000000001E-2</v>
      </c>
      <c r="AS329" s="15">
        <v>0.745</v>
      </c>
      <c r="AT329" s="15">
        <v>1.6899999999999998E-2</v>
      </c>
      <c r="AU329" s="15">
        <v>0.11</v>
      </c>
      <c r="AV329" s="15">
        <v>0.2</v>
      </c>
      <c r="AW329" s="15">
        <v>138.017</v>
      </c>
      <c r="AX329" s="15">
        <v>4</v>
      </c>
      <c r="AY329" s="16" t="s">
        <v>24</v>
      </c>
    </row>
    <row r="330" spans="32:51" x14ac:dyDescent="0.35">
      <c r="AF330" s="17" t="s">
        <v>1011</v>
      </c>
      <c r="AG330" s="18" t="s">
        <v>991</v>
      </c>
      <c r="AH330" s="18" t="s">
        <v>1012</v>
      </c>
      <c r="AI330" s="18" t="s">
        <v>1012</v>
      </c>
      <c r="AJ330" s="18">
        <v>35</v>
      </c>
      <c r="AK330" s="18">
        <v>354213</v>
      </c>
      <c r="AL330" s="18" t="b">
        <v>0</v>
      </c>
      <c r="AM330" s="18">
        <v>0.52200000000000002</v>
      </c>
      <c r="AN330" s="18">
        <v>0.498</v>
      </c>
      <c r="AO330" s="18">
        <v>7</v>
      </c>
      <c r="AP330" s="18">
        <v>-7.2469999999999999</v>
      </c>
      <c r="AQ330" s="18">
        <v>1</v>
      </c>
      <c r="AR330" s="18">
        <v>2.5700000000000001E-2</v>
      </c>
      <c r="AS330" s="18">
        <v>7.5800000000000006E-2</v>
      </c>
      <c r="AT330" s="32" t="s">
        <v>1013</v>
      </c>
      <c r="AU330" s="18">
        <v>0.25</v>
      </c>
      <c r="AV330" s="18">
        <v>0.221</v>
      </c>
      <c r="AW330" s="18">
        <v>145.90799999999999</v>
      </c>
      <c r="AX330" s="18">
        <v>4</v>
      </c>
      <c r="AY330" s="19" t="s">
        <v>24</v>
      </c>
    </row>
    <row r="331" spans="32:51" x14ac:dyDescent="0.35">
      <c r="AF331" s="14" t="s">
        <v>1014</v>
      </c>
      <c r="AG331" s="15" t="s">
        <v>60</v>
      </c>
      <c r="AH331" s="15" t="s">
        <v>1015</v>
      </c>
      <c r="AI331" s="15" t="s">
        <v>1015</v>
      </c>
      <c r="AJ331" s="15">
        <v>60</v>
      </c>
      <c r="AK331" s="15">
        <v>183969</v>
      </c>
      <c r="AL331" s="15" t="b">
        <v>0</v>
      </c>
      <c r="AM331" s="15">
        <v>0.71499999999999997</v>
      </c>
      <c r="AN331" s="15">
        <v>0.438</v>
      </c>
      <c r="AO331" s="15">
        <v>10</v>
      </c>
      <c r="AP331" s="15">
        <v>-6.1470000000000002</v>
      </c>
      <c r="AQ331" s="15">
        <v>0</v>
      </c>
      <c r="AR331" s="15">
        <v>3.73E-2</v>
      </c>
      <c r="AS331" s="15">
        <v>0.35299999999999998</v>
      </c>
      <c r="AT331" s="31" t="s">
        <v>1016</v>
      </c>
      <c r="AU331" s="15">
        <v>0.108</v>
      </c>
      <c r="AV331" s="15">
        <v>0.44700000000000001</v>
      </c>
      <c r="AW331" s="15">
        <v>81.069999999999993</v>
      </c>
      <c r="AX331" s="15">
        <v>4</v>
      </c>
      <c r="AY331" s="16" t="s">
        <v>24</v>
      </c>
    </row>
    <row r="332" spans="32:51" x14ac:dyDescent="0.35">
      <c r="AF332" s="17" t="s">
        <v>1017</v>
      </c>
      <c r="AG332" s="18" t="s">
        <v>60</v>
      </c>
      <c r="AH332" s="18" t="s">
        <v>61</v>
      </c>
      <c r="AI332" s="18" t="s">
        <v>656</v>
      </c>
      <c r="AJ332" s="18">
        <v>65</v>
      </c>
      <c r="AK332" s="18">
        <v>221538</v>
      </c>
      <c r="AL332" s="18" t="b">
        <v>0</v>
      </c>
      <c r="AM332" s="18">
        <v>0.64200000000000002</v>
      </c>
      <c r="AN332" s="18">
        <v>0.374</v>
      </c>
      <c r="AO332" s="18">
        <v>5</v>
      </c>
      <c r="AP332" s="18">
        <v>-10.606</v>
      </c>
      <c r="AQ332" s="18">
        <v>1</v>
      </c>
      <c r="AR332" s="18">
        <v>3.2000000000000001E-2</v>
      </c>
      <c r="AS332" s="18">
        <v>0.42299999999999999</v>
      </c>
      <c r="AT332" s="32" t="s">
        <v>657</v>
      </c>
      <c r="AU332" s="18">
        <v>0.435</v>
      </c>
      <c r="AV332" s="18">
        <v>9.7900000000000001E-2</v>
      </c>
      <c r="AW332" s="18">
        <v>129.863</v>
      </c>
      <c r="AX332" s="18">
        <v>4</v>
      </c>
      <c r="AY332" s="19" t="s">
        <v>24</v>
      </c>
    </row>
    <row r="333" spans="32:51" x14ac:dyDescent="0.35">
      <c r="AF333" s="14" t="s">
        <v>1018</v>
      </c>
      <c r="AG333" s="15" t="s">
        <v>1019</v>
      </c>
      <c r="AH333" s="15" t="s">
        <v>1020</v>
      </c>
      <c r="AI333" s="15" t="s">
        <v>1021</v>
      </c>
      <c r="AJ333" s="15">
        <v>52</v>
      </c>
      <c r="AK333" s="15">
        <v>192545</v>
      </c>
      <c r="AL333" s="15" t="b">
        <v>0</v>
      </c>
      <c r="AM333" s="15">
        <v>0.35399999999999998</v>
      </c>
      <c r="AN333" s="15">
        <v>0.41499999999999998</v>
      </c>
      <c r="AO333" s="15">
        <v>9</v>
      </c>
      <c r="AP333" s="15">
        <v>-6.5780000000000003</v>
      </c>
      <c r="AQ333" s="15">
        <v>1</v>
      </c>
      <c r="AR333" s="15">
        <v>2.8899999999999999E-2</v>
      </c>
      <c r="AS333" s="15">
        <v>0.79700000000000004</v>
      </c>
      <c r="AT333" s="15">
        <v>0</v>
      </c>
      <c r="AU333" s="15">
        <v>0.107</v>
      </c>
      <c r="AV333" s="15">
        <v>0.42099999999999999</v>
      </c>
      <c r="AW333" s="15">
        <v>175.53700000000001</v>
      </c>
      <c r="AX333" s="15">
        <v>4</v>
      </c>
      <c r="AY333" s="16" t="s">
        <v>24</v>
      </c>
    </row>
    <row r="334" spans="32:51" x14ac:dyDescent="0.35">
      <c r="AF334" s="17" t="s">
        <v>1022</v>
      </c>
      <c r="AG334" s="18" t="s">
        <v>263</v>
      </c>
      <c r="AH334" s="18" t="s">
        <v>46</v>
      </c>
      <c r="AI334" s="18" t="s">
        <v>47</v>
      </c>
      <c r="AJ334" s="18">
        <v>57</v>
      </c>
      <c r="AK334" s="18">
        <v>233266</v>
      </c>
      <c r="AL334" s="18" t="b">
        <v>0</v>
      </c>
      <c r="AM334" s="18">
        <v>0.44700000000000001</v>
      </c>
      <c r="AN334" s="18">
        <v>0.158</v>
      </c>
      <c r="AO334" s="18">
        <v>2</v>
      </c>
      <c r="AP334" s="18">
        <v>-7.5709999999999997</v>
      </c>
      <c r="AQ334" s="18">
        <v>1</v>
      </c>
      <c r="AR334" s="18">
        <v>3.5999999999999997E-2</v>
      </c>
      <c r="AS334" s="18">
        <v>0.872</v>
      </c>
      <c r="AT334" s="32" t="s">
        <v>613</v>
      </c>
      <c r="AU334" s="18">
        <v>8.1600000000000006E-2</v>
      </c>
      <c r="AV334" s="18">
        <v>0.14199999999999999</v>
      </c>
      <c r="AW334" s="18">
        <v>140.94200000000001</v>
      </c>
      <c r="AX334" s="18">
        <v>3</v>
      </c>
      <c r="AY334" s="19" t="s">
        <v>24</v>
      </c>
    </row>
    <row r="335" spans="32:51" x14ac:dyDescent="0.35">
      <c r="AF335" s="14" t="s">
        <v>1023</v>
      </c>
      <c r="AG335" s="15" t="s">
        <v>1024</v>
      </c>
      <c r="AH335" s="15" t="s">
        <v>1025</v>
      </c>
      <c r="AI335" s="15" t="s">
        <v>1025</v>
      </c>
      <c r="AJ335" s="15">
        <v>59</v>
      </c>
      <c r="AK335" s="15">
        <v>193695</v>
      </c>
      <c r="AL335" s="15" t="b">
        <v>0</v>
      </c>
      <c r="AM335" s="15">
        <v>0.68700000000000006</v>
      </c>
      <c r="AN335" s="15">
        <v>0.748</v>
      </c>
      <c r="AO335" s="15">
        <v>3</v>
      </c>
      <c r="AP335" s="15">
        <v>-4.54</v>
      </c>
      <c r="AQ335" s="15">
        <v>1</v>
      </c>
      <c r="AR335" s="15">
        <v>7.85E-2</v>
      </c>
      <c r="AS335" s="15">
        <v>0.24</v>
      </c>
      <c r="AT335" s="15">
        <v>0</v>
      </c>
      <c r="AU335" s="15">
        <v>0.373</v>
      </c>
      <c r="AV335" s="15">
        <v>0.872</v>
      </c>
      <c r="AW335" s="15">
        <v>88.944000000000003</v>
      </c>
      <c r="AX335" s="15">
        <v>4</v>
      </c>
      <c r="AY335" s="16" t="s">
        <v>24</v>
      </c>
    </row>
    <row r="336" spans="32:51" x14ac:dyDescent="0.35">
      <c r="AF336" s="17" t="s">
        <v>1026</v>
      </c>
      <c r="AG336" s="18" t="s">
        <v>1027</v>
      </c>
      <c r="AH336" s="18" t="s">
        <v>1028</v>
      </c>
      <c r="AI336" s="18" t="s">
        <v>1029</v>
      </c>
      <c r="AJ336" s="18">
        <v>50</v>
      </c>
      <c r="AK336" s="18">
        <v>205800</v>
      </c>
      <c r="AL336" s="18" t="b">
        <v>0</v>
      </c>
      <c r="AM336" s="18">
        <v>0.58799999999999997</v>
      </c>
      <c r="AN336" s="18">
        <v>0.91400000000000003</v>
      </c>
      <c r="AO336" s="18">
        <v>7</v>
      </c>
      <c r="AP336" s="18">
        <v>-7.4420000000000002</v>
      </c>
      <c r="AQ336" s="18">
        <v>1</v>
      </c>
      <c r="AR336" s="18">
        <v>3.4099999999999998E-2</v>
      </c>
      <c r="AS336" s="18">
        <v>0.83199999999999996</v>
      </c>
      <c r="AT336" s="18">
        <v>0.85599999999999998</v>
      </c>
      <c r="AU336" s="18">
        <v>0.10299999999999999</v>
      </c>
      <c r="AV336" s="18">
        <v>0.97099999999999997</v>
      </c>
      <c r="AW336" s="18">
        <v>128.553</v>
      </c>
      <c r="AX336" s="18">
        <v>4</v>
      </c>
      <c r="AY336" s="19" t="s">
        <v>24</v>
      </c>
    </row>
    <row r="337" spans="32:51" x14ac:dyDescent="0.35">
      <c r="AF337" s="14" t="s">
        <v>1030</v>
      </c>
      <c r="AG337" s="15" t="s">
        <v>184</v>
      </c>
      <c r="AH337" s="15" t="s">
        <v>1031</v>
      </c>
      <c r="AI337" s="15" t="s">
        <v>1032</v>
      </c>
      <c r="AJ337" s="15">
        <v>49</v>
      </c>
      <c r="AK337" s="15">
        <v>272612</v>
      </c>
      <c r="AL337" s="15" t="b">
        <v>0</v>
      </c>
      <c r="AM337" s="15">
        <v>0.45600000000000002</v>
      </c>
      <c r="AN337" s="15">
        <v>0.20499999999999999</v>
      </c>
      <c r="AO337" s="15">
        <v>1</v>
      </c>
      <c r="AP337" s="15">
        <v>-8.4369999999999994</v>
      </c>
      <c r="AQ337" s="15">
        <v>1</v>
      </c>
      <c r="AR337" s="15">
        <v>3.1300000000000001E-2</v>
      </c>
      <c r="AS337" s="15">
        <v>0.92</v>
      </c>
      <c r="AT337" s="15">
        <v>1.1E-4</v>
      </c>
      <c r="AU337" s="15">
        <v>0.14899999999999999</v>
      </c>
      <c r="AV337" s="15">
        <v>0.161</v>
      </c>
      <c r="AW337" s="15">
        <v>117.663</v>
      </c>
      <c r="AX337" s="15">
        <v>4</v>
      </c>
      <c r="AY337" s="16" t="s">
        <v>24</v>
      </c>
    </row>
    <row r="338" spans="32:51" x14ac:dyDescent="0.35">
      <c r="AF338" s="17" t="s">
        <v>1033</v>
      </c>
      <c r="AG338" s="18" t="s">
        <v>580</v>
      </c>
      <c r="AH338" s="18" t="s">
        <v>1034</v>
      </c>
      <c r="AI338" s="18" t="s">
        <v>1035</v>
      </c>
      <c r="AJ338" s="18">
        <v>54</v>
      </c>
      <c r="AK338" s="18">
        <v>211240</v>
      </c>
      <c r="AL338" s="18" t="b">
        <v>0</v>
      </c>
      <c r="AM338" s="18">
        <v>0.51200000000000001</v>
      </c>
      <c r="AN338" s="18">
        <v>0.248</v>
      </c>
      <c r="AO338" s="18">
        <v>2</v>
      </c>
      <c r="AP338" s="18">
        <v>-10.359</v>
      </c>
      <c r="AQ338" s="18">
        <v>1</v>
      </c>
      <c r="AR338" s="18">
        <v>2.75E-2</v>
      </c>
      <c r="AS338" s="18">
        <v>0.75</v>
      </c>
      <c r="AT338" s="32" t="s">
        <v>1036</v>
      </c>
      <c r="AU338" s="18">
        <v>0.114</v>
      </c>
      <c r="AV338" s="18">
        <v>0.158</v>
      </c>
      <c r="AW338" s="18">
        <v>109.69199999999999</v>
      </c>
      <c r="AX338" s="18">
        <v>3</v>
      </c>
      <c r="AY338" s="19" t="s">
        <v>24</v>
      </c>
    </row>
    <row r="339" spans="32:51" x14ac:dyDescent="0.35">
      <c r="AF339" s="14" t="s">
        <v>1037</v>
      </c>
      <c r="AG339" s="15" t="s">
        <v>408</v>
      </c>
      <c r="AH339" s="15" t="s">
        <v>1038</v>
      </c>
      <c r="AI339" s="15" t="s">
        <v>1038</v>
      </c>
      <c r="AJ339" s="15">
        <v>52</v>
      </c>
      <c r="AK339" s="15">
        <v>204293</v>
      </c>
      <c r="AL339" s="15" t="b">
        <v>0</v>
      </c>
      <c r="AM339" s="15">
        <v>0.58199999999999996</v>
      </c>
      <c r="AN339" s="15">
        <v>0.28199999999999997</v>
      </c>
      <c r="AO339" s="15">
        <v>0</v>
      </c>
      <c r="AP339" s="15">
        <v>-9.2289999999999992</v>
      </c>
      <c r="AQ339" s="15">
        <v>1</v>
      </c>
      <c r="AR339" s="15">
        <v>3.1600000000000003E-2</v>
      </c>
      <c r="AS339" s="15">
        <v>0.79300000000000004</v>
      </c>
      <c r="AT339" s="31" t="s">
        <v>1039</v>
      </c>
      <c r="AU339" s="15">
        <v>7.4399999999999994E-2</v>
      </c>
      <c r="AV339" s="15">
        <v>0.27800000000000002</v>
      </c>
      <c r="AW339" s="15">
        <v>118.01900000000001</v>
      </c>
      <c r="AX339" s="15">
        <v>4</v>
      </c>
      <c r="AY339" s="16" t="s">
        <v>24</v>
      </c>
    </row>
    <row r="340" spans="32:51" x14ac:dyDescent="0.35">
      <c r="AF340" s="17" t="s">
        <v>1040</v>
      </c>
      <c r="AG340" s="18" t="s">
        <v>580</v>
      </c>
      <c r="AH340" s="18" t="s">
        <v>581</v>
      </c>
      <c r="AI340" s="18" t="s">
        <v>1041</v>
      </c>
      <c r="AJ340" s="18">
        <v>46</v>
      </c>
      <c r="AK340" s="18">
        <v>252386</v>
      </c>
      <c r="AL340" s="18" t="b">
        <v>0</v>
      </c>
      <c r="AM340" s="18">
        <v>0.56799999999999995</v>
      </c>
      <c r="AN340" s="18">
        <v>0.18</v>
      </c>
      <c r="AO340" s="18">
        <v>7</v>
      </c>
      <c r="AP340" s="18">
        <v>-11.707000000000001</v>
      </c>
      <c r="AQ340" s="18">
        <v>1</v>
      </c>
      <c r="AR340" s="18">
        <v>2.8400000000000002E-2</v>
      </c>
      <c r="AS340" s="18">
        <v>0.75800000000000001</v>
      </c>
      <c r="AT340" s="32" t="s">
        <v>1042</v>
      </c>
      <c r="AU340" s="18">
        <v>0.111</v>
      </c>
      <c r="AV340" s="18">
        <v>0.22800000000000001</v>
      </c>
      <c r="AW340" s="18">
        <v>112.033</v>
      </c>
      <c r="AX340" s="18">
        <v>4</v>
      </c>
      <c r="AY340" s="19" t="s">
        <v>24</v>
      </c>
    </row>
    <row r="341" spans="32:51" x14ac:dyDescent="0.35">
      <c r="AF341" s="14" t="s">
        <v>1043</v>
      </c>
      <c r="AG341" s="15" t="s">
        <v>400</v>
      </c>
      <c r="AH341" s="15" t="s">
        <v>880</v>
      </c>
      <c r="AI341" s="15" t="s">
        <v>1044</v>
      </c>
      <c r="AJ341" s="15">
        <v>62</v>
      </c>
      <c r="AK341" s="15">
        <v>203253</v>
      </c>
      <c r="AL341" s="15" t="b">
        <v>0</v>
      </c>
      <c r="AM341" s="15">
        <v>0.71</v>
      </c>
      <c r="AN341" s="15">
        <v>0.27100000000000002</v>
      </c>
      <c r="AO341" s="15">
        <v>7</v>
      </c>
      <c r="AP341" s="15">
        <v>-9.5410000000000004</v>
      </c>
      <c r="AQ341" s="15">
        <v>1</v>
      </c>
      <c r="AR341" s="15">
        <v>2.8299999999999999E-2</v>
      </c>
      <c r="AS341" s="15">
        <v>0.65800000000000003</v>
      </c>
      <c r="AT341" s="31" t="s">
        <v>1045</v>
      </c>
      <c r="AU341" s="15">
        <v>0.115</v>
      </c>
      <c r="AV341" s="15">
        <v>0.68600000000000005</v>
      </c>
      <c r="AW341" s="15">
        <v>131.88</v>
      </c>
      <c r="AX341" s="15">
        <v>4</v>
      </c>
      <c r="AY341" s="16" t="s">
        <v>24</v>
      </c>
    </row>
    <row r="342" spans="32:51" x14ac:dyDescent="0.35">
      <c r="AF342" s="17" t="s">
        <v>1046</v>
      </c>
      <c r="AG342" s="18" t="s">
        <v>1047</v>
      </c>
      <c r="AH342" s="18" t="s">
        <v>1048</v>
      </c>
      <c r="AI342" s="18" t="s">
        <v>1049</v>
      </c>
      <c r="AJ342" s="18">
        <v>32</v>
      </c>
      <c r="AK342" s="18">
        <v>291332</v>
      </c>
      <c r="AL342" s="18" t="b">
        <v>0</v>
      </c>
      <c r="AM342" s="18">
        <v>0.57399999999999995</v>
      </c>
      <c r="AN342" s="18">
        <v>0.70399999999999996</v>
      </c>
      <c r="AO342" s="18">
        <v>0</v>
      </c>
      <c r="AP342" s="18">
        <v>-4.6500000000000004</v>
      </c>
      <c r="AQ342" s="18">
        <v>1</v>
      </c>
      <c r="AR342" s="18">
        <v>3.1800000000000002E-2</v>
      </c>
      <c r="AS342" s="18">
        <v>9.3100000000000002E-2</v>
      </c>
      <c r="AT342" s="18">
        <v>2.81E-4</v>
      </c>
      <c r="AU342" s="18">
        <v>0.13600000000000001</v>
      </c>
      <c r="AV342" s="18">
        <v>0.33800000000000002</v>
      </c>
      <c r="AW342" s="18">
        <v>117.086</v>
      </c>
      <c r="AX342" s="18">
        <v>4</v>
      </c>
      <c r="AY342" s="19" t="s">
        <v>24</v>
      </c>
    </row>
    <row r="343" spans="32:51" x14ac:dyDescent="0.35">
      <c r="AF343" s="14" t="s">
        <v>1050</v>
      </c>
      <c r="AG343" s="15" t="s">
        <v>894</v>
      </c>
      <c r="AH343" s="15" t="s">
        <v>1051</v>
      </c>
      <c r="AI343" s="15" t="s">
        <v>1052</v>
      </c>
      <c r="AJ343" s="15">
        <v>33</v>
      </c>
      <c r="AK343" s="15">
        <v>172373</v>
      </c>
      <c r="AL343" s="15" t="b">
        <v>0</v>
      </c>
      <c r="AM343" s="15">
        <v>0.64</v>
      </c>
      <c r="AN343" s="15">
        <v>0.89500000000000002</v>
      </c>
      <c r="AO343" s="15">
        <v>9</v>
      </c>
      <c r="AP343" s="15">
        <v>-3.0680000000000001</v>
      </c>
      <c r="AQ343" s="15">
        <v>1</v>
      </c>
      <c r="AR343" s="15">
        <v>3.1600000000000003E-2</v>
      </c>
      <c r="AS343" s="15">
        <v>0.27300000000000002</v>
      </c>
      <c r="AT343" s="15">
        <v>0</v>
      </c>
      <c r="AU343" s="15">
        <v>0.247</v>
      </c>
      <c r="AV343" s="15">
        <v>0.94</v>
      </c>
      <c r="AW343" s="15">
        <v>115.941</v>
      </c>
      <c r="AX343" s="15">
        <v>4</v>
      </c>
      <c r="AY343" s="16" t="s">
        <v>24</v>
      </c>
    </row>
    <row r="344" spans="32:51" x14ac:dyDescent="0.35">
      <c r="AF344" s="17" t="s">
        <v>1053</v>
      </c>
      <c r="AG344" s="18" t="s">
        <v>1054</v>
      </c>
      <c r="AH344" s="18" t="s">
        <v>1055</v>
      </c>
      <c r="AI344" s="18" t="s">
        <v>1056</v>
      </c>
      <c r="AJ344" s="18">
        <v>58</v>
      </c>
      <c r="AK344" s="18">
        <v>161328</v>
      </c>
      <c r="AL344" s="18" t="b">
        <v>0</v>
      </c>
      <c r="AM344" s="18">
        <v>0.66900000000000004</v>
      </c>
      <c r="AN344" s="18">
        <v>0.85399999999999998</v>
      </c>
      <c r="AO344" s="18">
        <v>4</v>
      </c>
      <c r="AP344" s="18">
        <v>-5.899</v>
      </c>
      <c r="AQ344" s="18">
        <v>1</v>
      </c>
      <c r="AR344" s="18">
        <v>4.3099999999999999E-2</v>
      </c>
      <c r="AS344" s="18">
        <v>6.5299999999999997E-2</v>
      </c>
      <c r="AT344" s="18">
        <v>0</v>
      </c>
      <c r="AU344" s="18">
        <v>0.28799999999999998</v>
      </c>
      <c r="AV344" s="18">
        <v>0.70599999999999996</v>
      </c>
      <c r="AW344" s="18">
        <v>120.035</v>
      </c>
      <c r="AX344" s="18">
        <v>4</v>
      </c>
      <c r="AY344" s="19" t="s">
        <v>24</v>
      </c>
    </row>
    <row r="345" spans="32:51" x14ac:dyDescent="0.35">
      <c r="AF345" s="14" t="s">
        <v>1057</v>
      </c>
      <c r="AG345" s="15" t="s">
        <v>1058</v>
      </c>
      <c r="AH345" s="15" t="s">
        <v>1059</v>
      </c>
      <c r="AI345" s="15" t="s">
        <v>1060</v>
      </c>
      <c r="AJ345" s="15">
        <v>57</v>
      </c>
      <c r="AK345" s="15">
        <v>220306</v>
      </c>
      <c r="AL345" s="15" t="b">
        <v>0</v>
      </c>
      <c r="AM345" s="15">
        <v>0.61499999999999999</v>
      </c>
      <c r="AN345" s="15">
        <v>0.35799999999999998</v>
      </c>
      <c r="AO345" s="15">
        <v>5</v>
      </c>
      <c r="AP345" s="15">
        <v>-9.6940000000000008</v>
      </c>
      <c r="AQ345" s="15">
        <v>1</v>
      </c>
      <c r="AR345" s="15">
        <v>5.5199999999999999E-2</v>
      </c>
      <c r="AS345" s="15">
        <v>0.70499999999999996</v>
      </c>
      <c r="AT345" s="15">
        <v>0</v>
      </c>
      <c r="AU345" s="15">
        <v>0.113</v>
      </c>
      <c r="AV345" s="15">
        <v>0.432</v>
      </c>
      <c r="AW345" s="15">
        <v>146.06</v>
      </c>
      <c r="AX345" s="15">
        <v>4</v>
      </c>
      <c r="AY345" s="16" t="s">
        <v>24</v>
      </c>
    </row>
    <row r="346" spans="32:51" x14ac:dyDescent="0.35">
      <c r="AF346" s="17" t="s">
        <v>1061</v>
      </c>
      <c r="AG346" s="18" t="s">
        <v>1062</v>
      </c>
      <c r="AH346" s="18" t="s">
        <v>1063</v>
      </c>
      <c r="AI346" s="18" t="s">
        <v>1064</v>
      </c>
      <c r="AJ346" s="18">
        <v>34</v>
      </c>
      <c r="AK346" s="18">
        <v>192392</v>
      </c>
      <c r="AL346" s="18" t="b">
        <v>0</v>
      </c>
      <c r="AM346" s="18">
        <v>0.41499999999999998</v>
      </c>
      <c r="AN346" s="18">
        <v>0.61899999999999999</v>
      </c>
      <c r="AO346" s="18">
        <v>2</v>
      </c>
      <c r="AP346" s="18">
        <v>-7.6239999999999997</v>
      </c>
      <c r="AQ346" s="18">
        <v>0</v>
      </c>
      <c r="AR346" s="18">
        <v>0.123</v>
      </c>
      <c r="AS346" s="18">
        <v>0.94599999999999995</v>
      </c>
      <c r="AT346" s="32" t="s">
        <v>1065</v>
      </c>
      <c r="AU346" s="18">
        <v>0.79900000000000004</v>
      </c>
      <c r="AV346" s="18">
        <v>0.73899999999999999</v>
      </c>
      <c r="AW346" s="18">
        <v>77.009</v>
      </c>
      <c r="AX346" s="18">
        <v>4</v>
      </c>
      <c r="AY346" s="19" t="s">
        <v>24</v>
      </c>
    </row>
    <row r="347" spans="32:51" x14ac:dyDescent="0.35">
      <c r="AF347" s="14" t="s">
        <v>1066</v>
      </c>
      <c r="AG347" s="15" t="s">
        <v>248</v>
      </c>
      <c r="AH347" s="15" t="s">
        <v>302</v>
      </c>
      <c r="AI347" s="15" t="s">
        <v>1067</v>
      </c>
      <c r="AJ347" s="15">
        <v>55</v>
      </c>
      <c r="AK347" s="15">
        <v>207228</v>
      </c>
      <c r="AL347" s="15" t="b">
        <v>0</v>
      </c>
      <c r="AM347" s="15">
        <v>0.56499999999999995</v>
      </c>
      <c r="AN347" s="15">
        <v>0.89500000000000002</v>
      </c>
      <c r="AO347" s="15">
        <v>0</v>
      </c>
      <c r="AP347" s="15">
        <v>-5.3540000000000001</v>
      </c>
      <c r="AQ347" s="15">
        <v>1</v>
      </c>
      <c r="AR347" s="15">
        <v>0.04</v>
      </c>
      <c r="AS347" s="15">
        <v>0.19400000000000001</v>
      </c>
      <c r="AT347" s="15">
        <v>0</v>
      </c>
      <c r="AU347" s="15">
        <v>0.10100000000000001</v>
      </c>
      <c r="AV347" s="15">
        <v>0.59199999999999997</v>
      </c>
      <c r="AW347" s="15">
        <v>149.91900000000001</v>
      </c>
      <c r="AX347" s="15">
        <v>4</v>
      </c>
      <c r="AY347" s="16" t="s">
        <v>24</v>
      </c>
    </row>
    <row r="348" spans="32:51" x14ac:dyDescent="0.35">
      <c r="AF348" s="17" t="s">
        <v>1068</v>
      </c>
      <c r="AG348" s="18" t="s">
        <v>1069</v>
      </c>
      <c r="AH348" s="18" t="s">
        <v>1070</v>
      </c>
      <c r="AI348" s="18" t="s">
        <v>1071</v>
      </c>
      <c r="AJ348" s="18">
        <v>33</v>
      </c>
      <c r="AK348" s="18">
        <v>122874</v>
      </c>
      <c r="AL348" s="18" t="b">
        <v>0</v>
      </c>
      <c r="AM348" s="18">
        <v>0.58599999999999997</v>
      </c>
      <c r="AN348" s="18">
        <v>0.70199999999999996</v>
      </c>
      <c r="AO348" s="18">
        <v>0</v>
      </c>
      <c r="AP348" s="18">
        <v>-4.4180000000000001</v>
      </c>
      <c r="AQ348" s="18">
        <v>1</v>
      </c>
      <c r="AR348" s="18">
        <v>0.13200000000000001</v>
      </c>
      <c r="AS348" s="18">
        <v>0.59</v>
      </c>
      <c r="AT348" s="18">
        <v>0</v>
      </c>
      <c r="AU348" s="18">
        <v>0.14599999999999999</v>
      </c>
      <c r="AV348" s="18">
        <v>0.64400000000000002</v>
      </c>
      <c r="AW348" s="18">
        <v>177.59800000000001</v>
      </c>
      <c r="AX348" s="18">
        <v>4</v>
      </c>
      <c r="AY348" s="19" t="s">
        <v>24</v>
      </c>
    </row>
    <row r="349" spans="32:51" x14ac:dyDescent="0.35">
      <c r="AF349" s="14" t="s">
        <v>1072</v>
      </c>
      <c r="AG349" s="15" t="s">
        <v>1073</v>
      </c>
      <c r="AH349" s="15" t="s">
        <v>1074</v>
      </c>
      <c r="AI349" s="15" t="s">
        <v>1075</v>
      </c>
      <c r="AJ349" s="15">
        <v>33</v>
      </c>
      <c r="AK349" s="15">
        <v>223015</v>
      </c>
      <c r="AL349" s="15" t="b">
        <v>0</v>
      </c>
      <c r="AM349" s="15">
        <v>0.56399999999999995</v>
      </c>
      <c r="AN349" s="15">
        <v>0.60399999999999998</v>
      </c>
      <c r="AO349" s="15">
        <v>7</v>
      </c>
      <c r="AP349" s="15">
        <v>-5.0549999999999997</v>
      </c>
      <c r="AQ349" s="15">
        <v>1</v>
      </c>
      <c r="AR349" s="15">
        <v>5.4899999999999997E-2</v>
      </c>
      <c r="AS349" s="15">
        <v>2.87E-2</v>
      </c>
      <c r="AT349" s="31" t="s">
        <v>1076</v>
      </c>
      <c r="AU349" s="15">
        <v>0.108</v>
      </c>
      <c r="AV349" s="15">
        <v>0.34100000000000003</v>
      </c>
      <c r="AW349" s="15">
        <v>113.09099999999999</v>
      </c>
      <c r="AX349" s="15">
        <v>4</v>
      </c>
      <c r="AY349" s="16" t="s">
        <v>24</v>
      </c>
    </row>
    <row r="350" spans="32:51" x14ac:dyDescent="0.35">
      <c r="AF350" s="17" t="s">
        <v>1077</v>
      </c>
      <c r="AG350" s="18" t="s">
        <v>1078</v>
      </c>
      <c r="AH350" s="18" t="s">
        <v>147</v>
      </c>
      <c r="AI350" s="18" t="s">
        <v>1079</v>
      </c>
      <c r="AJ350" s="18">
        <v>0</v>
      </c>
      <c r="AK350" s="18">
        <v>155000</v>
      </c>
      <c r="AL350" s="18" t="b">
        <v>0</v>
      </c>
      <c r="AM350" s="18">
        <v>0.54300000000000004</v>
      </c>
      <c r="AN350" s="18">
        <v>0.35899999999999999</v>
      </c>
      <c r="AO350" s="18">
        <v>8</v>
      </c>
      <c r="AP350" s="18">
        <v>-6.5709999999999997</v>
      </c>
      <c r="AQ350" s="18">
        <v>1</v>
      </c>
      <c r="AR350" s="18">
        <v>3.0200000000000001E-2</v>
      </c>
      <c r="AS350" s="18">
        <v>0.65100000000000002</v>
      </c>
      <c r="AT350" s="18">
        <v>0</v>
      </c>
      <c r="AU350" s="18">
        <v>9.8100000000000007E-2</v>
      </c>
      <c r="AV350" s="18">
        <v>0.34599999999999997</v>
      </c>
      <c r="AW350" s="18">
        <v>109.735</v>
      </c>
      <c r="AX350" s="18">
        <v>4</v>
      </c>
      <c r="AY350" s="19" t="s">
        <v>24</v>
      </c>
    </row>
    <row r="351" spans="32:51" x14ac:dyDescent="0.35">
      <c r="AF351" s="14" t="s">
        <v>1080</v>
      </c>
      <c r="AG351" s="15" t="s">
        <v>1078</v>
      </c>
      <c r="AH351" s="15" t="s">
        <v>1081</v>
      </c>
      <c r="AI351" s="15" t="s">
        <v>1079</v>
      </c>
      <c r="AJ351" s="15">
        <v>0</v>
      </c>
      <c r="AK351" s="15">
        <v>155000</v>
      </c>
      <c r="AL351" s="15" t="b">
        <v>0</v>
      </c>
      <c r="AM351" s="15">
        <v>0.54300000000000004</v>
      </c>
      <c r="AN351" s="15">
        <v>0.35899999999999999</v>
      </c>
      <c r="AO351" s="15">
        <v>8</v>
      </c>
      <c r="AP351" s="15">
        <v>-6.5709999999999997</v>
      </c>
      <c r="AQ351" s="15">
        <v>1</v>
      </c>
      <c r="AR351" s="15">
        <v>3.0200000000000001E-2</v>
      </c>
      <c r="AS351" s="15">
        <v>0.65100000000000002</v>
      </c>
      <c r="AT351" s="15">
        <v>0</v>
      </c>
      <c r="AU351" s="15">
        <v>9.8100000000000007E-2</v>
      </c>
      <c r="AV351" s="15">
        <v>0.34599999999999997</v>
      </c>
      <c r="AW351" s="15">
        <v>109.735</v>
      </c>
      <c r="AX351" s="15">
        <v>4</v>
      </c>
      <c r="AY351" s="16" t="s">
        <v>24</v>
      </c>
    </row>
    <row r="352" spans="32:51" x14ac:dyDescent="0.35">
      <c r="AF352" s="17" t="s">
        <v>1082</v>
      </c>
      <c r="AG352" s="18" t="s">
        <v>1078</v>
      </c>
      <c r="AH352" s="18" t="s">
        <v>314</v>
      </c>
      <c r="AI352" s="18" t="s">
        <v>1079</v>
      </c>
      <c r="AJ352" s="18">
        <v>0</v>
      </c>
      <c r="AK352" s="18">
        <v>155000</v>
      </c>
      <c r="AL352" s="18" t="b">
        <v>0</v>
      </c>
      <c r="AM352" s="18">
        <v>0.54300000000000004</v>
      </c>
      <c r="AN352" s="18">
        <v>0.35899999999999999</v>
      </c>
      <c r="AO352" s="18">
        <v>8</v>
      </c>
      <c r="AP352" s="18">
        <v>-6.5709999999999997</v>
      </c>
      <c r="AQ352" s="18">
        <v>1</v>
      </c>
      <c r="AR352" s="18">
        <v>3.0200000000000001E-2</v>
      </c>
      <c r="AS352" s="18">
        <v>0.65100000000000002</v>
      </c>
      <c r="AT352" s="18">
        <v>0</v>
      </c>
      <c r="AU352" s="18">
        <v>9.8100000000000007E-2</v>
      </c>
      <c r="AV352" s="18">
        <v>0.34599999999999997</v>
      </c>
      <c r="AW352" s="18">
        <v>109.735</v>
      </c>
      <c r="AX352" s="18">
        <v>4</v>
      </c>
      <c r="AY352" s="19" t="s">
        <v>24</v>
      </c>
    </row>
    <row r="353" spans="32:51" x14ac:dyDescent="0.35">
      <c r="AF353" s="14" t="s">
        <v>1083</v>
      </c>
      <c r="AG353" s="15" t="s">
        <v>664</v>
      </c>
      <c r="AH353" s="15" t="s">
        <v>1084</v>
      </c>
      <c r="AI353" s="15" t="s">
        <v>1085</v>
      </c>
      <c r="AJ353" s="15">
        <v>52</v>
      </c>
      <c r="AK353" s="15">
        <v>224170</v>
      </c>
      <c r="AL353" s="15" t="b">
        <v>0</v>
      </c>
      <c r="AM353" s="15">
        <v>0.63800000000000001</v>
      </c>
      <c r="AN353" s="15">
        <v>0.28699999999999998</v>
      </c>
      <c r="AO353" s="15">
        <v>8</v>
      </c>
      <c r="AP353" s="15">
        <v>-11.173999999999999</v>
      </c>
      <c r="AQ353" s="15">
        <v>0</v>
      </c>
      <c r="AR353" s="15">
        <v>4.1200000000000001E-2</v>
      </c>
      <c r="AS353" s="15">
        <v>0.81</v>
      </c>
      <c r="AT353" s="15">
        <v>0</v>
      </c>
      <c r="AU353" s="15">
        <v>8.0399999999999999E-2</v>
      </c>
      <c r="AV353" s="15">
        <v>0.44500000000000001</v>
      </c>
      <c r="AW353" s="15">
        <v>128.02500000000001</v>
      </c>
      <c r="AX353" s="15">
        <v>4</v>
      </c>
      <c r="AY353" s="16" t="s">
        <v>24</v>
      </c>
    </row>
    <row r="354" spans="32:51" x14ac:dyDescent="0.35">
      <c r="AF354" s="17" t="s">
        <v>1086</v>
      </c>
      <c r="AG354" s="18" t="s">
        <v>1087</v>
      </c>
      <c r="AH354" s="18" t="s">
        <v>1088</v>
      </c>
      <c r="AI354" s="18" t="s">
        <v>1089</v>
      </c>
      <c r="AJ354" s="18">
        <v>21</v>
      </c>
      <c r="AK354" s="18">
        <v>239004</v>
      </c>
      <c r="AL354" s="18" t="b">
        <v>0</v>
      </c>
      <c r="AM354" s="18">
        <v>0.51500000000000001</v>
      </c>
      <c r="AN354" s="18">
        <v>0.46</v>
      </c>
      <c r="AO354" s="18">
        <v>9</v>
      </c>
      <c r="AP354" s="18">
        <v>-11.260999999999999</v>
      </c>
      <c r="AQ354" s="18">
        <v>0</v>
      </c>
      <c r="AR354" s="18">
        <v>4.36E-2</v>
      </c>
      <c r="AS354" s="18">
        <v>0.89100000000000001</v>
      </c>
      <c r="AT354" s="18">
        <v>0.14000000000000001</v>
      </c>
      <c r="AU354" s="18">
        <v>8.7400000000000005E-2</v>
      </c>
      <c r="AV354" s="18">
        <v>0.25900000000000001</v>
      </c>
      <c r="AW354" s="18">
        <v>140.06700000000001</v>
      </c>
      <c r="AX354" s="18">
        <v>4</v>
      </c>
      <c r="AY354" s="19" t="s">
        <v>24</v>
      </c>
    </row>
    <row r="355" spans="32:51" x14ac:dyDescent="0.35">
      <c r="AF355" s="14" t="s">
        <v>1090</v>
      </c>
      <c r="AG355" s="15" t="s">
        <v>664</v>
      </c>
      <c r="AH355" s="15" t="s">
        <v>1091</v>
      </c>
      <c r="AI355" s="15" t="s">
        <v>1091</v>
      </c>
      <c r="AJ355" s="15">
        <v>50</v>
      </c>
      <c r="AK355" s="15">
        <v>181311</v>
      </c>
      <c r="AL355" s="15" t="b">
        <v>0</v>
      </c>
      <c r="AM355" s="15">
        <v>0.622</v>
      </c>
      <c r="AN355" s="15">
        <v>0.221</v>
      </c>
      <c r="AO355" s="15">
        <v>9</v>
      </c>
      <c r="AP355" s="15">
        <v>-14.335000000000001</v>
      </c>
      <c r="AQ355" s="15">
        <v>1</v>
      </c>
      <c r="AR355" s="15">
        <v>5.8299999999999998E-2</v>
      </c>
      <c r="AS355" s="15">
        <v>0.90100000000000002</v>
      </c>
      <c r="AT355" s="15">
        <v>0</v>
      </c>
      <c r="AU355" s="15">
        <v>0.107</v>
      </c>
      <c r="AV355" s="15">
        <v>0.29699999999999999</v>
      </c>
      <c r="AW355" s="15">
        <v>131.827</v>
      </c>
      <c r="AX355" s="15">
        <v>4</v>
      </c>
      <c r="AY355" s="16" t="s">
        <v>24</v>
      </c>
    </row>
    <row r="356" spans="32:51" x14ac:dyDescent="0.35">
      <c r="AF356" s="17" t="s">
        <v>1092</v>
      </c>
      <c r="AG356" s="18" t="s">
        <v>1093</v>
      </c>
      <c r="AH356" s="18" t="s">
        <v>1094</v>
      </c>
      <c r="AI356" s="18" t="s">
        <v>1095</v>
      </c>
      <c r="AJ356" s="18">
        <v>55</v>
      </c>
      <c r="AK356" s="18">
        <v>144653</v>
      </c>
      <c r="AL356" s="18" t="b">
        <v>0</v>
      </c>
      <c r="AM356" s="18">
        <v>0.44</v>
      </c>
      <c r="AN356" s="18">
        <v>3.5299999999999998E-2</v>
      </c>
      <c r="AO356" s="18">
        <v>6</v>
      </c>
      <c r="AP356" s="18">
        <v>-20.858000000000001</v>
      </c>
      <c r="AQ356" s="18">
        <v>1</v>
      </c>
      <c r="AR356" s="18">
        <v>5.2200000000000003E-2</v>
      </c>
      <c r="AS356" s="18">
        <v>0.99</v>
      </c>
      <c r="AT356" s="18">
        <v>3.1199999999999999E-3</v>
      </c>
      <c r="AU356" s="18">
        <v>0.108</v>
      </c>
      <c r="AV356" s="18">
        <v>0.36199999999999999</v>
      </c>
      <c r="AW356" s="18">
        <v>181.988</v>
      </c>
      <c r="AX356" s="18">
        <v>4</v>
      </c>
      <c r="AY356" s="19" t="s">
        <v>24</v>
      </c>
    </row>
    <row r="357" spans="32:51" x14ac:dyDescent="0.35">
      <c r="AF357" s="14" t="s">
        <v>1096</v>
      </c>
      <c r="AG357" s="15" t="s">
        <v>34</v>
      </c>
      <c r="AH357" s="15" t="s">
        <v>1097</v>
      </c>
      <c r="AI357" s="15" t="s">
        <v>1097</v>
      </c>
      <c r="AJ357" s="15">
        <v>46</v>
      </c>
      <c r="AK357" s="15">
        <v>235135</v>
      </c>
      <c r="AL357" s="15" t="b">
        <v>0</v>
      </c>
      <c r="AM357" s="15">
        <v>0.45700000000000002</v>
      </c>
      <c r="AN357" s="15">
        <v>6.4000000000000001E-2</v>
      </c>
      <c r="AO357" s="15">
        <v>6</v>
      </c>
      <c r="AP357" s="15">
        <v>-19.928000000000001</v>
      </c>
      <c r="AQ357" s="15">
        <v>1</v>
      </c>
      <c r="AR357" s="15">
        <v>3.39E-2</v>
      </c>
      <c r="AS357" s="15">
        <v>0.94099999999999995</v>
      </c>
      <c r="AT357" s="15">
        <v>0.108</v>
      </c>
      <c r="AU357" s="15">
        <v>0.107</v>
      </c>
      <c r="AV357" s="15">
        <v>6.4699999999999994E-2</v>
      </c>
      <c r="AW357" s="15">
        <v>147.82400000000001</v>
      </c>
      <c r="AX357" s="15">
        <v>3</v>
      </c>
      <c r="AY357" s="16" t="s">
        <v>24</v>
      </c>
    </row>
    <row r="358" spans="32:51" x14ac:dyDescent="0.35">
      <c r="AF358" s="17" t="s">
        <v>1098</v>
      </c>
      <c r="AG358" s="18" t="s">
        <v>1099</v>
      </c>
      <c r="AH358" s="18" t="s">
        <v>1100</v>
      </c>
      <c r="AI358" s="18" t="s">
        <v>1101</v>
      </c>
      <c r="AJ358" s="18">
        <v>56</v>
      </c>
      <c r="AK358" s="18">
        <v>248360</v>
      </c>
      <c r="AL358" s="18" t="b">
        <v>0</v>
      </c>
      <c r="AM358" s="18">
        <v>0.64900000000000002</v>
      </c>
      <c r="AN358" s="18">
        <v>0.82099999999999995</v>
      </c>
      <c r="AO358" s="18">
        <v>1</v>
      </c>
      <c r="AP358" s="18">
        <v>-6.4829999999999997</v>
      </c>
      <c r="AQ358" s="18">
        <v>0</v>
      </c>
      <c r="AR358" s="18">
        <v>3.1300000000000001E-2</v>
      </c>
      <c r="AS358" s="18">
        <v>3.0200000000000001E-2</v>
      </c>
      <c r="AT358" s="18">
        <v>1.4100000000000001E-4</v>
      </c>
      <c r="AU358" s="18">
        <v>8.43E-2</v>
      </c>
      <c r="AV358" s="18">
        <v>0.66100000000000003</v>
      </c>
      <c r="AW358" s="18">
        <v>121.938</v>
      </c>
      <c r="AX358" s="18">
        <v>4</v>
      </c>
      <c r="AY358" s="19" t="s">
        <v>24</v>
      </c>
    </row>
    <row r="359" spans="32:51" x14ac:dyDescent="0.35">
      <c r="AF359" s="14" t="s">
        <v>1102</v>
      </c>
      <c r="AG359" s="15" t="s">
        <v>1103</v>
      </c>
      <c r="AH359" s="15" t="s">
        <v>1104</v>
      </c>
      <c r="AI359" s="15" t="s">
        <v>1104</v>
      </c>
      <c r="AJ359" s="15">
        <v>40</v>
      </c>
      <c r="AK359" s="15">
        <v>198344</v>
      </c>
      <c r="AL359" s="15" t="b">
        <v>0</v>
      </c>
      <c r="AM359" s="15">
        <v>0.495</v>
      </c>
      <c r="AN359" s="15">
        <v>0.32900000000000001</v>
      </c>
      <c r="AO359" s="15">
        <v>7</v>
      </c>
      <c r="AP359" s="15">
        <v>-11.661</v>
      </c>
      <c r="AQ359" s="15">
        <v>1</v>
      </c>
      <c r="AR359" s="15">
        <v>3.8600000000000002E-2</v>
      </c>
      <c r="AS359" s="15">
        <v>0.65200000000000002</v>
      </c>
      <c r="AT359" s="31" t="s">
        <v>1105</v>
      </c>
      <c r="AU359" s="15">
        <v>6.0600000000000001E-2</v>
      </c>
      <c r="AV359" s="15">
        <v>9.1899999999999996E-2</v>
      </c>
      <c r="AW359" s="15">
        <v>72.992000000000004</v>
      </c>
      <c r="AX359" s="15">
        <v>4</v>
      </c>
      <c r="AY359" s="16" t="s">
        <v>24</v>
      </c>
    </row>
    <row r="360" spans="32:51" x14ac:dyDescent="0.35">
      <c r="AF360" s="17" t="s">
        <v>1106</v>
      </c>
      <c r="AG360" s="18" t="s">
        <v>50</v>
      </c>
      <c r="AH360" s="18" t="s">
        <v>1107</v>
      </c>
      <c r="AI360" s="18" t="s">
        <v>1108</v>
      </c>
      <c r="AJ360" s="18">
        <v>21</v>
      </c>
      <c r="AK360" s="18">
        <v>239697</v>
      </c>
      <c r="AL360" s="18" t="b">
        <v>0</v>
      </c>
      <c r="AM360" s="18">
        <v>0.71</v>
      </c>
      <c r="AN360" s="18">
        <v>0.61499999999999999</v>
      </c>
      <c r="AO360" s="18">
        <v>0</v>
      </c>
      <c r="AP360" s="18">
        <v>-8.23</v>
      </c>
      <c r="AQ360" s="18">
        <v>1</v>
      </c>
      <c r="AR360" s="18">
        <v>0.13300000000000001</v>
      </c>
      <c r="AS360" s="18">
        <v>3.8399999999999997E-2</v>
      </c>
      <c r="AT360" s="18">
        <v>0</v>
      </c>
      <c r="AU360" s="18">
        <v>0.28299999999999997</v>
      </c>
      <c r="AV360" s="18">
        <v>0.746</v>
      </c>
      <c r="AW360" s="18">
        <v>90.263000000000005</v>
      </c>
      <c r="AX360" s="18">
        <v>4</v>
      </c>
      <c r="AY360" s="19" t="s">
        <v>24</v>
      </c>
    </row>
    <row r="361" spans="32:51" x14ac:dyDescent="0.35">
      <c r="AF361" s="14" t="s">
        <v>1109</v>
      </c>
      <c r="AG361" s="15" t="s">
        <v>1110</v>
      </c>
      <c r="AH361" s="15" t="s">
        <v>1111</v>
      </c>
      <c r="AI361" s="15" t="s">
        <v>1111</v>
      </c>
      <c r="AJ361" s="15">
        <v>55</v>
      </c>
      <c r="AK361" s="15">
        <v>186334</v>
      </c>
      <c r="AL361" s="15" t="b">
        <v>0</v>
      </c>
      <c r="AM361" s="15">
        <v>0.69</v>
      </c>
      <c r="AN361" s="15">
        <v>0.20399999999999999</v>
      </c>
      <c r="AO361" s="15">
        <v>7</v>
      </c>
      <c r="AP361" s="15">
        <v>-12.427</v>
      </c>
      <c r="AQ361" s="15">
        <v>1</v>
      </c>
      <c r="AR361" s="15">
        <v>3.0099999999999998E-2</v>
      </c>
      <c r="AS361" s="15">
        <v>0.93200000000000005</v>
      </c>
      <c r="AT361" s="31" t="s">
        <v>1112</v>
      </c>
      <c r="AU361" s="15">
        <v>0.11899999999999999</v>
      </c>
      <c r="AV361" s="15">
        <v>0.52500000000000002</v>
      </c>
      <c r="AW361" s="15">
        <v>139.58699999999999</v>
      </c>
      <c r="AX361" s="15">
        <v>4</v>
      </c>
      <c r="AY361" s="16" t="s">
        <v>24</v>
      </c>
    </row>
    <row r="362" spans="32:51" x14ac:dyDescent="0.35">
      <c r="AF362" s="17" t="s">
        <v>1113</v>
      </c>
      <c r="AG362" s="18" t="s">
        <v>825</v>
      </c>
      <c r="AH362" s="18" t="s">
        <v>71</v>
      </c>
      <c r="AI362" s="18" t="s">
        <v>71</v>
      </c>
      <c r="AJ362" s="18">
        <v>50</v>
      </c>
      <c r="AK362" s="18">
        <v>226877</v>
      </c>
      <c r="AL362" s="18" t="b">
        <v>0</v>
      </c>
      <c r="AM362" s="18">
        <v>0.59599999999999997</v>
      </c>
      <c r="AN362" s="18">
        <v>0.19500000000000001</v>
      </c>
      <c r="AO362" s="18">
        <v>7</v>
      </c>
      <c r="AP362" s="18">
        <v>-11.02</v>
      </c>
      <c r="AQ362" s="18">
        <v>1</v>
      </c>
      <c r="AR362" s="18">
        <v>2.64E-2</v>
      </c>
      <c r="AS362" s="18">
        <v>0.92600000000000005</v>
      </c>
      <c r="AT362" s="18">
        <v>0</v>
      </c>
      <c r="AU362" s="18">
        <v>0.13900000000000001</v>
      </c>
      <c r="AV362" s="18">
        <v>0.17599999999999999</v>
      </c>
      <c r="AW362" s="18">
        <v>82.114000000000004</v>
      </c>
      <c r="AX362" s="18">
        <v>4</v>
      </c>
      <c r="AY362" s="19" t="s">
        <v>24</v>
      </c>
    </row>
    <row r="363" spans="32:51" x14ac:dyDescent="0.35">
      <c r="AF363" s="14" t="s">
        <v>1114</v>
      </c>
      <c r="AG363" s="15" t="s">
        <v>426</v>
      </c>
      <c r="AH363" s="15" t="s">
        <v>1115</v>
      </c>
      <c r="AI363" s="15" t="s">
        <v>1116</v>
      </c>
      <c r="AJ363" s="15">
        <v>41</v>
      </c>
      <c r="AK363" s="15">
        <v>273260</v>
      </c>
      <c r="AL363" s="15" t="b">
        <v>0</v>
      </c>
      <c r="AM363" s="15">
        <v>0.66</v>
      </c>
      <c r="AN363" s="15">
        <v>0.74299999999999999</v>
      </c>
      <c r="AO363" s="15">
        <v>9</v>
      </c>
      <c r="AP363" s="15">
        <v>-8.3019999999999996</v>
      </c>
      <c r="AQ363" s="15">
        <v>1</v>
      </c>
      <c r="AR363" s="15">
        <v>5.0599999999999999E-2</v>
      </c>
      <c r="AS363" s="15">
        <v>3.2899999999999999E-2</v>
      </c>
      <c r="AT363" s="15">
        <v>1.3600000000000001E-3</v>
      </c>
      <c r="AU363" s="15">
        <v>9.8000000000000004E-2</v>
      </c>
      <c r="AV363" s="15">
        <v>0.44500000000000001</v>
      </c>
      <c r="AW363" s="15">
        <v>130.02500000000001</v>
      </c>
      <c r="AX363" s="15">
        <v>4</v>
      </c>
      <c r="AY363" s="16" t="s">
        <v>24</v>
      </c>
    </row>
    <row r="364" spans="32:51" x14ac:dyDescent="0.35">
      <c r="AF364" s="17" t="s">
        <v>1117</v>
      </c>
      <c r="AG364" s="18" t="s">
        <v>696</v>
      </c>
      <c r="AH364" s="18" t="s">
        <v>1118</v>
      </c>
      <c r="AI364" s="18" t="s">
        <v>1118</v>
      </c>
      <c r="AJ364" s="18">
        <v>44</v>
      </c>
      <c r="AK364" s="18">
        <v>196920</v>
      </c>
      <c r="AL364" s="18" t="b">
        <v>0</v>
      </c>
      <c r="AM364" s="18">
        <v>0.73299999999999998</v>
      </c>
      <c r="AN364" s="18">
        <v>0.65700000000000003</v>
      </c>
      <c r="AO364" s="18">
        <v>2</v>
      </c>
      <c r="AP364" s="18">
        <v>-6.843</v>
      </c>
      <c r="AQ364" s="18">
        <v>1</v>
      </c>
      <c r="AR364" s="18">
        <v>2.7199999999999998E-2</v>
      </c>
      <c r="AS364" s="18">
        <v>1.2999999999999999E-2</v>
      </c>
      <c r="AT364" s="32" t="s">
        <v>1119</v>
      </c>
      <c r="AU364" s="18">
        <v>0.317</v>
      </c>
      <c r="AV364" s="18">
        <v>0.433</v>
      </c>
      <c r="AW364" s="18">
        <v>109.95399999999999</v>
      </c>
      <c r="AX364" s="18">
        <v>4</v>
      </c>
      <c r="AY364" s="19" t="s">
        <v>24</v>
      </c>
    </row>
    <row r="365" spans="32:51" x14ac:dyDescent="0.35">
      <c r="AF365" s="14" t="s">
        <v>1120</v>
      </c>
      <c r="AG365" s="15" t="s">
        <v>1121</v>
      </c>
      <c r="AH365" s="15" t="s">
        <v>1122</v>
      </c>
      <c r="AI365" s="15" t="s">
        <v>1123</v>
      </c>
      <c r="AJ365" s="15">
        <v>57</v>
      </c>
      <c r="AK365" s="15">
        <v>145056</v>
      </c>
      <c r="AL365" s="15" t="b">
        <v>0</v>
      </c>
      <c r="AM365" s="15">
        <v>0.58899999999999997</v>
      </c>
      <c r="AN365" s="15">
        <v>0.29599999999999999</v>
      </c>
      <c r="AO365" s="15">
        <v>0</v>
      </c>
      <c r="AP365" s="15">
        <v>-9.3350000000000009</v>
      </c>
      <c r="AQ365" s="15">
        <v>1</v>
      </c>
      <c r="AR365" s="15">
        <v>8.3000000000000004E-2</v>
      </c>
      <c r="AS365" s="15">
        <v>0.84199999999999997</v>
      </c>
      <c r="AT365" s="15">
        <v>0</v>
      </c>
      <c r="AU365" s="15">
        <v>7.3599999999999999E-2</v>
      </c>
      <c r="AV365" s="15">
        <v>0.61099999999999999</v>
      </c>
      <c r="AW365" s="15">
        <v>165.79900000000001</v>
      </c>
      <c r="AX365" s="15">
        <v>3</v>
      </c>
      <c r="AY365" s="16" t="s">
        <v>24</v>
      </c>
    </row>
    <row r="366" spans="32:51" x14ac:dyDescent="0.35">
      <c r="AF366" s="17" t="s">
        <v>1124</v>
      </c>
      <c r="AG366" s="18" t="s">
        <v>1125</v>
      </c>
      <c r="AH366" s="18" t="s">
        <v>1126</v>
      </c>
      <c r="AI366" s="18" t="s">
        <v>1127</v>
      </c>
      <c r="AJ366" s="18">
        <v>33</v>
      </c>
      <c r="AK366" s="18">
        <v>196026</v>
      </c>
      <c r="AL366" s="18" t="b">
        <v>0</v>
      </c>
      <c r="AM366" s="18">
        <v>0.68600000000000005</v>
      </c>
      <c r="AN366" s="18">
        <v>0.377</v>
      </c>
      <c r="AO366" s="18">
        <v>9</v>
      </c>
      <c r="AP366" s="18">
        <v>-9.59</v>
      </c>
      <c r="AQ366" s="18">
        <v>1</v>
      </c>
      <c r="AR366" s="18">
        <v>5.8900000000000001E-2</v>
      </c>
      <c r="AS366" s="18">
        <v>0.63800000000000001</v>
      </c>
      <c r="AT366" s="18">
        <v>0</v>
      </c>
      <c r="AU366" s="18">
        <v>0.128</v>
      </c>
      <c r="AV366" s="18">
        <v>0.55100000000000005</v>
      </c>
      <c r="AW366" s="18">
        <v>92.042000000000002</v>
      </c>
      <c r="AX366" s="18">
        <v>4</v>
      </c>
      <c r="AY366" s="19" t="s">
        <v>24</v>
      </c>
    </row>
    <row r="367" spans="32:51" x14ac:dyDescent="0.35">
      <c r="AF367" s="14" t="s">
        <v>1128</v>
      </c>
      <c r="AG367" s="15" t="s">
        <v>1129</v>
      </c>
      <c r="AH367" s="15" t="s">
        <v>1130</v>
      </c>
      <c r="AI367" s="15" t="s">
        <v>1131</v>
      </c>
      <c r="AJ367" s="15">
        <v>56</v>
      </c>
      <c r="AK367" s="15">
        <v>193027</v>
      </c>
      <c r="AL367" s="15" t="b">
        <v>0</v>
      </c>
      <c r="AM367" s="15">
        <v>0.65900000000000003</v>
      </c>
      <c r="AN367" s="15">
        <v>0.33800000000000002</v>
      </c>
      <c r="AO367" s="15">
        <v>6</v>
      </c>
      <c r="AP367" s="15">
        <v>-10.367000000000001</v>
      </c>
      <c r="AQ367" s="15">
        <v>0</v>
      </c>
      <c r="AR367" s="15">
        <v>3.7600000000000001E-2</v>
      </c>
      <c r="AS367" s="15">
        <v>0.84199999999999997</v>
      </c>
      <c r="AT367" s="15">
        <v>0</v>
      </c>
      <c r="AU367" s="15">
        <v>0.27700000000000002</v>
      </c>
      <c r="AV367" s="15">
        <v>0.495</v>
      </c>
      <c r="AW367" s="15">
        <v>145.87700000000001</v>
      </c>
      <c r="AX367" s="15">
        <v>4</v>
      </c>
      <c r="AY367" s="16" t="s">
        <v>24</v>
      </c>
    </row>
    <row r="368" spans="32:51" x14ac:dyDescent="0.35">
      <c r="AF368" s="17" t="s">
        <v>1132</v>
      </c>
      <c r="AG368" s="18" t="s">
        <v>1133</v>
      </c>
      <c r="AH368" s="18" t="s">
        <v>1134</v>
      </c>
      <c r="AI368" s="18" t="s">
        <v>1135</v>
      </c>
      <c r="AJ368" s="18">
        <v>32</v>
      </c>
      <c r="AK368" s="18">
        <v>233280</v>
      </c>
      <c r="AL368" s="18" t="b">
        <v>0</v>
      </c>
      <c r="AM368" s="18">
        <v>0.73199999999999998</v>
      </c>
      <c r="AN368" s="18">
        <v>0.83</v>
      </c>
      <c r="AO368" s="18">
        <v>0</v>
      </c>
      <c r="AP368" s="18">
        <v>-6.63</v>
      </c>
      <c r="AQ368" s="18">
        <v>1</v>
      </c>
      <c r="AR368" s="18">
        <v>3.09E-2</v>
      </c>
      <c r="AS368" s="18">
        <v>0.20100000000000001</v>
      </c>
      <c r="AT368" s="32" t="s">
        <v>1136</v>
      </c>
      <c r="AU368" s="18">
        <v>8.0199999999999994E-2</v>
      </c>
      <c r="AV368" s="18">
        <v>0.871</v>
      </c>
      <c r="AW368" s="18">
        <v>111.664</v>
      </c>
      <c r="AX368" s="18">
        <v>4</v>
      </c>
      <c r="AY368" s="19" t="s">
        <v>24</v>
      </c>
    </row>
    <row r="369" spans="32:51" x14ac:dyDescent="0.35">
      <c r="AF369" s="14" t="s">
        <v>1137</v>
      </c>
      <c r="AG369" s="15" t="s">
        <v>1138</v>
      </c>
      <c r="AH369" s="15" t="s">
        <v>1139</v>
      </c>
      <c r="AI369" s="15" t="s">
        <v>1140</v>
      </c>
      <c r="AJ369" s="15">
        <v>35</v>
      </c>
      <c r="AK369" s="15">
        <v>213091</v>
      </c>
      <c r="AL369" s="15" t="b">
        <v>0</v>
      </c>
      <c r="AM369" s="15">
        <v>0.52200000000000002</v>
      </c>
      <c r="AN369" s="15">
        <v>0.20200000000000001</v>
      </c>
      <c r="AO369" s="15">
        <v>9</v>
      </c>
      <c r="AP369" s="15">
        <v>-13.38</v>
      </c>
      <c r="AQ369" s="15">
        <v>1</v>
      </c>
      <c r="AR369" s="15">
        <v>8.6099999999999996E-2</v>
      </c>
      <c r="AS369" s="15">
        <v>0.91800000000000004</v>
      </c>
      <c r="AT369" s="15">
        <v>0</v>
      </c>
      <c r="AU369" s="15">
        <v>0.185</v>
      </c>
      <c r="AV369" s="15">
        <v>0.45700000000000002</v>
      </c>
      <c r="AW369" s="15">
        <v>147.99199999999999</v>
      </c>
      <c r="AX369" s="15">
        <v>4</v>
      </c>
      <c r="AY369" s="16" t="s">
        <v>24</v>
      </c>
    </row>
    <row r="370" spans="32:51" x14ac:dyDescent="0.35">
      <c r="AF370" s="17" t="s">
        <v>1141</v>
      </c>
      <c r="AG370" s="18" t="s">
        <v>970</v>
      </c>
      <c r="AH370" s="18" t="s">
        <v>971</v>
      </c>
      <c r="AI370" s="18" t="s">
        <v>1142</v>
      </c>
      <c r="AJ370" s="18">
        <v>55</v>
      </c>
      <c r="AK370" s="18">
        <v>253546</v>
      </c>
      <c r="AL370" s="18" t="b">
        <v>0</v>
      </c>
      <c r="AM370" s="18">
        <v>0.56499999999999995</v>
      </c>
      <c r="AN370" s="18">
        <v>0.69799999999999995</v>
      </c>
      <c r="AO370" s="18">
        <v>0</v>
      </c>
      <c r="AP370" s="18">
        <v>-8.5960000000000001</v>
      </c>
      <c r="AQ370" s="18">
        <v>1</v>
      </c>
      <c r="AR370" s="18">
        <v>2.9499999999999998E-2</v>
      </c>
      <c r="AS370" s="18">
        <v>0.54</v>
      </c>
      <c r="AT370" s="18">
        <v>1.83E-2</v>
      </c>
      <c r="AU370" s="18">
        <v>0.124</v>
      </c>
      <c r="AV370" s="18">
        <v>0.155</v>
      </c>
      <c r="AW370" s="18">
        <v>120.01300000000001</v>
      </c>
      <c r="AX370" s="18">
        <v>4</v>
      </c>
      <c r="AY370" s="19" t="s">
        <v>24</v>
      </c>
    </row>
    <row r="371" spans="32:51" x14ac:dyDescent="0.35">
      <c r="AF371" s="14" t="s">
        <v>1143</v>
      </c>
      <c r="AG371" s="15" t="s">
        <v>991</v>
      </c>
      <c r="AH371" s="15" t="s">
        <v>1144</v>
      </c>
      <c r="AI371" s="15" t="s">
        <v>1145</v>
      </c>
      <c r="AJ371" s="15">
        <v>33</v>
      </c>
      <c r="AK371" s="15">
        <v>317400</v>
      </c>
      <c r="AL371" s="15" t="b">
        <v>0</v>
      </c>
      <c r="AM371" s="15">
        <v>0.47399999999999998</v>
      </c>
      <c r="AN371" s="15">
        <v>0.40799999999999997</v>
      </c>
      <c r="AO371" s="15">
        <v>7</v>
      </c>
      <c r="AP371" s="15">
        <v>-11.42</v>
      </c>
      <c r="AQ371" s="15">
        <v>1</v>
      </c>
      <c r="AR371" s="15">
        <v>3.32E-2</v>
      </c>
      <c r="AS371" s="15">
        <v>0.60299999999999998</v>
      </c>
      <c r="AT371" s="31" t="s">
        <v>1146</v>
      </c>
      <c r="AU371" s="15">
        <v>0.104</v>
      </c>
      <c r="AV371" s="15">
        <v>0.23799999999999999</v>
      </c>
      <c r="AW371" s="15">
        <v>143.881</v>
      </c>
      <c r="AX371" s="15">
        <v>4</v>
      </c>
      <c r="AY371" s="16" t="s">
        <v>24</v>
      </c>
    </row>
    <row r="372" spans="32:51" x14ac:dyDescent="0.35">
      <c r="AF372" s="17" t="s">
        <v>1147</v>
      </c>
      <c r="AG372" s="18" t="s">
        <v>1148</v>
      </c>
      <c r="AH372" s="18" t="s">
        <v>1149</v>
      </c>
      <c r="AI372" s="18" t="s">
        <v>1150</v>
      </c>
      <c r="AJ372" s="18">
        <v>46</v>
      </c>
      <c r="AK372" s="18">
        <v>167616</v>
      </c>
      <c r="AL372" s="18" t="b">
        <v>0</v>
      </c>
      <c r="AM372" s="18">
        <v>0.54300000000000004</v>
      </c>
      <c r="AN372" s="18">
        <v>0.24399999999999999</v>
      </c>
      <c r="AO372" s="18">
        <v>0</v>
      </c>
      <c r="AP372" s="18">
        <v>-8.0619999999999994</v>
      </c>
      <c r="AQ372" s="18">
        <v>1</v>
      </c>
      <c r="AR372" s="18">
        <v>5.11E-2</v>
      </c>
      <c r="AS372" s="18">
        <v>0.86399999999999999</v>
      </c>
      <c r="AT372" s="18">
        <v>0</v>
      </c>
      <c r="AU372" s="18">
        <v>0.112</v>
      </c>
      <c r="AV372" s="18">
        <v>0.28999999999999998</v>
      </c>
      <c r="AW372" s="18">
        <v>126.34099999999999</v>
      </c>
      <c r="AX372" s="18">
        <v>3</v>
      </c>
      <c r="AY372" s="19" t="s">
        <v>24</v>
      </c>
    </row>
    <row r="373" spans="32:51" x14ac:dyDescent="0.35">
      <c r="AF373" s="14" t="s">
        <v>1151</v>
      </c>
      <c r="AG373" s="15" t="s">
        <v>26</v>
      </c>
      <c r="AH373" s="15" t="s">
        <v>1152</v>
      </c>
      <c r="AI373" s="15" t="s">
        <v>1152</v>
      </c>
      <c r="AJ373" s="15">
        <v>38</v>
      </c>
      <c r="AK373" s="15">
        <v>211672</v>
      </c>
      <c r="AL373" s="15" t="b">
        <v>0</v>
      </c>
      <c r="AM373" s="15">
        <v>0.67200000000000004</v>
      </c>
      <c r="AN373" s="15">
        <v>0.64400000000000002</v>
      </c>
      <c r="AO373" s="15">
        <v>11</v>
      </c>
      <c r="AP373" s="15">
        <v>-9.0630000000000006</v>
      </c>
      <c r="AQ373" s="15">
        <v>1</v>
      </c>
      <c r="AR373" s="15">
        <v>0.23599999999999999</v>
      </c>
      <c r="AS373" s="15">
        <v>0.79500000000000004</v>
      </c>
      <c r="AT373" s="15">
        <v>0</v>
      </c>
      <c r="AU373" s="15">
        <v>0.14599999999999999</v>
      </c>
      <c r="AV373" s="15">
        <v>0.54900000000000004</v>
      </c>
      <c r="AW373" s="15">
        <v>148.13499999999999</v>
      </c>
      <c r="AX373" s="15">
        <v>4</v>
      </c>
      <c r="AY373" s="16" t="s">
        <v>24</v>
      </c>
    </row>
    <row r="374" spans="32:51" x14ac:dyDescent="0.35">
      <c r="AF374" s="17" t="s">
        <v>1153</v>
      </c>
      <c r="AG374" s="18" t="s">
        <v>609</v>
      </c>
      <c r="AH374" s="18" t="s">
        <v>1154</v>
      </c>
      <c r="AI374" s="18" t="s">
        <v>1154</v>
      </c>
      <c r="AJ374" s="18">
        <v>65</v>
      </c>
      <c r="AK374" s="18">
        <v>274245</v>
      </c>
      <c r="AL374" s="18" t="b">
        <v>0</v>
      </c>
      <c r="AM374" s="18">
        <v>0.51500000000000001</v>
      </c>
      <c r="AN374" s="18">
        <v>0.76900000000000002</v>
      </c>
      <c r="AO374" s="18">
        <v>7</v>
      </c>
      <c r="AP374" s="18">
        <v>-5.6959999999999997</v>
      </c>
      <c r="AQ374" s="18">
        <v>1</v>
      </c>
      <c r="AR374" s="18">
        <v>3.1E-2</v>
      </c>
      <c r="AS374" s="18">
        <v>4.5600000000000002E-2</v>
      </c>
      <c r="AT374" s="18">
        <v>4.3600000000000002E-3</v>
      </c>
      <c r="AU374" s="18">
        <v>9.6100000000000005E-2</v>
      </c>
      <c r="AV374" s="18">
        <v>0.64400000000000002</v>
      </c>
      <c r="AW374" s="18">
        <v>153.04599999999999</v>
      </c>
      <c r="AX374" s="18">
        <v>4</v>
      </c>
      <c r="AY374" s="19" t="s">
        <v>24</v>
      </c>
    </row>
    <row r="375" spans="32:51" x14ac:dyDescent="0.35">
      <c r="AF375" s="14" t="s">
        <v>1155</v>
      </c>
      <c r="AG375" s="15" t="s">
        <v>1156</v>
      </c>
      <c r="AH375" s="15" t="s">
        <v>1157</v>
      </c>
      <c r="AI375" s="15" t="s">
        <v>1158</v>
      </c>
      <c r="AJ375" s="15">
        <v>60</v>
      </c>
      <c r="AK375" s="15">
        <v>170040</v>
      </c>
      <c r="AL375" s="15" t="b">
        <v>0</v>
      </c>
      <c r="AM375" s="15">
        <v>0.75900000000000001</v>
      </c>
      <c r="AN375" s="15">
        <v>0.68400000000000005</v>
      </c>
      <c r="AO375" s="15">
        <v>0</v>
      </c>
      <c r="AP375" s="15">
        <v>-5.7510000000000003</v>
      </c>
      <c r="AQ375" s="15">
        <v>1</v>
      </c>
      <c r="AR375" s="15">
        <v>3.15E-2</v>
      </c>
      <c r="AS375" s="15">
        <v>0.26900000000000002</v>
      </c>
      <c r="AT375" s="15">
        <v>0</v>
      </c>
      <c r="AU375" s="15">
        <v>0.13</v>
      </c>
      <c r="AV375" s="15">
        <v>0.75900000000000001</v>
      </c>
      <c r="AW375" s="15">
        <v>107.94799999999999</v>
      </c>
      <c r="AX375" s="15">
        <v>4</v>
      </c>
      <c r="AY375" s="16" t="s">
        <v>24</v>
      </c>
    </row>
    <row r="376" spans="32:51" x14ac:dyDescent="0.35">
      <c r="AF376" s="17" t="s">
        <v>1159</v>
      </c>
      <c r="AG376" s="18" t="s">
        <v>339</v>
      </c>
      <c r="AH376" s="18" t="s">
        <v>363</v>
      </c>
      <c r="AI376" s="18" t="s">
        <v>1160</v>
      </c>
      <c r="AJ376" s="18">
        <v>54</v>
      </c>
      <c r="AK376" s="18">
        <v>267765</v>
      </c>
      <c r="AL376" s="18" t="b">
        <v>0</v>
      </c>
      <c r="AM376" s="18">
        <v>0.62</v>
      </c>
      <c r="AN376" s="18">
        <v>0.21</v>
      </c>
      <c r="AO376" s="18">
        <v>11</v>
      </c>
      <c r="AP376" s="18">
        <v>-9.6329999999999991</v>
      </c>
      <c r="AQ376" s="18">
        <v>0</v>
      </c>
      <c r="AR376" s="18">
        <v>2.7400000000000001E-2</v>
      </c>
      <c r="AS376" s="18">
        <v>0.91100000000000003</v>
      </c>
      <c r="AT376" s="32" t="s">
        <v>1161</v>
      </c>
      <c r="AU376" s="18">
        <v>0.108</v>
      </c>
      <c r="AV376" s="18">
        <v>0.16300000000000001</v>
      </c>
      <c r="AW376" s="18">
        <v>98.558000000000007</v>
      </c>
      <c r="AX376" s="18">
        <v>3</v>
      </c>
      <c r="AY376" s="19" t="s">
        <v>24</v>
      </c>
    </row>
    <row r="377" spans="32:51" x14ac:dyDescent="0.35">
      <c r="AF377" s="14" t="s">
        <v>1162</v>
      </c>
      <c r="AG377" s="15" t="s">
        <v>1163</v>
      </c>
      <c r="AH377" s="15" t="s">
        <v>1164</v>
      </c>
      <c r="AI377" s="15" t="s">
        <v>1165</v>
      </c>
      <c r="AJ377" s="15">
        <v>37</v>
      </c>
      <c r="AK377" s="15">
        <v>250146</v>
      </c>
      <c r="AL377" s="15" t="b">
        <v>0</v>
      </c>
      <c r="AM377" s="15">
        <v>0.497</v>
      </c>
      <c r="AN377" s="15">
        <v>0.254</v>
      </c>
      <c r="AO377" s="15">
        <v>8</v>
      </c>
      <c r="AP377" s="15">
        <v>-11.715999999999999</v>
      </c>
      <c r="AQ377" s="15">
        <v>0</v>
      </c>
      <c r="AR377" s="15">
        <v>3.4099999999999998E-2</v>
      </c>
      <c r="AS377" s="15">
        <v>0.89100000000000001</v>
      </c>
      <c r="AT377" s="15">
        <v>4.41E-2</v>
      </c>
      <c r="AU377" s="15">
        <v>0.122</v>
      </c>
      <c r="AV377" s="15">
        <v>6.7599999999999993E-2</v>
      </c>
      <c r="AW377" s="15">
        <v>110.864</v>
      </c>
      <c r="AX377" s="15">
        <v>3</v>
      </c>
      <c r="AY377" s="16" t="s">
        <v>24</v>
      </c>
    </row>
    <row r="378" spans="32:51" x14ac:dyDescent="0.35">
      <c r="AF378" s="17" t="s">
        <v>1166</v>
      </c>
      <c r="AG378" s="18" t="s">
        <v>991</v>
      </c>
      <c r="AH378" s="18" t="s">
        <v>1144</v>
      </c>
      <c r="AI378" s="18" t="s">
        <v>1167</v>
      </c>
      <c r="AJ378" s="18">
        <v>34</v>
      </c>
      <c r="AK378" s="18">
        <v>290480</v>
      </c>
      <c r="AL378" s="18" t="b">
        <v>0</v>
      </c>
      <c r="AM378" s="18">
        <v>0.64400000000000002</v>
      </c>
      <c r="AN378" s="18">
        <v>0.60299999999999998</v>
      </c>
      <c r="AO378" s="18">
        <v>10</v>
      </c>
      <c r="AP378" s="18">
        <v>-5.83</v>
      </c>
      <c r="AQ378" s="18">
        <v>1</v>
      </c>
      <c r="AR378" s="18">
        <v>2.63E-2</v>
      </c>
      <c r="AS378" s="18">
        <v>0.30599999999999999</v>
      </c>
      <c r="AT378" s="18">
        <v>0</v>
      </c>
      <c r="AU378" s="18">
        <v>0.26200000000000001</v>
      </c>
      <c r="AV378" s="18">
        <v>0.51600000000000001</v>
      </c>
      <c r="AW378" s="18">
        <v>113.413</v>
      </c>
      <c r="AX378" s="18">
        <v>4</v>
      </c>
      <c r="AY378" s="19" t="s">
        <v>24</v>
      </c>
    </row>
    <row r="379" spans="32:51" x14ac:dyDescent="0.35">
      <c r="AF379" s="14" t="s">
        <v>1168</v>
      </c>
      <c r="AG379" s="15" t="s">
        <v>339</v>
      </c>
      <c r="AH379" s="15" t="s">
        <v>92</v>
      </c>
      <c r="AI379" s="15" t="s">
        <v>1169</v>
      </c>
      <c r="AJ379" s="15">
        <v>55</v>
      </c>
      <c r="AK379" s="15">
        <v>198218</v>
      </c>
      <c r="AL379" s="15" t="b">
        <v>0</v>
      </c>
      <c r="AM379" s="15">
        <v>0.45</v>
      </c>
      <c r="AN379" s="15">
        <v>0.254</v>
      </c>
      <c r="AO379" s="15">
        <v>4</v>
      </c>
      <c r="AP379" s="15">
        <v>-9.8729999999999993</v>
      </c>
      <c r="AQ379" s="15">
        <v>1</v>
      </c>
      <c r="AR379" s="15">
        <v>4.1399999999999999E-2</v>
      </c>
      <c r="AS379" s="15">
        <v>0.82699999999999996</v>
      </c>
      <c r="AT379" s="15">
        <v>0</v>
      </c>
      <c r="AU379" s="15">
        <v>0.20399999999999999</v>
      </c>
      <c r="AV379" s="15">
        <v>0.248</v>
      </c>
      <c r="AW379" s="15">
        <v>92.644000000000005</v>
      </c>
      <c r="AX379" s="15">
        <v>4</v>
      </c>
      <c r="AY379" s="16" t="s">
        <v>24</v>
      </c>
    </row>
    <row r="380" spans="32:51" x14ac:dyDescent="0.35">
      <c r="AF380" s="17" t="s">
        <v>1170</v>
      </c>
      <c r="AG380" s="18" t="s">
        <v>225</v>
      </c>
      <c r="AH380" s="18" t="s">
        <v>1171</v>
      </c>
      <c r="AI380" s="18" t="s">
        <v>1172</v>
      </c>
      <c r="AJ380" s="18">
        <v>51</v>
      </c>
      <c r="AK380" s="18">
        <v>225400</v>
      </c>
      <c r="AL380" s="18" t="b">
        <v>0</v>
      </c>
      <c r="AM380" s="18">
        <v>0.54800000000000004</v>
      </c>
      <c r="AN380" s="18">
        <v>0.3</v>
      </c>
      <c r="AO380" s="18">
        <v>4</v>
      </c>
      <c r="AP380" s="18">
        <v>-12.71</v>
      </c>
      <c r="AQ380" s="18">
        <v>1</v>
      </c>
      <c r="AR380" s="18">
        <v>2.98E-2</v>
      </c>
      <c r="AS380" s="18">
        <v>0.75700000000000001</v>
      </c>
      <c r="AT380" s="32" t="s">
        <v>1173</v>
      </c>
      <c r="AU380" s="18">
        <v>8.5099999999999995E-2</v>
      </c>
      <c r="AV380" s="18">
        <v>0.26400000000000001</v>
      </c>
      <c r="AW380" s="18">
        <v>135.90199999999999</v>
      </c>
      <c r="AX380" s="18">
        <v>4</v>
      </c>
      <c r="AY380" s="19" t="s">
        <v>24</v>
      </c>
    </row>
    <row r="381" spans="32:51" x14ac:dyDescent="0.35">
      <c r="AF381" s="14" t="s">
        <v>1174</v>
      </c>
      <c r="AG381" s="15" t="s">
        <v>1175</v>
      </c>
      <c r="AH381" s="15" t="s">
        <v>1176</v>
      </c>
      <c r="AI381" s="15" t="s">
        <v>1177</v>
      </c>
      <c r="AJ381" s="15">
        <v>48</v>
      </c>
      <c r="AK381" s="15">
        <v>259877</v>
      </c>
      <c r="AL381" s="15" t="b">
        <v>0</v>
      </c>
      <c r="AM381" s="15">
        <v>0.52100000000000002</v>
      </c>
      <c r="AN381" s="15">
        <v>0.50700000000000001</v>
      </c>
      <c r="AO381" s="15">
        <v>7</v>
      </c>
      <c r="AP381" s="15">
        <v>-7.0069999999999997</v>
      </c>
      <c r="AQ381" s="15">
        <v>1</v>
      </c>
      <c r="AR381" s="15">
        <v>3.1899999999999998E-2</v>
      </c>
      <c r="AS381" s="15">
        <v>1.6199999999999999E-2</v>
      </c>
      <c r="AT381" s="31" t="s">
        <v>1178</v>
      </c>
      <c r="AU381" s="15">
        <v>0.14799999999999999</v>
      </c>
      <c r="AV381" s="15">
        <v>0.153</v>
      </c>
      <c r="AW381" s="15">
        <v>108.16800000000001</v>
      </c>
      <c r="AX381" s="15">
        <v>4</v>
      </c>
      <c r="AY381" s="16" t="s">
        <v>24</v>
      </c>
    </row>
    <row r="382" spans="32:51" x14ac:dyDescent="0.35">
      <c r="AF382" s="17" t="s">
        <v>1179</v>
      </c>
      <c r="AG382" s="18" t="s">
        <v>991</v>
      </c>
      <c r="AH382" s="18" t="s">
        <v>1180</v>
      </c>
      <c r="AI382" s="18" t="s">
        <v>1181</v>
      </c>
      <c r="AJ382" s="18">
        <v>34</v>
      </c>
      <c r="AK382" s="18">
        <v>288426</v>
      </c>
      <c r="AL382" s="18" t="b">
        <v>0</v>
      </c>
      <c r="AM382" s="18">
        <v>0.58699999999999997</v>
      </c>
      <c r="AN382" s="18">
        <v>0.84199999999999997</v>
      </c>
      <c r="AO382" s="18">
        <v>4</v>
      </c>
      <c r="AP382" s="18">
        <v>-6.04</v>
      </c>
      <c r="AQ382" s="18">
        <v>1</v>
      </c>
      <c r="AR382" s="18">
        <v>2.6800000000000001E-2</v>
      </c>
      <c r="AS382" s="18">
        <v>0.27800000000000002</v>
      </c>
      <c r="AT382" s="18">
        <v>0</v>
      </c>
      <c r="AU382" s="18">
        <v>0.16300000000000001</v>
      </c>
      <c r="AV382" s="18">
        <v>0.69299999999999995</v>
      </c>
      <c r="AW382" s="18">
        <v>97.013000000000005</v>
      </c>
      <c r="AX382" s="18">
        <v>4</v>
      </c>
      <c r="AY382" s="19" t="s">
        <v>24</v>
      </c>
    </row>
    <row r="383" spans="32:51" x14ac:dyDescent="0.35">
      <c r="AF383" s="14" t="s">
        <v>1182</v>
      </c>
      <c r="AG383" s="15" t="s">
        <v>408</v>
      </c>
      <c r="AH383" s="15" t="s">
        <v>1183</v>
      </c>
      <c r="AI383" s="15" t="s">
        <v>1183</v>
      </c>
      <c r="AJ383" s="15">
        <v>51</v>
      </c>
      <c r="AK383" s="15">
        <v>219363</v>
      </c>
      <c r="AL383" s="15" t="b">
        <v>0</v>
      </c>
      <c r="AM383" s="15">
        <v>0.54300000000000004</v>
      </c>
      <c r="AN383" s="15">
        <v>0.32400000000000001</v>
      </c>
      <c r="AO383" s="15">
        <v>0</v>
      </c>
      <c r="AP383" s="15">
        <v>-11.257999999999999</v>
      </c>
      <c r="AQ383" s="15">
        <v>1</v>
      </c>
      <c r="AR383" s="15">
        <v>3.1600000000000003E-2</v>
      </c>
      <c r="AS383" s="15">
        <v>0.45200000000000001</v>
      </c>
      <c r="AT383" s="31" t="s">
        <v>1184</v>
      </c>
      <c r="AU383" s="15">
        <v>0.41199999999999998</v>
      </c>
      <c r="AV383" s="15">
        <v>0.18099999999999999</v>
      </c>
      <c r="AW383" s="15">
        <v>139.88300000000001</v>
      </c>
      <c r="AX383" s="15">
        <v>4</v>
      </c>
      <c r="AY383" s="16" t="s">
        <v>24</v>
      </c>
    </row>
    <row r="384" spans="32:51" x14ac:dyDescent="0.35">
      <c r="AF384" s="17" t="s">
        <v>1185</v>
      </c>
      <c r="AG384" s="18" t="s">
        <v>258</v>
      </c>
      <c r="AH384" s="18" t="s">
        <v>1186</v>
      </c>
      <c r="AI384" s="18" t="s">
        <v>1186</v>
      </c>
      <c r="AJ384" s="18">
        <v>54</v>
      </c>
      <c r="AK384" s="18">
        <v>208426</v>
      </c>
      <c r="AL384" s="18" t="b">
        <v>0</v>
      </c>
      <c r="AM384" s="18">
        <v>0.74199999999999999</v>
      </c>
      <c r="AN384" s="18">
        <v>0.63600000000000001</v>
      </c>
      <c r="AO384" s="18">
        <v>11</v>
      </c>
      <c r="AP384" s="18">
        <v>-6.7439999999999998</v>
      </c>
      <c r="AQ384" s="18">
        <v>1</v>
      </c>
      <c r="AR384" s="18">
        <v>3.3099999999999997E-2</v>
      </c>
      <c r="AS384" s="18">
        <v>0.44600000000000001</v>
      </c>
      <c r="AT384" s="18">
        <v>0</v>
      </c>
      <c r="AU384" s="18">
        <v>8.1699999999999995E-2</v>
      </c>
      <c r="AV384" s="18">
        <v>0.48</v>
      </c>
      <c r="AW384" s="18">
        <v>95.001999999999995</v>
      </c>
      <c r="AX384" s="18">
        <v>4</v>
      </c>
      <c r="AY384" s="19" t="s">
        <v>24</v>
      </c>
    </row>
    <row r="385" spans="32:51" x14ac:dyDescent="0.35">
      <c r="AF385" s="14" t="s">
        <v>1187</v>
      </c>
      <c r="AG385" s="15" t="s">
        <v>1188</v>
      </c>
      <c r="AH385" s="15" t="s">
        <v>1189</v>
      </c>
      <c r="AI385" s="15" t="s">
        <v>1189</v>
      </c>
      <c r="AJ385" s="15">
        <v>32</v>
      </c>
      <c r="AK385" s="15">
        <v>283480</v>
      </c>
      <c r="AL385" s="15" t="b">
        <v>0</v>
      </c>
      <c r="AM385" s="15">
        <v>0.70699999999999996</v>
      </c>
      <c r="AN385" s="15">
        <v>0.40200000000000002</v>
      </c>
      <c r="AO385" s="15">
        <v>4</v>
      </c>
      <c r="AP385" s="15">
        <v>-9.7729999999999997</v>
      </c>
      <c r="AQ385" s="15">
        <v>1</v>
      </c>
      <c r="AR385" s="15">
        <v>2.5100000000000001E-2</v>
      </c>
      <c r="AS385" s="15">
        <v>0.67700000000000005</v>
      </c>
      <c r="AT385" s="15">
        <v>0</v>
      </c>
      <c r="AU385" s="15">
        <v>0.104</v>
      </c>
      <c r="AV385" s="15">
        <v>0.313</v>
      </c>
      <c r="AW385" s="15">
        <v>94.99</v>
      </c>
      <c r="AX385" s="15">
        <v>4</v>
      </c>
      <c r="AY385" s="16" t="s">
        <v>24</v>
      </c>
    </row>
    <row r="386" spans="32:51" x14ac:dyDescent="0.35">
      <c r="AF386" s="17" t="s">
        <v>1190</v>
      </c>
      <c r="AG386" s="18" t="s">
        <v>258</v>
      </c>
      <c r="AH386" s="18" t="s">
        <v>672</v>
      </c>
      <c r="AI386" s="18" t="s">
        <v>1191</v>
      </c>
      <c r="AJ386" s="18">
        <v>54</v>
      </c>
      <c r="AK386" s="18">
        <v>205586</v>
      </c>
      <c r="AL386" s="18" t="b">
        <v>0</v>
      </c>
      <c r="AM386" s="18">
        <v>0.52</v>
      </c>
      <c r="AN386" s="18">
        <v>0.308</v>
      </c>
      <c r="AO386" s="18">
        <v>7</v>
      </c>
      <c r="AP386" s="18">
        <v>-11.996</v>
      </c>
      <c r="AQ386" s="18">
        <v>1</v>
      </c>
      <c r="AR386" s="18">
        <v>3.3099999999999997E-2</v>
      </c>
      <c r="AS386" s="18">
        <v>0.77600000000000002</v>
      </c>
      <c r="AT386" s="18">
        <v>2.8500000000000001E-3</v>
      </c>
      <c r="AU386" s="18">
        <v>0.115</v>
      </c>
      <c r="AV386" s="18">
        <v>0.187</v>
      </c>
      <c r="AW386" s="18">
        <v>125.93</v>
      </c>
      <c r="AX386" s="18">
        <v>3</v>
      </c>
      <c r="AY386" s="19" t="s">
        <v>24</v>
      </c>
    </row>
    <row r="387" spans="32:51" x14ac:dyDescent="0.35">
      <c r="AF387" s="14" t="s">
        <v>1192</v>
      </c>
      <c r="AG387" s="15" t="s">
        <v>1193</v>
      </c>
      <c r="AH387" s="15" t="s">
        <v>736</v>
      </c>
      <c r="AI387" s="15" t="s">
        <v>1194</v>
      </c>
      <c r="AJ387" s="15">
        <v>61</v>
      </c>
      <c r="AK387" s="15">
        <v>304293</v>
      </c>
      <c r="AL387" s="15" t="b">
        <v>0</v>
      </c>
      <c r="AM387" s="15">
        <v>0.39200000000000002</v>
      </c>
      <c r="AN387" s="15">
        <v>0.251</v>
      </c>
      <c r="AO387" s="15">
        <v>10</v>
      </c>
      <c r="AP387" s="15">
        <v>-9.8450000000000006</v>
      </c>
      <c r="AQ387" s="15">
        <v>1</v>
      </c>
      <c r="AR387" s="15">
        <v>3.6299999999999999E-2</v>
      </c>
      <c r="AS387" s="15">
        <v>0.80700000000000005</v>
      </c>
      <c r="AT387" s="15">
        <v>0</v>
      </c>
      <c r="AU387" s="15">
        <v>7.9699999999999993E-2</v>
      </c>
      <c r="AV387" s="15">
        <v>0.50800000000000001</v>
      </c>
      <c r="AW387" s="15">
        <v>204.96100000000001</v>
      </c>
      <c r="AX387" s="15">
        <v>4</v>
      </c>
      <c r="AY387" s="16" t="s">
        <v>24</v>
      </c>
    </row>
    <row r="388" spans="32:51" x14ac:dyDescent="0.35">
      <c r="AF388" s="17" t="s">
        <v>1195</v>
      </c>
      <c r="AG388" s="18" t="s">
        <v>339</v>
      </c>
      <c r="AH388" s="18" t="s">
        <v>736</v>
      </c>
      <c r="AI388" s="18" t="s">
        <v>1196</v>
      </c>
      <c r="AJ388" s="18">
        <v>55</v>
      </c>
      <c r="AK388" s="18">
        <v>239573</v>
      </c>
      <c r="AL388" s="18" t="b">
        <v>0</v>
      </c>
      <c r="AM388" s="18">
        <v>0.53100000000000003</v>
      </c>
      <c r="AN388" s="18">
        <v>0.29599999999999999</v>
      </c>
      <c r="AO388" s="18">
        <v>1</v>
      </c>
      <c r="AP388" s="18">
        <v>-7.5940000000000003</v>
      </c>
      <c r="AQ388" s="18">
        <v>1</v>
      </c>
      <c r="AR388" s="18">
        <v>3.04E-2</v>
      </c>
      <c r="AS388" s="18">
        <v>0.84</v>
      </c>
      <c r="AT388" s="18">
        <v>0</v>
      </c>
      <c r="AU388" s="18">
        <v>0.124</v>
      </c>
      <c r="AV388" s="18">
        <v>0.21199999999999999</v>
      </c>
      <c r="AW388" s="18">
        <v>106.35899999999999</v>
      </c>
      <c r="AX388" s="18">
        <v>4</v>
      </c>
      <c r="AY388" s="19" t="s">
        <v>24</v>
      </c>
    </row>
    <row r="389" spans="32:51" x14ac:dyDescent="0.35">
      <c r="AF389" s="14" t="s">
        <v>1197</v>
      </c>
      <c r="AG389" s="15" t="s">
        <v>184</v>
      </c>
      <c r="AH389" s="15" t="s">
        <v>1031</v>
      </c>
      <c r="AI389" s="15" t="s">
        <v>1031</v>
      </c>
      <c r="AJ389" s="15">
        <v>55</v>
      </c>
      <c r="AK389" s="15">
        <v>227128</v>
      </c>
      <c r="AL389" s="15" t="b">
        <v>0</v>
      </c>
      <c r="AM389" s="15">
        <v>0.68100000000000005</v>
      </c>
      <c r="AN389" s="15">
        <v>0.60799999999999998</v>
      </c>
      <c r="AO389" s="15">
        <v>8</v>
      </c>
      <c r="AP389" s="15">
        <v>-8.3689999999999998</v>
      </c>
      <c r="AQ389" s="15">
        <v>1</v>
      </c>
      <c r="AR389" s="15">
        <v>3.39E-2</v>
      </c>
      <c r="AS389" s="15">
        <v>0.62</v>
      </c>
      <c r="AT389" s="15">
        <v>4.2499999999999998E-4</v>
      </c>
      <c r="AU389" s="15">
        <v>0.13600000000000001</v>
      </c>
      <c r="AV389" s="15">
        <v>0.315</v>
      </c>
      <c r="AW389" s="15">
        <v>123.991</v>
      </c>
      <c r="AX389" s="15">
        <v>4</v>
      </c>
      <c r="AY389" s="16" t="s">
        <v>24</v>
      </c>
    </row>
    <row r="390" spans="32:51" x14ac:dyDescent="0.35">
      <c r="AF390" s="17" t="s">
        <v>1198</v>
      </c>
      <c r="AG390" s="18" t="s">
        <v>991</v>
      </c>
      <c r="AH390" s="18" t="s">
        <v>1199</v>
      </c>
      <c r="AI390" s="18" t="s">
        <v>1200</v>
      </c>
      <c r="AJ390" s="18">
        <v>34</v>
      </c>
      <c r="AK390" s="18">
        <v>243066</v>
      </c>
      <c r="AL390" s="18" t="b">
        <v>0</v>
      </c>
      <c r="AM390" s="18">
        <v>0.56899999999999995</v>
      </c>
      <c r="AN390" s="18">
        <v>0.86099999999999999</v>
      </c>
      <c r="AO390" s="18">
        <v>1</v>
      </c>
      <c r="AP390" s="18">
        <v>-4.5469999999999997</v>
      </c>
      <c r="AQ390" s="18">
        <v>0</v>
      </c>
      <c r="AR390" s="18">
        <v>4.0599999999999997E-2</v>
      </c>
      <c r="AS390" s="18">
        <v>4.2500000000000003E-2</v>
      </c>
      <c r="AT390" s="18">
        <v>0</v>
      </c>
      <c r="AU390" s="18">
        <v>0.20399999999999999</v>
      </c>
      <c r="AV390" s="18">
        <v>0.51100000000000001</v>
      </c>
      <c r="AW390" s="18">
        <v>77.983000000000004</v>
      </c>
      <c r="AX390" s="18">
        <v>4</v>
      </c>
      <c r="AY390" s="19" t="s">
        <v>24</v>
      </c>
    </row>
    <row r="391" spans="32:51" x14ac:dyDescent="0.35">
      <c r="AF391" s="14" t="s">
        <v>1201</v>
      </c>
      <c r="AG391" s="15" t="s">
        <v>1202</v>
      </c>
      <c r="AH391" s="15" t="s">
        <v>1203</v>
      </c>
      <c r="AI391" s="15" t="s">
        <v>1204</v>
      </c>
      <c r="AJ391" s="15">
        <v>33</v>
      </c>
      <c r="AK391" s="15">
        <v>369200</v>
      </c>
      <c r="AL391" s="15" t="b">
        <v>0</v>
      </c>
      <c r="AM391" s="15">
        <v>0.70699999999999996</v>
      </c>
      <c r="AN391" s="15">
        <v>0.29599999999999999</v>
      </c>
      <c r="AO391" s="15">
        <v>7</v>
      </c>
      <c r="AP391" s="15">
        <v>-11.632999999999999</v>
      </c>
      <c r="AQ391" s="15">
        <v>1</v>
      </c>
      <c r="AR391" s="15">
        <v>7.8E-2</v>
      </c>
      <c r="AS391" s="15">
        <v>0.28299999999999997</v>
      </c>
      <c r="AT391" s="15">
        <v>0</v>
      </c>
      <c r="AU391" s="15">
        <v>6.0100000000000001E-2</v>
      </c>
      <c r="AV391" s="15">
        <v>0.65</v>
      </c>
      <c r="AW391" s="15">
        <v>88.006</v>
      </c>
      <c r="AX391" s="15">
        <v>4</v>
      </c>
      <c r="AY391" s="16" t="s">
        <v>24</v>
      </c>
    </row>
    <row r="392" spans="32:51" x14ac:dyDescent="0.35">
      <c r="AF392" s="17" t="s">
        <v>1205</v>
      </c>
      <c r="AG392" s="18" t="s">
        <v>1206</v>
      </c>
      <c r="AH392" s="18" t="s">
        <v>1207</v>
      </c>
      <c r="AI392" s="18" t="s">
        <v>1208</v>
      </c>
      <c r="AJ392" s="18">
        <v>45</v>
      </c>
      <c r="AK392" s="18">
        <v>77093</v>
      </c>
      <c r="AL392" s="18" t="b">
        <v>0</v>
      </c>
      <c r="AM392" s="18">
        <v>0.51900000000000002</v>
      </c>
      <c r="AN392" s="18">
        <v>6.4600000000000005E-2</v>
      </c>
      <c r="AO392" s="18">
        <v>2</v>
      </c>
      <c r="AP392" s="18">
        <v>-18.898</v>
      </c>
      <c r="AQ392" s="18">
        <v>1</v>
      </c>
      <c r="AR392" s="18">
        <v>4.3299999999999998E-2</v>
      </c>
      <c r="AS392" s="18">
        <v>0.98199999999999998</v>
      </c>
      <c r="AT392" s="32" t="s">
        <v>1209</v>
      </c>
      <c r="AU392" s="18">
        <v>0.105</v>
      </c>
      <c r="AV392" s="18">
        <v>0.39500000000000002</v>
      </c>
      <c r="AW392" s="18">
        <v>121.696</v>
      </c>
      <c r="AX392" s="18">
        <v>4</v>
      </c>
      <c r="AY392" s="19" t="s">
        <v>24</v>
      </c>
    </row>
    <row r="393" spans="32:51" x14ac:dyDescent="0.35">
      <c r="AF393" s="14" t="s">
        <v>1210</v>
      </c>
      <c r="AG393" s="15" t="s">
        <v>1202</v>
      </c>
      <c r="AH393" s="15" t="s">
        <v>1211</v>
      </c>
      <c r="AI393" s="15" t="s">
        <v>1212</v>
      </c>
      <c r="AJ393" s="15">
        <v>33</v>
      </c>
      <c r="AK393" s="15">
        <v>244840</v>
      </c>
      <c r="AL393" s="15" t="b">
        <v>0</v>
      </c>
      <c r="AM393" s="15">
        <v>0.60799999999999998</v>
      </c>
      <c r="AN393" s="15">
        <v>0.70499999999999996</v>
      </c>
      <c r="AO393" s="15">
        <v>3</v>
      </c>
      <c r="AP393" s="15">
        <v>-5.1779999999999999</v>
      </c>
      <c r="AQ393" s="15">
        <v>1</v>
      </c>
      <c r="AR393" s="15">
        <v>2.53E-2</v>
      </c>
      <c r="AS393" s="15">
        <v>7.8E-2</v>
      </c>
      <c r="AT393" s="31" t="s">
        <v>1213</v>
      </c>
      <c r="AU393" s="15">
        <v>0.17899999999999999</v>
      </c>
      <c r="AV393" s="15">
        <v>0.621</v>
      </c>
      <c r="AW393" s="15">
        <v>111.20399999999999</v>
      </c>
      <c r="AX393" s="15">
        <v>4</v>
      </c>
      <c r="AY393" s="16" t="s">
        <v>24</v>
      </c>
    </row>
    <row r="394" spans="32:51" x14ac:dyDescent="0.35">
      <c r="AF394" s="17" t="s">
        <v>1214</v>
      </c>
      <c r="AG394" s="18" t="s">
        <v>991</v>
      </c>
      <c r="AH394" s="18" t="s">
        <v>1215</v>
      </c>
      <c r="AI394" s="18" t="s">
        <v>1215</v>
      </c>
      <c r="AJ394" s="18">
        <v>34</v>
      </c>
      <c r="AK394" s="18">
        <v>275266</v>
      </c>
      <c r="AL394" s="18" t="b">
        <v>0</v>
      </c>
      <c r="AM394" s="18">
        <v>0.58499999999999996</v>
      </c>
      <c r="AN394" s="18">
        <v>0.73399999999999999</v>
      </c>
      <c r="AO394" s="18">
        <v>9</v>
      </c>
      <c r="AP394" s="18">
        <v>-5.3650000000000002</v>
      </c>
      <c r="AQ394" s="18">
        <v>1</v>
      </c>
      <c r="AR394" s="18">
        <v>3.2000000000000001E-2</v>
      </c>
      <c r="AS394" s="18">
        <v>3.3399999999999999E-2</v>
      </c>
      <c r="AT394" s="18">
        <v>0</v>
      </c>
      <c r="AU394" s="18">
        <v>9.3399999999999997E-2</v>
      </c>
      <c r="AV394" s="18">
        <v>0.41299999999999998</v>
      </c>
      <c r="AW394" s="18">
        <v>117.84</v>
      </c>
      <c r="AX394" s="18">
        <v>4</v>
      </c>
      <c r="AY394" s="19" t="s">
        <v>24</v>
      </c>
    </row>
    <row r="395" spans="32:51" x14ac:dyDescent="0.35">
      <c r="AF395" s="14" t="s">
        <v>1216</v>
      </c>
      <c r="AG395" s="15" t="s">
        <v>991</v>
      </c>
      <c r="AH395" s="15" t="s">
        <v>1217</v>
      </c>
      <c r="AI395" s="15" t="s">
        <v>1218</v>
      </c>
      <c r="AJ395" s="15">
        <v>34</v>
      </c>
      <c r="AK395" s="15">
        <v>330720</v>
      </c>
      <c r="AL395" s="15" t="b">
        <v>0</v>
      </c>
      <c r="AM395" s="15">
        <v>0.52700000000000002</v>
      </c>
      <c r="AN395" s="15">
        <v>0.89</v>
      </c>
      <c r="AO395" s="15">
        <v>7</v>
      </c>
      <c r="AP395" s="15">
        <v>-5.6509999999999998</v>
      </c>
      <c r="AQ395" s="15">
        <v>1</v>
      </c>
      <c r="AR395" s="15">
        <v>6.6500000000000004E-2</v>
      </c>
      <c r="AS395" s="15">
        <v>4.3299999999999996E-3</v>
      </c>
      <c r="AT395" s="15">
        <v>0</v>
      </c>
      <c r="AU395" s="15">
        <v>0.11799999999999999</v>
      </c>
      <c r="AV395" s="15">
        <v>0.42499999999999999</v>
      </c>
      <c r="AW395" s="15">
        <v>102.64400000000001</v>
      </c>
      <c r="AX395" s="15">
        <v>4</v>
      </c>
      <c r="AY395" s="16" t="s">
        <v>24</v>
      </c>
    </row>
    <row r="396" spans="32:51" x14ac:dyDescent="0.35">
      <c r="AF396" s="17" t="s">
        <v>1219</v>
      </c>
      <c r="AG396" s="18" t="s">
        <v>263</v>
      </c>
      <c r="AH396" s="18" t="s">
        <v>100</v>
      </c>
      <c r="AI396" s="18" t="s">
        <v>1220</v>
      </c>
      <c r="AJ396" s="18">
        <v>49</v>
      </c>
      <c r="AK396" s="18">
        <v>163960</v>
      </c>
      <c r="AL396" s="18" t="b">
        <v>0</v>
      </c>
      <c r="AM396" s="18">
        <v>0.495</v>
      </c>
      <c r="AN396" s="18">
        <v>0.22</v>
      </c>
      <c r="AO396" s="18">
        <v>5</v>
      </c>
      <c r="AP396" s="18">
        <v>-11.16</v>
      </c>
      <c r="AQ396" s="18">
        <v>1</v>
      </c>
      <c r="AR396" s="18">
        <v>3.5499999999999997E-2</v>
      </c>
      <c r="AS396" s="18">
        <v>0.84699999999999998</v>
      </c>
      <c r="AT396" s="32" t="s">
        <v>1221</v>
      </c>
      <c r="AU396" s="18">
        <v>9.5699999999999993E-2</v>
      </c>
      <c r="AV396" s="18">
        <v>0.34499999999999997</v>
      </c>
      <c r="AW396" s="18">
        <v>126.61799999999999</v>
      </c>
      <c r="AX396" s="18">
        <v>4</v>
      </c>
      <c r="AY396" s="19" t="s">
        <v>24</v>
      </c>
    </row>
    <row r="397" spans="32:51" x14ac:dyDescent="0.35">
      <c r="AF397" s="14" t="s">
        <v>1222</v>
      </c>
      <c r="AG397" s="15" t="s">
        <v>1223</v>
      </c>
      <c r="AH397" s="15" t="s">
        <v>1224</v>
      </c>
      <c r="AI397" s="15" t="s">
        <v>1224</v>
      </c>
      <c r="AJ397" s="15">
        <v>33</v>
      </c>
      <c r="AK397" s="15">
        <v>193874</v>
      </c>
      <c r="AL397" s="15" t="b">
        <v>0</v>
      </c>
      <c r="AM397" s="15">
        <v>0.628</v>
      </c>
      <c r="AN397" s="15">
        <v>0.42399999999999999</v>
      </c>
      <c r="AO397" s="15">
        <v>6</v>
      </c>
      <c r="AP397" s="15">
        <v>-8.5389999999999997</v>
      </c>
      <c r="AQ397" s="15">
        <v>1</v>
      </c>
      <c r="AR397" s="15">
        <v>4.1599999999999998E-2</v>
      </c>
      <c r="AS397" s="15">
        <v>0.39500000000000002</v>
      </c>
      <c r="AT397" s="31" t="s">
        <v>1225</v>
      </c>
      <c r="AU397" s="15">
        <v>0.106</v>
      </c>
      <c r="AV397" s="15">
        <v>0.157</v>
      </c>
      <c r="AW397" s="15">
        <v>99.695999999999998</v>
      </c>
      <c r="AX397" s="15">
        <v>1</v>
      </c>
      <c r="AY397" s="16" t="s">
        <v>24</v>
      </c>
    </row>
    <row r="398" spans="32:51" x14ac:dyDescent="0.35">
      <c r="AF398" s="17" t="s">
        <v>1226</v>
      </c>
      <c r="AG398" s="18" t="s">
        <v>140</v>
      </c>
      <c r="AH398" s="18" t="s">
        <v>1227</v>
      </c>
      <c r="AI398" s="18" t="s">
        <v>1228</v>
      </c>
      <c r="AJ398" s="18">
        <v>62</v>
      </c>
      <c r="AK398" s="18">
        <v>213732</v>
      </c>
      <c r="AL398" s="18" t="b">
        <v>0</v>
      </c>
      <c r="AM398" s="18">
        <v>0.63900000000000001</v>
      </c>
      <c r="AN398" s="18">
        <v>0.66600000000000004</v>
      </c>
      <c r="AO398" s="18">
        <v>0</v>
      </c>
      <c r="AP398" s="18">
        <v>-7.7750000000000004</v>
      </c>
      <c r="AQ398" s="18">
        <v>1</v>
      </c>
      <c r="AR398" s="18">
        <v>6.3600000000000004E-2</v>
      </c>
      <c r="AS398" s="18">
        <v>0.27100000000000002</v>
      </c>
      <c r="AT398" s="18">
        <v>0</v>
      </c>
      <c r="AU398" s="18">
        <v>0.111</v>
      </c>
      <c r="AV398" s="18">
        <v>0.372</v>
      </c>
      <c r="AW398" s="18">
        <v>98.384</v>
      </c>
      <c r="AX398" s="18">
        <v>4</v>
      </c>
      <c r="AY398" s="19" t="s">
        <v>24</v>
      </c>
    </row>
    <row r="399" spans="32:51" x14ac:dyDescent="0.35">
      <c r="AF399" s="14" t="s">
        <v>1229</v>
      </c>
      <c r="AG399" s="15" t="s">
        <v>1230</v>
      </c>
      <c r="AH399" s="15" t="s">
        <v>1231</v>
      </c>
      <c r="AI399" s="15" t="s">
        <v>1232</v>
      </c>
      <c r="AJ399" s="15">
        <v>33</v>
      </c>
      <c r="AK399" s="15">
        <v>227053</v>
      </c>
      <c r="AL399" s="15" t="b">
        <v>0</v>
      </c>
      <c r="AM399" s="15">
        <v>0.245</v>
      </c>
      <c r="AN399" s="15">
        <v>0.624</v>
      </c>
      <c r="AO399" s="15">
        <v>2</v>
      </c>
      <c r="AP399" s="15">
        <v>-5.6059999999999999</v>
      </c>
      <c r="AQ399" s="15">
        <v>1</v>
      </c>
      <c r="AR399" s="15">
        <v>3.6799999999999999E-2</v>
      </c>
      <c r="AS399" s="15">
        <v>0.11</v>
      </c>
      <c r="AT399" s="15">
        <v>0</v>
      </c>
      <c r="AU399" s="15">
        <v>0.36299999999999999</v>
      </c>
      <c r="AV399" s="15">
        <v>0.46200000000000002</v>
      </c>
      <c r="AW399" s="15">
        <v>162.58600000000001</v>
      </c>
      <c r="AX399" s="15">
        <v>3</v>
      </c>
      <c r="AY399" s="16" t="s">
        <v>24</v>
      </c>
    </row>
    <row r="400" spans="32:51" x14ac:dyDescent="0.35">
      <c r="AF400" s="17" t="s">
        <v>1233</v>
      </c>
      <c r="AG400" s="18" t="s">
        <v>1073</v>
      </c>
      <c r="AH400" s="18" t="s">
        <v>1234</v>
      </c>
      <c r="AI400" s="18" t="s">
        <v>1235</v>
      </c>
      <c r="AJ400" s="18">
        <v>31</v>
      </c>
      <c r="AK400" s="18">
        <v>215440</v>
      </c>
      <c r="AL400" s="18" t="b">
        <v>0</v>
      </c>
      <c r="AM400" s="18">
        <v>0.38700000000000001</v>
      </c>
      <c r="AN400" s="18">
        <v>0.52600000000000002</v>
      </c>
      <c r="AO400" s="18">
        <v>9</v>
      </c>
      <c r="AP400" s="18">
        <v>-7.6109999999999998</v>
      </c>
      <c r="AQ400" s="18">
        <v>0</v>
      </c>
      <c r="AR400" s="18">
        <v>3.0099999999999998E-2</v>
      </c>
      <c r="AS400" s="18">
        <v>0.24399999999999999</v>
      </c>
      <c r="AT400" s="18">
        <v>3.86E-4</v>
      </c>
      <c r="AU400" s="18">
        <v>0.105</v>
      </c>
      <c r="AV400" s="18">
        <v>0.33400000000000002</v>
      </c>
      <c r="AW400" s="18">
        <v>130.71899999999999</v>
      </c>
      <c r="AX400" s="18">
        <v>4</v>
      </c>
      <c r="AY400" s="19" t="s">
        <v>24</v>
      </c>
    </row>
    <row r="401" spans="32:51" x14ac:dyDescent="0.35">
      <c r="AF401" s="14" t="s">
        <v>1236</v>
      </c>
      <c r="AG401" s="15" t="s">
        <v>769</v>
      </c>
      <c r="AH401" s="15" t="s">
        <v>1237</v>
      </c>
      <c r="AI401" s="15" t="s">
        <v>1238</v>
      </c>
      <c r="AJ401" s="15">
        <v>32</v>
      </c>
      <c r="AK401" s="15">
        <v>136543</v>
      </c>
      <c r="AL401" s="15" t="b">
        <v>0</v>
      </c>
      <c r="AM401" s="15">
        <v>0.53900000000000003</v>
      </c>
      <c r="AN401" s="15">
        <v>0.67500000000000004</v>
      </c>
      <c r="AO401" s="15">
        <v>2</v>
      </c>
      <c r="AP401" s="15">
        <v>-6.9870000000000001</v>
      </c>
      <c r="AQ401" s="15">
        <v>1</v>
      </c>
      <c r="AR401" s="15">
        <v>7.0900000000000005E-2</v>
      </c>
      <c r="AS401" s="15">
        <v>0.188</v>
      </c>
      <c r="AT401" s="15">
        <v>0</v>
      </c>
      <c r="AU401" s="15">
        <v>0.19800000000000001</v>
      </c>
      <c r="AV401" s="15">
        <v>0.71899999999999997</v>
      </c>
      <c r="AW401" s="15">
        <v>142.041</v>
      </c>
      <c r="AX401" s="15">
        <v>4</v>
      </c>
      <c r="AY401" s="16" t="s">
        <v>24</v>
      </c>
    </row>
    <row r="402" spans="32:51" x14ac:dyDescent="0.35">
      <c r="AF402" s="17" t="s">
        <v>1239</v>
      </c>
      <c r="AG402" s="18" t="s">
        <v>769</v>
      </c>
      <c r="AH402" s="18" t="s">
        <v>1237</v>
      </c>
      <c r="AI402" s="18" t="s">
        <v>1240</v>
      </c>
      <c r="AJ402" s="18">
        <v>32</v>
      </c>
      <c r="AK402" s="18">
        <v>223707</v>
      </c>
      <c r="AL402" s="18" t="b">
        <v>1</v>
      </c>
      <c r="AM402" s="18">
        <v>0.48699999999999999</v>
      </c>
      <c r="AN402" s="18">
        <v>0.83699999999999997</v>
      </c>
      <c r="AO402" s="18">
        <v>0</v>
      </c>
      <c r="AP402" s="18">
        <v>-5.8650000000000002</v>
      </c>
      <c r="AQ402" s="18">
        <v>1</v>
      </c>
      <c r="AR402" s="18">
        <v>6.2300000000000001E-2</v>
      </c>
      <c r="AS402" s="18">
        <v>1.3299999999999999E-2</v>
      </c>
      <c r="AT402" s="18">
        <v>0</v>
      </c>
      <c r="AU402" s="18">
        <v>0.10199999999999999</v>
      </c>
      <c r="AV402" s="18">
        <v>0.20699999999999999</v>
      </c>
      <c r="AW402" s="18">
        <v>160.02500000000001</v>
      </c>
      <c r="AX402" s="18">
        <v>4</v>
      </c>
      <c r="AY402" s="19" t="s">
        <v>24</v>
      </c>
    </row>
    <row r="403" spans="32:51" x14ac:dyDescent="0.35">
      <c r="AF403" s="14" t="s">
        <v>1241</v>
      </c>
      <c r="AG403" s="15" t="s">
        <v>1242</v>
      </c>
      <c r="AH403" s="15" t="s">
        <v>1243</v>
      </c>
      <c r="AI403" s="15" t="s">
        <v>1244</v>
      </c>
      <c r="AJ403" s="15">
        <v>54</v>
      </c>
      <c r="AK403" s="15">
        <v>188181</v>
      </c>
      <c r="AL403" s="15" t="b">
        <v>0</v>
      </c>
      <c r="AM403" s="15">
        <v>0.52900000000000003</v>
      </c>
      <c r="AN403" s="15">
        <v>0.24</v>
      </c>
      <c r="AO403" s="15">
        <v>0</v>
      </c>
      <c r="AP403" s="15">
        <v>-9.0660000000000007</v>
      </c>
      <c r="AQ403" s="15">
        <v>1</v>
      </c>
      <c r="AR403" s="15">
        <v>3.6999999999999998E-2</v>
      </c>
      <c r="AS403" s="15">
        <v>0.93799999999999994</v>
      </c>
      <c r="AT403" s="15">
        <v>0</v>
      </c>
      <c r="AU403" s="15">
        <v>6.59E-2</v>
      </c>
      <c r="AV403" s="15">
        <v>0.48699999999999999</v>
      </c>
      <c r="AW403" s="15">
        <v>131.26599999999999</v>
      </c>
      <c r="AX403" s="15">
        <v>4</v>
      </c>
      <c r="AY403" s="16" t="s">
        <v>24</v>
      </c>
    </row>
    <row r="404" spans="32:51" x14ac:dyDescent="0.35">
      <c r="AF404" s="17" t="s">
        <v>1245</v>
      </c>
      <c r="AG404" s="18" t="s">
        <v>1246</v>
      </c>
      <c r="AH404" s="18" t="s">
        <v>1247</v>
      </c>
      <c r="AI404" s="18" t="s">
        <v>1248</v>
      </c>
      <c r="AJ404" s="18">
        <v>50</v>
      </c>
      <c r="AK404" s="18">
        <v>171760</v>
      </c>
      <c r="AL404" s="18" t="b">
        <v>0</v>
      </c>
      <c r="AM404" s="18">
        <v>0.66600000000000004</v>
      </c>
      <c r="AN404" s="18">
        <v>0.28899999999999998</v>
      </c>
      <c r="AO404" s="18">
        <v>7</v>
      </c>
      <c r="AP404" s="18">
        <v>-12.404</v>
      </c>
      <c r="AQ404" s="18">
        <v>1</v>
      </c>
      <c r="AR404" s="18">
        <v>3.1699999999999999E-2</v>
      </c>
      <c r="AS404" s="18">
        <v>0.64100000000000001</v>
      </c>
      <c r="AT404" s="32" t="s">
        <v>1249</v>
      </c>
      <c r="AU404" s="18">
        <v>0.109</v>
      </c>
      <c r="AV404" s="18">
        <v>0.41499999999999998</v>
      </c>
      <c r="AW404" s="18">
        <v>109.965</v>
      </c>
      <c r="AX404" s="18">
        <v>4</v>
      </c>
      <c r="AY404" s="19" t="s">
        <v>24</v>
      </c>
    </row>
    <row r="405" spans="32:51" x14ac:dyDescent="0.35">
      <c r="AF405" s="14" t="s">
        <v>1250</v>
      </c>
      <c r="AG405" s="15" t="s">
        <v>1093</v>
      </c>
      <c r="AH405" s="15" t="s">
        <v>1251</v>
      </c>
      <c r="AI405" s="15" t="s">
        <v>1251</v>
      </c>
      <c r="AJ405" s="15">
        <v>58</v>
      </c>
      <c r="AK405" s="15">
        <v>306243</v>
      </c>
      <c r="AL405" s="15" t="b">
        <v>0</v>
      </c>
      <c r="AM405" s="15">
        <v>0.45100000000000001</v>
      </c>
      <c r="AN405" s="15">
        <v>3.1800000000000002E-2</v>
      </c>
      <c r="AO405" s="15">
        <v>0</v>
      </c>
      <c r="AP405" s="15">
        <v>-19.933</v>
      </c>
      <c r="AQ405" s="15">
        <v>0</v>
      </c>
      <c r="AR405" s="15">
        <v>4.2099999999999999E-2</v>
      </c>
      <c r="AS405" s="15">
        <v>0.98299999999999998</v>
      </c>
      <c r="AT405" s="15">
        <v>5.3199999999999997E-2</v>
      </c>
      <c r="AU405" s="15">
        <v>9.8900000000000002E-2</v>
      </c>
      <c r="AV405" s="15">
        <v>0.14799999999999999</v>
      </c>
      <c r="AW405" s="15">
        <v>123.985</v>
      </c>
      <c r="AX405" s="15">
        <v>4</v>
      </c>
      <c r="AY405" s="16" t="s">
        <v>24</v>
      </c>
    </row>
    <row r="406" spans="32:51" x14ac:dyDescent="0.35">
      <c r="AF406" s="17" t="s">
        <v>1252</v>
      </c>
      <c r="AG406" s="18" t="s">
        <v>637</v>
      </c>
      <c r="AH406" s="18" t="s">
        <v>1253</v>
      </c>
      <c r="AI406" s="18" t="s">
        <v>1254</v>
      </c>
      <c r="AJ406" s="18">
        <v>49</v>
      </c>
      <c r="AK406" s="18">
        <v>192389</v>
      </c>
      <c r="AL406" s="18" t="b">
        <v>0</v>
      </c>
      <c r="AM406" s="18">
        <v>0.35899999999999999</v>
      </c>
      <c r="AN406" s="18">
        <v>0.20799999999999999</v>
      </c>
      <c r="AO406" s="18">
        <v>7</v>
      </c>
      <c r="AP406" s="18">
        <v>-10.567</v>
      </c>
      <c r="AQ406" s="18">
        <v>1</v>
      </c>
      <c r="AR406" s="18">
        <v>3.5999999999999997E-2</v>
      </c>
      <c r="AS406" s="18">
        <v>0.94299999999999995</v>
      </c>
      <c r="AT406" s="18">
        <v>0</v>
      </c>
      <c r="AU406" s="18">
        <v>9.3100000000000002E-2</v>
      </c>
      <c r="AV406" s="18">
        <v>0.105</v>
      </c>
      <c r="AW406" s="18">
        <v>83.155000000000001</v>
      </c>
      <c r="AX406" s="18">
        <v>3</v>
      </c>
      <c r="AY406" s="19" t="s">
        <v>24</v>
      </c>
    </row>
    <row r="407" spans="32:51" x14ac:dyDescent="0.35">
      <c r="AF407" s="14" t="s">
        <v>1255</v>
      </c>
      <c r="AG407" s="15" t="s">
        <v>336</v>
      </c>
      <c r="AH407" s="15" t="s">
        <v>97</v>
      </c>
      <c r="AI407" s="15" t="s">
        <v>1256</v>
      </c>
      <c r="AJ407" s="15">
        <v>52</v>
      </c>
      <c r="AK407" s="15">
        <v>218472</v>
      </c>
      <c r="AL407" s="15" t="b">
        <v>0</v>
      </c>
      <c r="AM407" s="15">
        <v>0.40300000000000002</v>
      </c>
      <c r="AN407" s="15">
        <v>0.23699999999999999</v>
      </c>
      <c r="AO407" s="15">
        <v>7</v>
      </c>
      <c r="AP407" s="15">
        <v>-10.000999999999999</v>
      </c>
      <c r="AQ407" s="15">
        <v>1</v>
      </c>
      <c r="AR407" s="15">
        <v>3.9100000000000003E-2</v>
      </c>
      <c r="AS407" s="15">
        <v>0.90600000000000003</v>
      </c>
      <c r="AT407" s="15">
        <v>0</v>
      </c>
      <c r="AU407" s="15">
        <v>0.111</v>
      </c>
      <c r="AV407" s="15">
        <v>0.16300000000000001</v>
      </c>
      <c r="AW407" s="15">
        <v>144.17400000000001</v>
      </c>
      <c r="AX407" s="15">
        <v>4</v>
      </c>
      <c r="AY407" s="16" t="s">
        <v>24</v>
      </c>
    </row>
    <row r="408" spans="32:51" x14ac:dyDescent="0.35">
      <c r="AF408" s="17" t="s">
        <v>1257</v>
      </c>
      <c r="AG408" s="18" t="s">
        <v>1121</v>
      </c>
      <c r="AH408" s="18" t="s">
        <v>1258</v>
      </c>
      <c r="AI408" s="18" t="s">
        <v>1259</v>
      </c>
      <c r="AJ408" s="18">
        <v>49</v>
      </c>
      <c r="AK408" s="18">
        <v>177818</v>
      </c>
      <c r="AL408" s="18" t="b">
        <v>0</v>
      </c>
      <c r="AM408" s="18">
        <v>0.69299999999999995</v>
      </c>
      <c r="AN408" s="18">
        <v>0.111</v>
      </c>
      <c r="AO408" s="18">
        <v>0</v>
      </c>
      <c r="AP408" s="18">
        <v>-12.356</v>
      </c>
      <c r="AQ408" s="18">
        <v>1</v>
      </c>
      <c r="AR408" s="18">
        <v>3.7900000000000003E-2</v>
      </c>
      <c r="AS408" s="18">
        <v>0.93700000000000006</v>
      </c>
      <c r="AT408" s="32" t="s">
        <v>1260</v>
      </c>
      <c r="AU408" s="18">
        <v>8.5800000000000001E-2</v>
      </c>
      <c r="AV408" s="18">
        <v>0.247</v>
      </c>
      <c r="AW408" s="18">
        <v>110.813</v>
      </c>
      <c r="AX408" s="18">
        <v>4</v>
      </c>
      <c r="AY408" s="19" t="s">
        <v>24</v>
      </c>
    </row>
    <row r="409" spans="32:51" x14ac:dyDescent="0.35">
      <c r="AF409" s="14" t="s">
        <v>1261</v>
      </c>
      <c r="AG409" s="15" t="s">
        <v>21</v>
      </c>
      <c r="AH409" s="15" t="s">
        <v>1262</v>
      </c>
      <c r="AI409" s="15" t="s">
        <v>1263</v>
      </c>
      <c r="AJ409" s="15">
        <v>53</v>
      </c>
      <c r="AK409" s="15">
        <v>251266</v>
      </c>
      <c r="AL409" s="15" t="b">
        <v>0</v>
      </c>
      <c r="AM409" s="15">
        <v>0.59799999999999998</v>
      </c>
      <c r="AN409" s="15">
        <v>0.81899999999999995</v>
      </c>
      <c r="AO409" s="15">
        <v>9</v>
      </c>
      <c r="AP409" s="15">
        <v>-2.6190000000000002</v>
      </c>
      <c r="AQ409" s="15">
        <v>1</v>
      </c>
      <c r="AR409" s="15">
        <v>9.11E-2</v>
      </c>
      <c r="AS409" s="15">
        <v>8.0999999999999996E-4</v>
      </c>
      <c r="AT409" s="15">
        <v>0</v>
      </c>
      <c r="AU409" s="15">
        <v>0.218</v>
      </c>
      <c r="AV409" s="15">
        <v>0.878</v>
      </c>
      <c r="AW409" s="15">
        <v>158.11500000000001</v>
      </c>
      <c r="AX409" s="15">
        <v>4</v>
      </c>
      <c r="AY409" s="16" t="s">
        <v>24</v>
      </c>
    </row>
    <row r="410" spans="32:51" x14ac:dyDescent="0.35">
      <c r="AF410" s="17" t="s">
        <v>1264</v>
      </c>
      <c r="AG410" s="18" t="s">
        <v>1265</v>
      </c>
      <c r="AH410" s="18" t="s">
        <v>1266</v>
      </c>
      <c r="AI410" s="18" t="s">
        <v>1267</v>
      </c>
      <c r="AJ410" s="18">
        <v>54</v>
      </c>
      <c r="AK410" s="18">
        <v>239400</v>
      </c>
      <c r="AL410" s="18" t="b">
        <v>0</v>
      </c>
      <c r="AM410" s="18">
        <v>0.59599999999999997</v>
      </c>
      <c r="AN410" s="18">
        <v>0.27</v>
      </c>
      <c r="AO410" s="18">
        <v>2</v>
      </c>
      <c r="AP410" s="18">
        <v>-11.486000000000001</v>
      </c>
      <c r="AQ410" s="18">
        <v>1</v>
      </c>
      <c r="AR410" s="18">
        <v>2.6499999999999999E-2</v>
      </c>
      <c r="AS410" s="18">
        <v>0.78500000000000003</v>
      </c>
      <c r="AT410" s="18">
        <v>0.13400000000000001</v>
      </c>
      <c r="AU410" s="18">
        <v>6.4699999999999994E-2</v>
      </c>
      <c r="AV410" s="18">
        <v>0.155</v>
      </c>
      <c r="AW410" s="18">
        <v>100.006</v>
      </c>
      <c r="AX410" s="18">
        <v>4</v>
      </c>
      <c r="AY410" s="19" t="s">
        <v>24</v>
      </c>
    </row>
    <row r="411" spans="32:51" x14ac:dyDescent="0.35">
      <c r="AF411" s="14" t="s">
        <v>1268</v>
      </c>
      <c r="AG411" s="15" t="s">
        <v>1269</v>
      </c>
      <c r="AH411" s="15" t="s">
        <v>1270</v>
      </c>
      <c r="AI411" s="15" t="s">
        <v>1270</v>
      </c>
      <c r="AJ411" s="15">
        <v>50</v>
      </c>
      <c r="AK411" s="15">
        <v>241413</v>
      </c>
      <c r="AL411" s="15" t="b">
        <v>0</v>
      </c>
      <c r="AM411" s="15">
        <v>0.58899999999999997</v>
      </c>
      <c r="AN411" s="15">
        <v>0.33400000000000002</v>
      </c>
      <c r="AO411" s="15">
        <v>7</v>
      </c>
      <c r="AP411" s="15">
        <v>-10.08</v>
      </c>
      <c r="AQ411" s="15">
        <v>1</v>
      </c>
      <c r="AR411" s="15">
        <v>2.9000000000000001E-2</v>
      </c>
      <c r="AS411" s="15">
        <v>0.83199999999999996</v>
      </c>
      <c r="AT411" s="15">
        <v>0</v>
      </c>
      <c r="AU411" s="15">
        <v>0.13300000000000001</v>
      </c>
      <c r="AV411" s="15">
        <v>0.20799999999999999</v>
      </c>
      <c r="AW411" s="15">
        <v>80.036000000000001</v>
      </c>
      <c r="AX411" s="15">
        <v>4</v>
      </c>
      <c r="AY411" s="16" t="s">
        <v>24</v>
      </c>
    </row>
    <row r="412" spans="32:51" x14ac:dyDescent="0.35">
      <c r="AF412" s="17" t="s">
        <v>1271</v>
      </c>
      <c r="AG412" s="18" t="s">
        <v>339</v>
      </c>
      <c r="AH412" s="18" t="s">
        <v>1272</v>
      </c>
      <c r="AI412" s="18" t="s">
        <v>1272</v>
      </c>
      <c r="AJ412" s="18">
        <v>57</v>
      </c>
      <c r="AK412" s="18">
        <v>216800</v>
      </c>
      <c r="AL412" s="18" t="b">
        <v>0</v>
      </c>
      <c r="AM412" s="18">
        <v>0.73499999999999999</v>
      </c>
      <c r="AN412" s="18">
        <v>0.27500000000000002</v>
      </c>
      <c r="AO412" s="18">
        <v>8</v>
      </c>
      <c r="AP412" s="18">
        <v>-8.9939999999999998</v>
      </c>
      <c r="AQ412" s="18">
        <v>0</v>
      </c>
      <c r="AR412" s="18">
        <v>3.04E-2</v>
      </c>
      <c r="AS412" s="18">
        <v>0.746</v>
      </c>
      <c r="AT412" s="18">
        <v>0</v>
      </c>
      <c r="AU412" s="18">
        <v>0.13100000000000001</v>
      </c>
      <c r="AV412" s="18">
        <v>0.29399999999999998</v>
      </c>
      <c r="AW412" s="18">
        <v>116.004</v>
      </c>
      <c r="AX412" s="18">
        <v>4</v>
      </c>
      <c r="AY412" s="19" t="s">
        <v>24</v>
      </c>
    </row>
    <row r="413" spans="32:51" x14ac:dyDescent="0.35">
      <c r="AF413" s="14" t="s">
        <v>1273</v>
      </c>
      <c r="AG413" s="15" t="s">
        <v>1274</v>
      </c>
      <c r="AH413" s="15" t="s">
        <v>1275</v>
      </c>
      <c r="AI413" s="15" t="s">
        <v>1276</v>
      </c>
      <c r="AJ413" s="15">
        <v>53</v>
      </c>
      <c r="AK413" s="15">
        <v>161306</v>
      </c>
      <c r="AL413" s="15" t="b">
        <v>0</v>
      </c>
      <c r="AM413" s="15">
        <v>0.60499999999999998</v>
      </c>
      <c r="AN413" s="15">
        <v>0.16800000000000001</v>
      </c>
      <c r="AO413" s="15">
        <v>2</v>
      </c>
      <c r="AP413" s="15">
        <v>-11.388</v>
      </c>
      <c r="AQ413" s="15">
        <v>1</v>
      </c>
      <c r="AR413" s="15">
        <v>4.9599999999999998E-2</v>
      </c>
      <c r="AS413" s="15">
        <v>0.88700000000000001</v>
      </c>
      <c r="AT413" s="15">
        <v>0</v>
      </c>
      <c r="AU413" s="15">
        <v>0.12</v>
      </c>
      <c r="AV413" s="15">
        <v>0.39800000000000002</v>
      </c>
      <c r="AW413" s="15">
        <v>119.836</v>
      </c>
      <c r="AX413" s="15">
        <v>4</v>
      </c>
      <c r="AY413" s="16" t="s">
        <v>24</v>
      </c>
    </row>
    <row r="414" spans="32:51" x14ac:dyDescent="0.35">
      <c r="AF414" s="17" t="s">
        <v>1277</v>
      </c>
      <c r="AG414" s="18" t="s">
        <v>34</v>
      </c>
      <c r="AH414" s="18" t="s">
        <v>1278</v>
      </c>
      <c r="AI414" s="18" t="s">
        <v>1278</v>
      </c>
      <c r="AJ414" s="18">
        <v>57</v>
      </c>
      <c r="AK414" s="18">
        <v>153105</v>
      </c>
      <c r="AL414" s="18" t="b">
        <v>0</v>
      </c>
      <c r="AM414" s="18">
        <v>0.61199999999999999</v>
      </c>
      <c r="AN414" s="18">
        <v>0.107</v>
      </c>
      <c r="AO414" s="18">
        <v>0</v>
      </c>
      <c r="AP414" s="18">
        <v>-15.867000000000001</v>
      </c>
      <c r="AQ414" s="18">
        <v>1</v>
      </c>
      <c r="AR414" s="18">
        <v>3.0200000000000001E-2</v>
      </c>
      <c r="AS414" s="18">
        <v>0.93600000000000005</v>
      </c>
      <c r="AT414" s="18">
        <v>0</v>
      </c>
      <c r="AU414" s="18">
        <v>0.109</v>
      </c>
      <c r="AV414" s="18">
        <v>0.63700000000000001</v>
      </c>
      <c r="AW414" s="18">
        <v>78.393000000000001</v>
      </c>
      <c r="AX414" s="18">
        <v>4</v>
      </c>
      <c r="AY414" s="19" t="s">
        <v>24</v>
      </c>
    </row>
    <row r="415" spans="32:51" x14ac:dyDescent="0.35">
      <c r="AF415" s="14" t="s">
        <v>1279</v>
      </c>
      <c r="AG415" s="15" t="s">
        <v>339</v>
      </c>
      <c r="AH415" s="15" t="s">
        <v>92</v>
      </c>
      <c r="AI415" s="15" t="s">
        <v>615</v>
      </c>
      <c r="AJ415" s="15">
        <v>49</v>
      </c>
      <c r="AK415" s="15">
        <v>202167</v>
      </c>
      <c r="AL415" s="15" t="b">
        <v>0</v>
      </c>
      <c r="AM415" s="15">
        <v>0.56799999999999995</v>
      </c>
      <c r="AN415" s="15">
        <v>0.17699999999999999</v>
      </c>
      <c r="AO415" s="15">
        <v>2</v>
      </c>
      <c r="AP415" s="15">
        <v>-11.276999999999999</v>
      </c>
      <c r="AQ415" s="15">
        <v>1</v>
      </c>
      <c r="AR415" s="15">
        <v>3.7400000000000003E-2</v>
      </c>
      <c r="AS415" s="15">
        <v>0.93</v>
      </c>
      <c r="AT415" s="15">
        <v>0</v>
      </c>
      <c r="AU415" s="15">
        <v>9.0499999999999997E-2</v>
      </c>
      <c r="AV415" s="15">
        <v>0.35399999999999998</v>
      </c>
      <c r="AW415" s="15">
        <v>103.822</v>
      </c>
      <c r="AX415" s="15">
        <v>4</v>
      </c>
      <c r="AY415" s="16" t="s">
        <v>24</v>
      </c>
    </row>
    <row r="416" spans="32:51" x14ac:dyDescent="0.35">
      <c r="AF416" s="17" t="s">
        <v>1280</v>
      </c>
      <c r="AG416" s="18" t="s">
        <v>352</v>
      </c>
      <c r="AH416" s="18" t="s">
        <v>1281</v>
      </c>
      <c r="AI416" s="18" t="s">
        <v>1282</v>
      </c>
      <c r="AJ416" s="18">
        <v>52</v>
      </c>
      <c r="AK416" s="18">
        <v>173426</v>
      </c>
      <c r="AL416" s="18" t="b">
        <v>0</v>
      </c>
      <c r="AM416" s="18">
        <v>0.45100000000000001</v>
      </c>
      <c r="AN416" s="18">
        <v>6.6500000000000004E-2</v>
      </c>
      <c r="AO416" s="18">
        <v>0</v>
      </c>
      <c r="AP416" s="18">
        <v>-13.862</v>
      </c>
      <c r="AQ416" s="18">
        <v>0</v>
      </c>
      <c r="AR416" s="18">
        <v>5.16E-2</v>
      </c>
      <c r="AS416" s="18">
        <v>0.96699999999999997</v>
      </c>
      <c r="AT416" s="32" t="s">
        <v>1283</v>
      </c>
      <c r="AU416" s="18">
        <v>0.109</v>
      </c>
      <c r="AV416" s="18">
        <v>0.34899999999999998</v>
      </c>
      <c r="AW416" s="18">
        <v>64.289000000000001</v>
      </c>
      <c r="AX416" s="18">
        <v>4</v>
      </c>
      <c r="AY416" s="19" t="s">
        <v>24</v>
      </c>
    </row>
    <row r="417" spans="32:51" x14ac:dyDescent="0.35">
      <c r="AF417" s="14" t="s">
        <v>1284</v>
      </c>
      <c r="AG417" s="15" t="s">
        <v>1121</v>
      </c>
      <c r="AH417" s="15" t="s">
        <v>1285</v>
      </c>
      <c r="AI417" s="15" t="s">
        <v>1286</v>
      </c>
      <c r="AJ417" s="15">
        <v>51</v>
      </c>
      <c r="AK417" s="15">
        <v>144644</v>
      </c>
      <c r="AL417" s="15" t="b">
        <v>0</v>
      </c>
      <c r="AM417" s="15">
        <v>0.59499999999999997</v>
      </c>
      <c r="AN417" s="15">
        <v>4.7699999999999999E-2</v>
      </c>
      <c r="AO417" s="15">
        <v>11</v>
      </c>
      <c r="AP417" s="15">
        <v>-14.672000000000001</v>
      </c>
      <c r="AQ417" s="15">
        <v>1</v>
      </c>
      <c r="AR417" s="15">
        <v>6.6199999999999995E-2</v>
      </c>
      <c r="AS417" s="15">
        <v>0.92300000000000004</v>
      </c>
      <c r="AT417" s="15">
        <v>0</v>
      </c>
      <c r="AU417" s="15">
        <v>9.0899999999999995E-2</v>
      </c>
      <c r="AV417" s="15">
        <v>0.51300000000000001</v>
      </c>
      <c r="AW417" s="15">
        <v>118.16200000000001</v>
      </c>
      <c r="AX417" s="15">
        <v>3</v>
      </c>
      <c r="AY417" s="16" t="s">
        <v>24</v>
      </c>
    </row>
    <row r="418" spans="32:51" x14ac:dyDescent="0.35">
      <c r="AF418" s="17" t="s">
        <v>1287</v>
      </c>
      <c r="AG418" s="18" t="s">
        <v>225</v>
      </c>
      <c r="AH418" s="18" t="s">
        <v>1288</v>
      </c>
      <c r="AI418" s="18" t="s">
        <v>1288</v>
      </c>
      <c r="AJ418" s="18">
        <v>46</v>
      </c>
      <c r="AK418" s="18">
        <v>212760</v>
      </c>
      <c r="AL418" s="18" t="b">
        <v>0</v>
      </c>
      <c r="AM418" s="18">
        <v>0.307</v>
      </c>
      <c r="AN418" s="18">
        <v>0.11</v>
      </c>
      <c r="AO418" s="18">
        <v>1</v>
      </c>
      <c r="AP418" s="18">
        <v>-15.253</v>
      </c>
      <c r="AQ418" s="18">
        <v>1</v>
      </c>
      <c r="AR418" s="18">
        <v>3.8800000000000001E-2</v>
      </c>
      <c r="AS418" s="18">
        <v>0.73299999999999998</v>
      </c>
      <c r="AT418" s="32" t="s">
        <v>1289</v>
      </c>
      <c r="AU418" s="18">
        <v>0.111</v>
      </c>
      <c r="AV418" s="18">
        <v>0.32</v>
      </c>
      <c r="AW418" s="18">
        <v>201.00800000000001</v>
      </c>
      <c r="AX418" s="18">
        <v>3</v>
      </c>
      <c r="AY418" s="19" t="s">
        <v>24</v>
      </c>
    </row>
    <row r="419" spans="32:51" x14ac:dyDescent="0.35">
      <c r="AF419" s="14" t="s">
        <v>1290</v>
      </c>
      <c r="AG419" s="15" t="s">
        <v>39</v>
      </c>
      <c r="AH419" s="15" t="s">
        <v>1291</v>
      </c>
      <c r="AI419" s="15" t="s">
        <v>1291</v>
      </c>
      <c r="AJ419" s="15">
        <v>41</v>
      </c>
      <c r="AK419" s="15">
        <v>241758</v>
      </c>
      <c r="AL419" s="15" t="b">
        <v>0</v>
      </c>
      <c r="AM419" s="15">
        <v>0.3</v>
      </c>
      <c r="AN419" s="15">
        <v>0.27</v>
      </c>
      <c r="AO419" s="15">
        <v>8</v>
      </c>
      <c r="AP419" s="15">
        <v>-14.397</v>
      </c>
      <c r="AQ419" s="15">
        <v>0</v>
      </c>
      <c r="AR419" s="15">
        <v>3.7100000000000001E-2</v>
      </c>
      <c r="AS419" s="15">
        <v>0.9</v>
      </c>
      <c r="AT419" s="31" t="s">
        <v>1292</v>
      </c>
      <c r="AU419" s="15">
        <v>0.1</v>
      </c>
      <c r="AV419" s="15">
        <v>0.214</v>
      </c>
      <c r="AW419" s="15">
        <v>144.589</v>
      </c>
      <c r="AX419" s="15">
        <v>4</v>
      </c>
      <c r="AY419" s="16" t="s">
        <v>24</v>
      </c>
    </row>
    <row r="420" spans="32:51" x14ac:dyDescent="0.35">
      <c r="AF420" s="17" t="s">
        <v>1293</v>
      </c>
      <c r="AG420" s="18" t="s">
        <v>1294</v>
      </c>
      <c r="AH420" s="18" t="s">
        <v>1295</v>
      </c>
      <c r="AI420" s="18" t="s">
        <v>1295</v>
      </c>
      <c r="AJ420" s="18">
        <v>57</v>
      </c>
      <c r="AK420" s="18">
        <v>169600</v>
      </c>
      <c r="AL420" s="18" t="b">
        <v>0</v>
      </c>
      <c r="AM420" s="18">
        <v>0.73099999999999998</v>
      </c>
      <c r="AN420" s="18">
        <v>0.191</v>
      </c>
      <c r="AO420" s="18">
        <v>0</v>
      </c>
      <c r="AP420" s="18">
        <v>-11.359</v>
      </c>
      <c r="AQ420" s="18">
        <v>1</v>
      </c>
      <c r="AR420" s="18">
        <v>0.122</v>
      </c>
      <c r="AS420" s="18">
        <v>0.73499999999999999</v>
      </c>
      <c r="AT420" s="18">
        <v>0.67100000000000004</v>
      </c>
      <c r="AU420" s="18">
        <v>0.13100000000000001</v>
      </c>
      <c r="AV420" s="18">
        <v>0.27400000000000002</v>
      </c>
      <c r="AW420" s="18">
        <v>149.91</v>
      </c>
      <c r="AX420" s="18">
        <v>4</v>
      </c>
      <c r="AY420" s="19" t="s">
        <v>24</v>
      </c>
    </row>
    <row r="421" spans="32:51" x14ac:dyDescent="0.35">
      <c r="AF421" s="14" t="s">
        <v>1296</v>
      </c>
      <c r="AG421" s="15" t="s">
        <v>1297</v>
      </c>
      <c r="AH421" s="15" t="s">
        <v>1298</v>
      </c>
      <c r="AI421" s="15" t="s">
        <v>888</v>
      </c>
      <c r="AJ421" s="15">
        <v>50</v>
      </c>
      <c r="AK421" s="15">
        <v>306626</v>
      </c>
      <c r="AL421" s="15" t="b">
        <v>0</v>
      </c>
      <c r="AM421" s="15">
        <v>0.54500000000000004</v>
      </c>
      <c r="AN421" s="15">
        <v>0.745</v>
      </c>
      <c r="AO421" s="15">
        <v>2</v>
      </c>
      <c r="AP421" s="15">
        <v>-3.0979999999999999</v>
      </c>
      <c r="AQ421" s="15">
        <v>1</v>
      </c>
      <c r="AR421" s="15">
        <v>2.86E-2</v>
      </c>
      <c r="AS421" s="15">
        <v>4.5199999999999997E-2</v>
      </c>
      <c r="AT421" s="15">
        <v>0</v>
      </c>
      <c r="AU421" s="15">
        <v>9.0700000000000003E-2</v>
      </c>
      <c r="AV421" s="15">
        <v>0.41299999999999998</v>
      </c>
      <c r="AW421" s="15">
        <v>106.09399999999999</v>
      </c>
      <c r="AX421" s="15">
        <v>4</v>
      </c>
      <c r="AY421" s="16" t="s">
        <v>24</v>
      </c>
    </row>
    <row r="422" spans="32:51" x14ac:dyDescent="0.35">
      <c r="AF422" s="17" t="s">
        <v>1299</v>
      </c>
      <c r="AG422" s="18" t="s">
        <v>1300</v>
      </c>
      <c r="AH422" s="18" t="s">
        <v>1301</v>
      </c>
      <c r="AI422" s="18" t="s">
        <v>1302</v>
      </c>
      <c r="AJ422" s="18">
        <v>42</v>
      </c>
      <c r="AK422" s="18">
        <v>214466</v>
      </c>
      <c r="AL422" s="18" t="b">
        <v>0</v>
      </c>
      <c r="AM422" s="18">
        <v>0.35599999999999998</v>
      </c>
      <c r="AN422" s="18">
        <v>0.23</v>
      </c>
      <c r="AO422" s="18">
        <v>6</v>
      </c>
      <c r="AP422" s="18">
        <v>-16.957000000000001</v>
      </c>
      <c r="AQ422" s="18">
        <v>0</v>
      </c>
      <c r="AR422" s="18">
        <v>5.1900000000000002E-2</v>
      </c>
      <c r="AS422" s="18">
        <v>0.92300000000000004</v>
      </c>
      <c r="AT422" s="18">
        <v>0.80100000000000005</v>
      </c>
      <c r="AU422" s="18">
        <v>0.112</v>
      </c>
      <c r="AV422" s="18">
        <v>0.11</v>
      </c>
      <c r="AW422" s="18">
        <v>129.53200000000001</v>
      </c>
      <c r="AX422" s="18">
        <v>4</v>
      </c>
      <c r="AY422" s="19" t="s">
        <v>24</v>
      </c>
    </row>
    <row r="423" spans="32:51" x14ac:dyDescent="0.35">
      <c r="AF423" s="14" t="s">
        <v>1303</v>
      </c>
      <c r="AG423" s="15" t="s">
        <v>1304</v>
      </c>
      <c r="AH423" s="15" t="s">
        <v>1305</v>
      </c>
      <c r="AI423" s="15" t="s">
        <v>1306</v>
      </c>
      <c r="AJ423" s="15">
        <v>47</v>
      </c>
      <c r="AK423" s="15">
        <v>160466</v>
      </c>
      <c r="AL423" s="15" t="b">
        <v>0</v>
      </c>
      <c r="AM423" s="15">
        <v>0.432</v>
      </c>
      <c r="AN423" s="15">
        <v>0.79600000000000004</v>
      </c>
      <c r="AO423" s="15">
        <v>7</v>
      </c>
      <c r="AP423" s="15">
        <v>-7.2619999999999996</v>
      </c>
      <c r="AQ423" s="15">
        <v>1</v>
      </c>
      <c r="AR423" s="15">
        <v>6.0600000000000001E-2</v>
      </c>
      <c r="AS423" s="15">
        <v>1.5300000000000001E-4</v>
      </c>
      <c r="AT423" s="15">
        <v>2.0899999999999998E-3</v>
      </c>
      <c r="AU423" s="15">
        <v>0.26600000000000001</v>
      </c>
      <c r="AV423" s="15">
        <v>0.27100000000000002</v>
      </c>
      <c r="AW423" s="15">
        <v>141.86799999999999</v>
      </c>
      <c r="AX423" s="15">
        <v>4</v>
      </c>
      <c r="AY423" s="16" t="s">
        <v>24</v>
      </c>
    </row>
    <row r="424" spans="32:51" x14ac:dyDescent="0.35">
      <c r="AF424" s="17" t="s">
        <v>1307</v>
      </c>
      <c r="AG424" s="18" t="s">
        <v>696</v>
      </c>
      <c r="AH424" s="18" t="s">
        <v>1308</v>
      </c>
      <c r="AI424" s="18" t="s">
        <v>1308</v>
      </c>
      <c r="AJ424" s="18">
        <v>55</v>
      </c>
      <c r="AK424" s="18">
        <v>178826</v>
      </c>
      <c r="AL424" s="18" t="b">
        <v>0</v>
      </c>
      <c r="AM424" s="18">
        <v>0.69299999999999995</v>
      </c>
      <c r="AN424" s="18">
        <v>0.66400000000000003</v>
      </c>
      <c r="AO424" s="18">
        <v>4</v>
      </c>
      <c r="AP424" s="18">
        <v>-5.8520000000000003</v>
      </c>
      <c r="AQ424" s="18">
        <v>1</v>
      </c>
      <c r="AR424" s="18">
        <v>3.3599999999999998E-2</v>
      </c>
      <c r="AS424" s="18">
        <v>3.09E-2</v>
      </c>
      <c r="AT424" s="18">
        <v>0</v>
      </c>
      <c r="AU424" s="18">
        <v>0.223</v>
      </c>
      <c r="AV424" s="18">
        <v>0.436</v>
      </c>
      <c r="AW424" s="18">
        <v>132.059</v>
      </c>
      <c r="AX424" s="18">
        <v>4</v>
      </c>
      <c r="AY424" s="19" t="s">
        <v>24</v>
      </c>
    </row>
    <row r="425" spans="32:51" x14ac:dyDescent="0.35">
      <c r="AF425" s="14" t="s">
        <v>1309</v>
      </c>
      <c r="AG425" s="15" t="s">
        <v>418</v>
      </c>
      <c r="AH425" s="15" t="s">
        <v>1310</v>
      </c>
      <c r="AI425" s="15" t="s">
        <v>1311</v>
      </c>
      <c r="AJ425" s="15">
        <v>56</v>
      </c>
      <c r="AK425" s="15">
        <v>138506</v>
      </c>
      <c r="AL425" s="15" t="b">
        <v>0</v>
      </c>
      <c r="AM425" s="15">
        <v>0.624</v>
      </c>
      <c r="AN425" s="15">
        <v>0.33400000000000002</v>
      </c>
      <c r="AO425" s="15">
        <v>3</v>
      </c>
      <c r="AP425" s="15">
        <v>-11.89</v>
      </c>
      <c r="AQ425" s="15">
        <v>1</v>
      </c>
      <c r="AR425" s="15">
        <v>3.9100000000000003E-2</v>
      </c>
      <c r="AS425" s="15">
        <v>0.32100000000000001</v>
      </c>
      <c r="AT425" s="31" t="s">
        <v>1312</v>
      </c>
      <c r="AU425" s="15">
        <v>0.113</v>
      </c>
      <c r="AV425" s="15">
        <v>0.39700000000000002</v>
      </c>
      <c r="AW425" s="15">
        <v>157.91999999999999</v>
      </c>
      <c r="AX425" s="15">
        <v>4</v>
      </c>
      <c r="AY425" s="16" t="s">
        <v>24</v>
      </c>
    </row>
    <row r="426" spans="32:51" x14ac:dyDescent="0.35">
      <c r="AF426" s="17" t="s">
        <v>1313</v>
      </c>
      <c r="AG426" s="18" t="s">
        <v>431</v>
      </c>
      <c r="AH426" s="18" t="s">
        <v>883</v>
      </c>
      <c r="AI426" s="18" t="s">
        <v>1314</v>
      </c>
      <c r="AJ426" s="18">
        <v>49</v>
      </c>
      <c r="AK426" s="18">
        <v>230613</v>
      </c>
      <c r="AL426" s="18" t="b">
        <v>0</v>
      </c>
      <c r="AM426" s="18">
        <v>0.42299999999999999</v>
      </c>
      <c r="AN426" s="18">
        <v>0.57199999999999995</v>
      </c>
      <c r="AO426" s="18">
        <v>6</v>
      </c>
      <c r="AP426" s="18">
        <v>-5.109</v>
      </c>
      <c r="AQ426" s="18">
        <v>1</v>
      </c>
      <c r="AR426" s="18">
        <v>3.4700000000000002E-2</v>
      </c>
      <c r="AS426" s="18">
        <v>1.5800000000000002E-2</v>
      </c>
      <c r="AT426" s="18">
        <v>0</v>
      </c>
      <c r="AU426" s="18">
        <v>0.23100000000000001</v>
      </c>
      <c r="AV426" s="18">
        <v>0.17</v>
      </c>
      <c r="AW426" s="18">
        <v>165.39400000000001</v>
      </c>
      <c r="AX426" s="18">
        <v>4</v>
      </c>
      <c r="AY426" s="19" t="s">
        <v>24</v>
      </c>
    </row>
    <row r="427" spans="32:51" x14ac:dyDescent="0.35">
      <c r="AF427" s="14" t="s">
        <v>1315</v>
      </c>
      <c r="AG427" s="15" t="s">
        <v>1316</v>
      </c>
      <c r="AH427" s="15" t="s">
        <v>1317</v>
      </c>
      <c r="AI427" s="15" t="s">
        <v>830</v>
      </c>
      <c r="AJ427" s="15">
        <v>50</v>
      </c>
      <c r="AK427" s="15">
        <v>111842</v>
      </c>
      <c r="AL427" s="15" t="b">
        <v>0</v>
      </c>
      <c r="AM427" s="15">
        <v>0.55500000000000005</v>
      </c>
      <c r="AN427" s="15">
        <v>8.7900000000000006E-2</v>
      </c>
      <c r="AO427" s="15">
        <v>0</v>
      </c>
      <c r="AP427" s="15">
        <v>-12.141</v>
      </c>
      <c r="AQ427" s="15">
        <v>1</v>
      </c>
      <c r="AR427" s="15">
        <v>4.7699999999999999E-2</v>
      </c>
      <c r="AS427" s="15">
        <v>0.96799999999999997</v>
      </c>
      <c r="AT427" s="15">
        <v>0</v>
      </c>
      <c r="AU427" s="15">
        <v>9.6000000000000002E-2</v>
      </c>
      <c r="AV427" s="15">
        <v>0.42799999999999999</v>
      </c>
      <c r="AW427" s="15">
        <v>84.174000000000007</v>
      </c>
      <c r="AX427" s="15">
        <v>4</v>
      </c>
      <c r="AY427" s="16" t="s">
        <v>24</v>
      </c>
    </row>
    <row r="428" spans="32:51" x14ac:dyDescent="0.35">
      <c r="AF428" s="17" t="s">
        <v>1318</v>
      </c>
      <c r="AG428" s="18" t="s">
        <v>1319</v>
      </c>
      <c r="AH428" s="18" t="s">
        <v>1320</v>
      </c>
      <c r="AI428" s="18" t="s">
        <v>1320</v>
      </c>
      <c r="AJ428" s="18">
        <v>56</v>
      </c>
      <c r="AK428" s="18">
        <v>183213</v>
      </c>
      <c r="AL428" s="18" t="b">
        <v>0</v>
      </c>
      <c r="AM428" s="18">
        <v>0.496</v>
      </c>
      <c r="AN428" s="18">
        <v>0.39100000000000001</v>
      </c>
      <c r="AO428" s="18">
        <v>10</v>
      </c>
      <c r="AP428" s="18">
        <v>-9.8439999999999994</v>
      </c>
      <c r="AQ428" s="18">
        <v>1</v>
      </c>
      <c r="AR428" s="18">
        <v>3.1099999999999999E-2</v>
      </c>
      <c r="AS428" s="18">
        <v>0.82599999999999996</v>
      </c>
      <c r="AT428" s="18">
        <v>1.26E-2</v>
      </c>
      <c r="AU428" s="18">
        <v>0.108</v>
      </c>
      <c r="AV428" s="18">
        <v>0.49199999999999999</v>
      </c>
      <c r="AW428" s="18">
        <v>108.86799999999999</v>
      </c>
      <c r="AX428" s="18">
        <v>4</v>
      </c>
      <c r="AY428" s="19" t="s">
        <v>24</v>
      </c>
    </row>
    <row r="429" spans="32:51" x14ac:dyDescent="0.35">
      <c r="AF429" s="14" t="s">
        <v>1321</v>
      </c>
      <c r="AG429" s="15" t="s">
        <v>339</v>
      </c>
      <c r="AH429" s="15" t="s">
        <v>1322</v>
      </c>
      <c r="AI429" s="15" t="s">
        <v>1322</v>
      </c>
      <c r="AJ429" s="15">
        <v>52</v>
      </c>
      <c r="AK429" s="15">
        <v>220507</v>
      </c>
      <c r="AL429" s="15" t="b">
        <v>0</v>
      </c>
      <c r="AM429" s="15">
        <v>0.67100000000000004</v>
      </c>
      <c r="AN429" s="15">
        <v>0.29899999999999999</v>
      </c>
      <c r="AO429" s="15">
        <v>7</v>
      </c>
      <c r="AP429" s="15">
        <v>-10.582000000000001</v>
      </c>
      <c r="AQ429" s="15">
        <v>1</v>
      </c>
      <c r="AR429" s="15">
        <v>2.8400000000000002E-2</v>
      </c>
      <c r="AS429" s="15">
        <v>0.753</v>
      </c>
      <c r="AT429" s="31" t="s">
        <v>1323</v>
      </c>
      <c r="AU429" s="15">
        <v>9.7500000000000003E-2</v>
      </c>
      <c r="AV429" s="15">
        <v>0.28599999999999998</v>
      </c>
      <c r="AW429" s="15">
        <v>95.007999999999996</v>
      </c>
      <c r="AX429" s="15">
        <v>4</v>
      </c>
      <c r="AY429" s="16" t="s">
        <v>24</v>
      </c>
    </row>
    <row r="430" spans="32:51" x14ac:dyDescent="0.35">
      <c r="AF430" s="17" t="s">
        <v>1324</v>
      </c>
      <c r="AG430" s="18" t="s">
        <v>278</v>
      </c>
      <c r="AH430" s="18" t="s">
        <v>448</v>
      </c>
      <c r="AI430" s="18" t="s">
        <v>1325</v>
      </c>
      <c r="AJ430" s="18">
        <v>50</v>
      </c>
      <c r="AK430" s="18">
        <v>248506</v>
      </c>
      <c r="AL430" s="18" t="b">
        <v>0</v>
      </c>
      <c r="AM430" s="18">
        <v>0.379</v>
      </c>
      <c r="AN430" s="18">
        <v>0.26700000000000002</v>
      </c>
      <c r="AO430" s="18">
        <v>4</v>
      </c>
      <c r="AP430" s="18">
        <v>-8.9809999999999999</v>
      </c>
      <c r="AQ430" s="18">
        <v>1</v>
      </c>
      <c r="AR430" s="18">
        <v>2.93E-2</v>
      </c>
      <c r="AS430" s="18">
        <v>0.60499999999999998</v>
      </c>
      <c r="AT430" s="18">
        <v>3.2200000000000002E-3</v>
      </c>
      <c r="AU430" s="18">
        <v>0.152</v>
      </c>
      <c r="AV430" s="18">
        <v>0.22900000000000001</v>
      </c>
      <c r="AW430" s="18">
        <v>135.19800000000001</v>
      </c>
      <c r="AX430" s="18">
        <v>4</v>
      </c>
      <c r="AY430" s="19" t="s">
        <v>24</v>
      </c>
    </row>
    <row r="431" spans="32:51" x14ac:dyDescent="0.35">
      <c r="AF431" s="14" t="s">
        <v>1326</v>
      </c>
      <c r="AG431" s="15" t="s">
        <v>591</v>
      </c>
      <c r="AH431" s="15" t="s">
        <v>1327</v>
      </c>
      <c r="AI431" s="15" t="s">
        <v>1328</v>
      </c>
      <c r="AJ431" s="15">
        <v>53</v>
      </c>
      <c r="AK431" s="15">
        <v>269986</v>
      </c>
      <c r="AL431" s="15" t="b">
        <v>0</v>
      </c>
      <c r="AM431" s="15">
        <v>0.499</v>
      </c>
      <c r="AN431" s="15">
        <v>0.20899999999999999</v>
      </c>
      <c r="AO431" s="15">
        <v>3</v>
      </c>
      <c r="AP431" s="15">
        <v>-16.667999999999999</v>
      </c>
      <c r="AQ431" s="15">
        <v>1</v>
      </c>
      <c r="AR431" s="15">
        <v>3.0499999999999999E-2</v>
      </c>
      <c r="AS431" s="15">
        <v>0.88200000000000001</v>
      </c>
      <c r="AT431" s="15">
        <v>4.9100000000000003E-3</v>
      </c>
      <c r="AU431" s="15">
        <v>8.7999999999999995E-2</v>
      </c>
      <c r="AV431" s="15">
        <v>0.13800000000000001</v>
      </c>
      <c r="AW431" s="15">
        <v>82.891999999999996</v>
      </c>
      <c r="AX431" s="15">
        <v>4</v>
      </c>
      <c r="AY431" s="16" t="s">
        <v>24</v>
      </c>
    </row>
    <row r="432" spans="32:51" x14ac:dyDescent="0.35">
      <c r="AF432" s="17" t="s">
        <v>1329</v>
      </c>
      <c r="AG432" s="18" t="s">
        <v>991</v>
      </c>
      <c r="AH432" s="18" t="s">
        <v>1330</v>
      </c>
      <c r="AI432" s="18" t="s">
        <v>1331</v>
      </c>
      <c r="AJ432" s="18">
        <v>33</v>
      </c>
      <c r="AK432" s="18">
        <v>272773</v>
      </c>
      <c r="AL432" s="18" t="b">
        <v>0</v>
      </c>
      <c r="AM432" s="18">
        <v>0.64900000000000002</v>
      </c>
      <c r="AN432" s="18">
        <v>0.33600000000000002</v>
      </c>
      <c r="AO432" s="18">
        <v>7</v>
      </c>
      <c r="AP432" s="18">
        <v>-12.053000000000001</v>
      </c>
      <c r="AQ432" s="18">
        <v>1</v>
      </c>
      <c r="AR432" s="18">
        <v>2.9899999999999999E-2</v>
      </c>
      <c r="AS432" s="18">
        <v>0.27</v>
      </c>
      <c r="AT432" s="18">
        <v>0</v>
      </c>
      <c r="AU432" s="18">
        <v>0.13700000000000001</v>
      </c>
      <c r="AV432" s="18">
        <v>0.47</v>
      </c>
      <c r="AW432" s="18">
        <v>71.966999999999999</v>
      </c>
      <c r="AX432" s="18">
        <v>4</v>
      </c>
      <c r="AY432" s="19" t="s">
        <v>24</v>
      </c>
    </row>
    <row r="433" spans="32:51" x14ac:dyDescent="0.35">
      <c r="AF433" s="14" t="s">
        <v>1332</v>
      </c>
      <c r="AG433" s="15" t="s">
        <v>1333</v>
      </c>
      <c r="AH433" s="15" t="s">
        <v>1334</v>
      </c>
      <c r="AI433" s="15" t="s">
        <v>1335</v>
      </c>
      <c r="AJ433" s="15">
        <v>54</v>
      </c>
      <c r="AK433" s="15">
        <v>189646</v>
      </c>
      <c r="AL433" s="15" t="b">
        <v>0</v>
      </c>
      <c r="AM433" s="15">
        <v>0.746</v>
      </c>
      <c r="AN433" s="15">
        <v>0.25700000000000001</v>
      </c>
      <c r="AO433" s="15">
        <v>0</v>
      </c>
      <c r="AP433" s="15">
        <v>-9.8780000000000001</v>
      </c>
      <c r="AQ433" s="15">
        <v>1</v>
      </c>
      <c r="AR433" s="15">
        <v>3.1199999999999999E-2</v>
      </c>
      <c r="AS433" s="15">
        <v>0.77200000000000002</v>
      </c>
      <c r="AT433" s="15">
        <v>0</v>
      </c>
      <c r="AU433" s="15">
        <v>0.107</v>
      </c>
      <c r="AV433" s="15">
        <v>0.34799999999999998</v>
      </c>
      <c r="AW433" s="15">
        <v>132.03200000000001</v>
      </c>
      <c r="AX433" s="15">
        <v>4</v>
      </c>
      <c r="AY433" s="16" t="s">
        <v>24</v>
      </c>
    </row>
    <row r="434" spans="32:51" x14ac:dyDescent="0.35">
      <c r="AF434" s="17" t="s">
        <v>1336</v>
      </c>
      <c r="AG434" s="18" t="s">
        <v>45</v>
      </c>
      <c r="AH434" s="18" t="s">
        <v>1337</v>
      </c>
      <c r="AI434" s="18" t="s">
        <v>1338</v>
      </c>
      <c r="AJ434" s="18">
        <v>50</v>
      </c>
      <c r="AK434" s="18">
        <v>262820</v>
      </c>
      <c r="AL434" s="18" t="b">
        <v>0</v>
      </c>
      <c r="AM434" s="18">
        <v>0.39300000000000002</v>
      </c>
      <c r="AN434" s="18">
        <v>0.26800000000000002</v>
      </c>
      <c r="AO434" s="18">
        <v>9</v>
      </c>
      <c r="AP434" s="18">
        <v>-6.7409999999999997</v>
      </c>
      <c r="AQ434" s="18">
        <v>1</v>
      </c>
      <c r="AR434" s="18">
        <v>3.85E-2</v>
      </c>
      <c r="AS434" s="18">
        <v>0.69699999999999995</v>
      </c>
      <c r="AT434" s="18">
        <v>0</v>
      </c>
      <c r="AU434" s="18">
        <v>0.11</v>
      </c>
      <c r="AV434" s="18">
        <v>0.22500000000000001</v>
      </c>
      <c r="AW434" s="18">
        <v>110.456</v>
      </c>
      <c r="AX434" s="18">
        <v>4</v>
      </c>
      <c r="AY434" s="19" t="s">
        <v>24</v>
      </c>
    </row>
    <row r="435" spans="32:51" x14ac:dyDescent="0.35">
      <c r="AF435" s="14" t="s">
        <v>1339</v>
      </c>
      <c r="AG435" s="15" t="s">
        <v>1002</v>
      </c>
      <c r="AH435" s="15" t="s">
        <v>1340</v>
      </c>
      <c r="AI435" s="15" t="s">
        <v>1341</v>
      </c>
      <c r="AJ435" s="15">
        <v>54</v>
      </c>
      <c r="AK435" s="15">
        <v>195213</v>
      </c>
      <c r="AL435" s="15" t="b">
        <v>0</v>
      </c>
      <c r="AM435" s="15">
        <v>0.629</v>
      </c>
      <c r="AN435" s="15">
        <v>0.67300000000000004</v>
      </c>
      <c r="AO435" s="15">
        <v>6</v>
      </c>
      <c r="AP435" s="15">
        <v>-4.3789999999999996</v>
      </c>
      <c r="AQ435" s="15">
        <v>1</v>
      </c>
      <c r="AR435" s="15">
        <v>2.6200000000000001E-2</v>
      </c>
      <c r="AS435" s="15">
        <v>0.29399999999999998</v>
      </c>
      <c r="AT435" s="15">
        <v>1.09E-2</v>
      </c>
      <c r="AU435" s="15">
        <v>0.13900000000000001</v>
      </c>
      <c r="AV435" s="15">
        <v>0.41899999999999998</v>
      </c>
      <c r="AW435" s="15">
        <v>114.24299999999999</v>
      </c>
      <c r="AX435" s="15">
        <v>4</v>
      </c>
      <c r="AY435" s="16" t="s">
        <v>24</v>
      </c>
    </row>
    <row r="436" spans="32:51" x14ac:dyDescent="0.35">
      <c r="AF436" s="17" t="s">
        <v>1342</v>
      </c>
      <c r="AG436" s="18" t="s">
        <v>188</v>
      </c>
      <c r="AH436" s="18" t="s">
        <v>1343</v>
      </c>
      <c r="AI436" s="18" t="s">
        <v>245</v>
      </c>
      <c r="AJ436" s="18">
        <v>55</v>
      </c>
      <c r="AK436" s="18">
        <v>228311</v>
      </c>
      <c r="AL436" s="18" t="b">
        <v>0</v>
      </c>
      <c r="AM436" s="18">
        <v>0.45800000000000002</v>
      </c>
      <c r="AN436" s="18">
        <v>0.36299999999999999</v>
      </c>
      <c r="AO436" s="18">
        <v>5</v>
      </c>
      <c r="AP436" s="18">
        <v>-6.4729999999999999</v>
      </c>
      <c r="AQ436" s="18">
        <v>1</v>
      </c>
      <c r="AR436" s="18">
        <v>3.2000000000000001E-2</v>
      </c>
      <c r="AS436" s="18">
        <v>0.89200000000000002</v>
      </c>
      <c r="AT436" s="32" t="s">
        <v>1344</v>
      </c>
      <c r="AU436" s="18">
        <v>0.155</v>
      </c>
      <c r="AV436" s="18">
        <v>0.49199999999999999</v>
      </c>
      <c r="AW436" s="18">
        <v>134.25200000000001</v>
      </c>
      <c r="AX436" s="18">
        <v>3</v>
      </c>
      <c r="AY436" s="19" t="s">
        <v>24</v>
      </c>
    </row>
    <row r="437" spans="32:51" x14ac:dyDescent="0.35">
      <c r="AF437" s="14" t="s">
        <v>1345</v>
      </c>
      <c r="AG437" s="15" t="s">
        <v>1346</v>
      </c>
      <c r="AH437" s="15" t="s">
        <v>1347</v>
      </c>
      <c r="AI437" s="15" t="s">
        <v>1347</v>
      </c>
      <c r="AJ437" s="15">
        <v>32</v>
      </c>
      <c r="AK437" s="15">
        <v>155792</v>
      </c>
      <c r="AL437" s="15" t="b">
        <v>0</v>
      </c>
      <c r="AM437" s="15">
        <v>0.45200000000000001</v>
      </c>
      <c r="AN437" s="15">
        <v>0.26800000000000002</v>
      </c>
      <c r="AO437" s="15">
        <v>8</v>
      </c>
      <c r="AP437" s="15">
        <v>-9.4049999999999994</v>
      </c>
      <c r="AQ437" s="15">
        <v>1</v>
      </c>
      <c r="AR437" s="15">
        <v>3.1099999999999999E-2</v>
      </c>
      <c r="AS437" s="15">
        <v>0.96099999999999997</v>
      </c>
      <c r="AT437" s="31" t="s">
        <v>1348</v>
      </c>
      <c r="AU437" s="15">
        <v>0.11899999999999999</v>
      </c>
      <c r="AV437" s="15">
        <v>0.26500000000000001</v>
      </c>
      <c r="AW437" s="15">
        <v>66.805000000000007</v>
      </c>
      <c r="AX437" s="15">
        <v>4</v>
      </c>
      <c r="AY437" s="16" t="s">
        <v>24</v>
      </c>
    </row>
    <row r="438" spans="32:51" x14ac:dyDescent="0.35">
      <c r="AF438" s="17" t="s">
        <v>1349</v>
      </c>
      <c r="AG438" s="18" t="s">
        <v>991</v>
      </c>
      <c r="AH438" s="18" t="s">
        <v>1350</v>
      </c>
      <c r="AI438" s="18" t="s">
        <v>1351</v>
      </c>
      <c r="AJ438" s="18">
        <v>33</v>
      </c>
      <c r="AK438" s="18">
        <v>256506</v>
      </c>
      <c r="AL438" s="18" t="b">
        <v>0</v>
      </c>
      <c r="AM438" s="18">
        <v>0.61599999999999999</v>
      </c>
      <c r="AN438" s="18">
        <v>0.79100000000000004</v>
      </c>
      <c r="AO438" s="18">
        <v>9</v>
      </c>
      <c r="AP438" s="18">
        <v>-6.2460000000000004</v>
      </c>
      <c r="AQ438" s="18">
        <v>1</v>
      </c>
      <c r="AR438" s="18">
        <v>2.93E-2</v>
      </c>
      <c r="AS438" s="18">
        <v>5.9900000000000002E-2</v>
      </c>
      <c r="AT438" s="32" t="s">
        <v>1352</v>
      </c>
      <c r="AU438" s="18">
        <v>0.318</v>
      </c>
      <c r="AV438" s="18">
        <v>0.58899999999999997</v>
      </c>
      <c r="AW438" s="18">
        <v>126.764</v>
      </c>
      <c r="AX438" s="18">
        <v>4</v>
      </c>
      <c r="AY438" s="19" t="s">
        <v>24</v>
      </c>
    </row>
    <row r="439" spans="32:51" x14ac:dyDescent="0.35">
      <c r="AF439" s="14" t="s">
        <v>1353</v>
      </c>
      <c r="AG439" s="15" t="s">
        <v>1354</v>
      </c>
      <c r="AH439" s="15" t="s">
        <v>1355</v>
      </c>
      <c r="AI439" s="15" t="s">
        <v>1356</v>
      </c>
      <c r="AJ439" s="15">
        <v>50</v>
      </c>
      <c r="AK439" s="15">
        <v>240000</v>
      </c>
      <c r="AL439" s="15" t="b">
        <v>0</v>
      </c>
      <c r="AM439" s="15">
        <v>0.61899999999999999</v>
      </c>
      <c r="AN439" s="15">
        <v>0.27800000000000002</v>
      </c>
      <c r="AO439" s="15">
        <v>4</v>
      </c>
      <c r="AP439" s="15">
        <v>-7.0720000000000001</v>
      </c>
      <c r="AQ439" s="15">
        <v>1</v>
      </c>
      <c r="AR439" s="15">
        <v>2.6700000000000002E-2</v>
      </c>
      <c r="AS439" s="15">
        <v>0.83599999999999997</v>
      </c>
      <c r="AT439" s="15">
        <v>0</v>
      </c>
      <c r="AU439" s="15">
        <v>0.121</v>
      </c>
      <c r="AV439" s="15">
        <v>0.23300000000000001</v>
      </c>
      <c r="AW439" s="15">
        <v>129.94800000000001</v>
      </c>
      <c r="AX439" s="15">
        <v>4</v>
      </c>
      <c r="AY439" s="16" t="s">
        <v>24</v>
      </c>
    </row>
    <row r="440" spans="32:51" x14ac:dyDescent="0.35">
      <c r="AF440" s="17" t="s">
        <v>1357</v>
      </c>
      <c r="AG440" s="18" t="s">
        <v>517</v>
      </c>
      <c r="AH440" s="18" t="s">
        <v>1358</v>
      </c>
      <c r="AI440" s="18" t="s">
        <v>1359</v>
      </c>
      <c r="AJ440" s="18">
        <v>56</v>
      </c>
      <c r="AK440" s="18">
        <v>193333</v>
      </c>
      <c r="AL440" s="18" t="b">
        <v>0</v>
      </c>
      <c r="AM440" s="18">
        <v>0.63400000000000001</v>
      </c>
      <c r="AN440" s="18">
        <v>0.17599999999999999</v>
      </c>
      <c r="AO440" s="18">
        <v>0</v>
      </c>
      <c r="AP440" s="18">
        <v>-14.702999999999999</v>
      </c>
      <c r="AQ440" s="18">
        <v>1</v>
      </c>
      <c r="AR440" s="18">
        <v>3.0700000000000002E-2</v>
      </c>
      <c r="AS440" s="18">
        <v>0.93100000000000005</v>
      </c>
      <c r="AT440" s="32" t="s">
        <v>1360</v>
      </c>
      <c r="AU440" s="18">
        <v>0.13600000000000001</v>
      </c>
      <c r="AV440" s="18">
        <v>0.33500000000000002</v>
      </c>
      <c r="AW440" s="18">
        <v>107.974</v>
      </c>
      <c r="AX440" s="18">
        <v>4</v>
      </c>
      <c r="AY440" s="19" t="s">
        <v>24</v>
      </c>
    </row>
    <row r="441" spans="32:51" x14ac:dyDescent="0.35">
      <c r="AF441" s="14" t="s">
        <v>1361</v>
      </c>
      <c r="AG441" s="15" t="s">
        <v>609</v>
      </c>
      <c r="AH441" s="15" t="s">
        <v>610</v>
      </c>
      <c r="AI441" s="15" t="s">
        <v>1362</v>
      </c>
      <c r="AJ441" s="15">
        <v>63</v>
      </c>
      <c r="AK441" s="15">
        <v>273066</v>
      </c>
      <c r="AL441" s="15" t="b">
        <v>0</v>
      </c>
      <c r="AM441" s="15">
        <v>0.54900000000000004</v>
      </c>
      <c r="AN441" s="15">
        <v>0.437</v>
      </c>
      <c r="AO441" s="15">
        <v>7</v>
      </c>
      <c r="AP441" s="15">
        <v>-8.64</v>
      </c>
      <c r="AQ441" s="15">
        <v>1</v>
      </c>
      <c r="AR441" s="15">
        <v>3.1300000000000001E-2</v>
      </c>
      <c r="AS441" s="15">
        <v>0.68200000000000005</v>
      </c>
      <c r="AT441" s="31" t="s">
        <v>1363</v>
      </c>
      <c r="AU441" s="15">
        <v>0.224</v>
      </c>
      <c r="AV441" s="15">
        <v>0.68799999999999994</v>
      </c>
      <c r="AW441" s="15">
        <v>153.60400000000001</v>
      </c>
      <c r="AX441" s="15">
        <v>4</v>
      </c>
      <c r="AY441" s="16" t="s">
        <v>24</v>
      </c>
    </row>
    <row r="442" spans="32:51" x14ac:dyDescent="0.35">
      <c r="AF442" s="17" t="s">
        <v>1364</v>
      </c>
      <c r="AG442" s="18" t="s">
        <v>149</v>
      </c>
      <c r="AH442" s="18" t="s">
        <v>285</v>
      </c>
      <c r="AI442" s="18" t="s">
        <v>1365</v>
      </c>
      <c r="AJ442" s="18">
        <v>48</v>
      </c>
      <c r="AK442" s="18">
        <v>162309</v>
      </c>
      <c r="AL442" s="18" t="b">
        <v>0</v>
      </c>
      <c r="AM442" s="18">
        <v>0.29199999999999998</v>
      </c>
      <c r="AN442" s="18">
        <v>0.33900000000000002</v>
      </c>
      <c r="AO442" s="18">
        <v>7</v>
      </c>
      <c r="AP442" s="18">
        <v>-13.153</v>
      </c>
      <c r="AQ442" s="18">
        <v>1</v>
      </c>
      <c r="AR442" s="18">
        <v>3.2000000000000001E-2</v>
      </c>
      <c r="AS442" s="18">
        <v>0.92300000000000004</v>
      </c>
      <c r="AT442" s="18">
        <v>0.879</v>
      </c>
      <c r="AU442" s="18">
        <v>0.111</v>
      </c>
      <c r="AV442" s="18">
        <v>0.34300000000000003</v>
      </c>
      <c r="AW442" s="18">
        <v>100.69</v>
      </c>
      <c r="AX442" s="18">
        <v>4</v>
      </c>
      <c r="AY442" s="19" t="s">
        <v>24</v>
      </c>
    </row>
    <row r="443" spans="32:51" x14ac:dyDescent="0.35">
      <c r="AF443" s="14" t="s">
        <v>1366</v>
      </c>
      <c r="AG443" s="15" t="s">
        <v>1367</v>
      </c>
      <c r="AH443" s="15" t="s">
        <v>1368</v>
      </c>
      <c r="AI443" s="15" t="s">
        <v>1369</v>
      </c>
      <c r="AJ443" s="15">
        <v>54</v>
      </c>
      <c r="AK443" s="15">
        <v>190106</v>
      </c>
      <c r="AL443" s="15" t="b">
        <v>0</v>
      </c>
      <c r="AM443" s="15">
        <v>0.504</v>
      </c>
      <c r="AN443" s="15">
        <v>2.7300000000000001E-2</v>
      </c>
      <c r="AO443" s="15">
        <v>2</v>
      </c>
      <c r="AP443" s="15">
        <v>-21.440999999999999</v>
      </c>
      <c r="AQ443" s="15">
        <v>1</v>
      </c>
      <c r="AR443" s="15">
        <v>4.1500000000000002E-2</v>
      </c>
      <c r="AS443" s="15">
        <v>0.93100000000000005</v>
      </c>
      <c r="AT443" s="31" t="s">
        <v>1370</v>
      </c>
      <c r="AU443" s="15">
        <v>0.109</v>
      </c>
      <c r="AV443" s="15">
        <v>0.39500000000000002</v>
      </c>
      <c r="AW443" s="15">
        <v>120.24</v>
      </c>
      <c r="AX443" s="15">
        <v>4</v>
      </c>
      <c r="AY443" s="16" t="s">
        <v>24</v>
      </c>
    </row>
    <row r="444" spans="32:51" x14ac:dyDescent="0.35">
      <c r="AF444" s="17" t="s">
        <v>1371</v>
      </c>
      <c r="AG444" s="18" t="s">
        <v>1372</v>
      </c>
      <c r="AH444" s="18" t="s">
        <v>1373</v>
      </c>
      <c r="AI444" s="18" t="s">
        <v>1374</v>
      </c>
      <c r="AJ444" s="18">
        <v>31</v>
      </c>
      <c r="AK444" s="18">
        <v>319320</v>
      </c>
      <c r="AL444" s="18" t="b">
        <v>0</v>
      </c>
      <c r="AM444" s="18">
        <v>0.63600000000000001</v>
      </c>
      <c r="AN444" s="18">
        <v>0.86899999999999999</v>
      </c>
      <c r="AO444" s="18">
        <v>6</v>
      </c>
      <c r="AP444" s="18">
        <v>-5.0949999999999998</v>
      </c>
      <c r="AQ444" s="18">
        <v>0</v>
      </c>
      <c r="AR444" s="18">
        <v>2.8400000000000002E-2</v>
      </c>
      <c r="AS444" s="18">
        <v>0.129</v>
      </c>
      <c r="AT444" s="18">
        <v>5.5399999999999998E-2</v>
      </c>
      <c r="AU444" s="18">
        <v>0.27200000000000002</v>
      </c>
      <c r="AV444" s="18">
        <v>0.36899999999999999</v>
      </c>
      <c r="AW444" s="18">
        <v>124.18300000000001</v>
      </c>
      <c r="AX444" s="18">
        <v>4</v>
      </c>
      <c r="AY444" s="19" t="s">
        <v>24</v>
      </c>
    </row>
    <row r="445" spans="32:51" x14ac:dyDescent="0.35">
      <c r="AF445" s="14" t="s">
        <v>1375</v>
      </c>
      <c r="AG445" s="15" t="s">
        <v>1073</v>
      </c>
      <c r="AH445" s="15" t="s">
        <v>1376</v>
      </c>
      <c r="AI445" s="15" t="s">
        <v>1377</v>
      </c>
      <c r="AJ445" s="15">
        <v>31</v>
      </c>
      <c r="AK445" s="15">
        <v>237093</v>
      </c>
      <c r="AL445" s="15" t="b">
        <v>0</v>
      </c>
      <c r="AM445" s="15">
        <v>0.48599999999999999</v>
      </c>
      <c r="AN445" s="15">
        <v>0.91300000000000003</v>
      </c>
      <c r="AO445" s="15">
        <v>5</v>
      </c>
      <c r="AP445" s="15">
        <v>-6.4160000000000004</v>
      </c>
      <c r="AQ445" s="15">
        <v>1</v>
      </c>
      <c r="AR445" s="15">
        <v>6.1600000000000002E-2</v>
      </c>
      <c r="AS445" s="31" t="s">
        <v>1378</v>
      </c>
      <c r="AT445" s="15">
        <v>0.28899999999999998</v>
      </c>
      <c r="AU445" s="15">
        <v>0.22500000000000001</v>
      </c>
      <c r="AV445" s="15">
        <v>0.33400000000000002</v>
      </c>
      <c r="AW445" s="15">
        <v>136.07300000000001</v>
      </c>
      <c r="AX445" s="15">
        <v>4</v>
      </c>
      <c r="AY445" s="16" t="s">
        <v>24</v>
      </c>
    </row>
    <row r="446" spans="32:51" x14ac:dyDescent="0.35">
      <c r="AF446" s="17" t="s">
        <v>1379</v>
      </c>
      <c r="AG446" s="18" t="s">
        <v>917</v>
      </c>
      <c r="AH446" s="18" t="s">
        <v>918</v>
      </c>
      <c r="AI446" s="18" t="s">
        <v>1380</v>
      </c>
      <c r="AJ446" s="18">
        <v>60</v>
      </c>
      <c r="AK446" s="18">
        <v>235586</v>
      </c>
      <c r="AL446" s="18" t="b">
        <v>0</v>
      </c>
      <c r="AM446" s="18">
        <v>0.39600000000000002</v>
      </c>
      <c r="AN446" s="18">
        <v>0.19800000000000001</v>
      </c>
      <c r="AO446" s="18">
        <v>2</v>
      </c>
      <c r="AP446" s="18">
        <v>-9.0960000000000001</v>
      </c>
      <c r="AQ446" s="18">
        <v>1</v>
      </c>
      <c r="AR446" s="18">
        <v>3.1E-2</v>
      </c>
      <c r="AS446" s="18">
        <v>0.91200000000000003</v>
      </c>
      <c r="AT446" s="18">
        <v>0</v>
      </c>
      <c r="AU446" s="18">
        <v>9.7199999999999995E-2</v>
      </c>
      <c r="AV446" s="18">
        <v>0.19</v>
      </c>
      <c r="AW446" s="18">
        <v>138.624</v>
      </c>
      <c r="AX446" s="18">
        <v>3</v>
      </c>
      <c r="AY446" s="19" t="s">
        <v>24</v>
      </c>
    </row>
    <row r="447" spans="32:51" x14ac:dyDescent="0.35">
      <c r="AF447" s="14" t="s">
        <v>1381</v>
      </c>
      <c r="AG447" s="15" t="s">
        <v>712</v>
      </c>
      <c r="AH447" s="15" t="s">
        <v>1382</v>
      </c>
      <c r="AI447" s="15" t="s">
        <v>1383</v>
      </c>
      <c r="AJ447" s="15">
        <v>67</v>
      </c>
      <c r="AK447" s="15">
        <v>231840</v>
      </c>
      <c r="AL447" s="15" t="b">
        <v>0</v>
      </c>
      <c r="AM447" s="15">
        <v>0.57799999999999996</v>
      </c>
      <c r="AN447" s="15">
        <v>0.72699999999999998</v>
      </c>
      <c r="AO447" s="15">
        <v>10</v>
      </c>
      <c r="AP447" s="15">
        <v>-4.8719999999999999</v>
      </c>
      <c r="AQ447" s="15">
        <v>1</v>
      </c>
      <c r="AR447" s="15">
        <v>3.32E-2</v>
      </c>
      <c r="AS447" s="15">
        <v>3.04E-2</v>
      </c>
      <c r="AT447" s="31" t="s">
        <v>1384</v>
      </c>
      <c r="AU447" s="15">
        <v>0.17199999999999999</v>
      </c>
      <c r="AV447" s="15">
        <v>0.88500000000000001</v>
      </c>
      <c r="AW447" s="15">
        <v>170.59299999999999</v>
      </c>
      <c r="AX447" s="15">
        <v>4</v>
      </c>
      <c r="AY447" s="16" t="s">
        <v>24</v>
      </c>
    </row>
    <row r="448" spans="32:51" x14ac:dyDescent="0.35">
      <c r="AF448" s="17" t="s">
        <v>1385</v>
      </c>
      <c r="AG448" s="18" t="s">
        <v>1230</v>
      </c>
      <c r="AH448" s="18" t="s">
        <v>1386</v>
      </c>
      <c r="AI448" s="18" t="s">
        <v>1387</v>
      </c>
      <c r="AJ448" s="18">
        <v>33</v>
      </c>
      <c r="AK448" s="18">
        <v>163666</v>
      </c>
      <c r="AL448" s="18" t="b">
        <v>0</v>
      </c>
      <c r="AM448" s="18">
        <v>0.68400000000000005</v>
      </c>
      <c r="AN448" s="18">
        <v>0.50900000000000001</v>
      </c>
      <c r="AO448" s="18">
        <v>4</v>
      </c>
      <c r="AP448" s="18">
        <v>-7.6079999999999997</v>
      </c>
      <c r="AQ448" s="18">
        <v>1</v>
      </c>
      <c r="AR448" s="18">
        <v>3.3399999999999999E-2</v>
      </c>
      <c r="AS448" s="18">
        <v>0.57099999999999995</v>
      </c>
      <c r="AT448" s="18">
        <v>0</v>
      </c>
      <c r="AU448" s="18">
        <v>0.40200000000000002</v>
      </c>
      <c r="AV448" s="18">
        <v>0.69</v>
      </c>
      <c r="AW448" s="18">
        <v>132.297</v>
      </c>
      <c r="AX448" s="18">
        <v>4</v>
      </c>
      <c r="AY448" s="19" t="s">
        <v>24</v>
      </c>
    </row>
    <row r="449" spans="32:51" x14ac:dyDescent="0.35">
      <c r="AF449" s="14" t="s">
        <v>1388</v>
      </c>
      <c r="AG449" s="15" t="s">
        <v>1389</v>
      </c>
      <c r="AH449" s="15" t="s">
        <v>1390</v>
      </c>
      <c r="AI449" s="15" t="s">
        <v>1391</v>
      </c>
      <c r="AJ449" s="15">
        <v>32</v>
      </c>
      <c r="AK449" s="15">
        <v>122026</v>
      </c>
      <c r="AL449" s="15" t="b">
        <v>1</v>
      </c>
      <c r="AM449" s="15">
        <v>0.623</v>
      </c>
      <c r="AN449" s="15">
        <v>0.56699999999999995</v>
      </c>
      <c r="AO449" s="15">
        <v>10</v>
      </c>
      <c r="AP449" s="15">
        <v>-7.7789999999999999</v>
      </c>
      <c r="AQ449" s="15">
        <v>1</v>
      </c>
      <c r="AR449" s="15">
        <v>3.6999999999999998E-2</v>
      </c>
      <c r="AS449" s="15">
        <v>0.83099999999999996</v>
      </c>
      <c r="AT449" s="31" t="s">
        <v>1392</v>
      </c>
      <c r="AU449" s="15">
        <v>0.104</v>
      </c>
      <c r="AV449" s="15">
        <v>0.92900000000000005</v>
      </c>
      <c r="AW449" s="15">
        <v>129.94900000000001</v>
      </c>
      <c r="AX449" s="15">
        <v>4</v>
      </c>
      <c r="AY449" s="16" t="s">
        <v>24</v>
      </c>
    </row>
    <row r="450" spans="32:51" x14ac:dyDescent="0.35">
      <c r="AF450" s="17" t="s">
        <v>1393</v>
      </c>
      <c r="AG450" s="18" t="s">
        <v>1069</v>
      </c>
      <c r="AH450" s="18" t="s">
        <v>1394</v>
      </c>
      <c r="AI450" s="18" t="s">
        <v>1395</v>
      </c>
      <c r="AJ450" s="18">
        <v>31</v>
      </c>
      <c r="AK450" s="18">
        <v>165799</v>
      </c>
      <c r="AL450" s="18" t="b">
        <v>0</v>
      </c>
      <c r="AM450" s="18">
        <v>0.22800000000000001</v>
      </c>
      <c r="AN450" s="18">
        <v>0.57399999999999995</v>
      </c>
      <c r="AO450" s="18">
        <v>4</v>
      </c>
      <c r="AP450" s="18">
        <v>-7.9589999999999996</v>
      </c>
      <c r="AQ450" s="18">
        <v>0</v>
      </c>
      <c r="AR450" s="18">
        <v>4.2099999999999999E-2</v>
      </c>
      <c r="AS450" s="18">
        <v>0.51700000000000002</v>
      </c>
      <c r="AT450" s="18">
        <v>1.48E-3</v>
      </c>
      <c r="AU450" s="18">
        <v>0.128</v>
      </c>
      <c r="AV450" s="18">
        <v>0.38900000000000001</v>
      </c>
      <c r="AW450" s="18">
        <v>182.37899999999999</v>
      </c>
      <c r="AX450" s="18">
        <v>4</v>
      </c>
      <c r="AY450" s="19" t="s">
        <v>24</v>
      </c>
    </row>
    <row r="451" spans="32:51" x14ac:dyDescent="0.35">
      <c r="AF451" s="14" t="s">
        <v>1396</v>
      </c>
      <c r="AG451" s="15" t="s">
        <v>1316</v>
      </c>
      <c r="AH451" s="15" t="s">
        <v>314</v>
      </c>
      <c r="AI451" s="15" t="s">
        <v>1397</v>
      </c>
      <c r="AJ451" s="15">
        <v>0</v>
      </c>
      <c r="AK451" s="15">
        <v>160666</v>
      </c>
      <c r="AL451" s="15" t="b">
        <v>0</v>
      </c>
      <c r="AM451" s="15">
        <v>0.80900000000000005</v>
      </c>
      <c r="AN451" s="15">
        <v>0.313</v>
      </c>
      <c r="AO451" s="15">
        <v>9</v>
      </c>
      <c r="AP451" s="15">
        <v>-12.182</v>
      </c>
      <c r="AQ451" s="15">
        <v>1</v>
      </c>
      <c r="AR451" s="15">
        <v>4.2799999999999998E-2</v>
      </c>
      <c r="AS451" s="15">
        <v>0.876</v>
      </c>
      <c r="AT451" s="15">
        <v>0</v>
      </c>
      <c r="AU451" s="15">
        <v>0.112</v>
      </c>
      <c r="AV451" s="15">
        <v>0.35</v>
      </c>
      <c r="AW451" s="15">
        <v>114.955</v>
      </c>
      <c r="AX451" s="15">
        <v>4</v>
      </c>
      <c r="AY451" s="16" t="s">
        <v>24</v>
      </c>
    </row>
    <row r="452" spans="32:51" x14ac:dyDescent="0.35">
      <c r="AF452" s="17" t="s">
        <v>1398</v>
      </c>
      <c r="AG452" s="18" t="s">
        <v>769</v>
      </c>
      <c r="AH452" s="18" t="s">
        <v>770</v>
      </c>
      <c r="AI452" s="18" t="s">
        <v>1399</v>
      </c>
      <c r="AJ452" s="18">
        <v>31</v>
      </c>
      <c r="AK452" s="18">
        <v>195640</v>
      </c>
      <c r="AL452" s="18" t="b">
        <v>0</v>
      </c>
      <c r="AM452" s="18">
        <v>0.48199999999999998</v>
      </c>
      <c r="AN452" s="18">
        <v>0.77200000000000002</v>
      </c>
      <c r="AO452" s="18">
        <v>1</v>
      </c>
      <c r="AP452" s="18">
        <v>-5.1280000000000001</v>
      </c>
      <c r="AQ452" s="18">
        <v>1</v>
      </c>
      <c r="AR452" s="18">
        <v>3.1800000000000002E-2</v>
      </c>
      <c r="AS452" s="18">
        <v>2.6499999999999999E-2</v>
      </c>
      <c r="AT452" s="18">
        <v>0</v>
      </c>
      <c r="AU452" s="18">
        <v>0.26900000000000002</v>
      </c>
      <c r="AV452" s="18">
        <v>0.58599999999999997</v>
      </c>
      <c r="AW452" s="18">
        <v>129.91</v>
      </c>
      <c r="AX452" s="18">
        <v>4</v>
      </c>
      <c r="AY452" s="19" t="s">
        <v>24</v>
      </c>
    </row>
    <row r="453" spans="32:51" x14ac:dyDescent="0.35">
      <c r="AF453" s="14" t="s">
        <v>1400</v>
      </c>
      <c r="AG453" s="15" t="s">
        <v>176</v>
      </c>
      <c r="AH453" s="15" t="s">
        <v>1401</v>
      </c>
      <c r="AI453" s="15" t="s">
        <v>1402</v>
      </c>
      <c r="AJ453" s="15">
        <v>45</v>
      </c>
      <c r="AK453" s="15">
        <v>254296</v>
      </c>
      <c r="AL453" s="15" t="b">
        <v>0</v>
      </c>
      <c r="AM453" s="15">
        <v>0.42499999999999999</v>
      </c>
      <c r="AN453" s="15">
        <v>0.249</v>
      </c>
      <c r="AO453" s="15">
        <v>4</v>
      </c>
      <c r="AP453" s="15">
        <v>-12.218999999999999</v>
      </c>
      <c r="AQ453" s="15">
        <v>0</v>
      </c>
      <c r="AR453" s="15">
        <v>3.5499999999999997E-2</v>
      </c>
      <c r="AS453" s="15">
        <v>0.87</v>
      </c>
      <c r="AT453" s="15">
        <v>1.75E-3</v>
      </c>
      <c r="AU453" s="15">
        <v>0.124</v>
      </c>
      <c r="AV453" s="15">
        <v>0.23499999999999999</v>
      </c>
      <c r="AW453" s="15">
        <v>123.63200000000001</v>
      </c>
      <c r="AX453" s="15">
        <v>4</v>
      </c>
      <c r="AY453" s="16" t="s">
        <v>24</v>
      </c>
    </row>
    <row r="454" spans="32:51" x14ac:dyDescent="0.35">
      <c r="AF454" s="17" t="s">
        <v>1403</v>
      </c>
      <c r="AG454" s="18" t="s">
        <v>1093</v>
      </c>
      <c r="AH454" s="18" t="s">
        <v>1404</v>
      </c>
      <c r="AI454" s="18" t="s">
        <v>1405</v>
      </c>
      <c r="AJ454" s="18">
        <v>56</v>
      </c>
      <c r="AK454" s="18">
        <v>256361</v>
      </c>
      <c r="AL454" s="18" t="b">
        <v>0</v>
      </c>
      <c r="AM454" s="18">
        <v>0.29799999999999999</v>
      </c>
      <c r="AN454" s="18">
        <v>4.3999999999999997E-2</v>
      </c>
      <c r="AO454" s="18">
        <v>5</v>
      </c>
      <c r="AP454" s="18">
        <v>-20.175999999999998</v>
      </c>
      <c r="AQ454" s="18">
        <v>1</v>
      </c>
      <c r="AR454" s="18">
        <v>3.5000000000000003E-2</v>
      </c>
      <c r="AS454" s="18">
        <v>0.98299999999999998</v>
      </c>
      <c r="AT454" s="18">
        <v>0.124</v>
      </c>
      <c r="AU454" s="18">
        <v>0.10100000000000001</v>
      </c>
      <c r="AV454" s="18">
        <v>0.115</v>
      </c>
      <c r="AW454" s="18">
        <v>85.707999999999998</v>
      </c>
      <c r="AX454" s="18">
        <v>4</v>
      </c>
      <c r="AY454" s="19" t="s">
        <v>24</v>
      </c>
    </row>
    <row r="455" spans="32:51" x14ac:dyDescent="0.35">
      <c r="AF455" s="14" t="s">
        <v>1406</v>
      </c>
      <c r="AG455" s="15" t="s">
        <v>792</v>
      </c>
      <c r="AH455" s="15" t="s">
        <v>1407</v>
      </c>
      <c r="AI455" s="15" t="s">
        <v>1408</v>
      </c>
      <c r="AJ455" s="15">
        <v>45</v>
      </c>
      <c r="AK455" s="15">
        <v>297266</v>
      </c>
      <c r="AL455" s="15" t="b">
        <v>0</v>
      </c>
      <c r="AM455" s="15">
        <v>0.46800000000000003</v>
      </c>
      <c r="AN455" s="15">
        <v>0.254</v>
      </c>
      <c r="AO455" s="15">
        <v>6</v>
      </c>
      <c r="AP455" s="15">
        <v>-11.839</v>
      </c>
      <c r="AQ455" s="15">
        <v>1</v>
      </c>
      <c r="AR455" s="15">
        <v>3.0300000000000001E-2</v>
      </c>
      <c r="AS455" s="15">
        <v>0.93799999999999994</v>
      </c>
      <c r="AT455" s="15">
        <v>4.4200000000000001E-4</v>
      </c>
      <c r="AU455" s="15">
        <v>0.107</v>
      </c>
      <c r="AV455" s="15">
        <v>0.24199999999999999</v>
      </c>
      <c r="AW455" s="15">
        <v>135.86199999999999</v>
      </c>
      <c r="AX455" s="15">
        <v>4</v>
      </c>
      <c r="AY455" s="16" t="s">
        <v>24</v>
      </c>
    </row>
    <row r="456" spans="32:51" x14ac:dyDescent="0.35">
      <c r="AF456" s="17" t="s">
        <v>1409</v>
      </c>
      <c r="AG456" s="18" t="s">
        <v>1410</v>
      </c>
      <c r="AH456" s="18" t="s">
        <v>628</v>
      </c>
      <c r="AI456" s="18" t="s">
        <v>628</v>
      </c>
      <c r="AJ456" s="18">
        <v>42</v>
      </c>
      <c r="AK456" s="18">
        <v>170125</v>
      </c>
      <c r="AL456" s="18" t="b">
        <v>0</v>
      </c>
      <c r="AM456" s="18">
        <v>0.50700000000000001</v>
      </c>
      <c r="AN456" s="18">
        <v>0.191</v>
      </c>
      <c r="AO456" s="18">
        <v>5</v>
      </c>
      <c r="AP456" s="18">
        <v>-16.341999999999999</v>
      </c>
      <c r="AQ456" s="18">
        <v>1</v>
      </c>
      <c r="AR456" s="18">
        <v>4.0800000000000003E-2</v>
      </c>
      <c r="AS456" s="18">
        <v>0.99</v>
      </c>
      <c r="AT456" s="18">
        <v>0.93300000000000005</v>
      </c>
      <c r="AU456" s="18">
        <v>0.108</v>
      </c>
      <c r="AV456" s="18">
        <v>0.221</v>
      </c>
      <c r="AW456" s="18">
        <v>132.131</v>
      </c>
      <c r="AX456" s="18">
        <v>4</v>
      </c>
      <c r="AY456" s="19" t="s">
        <v>24</v>
      </c>
    </row>
    <row r="457" spans="32:51" x14ac:dyDescent="0.35">
      <c r="AF457" s="14" t="s">
        <v>1411</v>
      </c>
      <c r="AG457" s="15" t="s">
        <v>431</v>
      </c>
      <c r="AH457" s="15" t="s">
        <v>431</v>
      </c>
      <c r="AI457" s="15" t="s">
        <v>562</v>
      </c>
      <c r="AJ457" s="15">
        <v>46</v>
      </c>
      <c r="AK457" s="15">
        <v>273026</v>
      </c>
      <c r="AL457" s="15" t="b">
        <v>0</v>
      </c>
      <c r="AM457" s="15">
        <v>0.51500000000000001</v>
      </c>
      <c r="AN457" s="15">
        <v>0.249</v>
      </c>
      <c r="AO457" s="15">
        <v>8</v>
      </c>
      <c r="AP457" s="15">
        <v>-10.108000000000001</v>
      </c>
      <c r="AQ457" s="15">
        <v>0</v>
      </c>
      <c r="AR457" s="15">
        <v>4.3999999999999997E-2</v>
      </c>
      <c r="AS457" s="15">
        <v>0.79300000000000004</v>
      </c>
      <c r="AT457" s="15">
        <v>0</v>
      </c>
      <c r="AU457" s="15">
        <v>0.10199999999999999</v>
      </c>
      <c r="AV457" s="15">
        <v>0.21299999999999999</v>
      </c>
      <c r="AW457" s="15">
        <v>108.89</v>
      </c>
      <c r="AX457" s="15">
        <v>5</v>
      </c>
      <c r="AY457" s="16" t="s">
        <v>24</v>
      </c>
    </row>
    <row r="458" spans="32:51" x14ac:dyDescent="0.35">
      <c r="AF458" s="17" t="s">
        <v>1412</v>
      </c>
      <c r="AG458" s="18" t="s">
        <v>422</v>
      </c>
      <c r="AH458" s="18" t="s">
        <v>1413</v>
      </c>
      <c r="AI458" s="18" t="s">
        <v>1414</v>
      </c>
      <c r="AJ458" s="18">
        <v>50</v>
      </c>
      <c r="AK458" s="18">
        <v>182826</v>
      </c>
      <c r="AL458" s="18" t="b">
        <v>0</v>
      </c>
      <c r="AM458" s="18">
        <v>0.56499999999999995</v>
      </c>
      <c r="AN458" s="18">
        <v>0.89</v>
      </c>
      <c r="AO458" s="18">
        <v>0</v>
      </c>
      <c r="AP458" s="18">
        <v>-5.4809999999999999</v>
      </c>
      <c r="AQ458" s="18">
        <v>1</v>
      </c>
      <c r="AR458" s="18">
        <v>2.8500000000000001E-2</v>
      </c>
      <c r="AS458" s="18">
        <v>5.3699999999999998E-3</v>
      </c>
      <c r="AT458" s="32" t="s">
        <v>1415</v>
      </c>
      <c r="AU458" s="18">
        <v>0.21299999999999999</v>
      </c>
      <c r="AV458" s="18">
        <v>0.74399999999999999</v>
      </c>
      <c r="AW458" s="18">
        <v>119.86199999999999</v>
      </c>
      <c r="AX458" s="18">
        <v>4</v>
      </c>
      <c r="AY458" s="19" t="s">
        <v>24</v>
      </c>
    </row>
    <row r="459" spans="32:51" x14ac:dyDescent="0.35">
      <c r="AF459" s="14" t="s">
        <v>1416</v>
      </c>
      <c r="AG459" s="15" t="s">
        <v>1417</v>
      </c>
      <c r="AH459" s="15" t="s">
        <v>1418</v>
      </c>
      <c r="AI459" s="15" t="s">
        <v>1419</v>
      </c>
      <c r="AJ459" s="15">
        <v>45</v>
      </c>
      <c r="AK459" s="15">
        <v>217373</v>
      </c>
      <c r="AL459" s="15" t="b">
        <v>0</v>
      </c>
      <c r="AM459" s="15">
        <v>0.63500000000000001</v>
      </c>
      <c r="AN459" s="15">
        <v>0.433</v>
      </c>
      <c r="AO459" s="15">
        <v>11</v>
      </c>
      <c r="AP459" s="15">
        <v>-7.6820000000000004</v>
      </c>
      <c r="AQ459" s="15">
        <v>0</v>
      </c>
      <c r="AR459" s="15">
        <v>2.9000000000000001E-2</v>
      </c>
      <c r="AS459" s="15">
        <v>0.86</v>
      </c>
      <c r="AT459" s="15">
        <v>0.43</v>
      </c>
      <c r="AU459" s="15">
        <v>8.77E-2</v>
      </c>
      <c r="AV459" s="15">
        <v>0.48899999999999999</v>
      </c>
      <c r="AW459" s="15">
        <v>130.11099999999999</v>
      </c>
      <c r="AX459" s="15">
        <v>4</v>
      </c>
      <c r="AY459" s="16" t="s">
        <v>24</v>
      </c>
    </row>
    <row r="460" spans="32:51" x14ac:dyDescent="0.35">
      <c r="AF460" s="17" t="s">
        <v>1420</v>
      </c>
      <c r="AG460" s="18" t="s">
        <v>1421</v>
      </c>
      <c r="AH460" s="18" t="s">
        <v>1422</v>
      </c>
      <c r="AI460" s="18" t="s">
        <v>1423</v>
      </c>
      <c r="AJ460" s="18">
        <v>56</v>
      </c>
      <c r="AK460" s="18">
        <v>208102</v>
      </c>
      <c r="AL460" s="18" t="b">
        <v>0</v>
      </c>
      <c r="AM460" s="18">
        <v>0.65700000000000003</v>
      </c>
      <c r="AN460" s="18">
        <v>0.192</v>
      </c>
      <c r="AO460" s="18">
        <v>10</v>
      </c>
      <c r="AP460" s="18">
        <v>-13.108000000000001</v>
      </c>
      <c r="AQ460" s="18">
        <v>0</v>
      </c>
      <c r="AR460" s="18">
        <v>3.6499999999999998E-2</v>
      </c>
      <c r="AS460" s="18">
        <v>0.89400000000000002</v>
      </c>
      <c r="AT460" s="18">
        <v>0</v>
      </c>
      <c r="AU460" s="18">
        <v>0.157</v>
      </c>
      <c r="AV460" s="18">
        <v>0.30499999999999999</v>
      </c>
      <c r="AW460" s="18">
        <v>130.08699999999999</v>
      </c>
      <c r="AX460" s="18">
        <v>4</v>
      </c>
      <c r="AY460" s="19" t="s">
        <v>24</v>
      </c>
    </row>
    <row r="461" spans="32:51" x14ac:dyDescent="0.35">
      <c r="AF461" s="14" t="s">
        <v>1424</v>
      </c>
      <c r="AG461" s="15" t="s">
        <v>426</v>
      </c>
      <c r="AH461" s="15" t="s">
        <v>1425</v>
      </c>
      <c r="AI461" s="15" t="s">
        <v>1426</v>
      </c>
      <c r="AJ461" s="15">
        <v>43</v>
      </c>
      <c r="AK461" s="15">
        <v>241120</v>
      </c>
      <c r="AL461" s="15" t="b">
        <v>0</v>
      </c>
      <c r="AM461" s="15">
        <v>0.45900000000000002</v>
      </c>
      <c r="AN461" s="15">
        <v>0.14000000000000001</v>
      </c>
      <c r="AO461" s="15">
        <v>9</v>
      </c>
      <c r="AP461" s="15">
        <v>-15.481999999999999</v>
      </c>
      <c r="AQ461" s="15">
        <v>1</v>
      </c>
      <c r="AR461" s="15">
        <v>3.6700000000000003E-2</v>
      </c>
      <c r="AS461" s="15">
        <v>0.89500000000000002</v>
      </c>
      <c r="AT461" s="15">
        <v>5.6499999999999996E-3</v>
      </c>
      <c r="AU461" s="15">
        <v>0.13800000000000001</v>
      </c>
      <c r="AV461" s="15">
        <v>0.14599999999999999</v>
      </c>
      <c r="AW461" s="15">
        <v>128.904</v>
      </c>
      <c r="AX461" s="15">
        <v>4</v>
      </c>
      <c r="AY461" s="16" t="s">
        <v>24</v>
      </c>
    </row>
    <row r="462" spans="32:51" x14ac:dyDescent="0.35">
      <c r="AF462" s="17" t="s">
        <v>1427</v>
      </c>
      <c r="AG462" s="18" t="s">
        <v>1428</v>
      </c>
      <c r="AH462" s="18" t="s">
        <v>1429</v>
      </c>
      <c r="AI462" s="18" t="s">
        <v>1429</v>
      </c>
      <c r="AJ462" s="18">
        <v>39</v>
      </c>
      <c r="AK462" s="18">
        <v>235000</v>
      </c>
      <c r="AL462" s="18" t="b">
        <v>0</v>
      </c>
      <c r="AM462" s="18">
        <v>0.39100000000000001</v>
      </c>
      <c r="AN462" s="18">
        <v>0.31</v>
      </c>
      <c r="AO462" s="18">
        <v>7</v>
      </c>
      <c r="AP462" s="18">
        <v>-8.7059999999999995</v>
      </c>
      <c r="AQ462" s="18">
        <v>1</v>
      </c>
      <c r="AR462" s="18">
        <v>2.6800000000000001E-2</v>
      </c>
      <c r="AS462" s="18">
        <v>0.61399999999999999</v>
      </c>
      <c r="AT462" s="32" t="s">
        <v>1430</v>
      </c>
      <c r="AU462" s="18">
        <v>0.1</v>
      </c>
      <c r="AV462" s="18">
        <v>0.29499999999999998</v>
      </c>
      <c r="AW462" s="18">
        <v>83.46</v>
      </c>
      <c r="AX462" s="18">
        <v>4</v>
      </c>
      <c r="AY462" s="19" t="s">
        <v>24</v>
      </c>
    </row>
    <row r="463" spans="32:51" x14ac:dyDescent="0.35">
      <c r="AF463" s="14" t="s">
        <v>1431</v>
      </c>
      <c r="AG463" s="15" t="s">
        <v>255</v>
      </c>
      <c r="AH463" s="15" t="s">
        <v>1432</v>
      </c>
      <c r="AI463" s="15" t="s">
        <v>1432</v>
      </c>
      <c r="AJ463" s="15">
        <v>53</v>
      </c>
      <c r="AK463" s="15">
        <v>172766</v>
      </c>
      <c r="AL463" s="15" t="b">
        <v>0</v>
      </c>
      <c r="AM463" s="15">
        <v>0.371</v>
      </c>
      <c r="AN463" s="15">
        <v>0.20799999999999999</v>
      </c>
      <c r="AO463" s="15">
        <v>11</v>
      </c>
      <c r="AP463" s="15">
        <v>-13.167</v>
      </c>
      <c r="AQ463" s="15">
        <v>1</v>
      </c>
      <c r="AR463" s="15">
        <v>4.6199999999999998E-2</v>
      </c>
      <c r="AS463" s="15">
        <v>0.91200000000000003</v>
      </c>
      <c r="AT463" s="15">
        <v>0</v>
      </c>
      <c r="AU463" s="15">
        <v>0.105</v>
      </c>
      <c r="AV463" s="15">
        <v>0.309</v>
      </c>
      <c r="AW463" s="15">
        <v>199.80500000000001</v>
      </c>
      <c r="AX463" s="15">
        <v>4</v>
      </c>
      <c r="AY463" s="16" t="s">
        <v>24</v>
      </c>
    </row>
    <row r="464" spans="32:51" x14ac:dyDescent="0.35">
      <c r="AF464" s="17" t="s">
        <v>1433</v>
      </c>
      <c r="AG464" s="18" t="s">
        <v>278</v>
      </c>
      <c r="AH464" s="18" t="s">
        <v>448</v>
      </c>
      <c r="AI464" s="18" t="s">
        <v>1434</v>
      </c>
      <c r="AJ464" s="18">
        <v>45</v>
      </c>
      <c r="AK464" s="18">
        <v>239855</v>
      </c>
      <c r="AL464" s="18" t="b">
        <v>0</v>
      </c>
      <c r="AM464" s="18">
        <v>0.45300000000000001</v>
      </c>
      <c r="AN464" s="18">
        <v>0.46100000000000002</v>
      </c>
      <c r="AO464" s="18">
        <v>0</v>
      </c>
      <c r="AP464" s="18">
        <v>-9.3279999999999994</v>
      </c>
      <c r="AQ464" s="18">
        <v>0</v>
      </c>
      <c r="AR464" s="18">
        <v>3.2899999999999999E-2</v>
      </c>
      <c r="AS464" s="18">
        <v>0.16500000000000001</v>
      </c>
      <c r="AT464" s="18">
        <v>0</v>
      </c>
      <c r="AU464" s="18">
        <v>0.109</v>
      </c>
      <c r="AV464" s="18">
        <v>8.4400000000000003E-2</v>
      </c>
      <c r="AW464" s="18">
        <v>106.84</v>
      </c>
      <c r="AX464" s="18">
        <v>5</v>
      </c>
      <c r="AY464" s="19" t="s">
        <v>24</v>
      </c>
    </row>
    <row r="465" spans="32:51" x14ac:dyDescent="0.35">
      <c r="AF465" s="14" t="s">
        <v>1435</v>
      </c>
      <c r="AG465" s="15" t="s">
        <v>60</v>
      </c>
      <c r="AH465" s="15" t="s">
        <v>1436</v>
      </c>
      <c r="AI465" s="15" t="s">
        <v>62</v>
      </c>
      <c r="AJ465" s="15">
        <v>32</v>
      </c>
      <c r="AK465" s="15">
        <v>244800</v>
      </c>
      <c r="AL465" s="15" t="b">
        <v>0</v>
      </c>
      <c r="AM465" s="15">
        <v>0.627</v>
      </c>
      <c r="AN465" s="15">
        <v>0.36299999999999999</v>
      </c>
      <c r="AO465" s="15">
        <v>8</v>
      </c>
      <c r="AP465" s="15">
        <v>-8.1270000000000007</v>
      </c>
      <c r="AQ465" s="15">
        <v>1</v>
      </c>
      <c r="AR465" s="15">
        <v>2.9100000000000001E-2</v>
      </c>
      <c r="AS465" s="15">
        <v>0.27900000000000003</v>
      </c>
      <c r="AT465" s="15">
        <v>0</v>
      </c>
      <c r="AU465" s="15">
        <v>9.2799999999999994E-2</v>
      </c>
      <c r="AV465" s="15">
        <v>0.30099999999999999</v>
      </c>
      <c r="AW465" s="15">
        <v>99.905000000000001</v>
      </c>
      <c r="AX465" s="15">
        <v>4</v>
      </c>
      <c r="AY465" s="16" t="s">
        <v>24</v>
      </c>
    </row>
    <row r="466" spans="32:51" x14ac:dyDescent="0.35">
      <c r="AF466" s="17" t="s">
        <v>1437</v>
      </c>
      <c r="AG466" s="18" t="s">
        <v>255</v>
      </c>
      <c r="AH466" s="18" t="s">
        <v>1438</v>
      </c>
      <c r="AI466" s="18" t="s">
        <v>1438</v>
      </c>
      <c r="AJ466" s="18">
        <v>53</v>
      </c>
      <c r="AK466" s="18">
        <v>141286</v>
      </c>
      <c r="AL466" s="18" t="b">
        <v>0</v>
      </c>
      <c r="AM466" s="18">
        <v>0.70599999999999996</v>
      </c>
      <c r="AN466" s="18">
        <v>0.248</v>
      </c>
      <c r="AO466" s="18">
        <v>11</v>
      </c>
      <c r="AP466" s="18">
        <v>-12.724</v>
      </c>
      <c r="AQ466" s="18">
        <v>1</v>
      </c>
      <c r="AR466" s="18">
        <v>3.8600000000000002E-2</v>
      </c>
      <c r="AS466" s="18">
        <v>0.879</v>
      </c>
      <c r="AT466" s="18">
        <v>0</v>
      </c>
      <c r="AU466" s="18">
        <v>0.10100000000000001</v>
      </c>
      <c r="AV466" s="18">
        <v>0.40100000000000002</v>
      </c>
      <c r="AW466" s="18">
        <v>125.515</v>
      </c>
      <c r="AX466" s="18">
        <v>4</v>
      </c>
      <c r="AY466" s="19" t="s">
        <v>24</v>
      </c>
    </row>
    <row r="467" spans="32:51" x14ac:dyDescent="0.35">
      <c r="AF467" s="14" t="s">
        <v>1439</v>
      </c>
      <c r="AG467" s="15" t="s">
        <v>1421</v>
      </c>
      <c r="AH467" s="15" t="s">
        <v>1440</v>
      </c>
      <c r="AI467" s="15" t="s">
        <v>1440</v>
      </c>
      <c r="AJ467" s="15">
        <v>54</v>
      </c>
      <c r="AK467" s="15">
        <v>145514</v>
      </c>
      <c r="AL467" s="15" t="b">
        <v>0</v>
      </c>
      <c r="AM467" s="15">
        <v>0.72399999999999998</v>
      </c>
      <c r="AN467" s="15">
        <v>0.28000000000000003</v>
      </c>
      <c r="AO467" s="15">
        <v>9</v>
      </c>
      <c r="AP467" s="15">
        <v>-12.788</v>
      </c>
      <c r="AQ467" s="15">
        <v>1</v>
      </c>
      <c r="AR467" s="15">
        <v>3.0300000000000001E-2</v>
      </c>
      <c r="AS467" s="15">
        <v>0.755</v>
      </c>
      <c r="AT467" s="15">
        <v>0</v>
      </c>
      <c r="AU467" s="15">
        <v>0.32600000000000001</v>
      </c>
      <c r="AV467" s="15">
        <v>0.52700000000000002</v>
      </c>
      <c r="AW467" s="15">
        <v>106.96599999999999</v>
      </c>
      <c r="AX467" s="15">
        <v>4</v>
      </c>
      <c r="AY467" s="16" t="s">
        <v>24</v>
      </c>
    </row>
    <row r="468" spans="32:51" x14ac:dyDescent="0.35">
      <c r="AF468" s="17" t="s">
        <v>1441</v>
      </c>
      <c r="AG468" s="18" t="s">
        <v>400</v>
      </c>
      <c r="AH468" s="18" t="s">
        <v>1442</v>
      </c>
      <c r="AI468" s="18" t="s">
        <v>1442</v>
      </c>
      <c r="AJ468" s="18">
        <v>51</v>
      </c>
      <c r="AK468" s="18">
        <v>223386</v>
      </c>
      <c r="AL468" s="18" t="b">
        <v>0</v>
      </c>
      <c r="AM468" s="18">
        <v>0.53500000000000003</v>
      </c>
      <c r="AN468" s="18">
        <v>0.44400000000000001</v>
      </c>
      <c r="AO468" s="18">
        <v>6</v>
      </c>
      <c r="AP468" s="18">
        <v>-11.212</v>
      </c>
      <c r="AQ468" s="18">
        <v>1</v>
      </c>
      <c r="AR468" s="18">
        <v>2.9100000000000001E-2</v>
      </c>
      <c r="AS468" s="18">
        <v>0.66900000000000004</v>
      </c>
      <c r="AT468" s="18">
        <v>2.7799999999999998E-2</v>
      </c>
      <c r="AU468" s="18">
        <v>0.104</v>
      </c>
      <c r="AV468" s="18">
        <v>0.217</v>
      </c>
      <c r="AW468" s="18">
        <v>83.99</v>
      </c>
      <c r="AX468" s="18">
        <v>4</v>
      </c>
      <c r="AY468" s="19" t="s">
        <v>24</v>
      </c>
    </row>
    <row r="469" spans="32:51" x14ac:dyDescent="0.35">
      <c r="AF469" s="14" t="s">
        <v>1443</v>
      </c>
      <c r="AG469" s="15" t="s">
        <v>874</v>
      </c>
      <c r="AH469" s="15" t="s">
        <v>1444</v>
      </c>
      <c r="AI469" s="15" t="s">
        <v>1444</v>
      </c>
      <c r="AJ469" s="15">
        <v>55</v>
      </c>
      <c r="AK469" s="15">
        <v>136542</v>
      </c>
      <c r="AL469" s="15" t="b">
        <v>0</v>
      </c>
      <c r="AM469" s="15">
        <v>0.65800000000000003</v>
      </c>
      <c r="AN469" s="15">
        <v>0.125</v>
      </c>
      <c r="AO469" s="15">
        <v>8</v>
      </c>
      <c r="AP469" s="15">
        <v>-15.901</v>
      </c>
      <c r="AQ469" s="15">
        <v>1</v>
      </c>
      <c r="AR469" s="15">
        <v>3.2300000000000002E-2</v>
      </c>
      <c r="AS469" s="15">
        <v>0.877</v>
      </c>
      <c r="AT469" s="15">
        <v>0</v>
      </c>
      <c r="AU469" s="15">
        <v>0.28699999999999998</v>
      </c>
      <c r="AV469" s="15">
        <v>0.50700000000000001</v>
      </c>
      <c r="AW469" s="15">
        <v>106.68600000000001</v>
      </c>
      <c r="AX469" s="15">
        <v>4</v>
      </c>
      <c r="AY469" s="16" t="s">
        <v>24</v>
      </c>
    </row>
    <row r="470" spans="32:51" x14ac:dyDescent="0.35">
      <c r="AF470" s="17" t="s">
        <v>1445</v>
      </c>
      <c r="AG470" s="18" t="s">
        <v>83</v>
      </c>
      <c r="AH470" s="18" t="s">
        <v>1446</v>
      </c>
      <c r="AI470" s="18" t="s">
        <v>1446</v>
      </c>
      <c r="AJ470" s="18">
        <v>33</v>
      </c>
      <c r="AK470" s="18">
        <v>211358</v>
      </c>
      <c r="AL470" s="18" t="b">
        <v>0</v>
      </c>
      <c r="AM470" s="18">
        <v>0.71099999999999997</v>
      </c>
      <c r="AN470" s="18">
        <v>0.16800000000000001</v>
      </c>
      <c r="AO470" s="18">
        <v>0</v>
      </c>
      <c r="AP470" s="18">
        <v>-16.504000000000001</v>
      </c>
      <c r="AQ470" s="18">
        <v>1</v>
      </c>
      <c r="AR470" s="18">
        <v>3.6700000000000003E-2</v>
      </c>
      <c r="AS470" s="18">
        <v>0.86799999999999999</v>
      </c>
      <c r="AT470" s="32" t="s">
        <v>1384</v>
      </c>
      <c r="AU470" s="18">
        <v>0.114</v>
      </c>
      <c r="AV470" s="18">
        <v>0.29899999999999999</v>
      </c>
      <c r="AW470" s="18">
        <v>109.937</v>
      </c>
      <c r="AX470" s="18">
        <v>4</v>
      </c>
      <c r="AY470" s="19" t="s">
        <v>24</v>
      </c>
    </row>
    <row r="471" spans="32:51" x14ac:dyDescent="0.35">
      <c r="AF471" s="14" t="s">
        <v>1447</v>
      </c>
      <c r="AG471" s="15" t="s">
        <v>215</v>
      </c>
      <c r="AH471" s="15" t="s">
        <v>1448</v>
      </c>
      <c r="AI471" s="15" t="s">
        <v>1449</v>
      </c>
      <c r="AJ471" s="15">
        <v>55</v>
      </c>
      <c r="AK471" s="15">
        <v>76453</v>
      </c>
      <c r="AL471" s="15" t="b">
        <v>0</v>
      </c>
      <c r="AM471" s="15">
        <v>0.504</v>
      </c>
      <c r="AN471" s="15">
        <v>0.41499999999999998</v>
      </c>
      <c r="AO471" s="15">
        <v>8</v>
      </c>
      <c r="AP471" s="15">
        <v>-19.308</v>
      </c>
      <c r="AQ471" s="15">
        <v>0</v>
      </c>
      <c r="AR471" s="15">
        <v>0.121</v>
      </c>
      <c r="AS471" s="15">
        <v>0.879</v>
      </c>
      <c r="AT471" s="15">
        <v>0.49399999999999999</v>
      </c>
      <c r="AU471" s="15">
        <v>0.35</v>
      </c>
      <c r="AV471" s="15">
        <v>0.626</v>
      </c>
      <c r="AW471" s="15">
        <v>114.26300000000001</v>
      </c>
      <c r="AX471" s="15">
        <v>4</v>
      </c>
      <c r="AY471" s="16" t="s">
        <v>24</v>
      </c>
    </row>
    <row r="472" spans="32:51" x14ac:dyDescent="0.35">
      <c r="AF472" s="17" t="s">
        <v>1450</v>
      </c>
      <c r="AG472" s="18" t="s">
        <v>696</v>
      </c>
      <c r="AH472" s="18" t="s">
        <v>1451</v>
      </c>
      <c r="AI472" s="18" t="s">
        <v>1452</v>
      </c>
      <c r="AJ472" s="18">
        <v>46</v>
      </c>
      <c r="AK472" s="18">
        <v>273126</v>
      </c>
      <c r="AL472" s="18" t="b">
        <v>0</v>
      </c>
      <c r="AM472" s="18">
        <v>0.309</v>
      </c>
      <c r="AN472" s="18">
        <v>0.17499999999999999</v>
      </c>
      <c r="AO472" s="18">
        <v>8</v>
      </c>
      <c r="AP472" s="18">
        <v>-11.816000000000001</v>
      </c>
      <c r="AQ472" s="18">
        <v>1</v>
      </c>
      <c r="AR472" s="18">
        <v>3.3099999999999997E-2</v>
      </c>
      <c r="AS472" s="18">
        <v>0.91300000000000003</v>
      </c>
      <c r="AT472" s="32" t="s">
        <v>1453</v>
      </c>
      <c r="AU472" s="18">
        <v>0.11799999999999999</v>
      </c>
      <c r="AV472" s="18">
        <v>0.19800000000000001</v>
      </c>
      <c r="AW472" s="18">
        <v>155.69</v>
      </c>
      <c r="AX472" s="18">
        <v>3</v>
      </c>
      <c r="AY472" s="19" t="s">
        <v>24</v>
      </c>
    </row>
    <row r="473" spans="32:51" x14ac:dyDescent="0.35">
      <c r="AF473" s="14" t="s">
        <v>1454</v>
      </c>
      <c r="AG473" s="15" t="s">
        <v>1202</v>
      </c>
      <c r="AH473" s="15" t="s">
        <v>1455</v>
      </c>
      <c r="AI473" s="15" t="s">
        <v>1456</v>
      </c>
      <c r="AJ473" s="15">
        <v>30</v>
      </c>
      <c r="AK473" s="15">
        <v>268736</v>
      </c>
      <c r="AL473" s="15" t="b">
        <v>0</v>
      </c>
      <c r="AM473" s="15">
        <v>0.628</v>
      </c>
      <c r="AN473" s="15">
        <v>2.7E-2</v>
      </c>
      <c r="AO473" s="15">
        <v>11</v>
      </c>
      <c r="AP473" s="15">
        <v>-13.64</v>
      </c>
      <c r="AQ473" s="15">
        <v>0</v>
      </c>
      <c r="AR473" s="15">
        <v>4.8500000000000001E-2</v>
      </c>
      <c r="AS473" s="15">
        <v>0.94399999999999995</v>
      </c>
      <c r="AT473" s="15">
        <v>5.9999999999999995E-4</v>
      </c>
      <c r="AU473" s="15">
        <v>9.0899999999999995E-2</v>
      </c>
      <c r="AV473" s="15">
        <v>0.20300000000000001</v>
      </c>
      <c r="AW473" s="15">
        <v>122.00700000000001</v>
      </c>
      <c r="AX473" s="15">
        <v>4</v>
      </c>
      <c r="AY473" s="16" t="s">
        <v>24</v>
      </c>
    </row>
    <row r="474" spans="32:51" x14ac:dyDescent="0.35">
      <c r="AF474" s="17" t="s">
        <v>1457</v>
      </c>
      <c r="AG474" s="18" t="s">
        <v>278</v>
      </c>
      <c r="AH474" s="18" t="s">
        <v>1458</v>
      </c>
      <c r="AI474" s="18" t="s">
        <v>1458</v>
      </c>
      <c r="AJ474" s="18">
        <v>46</v>
      </c>
      <c r="AK474" s="18">
        <v>205658</v>
      </c>
      <c r="AL474" s="18" t="b">
        <v>0</v>
      </c>
      <c r="AM474" s="18">
        <v>0.49</v>
      </c>
      <c r="AN474" s="18">
        <v>0.67400000000000004</v>
      </c>
      <c r="AO474" s="18">
        <v>1</v>
      </c>
      <c r="AP474" s="18">
        <v>-7.2759999999999998</v>
      </c>
      <c r="AQ474" s="18">
        <v>1</v>
      </c>
      <c r="AR474" s="18">
        <v>3.2199999999999999E-2</v>
      </c>
      <c r="AS474" s="18">
        <v>0.19</v>
      </c>
      <c r="AT474" s="18">
        <v>1.4300000000000001E-4</v>
      </c>
      <c r="AU474" s="18">
        <v>6.3399999999999998E-2</v>
      </c>
      <c r="AV474" s="18">
        <v>0.28799999999999998</v>
      </c>
      <c r="AW474" s="18">
        <v>122.807</v>
      </c>
      <c r="AX474" s="18">
        <v>4</v>
      </c>
      <c r="AY474" s="19" t="s">
        <v>24</v>
      </c>
    </row>
    <row r="475" spans="32:51" x14ac:dyDescent="0.35">
      <c r="AF475" s="14" t="s">
        <v>1459</v>
      </c>
      <c r="AG475" s="15" t="s">
        <v>1460</v>
      </c>
      <c r="AH475" s="15" t="s">
        <v>1461</v>
      </c>
      <c r="AI475" s="15" t="s">
        <v>1462</v>
      </c>
      <c r="AJ475" s="15">
        <v>60</v>
      </c>
      <c r="AK475" s="15">
        <v>256680</v>
      </c>
      <c r="AL475" s="15" t="b">
        <v>0</v>
      </c>
      <c r="AM475" s="15">
        <v>0.316</v>
      </c>
      <c r="AN475" s="15">
        <v>0.41299999999999998</v>
      </c>
      <c r="AO475" s="15">
        <v>11</v>
      </c>
      <c r="AP475" s="15">
        <v>-12.215999999999999</v>
      </c>
      <c r="AQ475" s="15">
        <v>1</v>
      </c>
      <c r="AR475" s="15">
        <v>3.3399999999999999E-2</v>
      </c>
      <c r="AS475" s="15">
        <v>0.85599999999999998</v>
      </c>
      <c r="AT475" s="15">
        <v>2.4499999999999999E-3</v>
      </c>
      <c r="AU475" s="15">
        <v>0.14299999999999999</v>
      </c>
      <c r="AV475" s="15">
        <v>0.245</v>
      </c>
      <c r="AW475" s="15">
        <v>155.69</v>
      </c>
      <c r="AX475" s="15">
        <v>4</v>
      </c>
      <c r="AY475" s="16" t="s">
        <v>24</v>
      </c>
    </row>
    <row r="476" spans="32:51" x14ac:dyDescent="0.35">
      <c r="AF476" s="17" t="s">
        <v>1463</v>
      </c>
      <c r="AG476" s="18" t="s">
        <v>278</v>
      </c>
      <c r="AH476" s="18" t="s">
        <v>344</v>
      </c>
      <c r="AI476" s="18" t="s">
        <v>1464</v>
      </c>
      <c r="AJ476" s="18">
        <v>51</v>
      </c>
      <c r="AK476" s="18">
        <v>265386</v>
      </c>
      <c r="AL476" s="18" t="b">
        <v>0</v>
      </c>
      <c r="AM476" s="18">
        <v>0.47</v>
      </c>
      <c r="AN476" s="18">
        <v>0.27100000000000002</v>
      </c>
      <c r="AO476" s="18">
        <v>6</v>
      </c>
      <c r="AP476" s="18">
        <v>-7.6360000000000001</v>
      </c>
      <c r="AQ476" s="18">
        <v>1</v>
      </c>
      <c r="AR476" s="18">
        <v>3.4200000000000001E-2</v>
      </c>
      <c r="AS476" s="18">
        <v>0.79900000000000004</v>
      </c>
      <c r="AT476" s="18">
        <v>0</v>
      </c>
      <c r="AU476" s="18">
        <v>0.11899999999999999</v>
      </c>
      <c r="AV476" s="18">
        <v>9.4299999999999995E-2</v>
      </c>
      <c r="AW476" s="18">
        <v>145.90199999999999</v>
      </c>
      <c r="AX476" s="18">
        <v>4</v>
      </c>
      <c r="AY476" s="19" t="s">
        <v>24</v>
      </c>
    </row>
    <row r="477" spans="32:51" x14ac:dyDescent="0.35">
      <c r="AF477" s="14" t="s">
        <v>1465</v>
      </c>
      <c r="AG477" s="15" t="s">
        <v>696</v>
      </c>
      <c r="AH477" s="15" t="s">
        <v>1466</v>
      </c>
      <c r="AI477" s="15" t="s">
        <v>1467</v>
      </c>
      <c r="AJ477" s="15">
        <v>47</v>
      </c>
      <c r="AK477" s="15">
        <v>219306</v>
      </c>
      <c r="AL477" s="15" t="b">
        <v>0</v>
      </c>
      <c r="AM477" s="15">
        <v>0.51500000000000001</v>
      </c>
      <c r="AN477" s="15">
        <v>0.317</v>
      </c>
      <c r="AO477" s="15">
        <v>9</v>
      </c>
      <c r="AP477" s="15">
        <v>-10.286</v>
      </c>
      <c r="AQ477" s="15">
        <v>1</v>
      </c>
      <c r="AR477" s="15">
        <v>2.8299999999999999E-2</v>
      </c>
      <c r="AS477" s="15">
        <v>0.81599999999999995</v>
      </c>
      <c r="AT477" s="15">
        <v>0</v>
      </c>
      <c r="AU477" s="15">
        <v>9.7299999999999998E-2</v>
      </c>
      <c r="AV477" s="15">
        <v>0.51200000000000001</v>
      </c>
      <c r="AW477" s="15">
        <v>79.91</v>
      </c>
      <c r="AX477" s="15">
        <v>4</v>
      </c>
      <c r="AY477" s="16" t="s">
        <v>24</v>
      </c>
    </row>
    <row r="478" spans="32:51" x14ac:dyDescent="0.35">
      <c r="AF478" s="17" t="s">
        <v>1468</v>
      </c>
      <c r="AG478" s="18" t="s">
        <v>271</v>
      </c>
      <c r="AH478" s="18" t="s">
        <v>1469</v>
      </c>
      <c r="AI478" s="18" t="s">
        <v>1469</v>
      </c>
      <c r="AJ478" s="18">
        <v>60</v>
      </c>
      <c r="AK478" s="18">
        <v>142200</v>
      </c>
      <c r="AL478" s="18" t="b">
        <v>0</v>
      </c>
      <c r="AM478" s="18">
        <v>0.49299999999999999</v>
      </c>
      <c r="AN478" s="18">
        <v>0.435</v>
      </c>
      <c r="AO478" s="18">
        <v>7</v>
      </c>
      <c r="AP478" s="18">
        <v>-12.334</v>
      </c>
      <c r="AQ478" s="18">
        <v>1</v>
      </c>
      <c r="AR478" s="18">
        <v>4.2299999999999997E-2</v>
      </c>
      <c r="AS478" s="18">
        <v>0.65600000000000003</v>
      </c>
      <c r="AT478" s="18">
        <v>3.2699999999999998E-4</v>
      </c>
      <c r="AU478" s="18">
        <v>0.11799999999999999</v>
      </c>
      <c r="AV478" s="18">
        <v>0.48499999999999999</v>
      </c>
      <c r="AW478" s="18">
        <v>87.951999999999998</v>
      </c>
      <c r="AX478" s="18">
        <v>4</v>
      </c>
      <c r="AY478" s="19" t="s">
        <v>24</v>
      </c>
    </row>
    <row r="479" spans="32:51" x14ac:dyDescent="0.35">
      <c r="AF479" s="14" t="s">
        <v>1470</v>
      </c>
      <c r="AG479" s="15" t="s">
        <v>431</v>
      </c>
      <c r="AH479" s="15" t="s">
        <v>436</v>
      </c>
      <c r="AI479" s="15" t="s">
        <v>1471</v>
      </c>
      <c r="AJ479" s="15">
        <v>51</v>
      </c>
      <c r="AK479" s="15">
        <v>218813</v>
      </c>
      <c r="AL479" s="15" t="b">
        <v>0</v>
      </c>
      <c r="AM479" s="15">
        <v>0.58899999999999997</v>
      </c>
      <c r="AN479" s="15">
        <v>0.80900000000000005</v>
      </c>
      <c r="AO479" s="15">
        <v>7</v>
      </c>
      <c r="AP479" s="15">
        <v>-5.6</v>
      </c>
      <c r="AQ479" s="15">
        <v>1</v>
      </c>
      <c r="AR479" s="15">
        <v>2.8299999999999999E-2</v>
      </c>
      <c r="AS479" s="15">
        <v>4.7899999999999998E-2</v>
      </c>
      <c r="AT479" s="15">
        <v>0</v>
      </c>
      <c r="AU479" s="15">
        <v>0.11600000000000001</v>
      </c>
      <c r="AV479" s="15">
        <v>0.628</v>
      </c>
      <c r="AW479" s="15">
        <v>87.013000000000005</v>
      </c>
      <c r="AX479" s="15">
        <v>4</v>
      </c>
      <c r="AY479" s="16" t="s">
        <v>24</v>
      </c>
    </row>
    <row r="480" spans="32:51" x14ac:dyDescent="0.35">
      <c r="AF480" s="17" t="s">
        <v>1472</v>
      </c>
      <c r="AG480" s="18" t="s">
        <v>1473</v>
      </c>
      <c r="AH480" s="18" t="s">
        <v>92</v>
      </c>
      <c r="AI480" s="18" t="s">
        <v>1474</v>
      </c>
      <c r="AJ480" s="18">
        <v>60</v>
      </c>
      <c r="AK480" s="18">
        <v>222250</v>
      </c>
      <c r="AL480" s="18" t="b">
        <v>0</v>
      </c>
      <c r="AM480" s="18">
        <v>0.313</v>
      </c>
      <c r="AN480" s="18">
        <v>0.32100000000000001</v>
      </c>
      <c r="AO480" s="18">
        <v>8</v>
      </c>
      <c r="AP480" s="18">
        <v>-8.7129999999999992</v>
      </c>
      <c r="AQ480" s="18">
        <v>1</v>
      </c>
      <c r="AR480" s="18">
        <v>3.5200000000000002E-2</v>
      </c>
      <c r="AS480" s="18">
        <v>0.746</v>
      </c>
      <c r="AT480" s="18">
        <v>0</v>
      </c>
      <c r="AU480" s="18">
        <v>9.4799999999999995E-2</v>
      </c>
      <c r="AV480" s="18">
        <v>0.24299999999999999</v>
      </c>
      <c r="AW480" s="18">
        <v>53.844999999999999</v>
      </c>
      <c r="AX480" s="18">
        <v>4</v>
      </c>
      <c r="AY480" s="19" t="s">
        <v>24</v>
      </c>
    </row>
    <row r="481" spans="32:51" x14ac:dyDescent="0.35">
      <c r="AF481" s="14" t="s">
        <v>1475</v>
      </c>
      <c r="AG481" s="15" t="s">
        <v>1476</v>
      </c>
      <c r="AH481" s="15" t="s">
        <v>1476</v>
      </c>
      <c r="AI481" s="15" t="s">
        <v>1477</v>
      </c>
      <c r="AJ481" s="15">
        <v>52</v>
      </c>
      <c r="AK481" s="15">
        <v>117760</v>
      </c>
      <c r="AL481" s="15" t="b">
        <v>0</v>
      </c>
      <c r="AM481" s="15">
        <v>0.30199999999999999</v>
      </c>
      <c r="AN481" s="15">
        <v>7.8299999999999995E-2</v>
      </c>
      <c r="AO481" s="15">
        <v>2</v>
      </c>
      <c r="AP481" s="15">
        <v>-14.968</v>
      </c>
      <c r="AQ481" s="15">
        <v>1</v>
      </c>
      <c r="AR481" s="15">
        <v>3.2500000000000001E-2</v>
      </c>
      <c r="AS481" s="15">
        <v>0.95599999999999996</v>
      </c>
      <c r="AT481" s="31" t="s">
        <v>1478</v>
      </c>
      <c r="AU481" s="15">
        <v>0.12</v>
      </c>
      <c r="AV481" s="15">
        <v>0.23100000000000001</v>
      </c>
      <c r="AW481" s="15">
        <v>140.48500000000001</v>
      </c>
      <c r="AX481" s="15">
        <v>5</v>
      </c>
      <c r="AY481" s="16" t="s">
        <v>24</v>
      </c>
    </row>
    <row r="482" spans="32:51" x14ac:dyDescent="0.35">
      <c r="AF482" s="17" t="s">
        <v>1479</v>
      </c>
      <c r="AG482" s="18" t="s">
        <v>1480</v>
      </c>
      <c r="AH482" s="18" t="s">
        <v>1481</v>
      </c>
      <c r="AI482" s="18" t="s">
        <v>1482</v>
      </c>
      <c r="AJ482" s="18">
        <v>54</v>
      </c>
      <c r="AK482" s="18">
        <v>200800</v>
      </c>
      <c r="AL482" s="18" t="b">
        <v>0</v>
      </c>
      <c r="AM482" s="18">
        <v>0.64300000000000002</v>
      </c>
      <c r="AN482" s="18">
        <v>0.436</v>
      </c>
      <c r="AO482" s="18">
        <v>1</v>
      </c>
      <c r="AP482" s="18">
        <v>-12.244999999999999</v>
      </c>
      <c r="AQ482" s="18">
        <v>1</v>
      </c>
      <c r="AR482" s="18">
        <v>2.7300000000000001E-2</v>
      </c>
      <c r="AS482" s="18">
        <v>0.72399999999999998</v>
      </c>
      <c r="AT482" s="18">
        <v>0.45900000000000002</v>
      </c>
      <c r="AU482" s="18">
        <v>0.11</v>
      </c>
      <c r="AV482" s="18">
        <v>0.42199999999999999</v>
      </c>
      <c r="AW482" s="18">
        <v>91.484999999999999</v>
      </c>
      <c r="AX482" s="18">
        <v>4</v>
      </c>
      <c r="AY482" s="19" t="s">
        <v>24</v>
      </c>
    </row>
    <row r="483" spans="32:51" x14ac:dyDescent="0.35">
      <c r="AF483" s="14" t="s">
        <v>1483</v>
      </c>
      <c r="AG483" s="15" t="s">
        <v>305</v>
      </c>
      <c r="AH483" s="15" t="s">
        <v>667</v>
      </c>
      <c r="AI483" s="15" t="s">
        <v>1484</v>
      </c>
      <c r="AJ483" s="15">
        <v>52</v>
      </c>
      <c r="AK483" s="15">
        <v>185053</v>
      </c>
      <c r="AL483" s="15" t="b">
        <v>0</v>
      </c>
      <c r="AM483" s="15">
        <v>0.48199999999999998</v>
      </c>
      <c r="AN483" s="15">
        <v>0.17799999999999999</v>
      </c>
      <c r="AO483" s="15">
        <v>2</v>
      </c>
      <c r="AP483" s="15">
        <v>-11.141</v>
      </c>
      <c r="AQ483" s="15">
        <v>0</v>
      </c>
      <c r="AR483" s="15">
        <v>2.92E-2</v>
      </c>
      <c r="AS483" s="15">
        <v>0.84299999999999997</v>
      </c>
      <c r="AT483" s="31" t="s">
        <v>1485</v>
      </c>
      <c r="AU483" s="15">
        <v>0.15</v>
      </c>
      <c r="AV483" s="15">
        <v>0.29799999999999999</v>
      </c>
      <c r="AW483" s="15">
        <v>110.128</v>
      </c>
      <c r="AX483" s="15">
        <v>4</v>
      </c>
      <c r="AY483" s="16" t="s">
        <v>24</v>
      </c>
    </row>
    <row r="484" spans="32:51" x14ac:dyDescent="0.35">
      <c r="AF484" s="17" t="s">
        <v>1486</v>
      </c>
      <c r="AG484" s="18" t="s">
        <v>149</v>
      </c>
      <c r="AH484" s="18" t="s">
        <v>285</v>
      </c>
      <c r="AI484" s="18" t="s">
        <v>1487</v>
      </c>
      <c r="AJ484" s="18">
        <v>51</v>
      </c>
      <c r="AK484" s="18">
        <v>60413</v>
      </c>
      <c r="AL484" s="18" t="b">
        <v>0</v>
      </c>
      <c r="AM484" s="18">
        <v>0.53900000000000003</v>
      </c>
      <c r="AN484" s="18">
        <v>0.35299999999999998</v>
      </c>
      <c r="AO484" s="18">
        <v>3</v>
      </c>
      <c r="AP484" s="18">
        <v>-10.191000000000001</v>
      </c>
      <c r="AQ484" s="18">
        <v>1</v>
      </c>
      <c r="AR484" s="18">
        <v>4.6399999999999997E-2</v>
      </c>
      <c r="AS484" s="18">
        <v>0.57099999999999995</v>
      </c>
      <c r="AT484" s="18">
        <v>0.626</v>
      </c>
      <c r="AU484" s="18">
        <v>8.77E-2</v>
      </c>
      <c r="AV484" s="18">
        <v>0.32100000000000001</v>
      </c>
      <c r="AW484" s="18">
        <v>54.570999999999998</v>
      </c>
      <c r="AX484" s="18">
        <v>4</v>
      </c>
      <c r="AY484" s="19" t="s">
        <v>24</v>
      </c>
    </row>
    <row r="485" spans="32:51" x14ac:dyDescent="0.35">
      <c r="AF485" s="14" t="s">
        <v>1488</v>
      </c>
      <c r="AG485" s="15" t="s">
        <v>1489</v>
      </c>
      <c r="AH485" s="15" t="s">
        <v>1490</v>
      </c>
      <c r="AI485" s="15" t="s">
        <v>1491</v>
      </c>
      <c r="AJ485" s="15">
        <v>30</v>
      </c>
      <c r="AK485" s="15">
        <v>244813</v>
      </c>
      <c r="AL485" s="15" t="b">
        <v>0</v>
      </c>
      <c r="AM485" s="15">
        <v>0.70699999999999996</v>
      </c>
      <c r="AN485" s="15">
        <v>0.53100000000000003</v>
      </c>
      <c r="AO485" s="15">
        <v>2</v>
      </c>
      <c r="AP485" s="15">
        <v>-7.21</v>
      </c>
      <c r="AQ485" s="15">
        <v>1</v>
      </c>
      <c r="AR485" s="15">
        <v>2.4500000000000001E-2</v>
      </c>
      <c r="AS485" s="15">
        <v>0.85499999999999998</v>
      </c>
      <c r="AT485" s="15">
        <v>1.8200000000000001E-4</v>
      </c>
      <c r="AU485" s="15">
        <v>0.17499999999999999</v>
      </c>
      <c r="AV485" s="15">
        <v>0.49</v>
      </c>
      <c r="AW485" s="15">
        <v>107.994</v>
      </c>
      <c r="AX485" s="15">
        <v>4</v>
      </c>
      <c r="AY485" s="16" t="s">
        <v>24</v>
      </c>
    </row>
    <row r="486" spans="32:51" x14ac:dyDescent="0.35">
      <c r="AF486" s="17" t="s">
        <v>1492</v>
      </c>
      <c r="AG486" s="18" t="s">
        <v>1489</v>
      </c>
      <c r="AH486" s="18" t="s">
        <v>1490</v>
      </c>
      <c r="AI486" s="18" t="s">
        <v>1493</v>
      </c>
      <c r="AJ486" s="18">
        <v>30</v>
      </c>
      <c r="AK486" s="18">
        <v>169733</v>
      </c>
      <c r="AL486" s="18" t="b">
        <v>0</v>
      </c>
      <c r="AM486" s="18">
        <v>0.70699999999999996</v>
      </c>
      <c r="AN486" s="18">
        <v>0.46700000000000003</v>
      </c>
      <c r="AO486" s="18">
        <v>2</v>
      </c>
      <c r="AP486" s="18">
        <v>-7.5110000000000001</v>
      </c>
      <c r="AQ486" s="18">
        <v>1</v>
      </c>
      <c r="AR486" s="18">
        <v>3.6700000000000003E-2</v>
      </c>
      <c r="AS486" s="18">
        <v>0.83199999999999996</v>
      </c>
      <c r="AT486" s="32" t="s">
        <v>1494</v>
      </c>
      <c r="AU486" s="18">
        <v>0.114</v>
      </c>
      <c r="AV486" s="18">
        <v>0.47799999999999998</v>
      </c>
      <c r="AW486" s="18">
        <v>110.096</v>
      </c>
      <c r="AX486" s="18">
        <v>4</v>
      </c>
      <c r="AY486" s="19" t="s">
        <v>24</v>
      </c>
    </row>
    <row r="487" spans="32:51" x14ac:dyDescent="0.35">
      <c r="AF487" s="14" t="s">
        <v>1495</v>
      </c>
      <c r="AG487" s="15" t="s">
        <v>1496</v>
      </c>
      <c r="AH487" s="15" t="s">
        <v>1497</v>
      </c>
      <c r="AI487" s="15" t="s">
        <v>1498</v>
      </c>
      <c r="AJ487" s="15">
        <v>62</v>
      </c>
      <c r="AK487" s="15">
        <v>188400</v>
      </c>
      <c r="AL487" s="15" t="b">
        <v>0</v>
      </c>
      <c r="AM487" s="15">
        <v>0.66100000000000003</v>
      </c>
      <c r="AN487" s="15">
        <v>0.34200000000000003</v>
      </c>
      <c r="AO487" s="15">
        <v>9</v>
      </c>
      <c r="AP487" s="15">
        <v>-16.361000000000001</v>
      </c>
      <c r="AQ487" s="15">
        <v>0</v>
      </c>
      <c r="AR487" s="15">
        <v>4.2999999999999997E-2</v>
      </c>
      <c r="AS487" s="15">
        <v>0.84399999999999997</v>
      </c>
      <c r="AT487" s="15">
        <v>1.2799999999999999E-4</v>
      </c>
      <c r="AU487" s="15">
        <v>0.26</v>
      </c>
      <c r="AV487" s="15">
        <v>0.58799999999999997</v>
      </c>
      <c r="AW487" s="15">
        <v>146.11799999999999</v>
      </c>
      <c r="AX487" s="15">
        <v>4</v>
      </c>
      <c r="AY487" s="16" t="s">
        <v>24</v>
      </c>
    </row>
    <row r="488" spans="32:51" x14ac:dyDescent="0.35">
      <c r="AF488" s="17" t="s">
        <v>1499</v>
      </c>
      <c r="AG488" s="18" t="s">
        <v>609</v>
      </c>
      <c r="AH488" s="18" t="s">
        <v>610</v>
      </c>
      <c r="AI488" s="18" t="s">
        <v>1154</v>
      </c>
      <c r="AJ488" s="18">
        <v>64</v>
      </c>
      <c r="AK488" s="18">
        <v>274480</v>
      </c>
      <c r="AL488" s="18" t="b">
        <v>0</v>
      </c>
      <c r="AM488" s="18">
        <v>0.52300000000000002</v>
      </c>
      <c r="AN488" s="18">
        <v>0.55400000000000005</v>
      </c>
      <c r="AO488" s="18">
        <v>7</v>
      </c>
      <c r="AP488" s="18">
        <v>-7.5960000000000001</v>
      </c>
      <c r="AQ488" s="18">
        <v>1</v>
      </c>
      <c r="AR488" s="18">
        <v>3.0300000000000001E-2</v>
      </c>
      <c r="AS488" s="18">
        <v>0.749</v>
      </c>
      <c r="AT488" s="32" t="s">
        <v>1500</v>
      </c>
      <c r="AU488" s="18">
        <v>0.32300000000000001</v>
      </c>
      <c r="AV488" s="18">
        <v>0.76900000000000002</v>
      </c>
      <c r="AW488" s="18">
        <v>152.97900000000001</v>
      </c>
      <c r="AX488" s="18">
        <v>4</v>
      </c>
      <c r="AY488" s="19" t="s">
        <v>24</v>
      </c>
    </row>
    <row r="489" spans="32:51" x14ac:dyDescent="0.35">
      <c r="AF489" s="14" t="s">
        <v>1501</v>
      </c>
      <c r="AG489" s="15" t="s">
        <v>1502</v>
      </c>
      <c r="AH489" s="15" t="s">
        <v>1503</v>
      </c>
      <c r="AI489" s="15" t="s">
        <v>1504</v>
      </c>
      <c r="AJ489" s="15">
        <v>57</v>
      </c>
      <c r="AK489" s="15">
        <v>275266</v>
      </c>
      <c r="AL489" s="15" t="b">
        <v>0</v>
      </c>
      <c r="AM489" s="15">
        <v>0.57199999999999995</v>
      </c>
      <c r="AN489" s="15">
        <v>0.34799999999999998</v>
      </c>
      <c r="AO489" s="15">
        <v>0</v>
      </c>
      <c r="AP489" s="15">
        <v>-13.454000000000001</v>
      </c>
      <c r="AQ489" s="15">
        <v>1</v>
      </c>
      <c r="AR489" s="15">
        <v>2.9399999999999999E-2</v>
      </c>
      <c r="AS489" s="15">
        <v>0.44</v>
      </c>
      <c r="AT489" s="15">
        <v>7.2099999999999996E-4</v>
      </c>
      <c r="AU489" s="15">
        <v>0.23499999999999999</v>
      </c>
      <c r="AV489" s="15">
        <v>0.34</v>
      </c>
      <c r="AW489" s="15">
        <v>73.304000000000002</v>
      </c>
      <c r="AX489" s="15">
        <v>4</v>
      </c>
      <c r="AY489" s="16" t="s">
        <v>24</v>
      </c>
    </row>
    <row r="490" spans="32:51" x14ac:dyDescent="0.35">
      <c r="AF490" s="17" t="s">
        <v>1505</v>
      </c>
      <c r="AG490" s="18" t="s">
        <v>1506</v>
      </c>
      <c r="AH490" s="18" t="s">
        <v>1507</v>
      </c>
      <c r="AI490" s="18" t="s">
        <v>1508</v>
      </c>
      <c r="AJ490" s="18">
        <v>31</v>
      </c>
      <c r="AK490" s="18">
        <v>124400</v>
      </c>
      <c r="AL490" s="18" t="b">
        <v>0</v>
      </c>
      <c r="AM490" s="18">
        <v>0.55400000000000005</v>
      </c>
      <c r="AN490" s="18">
        <v>0.4</v>
      </c>
      <c r="AO490" s="18">
        <v>3</v>
      </c>
      <c r="AP490" s="18">
        <v>-11.805999999999999</v>
      </c>
      <c r="AQ490" s="18">
        <v>1</v>
      </c>
      <c r="AR490" s="18">
        <v>6.9900000000000004E-2</v>
      </c>
      <c r="AS490" s="18">
        <v>0.97899999999999998</v>
      </c>
      <c r="AT490" s="18">
        <v>0.34799999999999998</v>
      </c>
      <c r="AU490" s="18">
        <v>0.10199999999999999</v>
      </c>
      <c r="AV490" s="18">
        <v>0.54700000000000004</v>
      </c>
      <c r="AW490" s="18">
        <v>101.191</v>
      </c>
      <c r="AX490" s="18">
        <v>4</v>
      </c>
      <c r="AY490" s="19" t="s">
        <v>24</v>
      </c>
    </row>
    <row r="491" spans="32:51" x14ac:dyDescent="0.35">
      <c r="AF491" s="14" t="s">
        <v>1509</v>
      </c>
      <c r="AG491" s="15" t="s">
        <v>1510</v>
      </c>
      <c r="AH491" s="15" t="s">
        <v>1510</v>
      </c>
      <c r="AI491" s="15" t="s">
        <v>1511</v>
      </c>
      <c r="AJ491" s="15">
        <v>71</v>
      </c>
      <c r="AK491" s="15">
        <v>145706</v>
      </c>
      <c r="AL491" s="15" t="b">
        <v>0</v>
      </c>
      <c r="AM491" s="15">
        <v>0.72599999999999998</v>
      </c>
      <c r="AN491" s="15">
        <v>0.53700000000000003</v>
      </c>
      <c r="AO491" s="15">
        <v>0</v>
      </c>
      <c r="AP491" s="15">
        <v>-8.8960000000000008</v>
      </c>
      <c r="AQ491" s="15">
        <v>1</v>
      </c>
      <c r="AR491" s="15">
        <v>0.114</v>
      </c>
      <c r="AS491" s="15">
        <v>0.316</v>
      </c>
      <c r="AT491" s="15">
        <v>0</v>
      </c>
      <c r="AU491" s="15">
        <v>7.0699999999999999E-2</v>
      </c>
      <c r="AV491" s="15">
        <v>0.88200000000000001</v>
      </c>
      <c r="AW491" s="15">
        <v>96.888999999999996</v>
      </c>
      <c r="AX491" s="15">
        <v>4</v>
      </c>
      <c r="AY491" s="16" t="s">
        <v>24</v>
      </c>
    </row>
    <row r="492" spans="32:51" x14ac:dyDescent="0.35">
      <c r="AF492" s="17" t="s">
        <v>1512</v>
      </c>
      <c r="AG492" s="18" t="s">
        <v>755</v>
      </c>
      <c r="AH492" s="18" t="s">
        <v>1513</v>
      </c>
      <c r="AI492" s="18" t="s">
        <v>1514</v>
      </c>
      <c r="AJ492" s="18">
        <v>31</v>
      </c>
      <c r="AK492" s="18">
        <v>265195</v>
      </c>
      <c r="AL492" s="18" t="b">
        <v>1</v>
      </c>
      <c r="AM492" s="18">
        <v>0.501</v>
      </c>
      <c r="AN492" s="18">
        <v>0.67200000000000004</v>
      </c>
      <c r="AO492" s="18">
        <v>2</v>
      </c>
      <c r="AP492" s="18">
        <v>-10.225</v>
      </c>
      <c r="AQ492" s="18">
        <v>0</v>
      </c>
      <c r="AR492" s="18">
        <v>6.3700000000000007E-2</v>
      </c>
      <c r="AS492" s="18">
        <v>0.67400000000000004</v>
      </c>
      <c r="AT492" s="18">
        <v>1.6200000000000001E-4</v>
      </c>
      <c r="AU492" s="18">
        <v>6.7400000000000002E-2</v>
      </c>
      <c r="AV492" s="18">
        <v>0.96099999999999997</v>
      </c>
      <c r="AW492" s="18">
        <v>122.041</v>
      </c>
      <c r="AX492" s="18">
        <v>4</v>
      </c>
      <c r="AY492" s="19" t="s">
        <v>24</v>
      </c>
    </row>
    <row r="493" spans="32:51" x14ac:dyDescent="0.35">
      <c r="AF493" s="14" t="s">
        <v>1515</v>
      </c>
      <c r="AG493" s="15" t="s">
        <v>1516</v>
      </c>
      <c r="AH493" s="15" t="s">
        <v>1517</v>
      </c>
      <c r="AI493" s="15" t="s">
        <v>1518</v>
      </c>
      <c r="AJ493" s="15">
        <v>30</v>
      </c>
      <c r="AK493" s="15">
        <v>235722</v>
      </c>
      <c r="AL493" s="15" t="b">
        <v>0</v>
      </c>
      <c r="AM493" s="15">
        <v>0.505</v>
      </c>
      <c r="AN493" s="15">
        <v>0.46200000000000002</v>
      </c>
      <c r="AO493" s="15">
        <v>6</v>
      </c>
      <c r="AP493" s="15">
        <v>-5.6920000000000002</v>
      </c>
      <c r="AQ493" s="15">
        <v>1</v>
      </c>
      <c r="AR493" s="15">
        <v>2.7099999999999999E-2</v>
      </c>
      <c r="AS493" s="15">
        <v>0.623</v>
      </c>
      <c r="AT493" s="15">
        <v>0</v>
      </c>
      <c r="AU493" s="15">
        <v>0.113</v>
      </c>
      <c r="AV493" s="15">
        <v>0.113</v>
      </c>
      <c r="AW493" s="15">
        <v>139.91399999999999</v>
      </c>
      <c r="AX493" s="15">
        <v>4</v>
      </c>
      <c r="AY493" s="16" t="s">
        <v>24</v>
      </c>
    </row>
    <row r="494" spans="32:51" x14ac:dyDescent="0.35">
      <c r="AF494" s="17" t="s">
        <v>1519</v>
      </c>
      <c r="AG494" s="18" t="s">
        <v>1073</v>
      </c>
      <c r="AH494" s="18" t="s">
        <v>1376</v>
      </c>
      <c r="AI494" s="18" t="s">
        <v>1520</v>
      </c>
      <c r="AJ494" s="18">
        <v>30</v>
      </c>
      <c r="AK494" s="18">
        <v>188952</v>
      </c>
      <c r="AL494" s="18" t="b">
        <v>1</v>
      </c>
      <c r="AM494" s="18">
        <v>0.41499999999999998</v>
      </c>
      <c r="AN494" s="18">
        <v>0.71299999999999997</v>
      </c>
      <c r="AO494" s="18">
        <v>0</v>
      </c>
      <c r="AP494" s="18">
        <v>-5.5289999999999999</v>
      </c>
      <c r="AQ494" s="18">
        <v>1</v>
      </c>
      <c r="AR494" s="18">
        <v>3.4500000000000003E-2</v>
      </c>
      <c r="AS494" s="18">
        <v>5.5500000000000001E-2</v>
      </c>
      <c r="AT494" s="18">
        <v>0</v>
      </c>
      <c r="AU494" s="18">
        <v>8.1100000000000005E-2</v>
      </c>
      <c r="AV494" s="18">
        <v>0.36099999999999999</v>
      </c>
      <c r="AW494" s="18">
        <v>83.69</v>
      </c>
      <c r="AX494" s="18">
        <v>3</v>
      </c>
      <c r="AY494" s="19" t="s">
        <v>24</v>
      </c>
    </row>
    <row r="495" spans="32:51" x14ac:dyDescent="0.35">
      <c r="AF495" s="14" t="s">
        <v>1521</v>
      </c>
      <c r="AG495" s="15" t="s">
        <v>1522</v>
      </c>
      <c r="AH495" s="15" t="s">
        <v>1523</v>
      </c>
      <c r="AI495" s="15" t="s">
        <v>1524</v>
      </c>
      <c r="AJ495" s="15">
        <v>30</v>
      </c>
      <c r="AK495" s="15">
        <v>241250</v>
      </c>
      <c r="AL495" s="15" t="b">
        <v>0</v>
      </c>
      <c r="AM495" s="15">
        <v>0.45800000000000002</v>
      </c>
      <c r="AN495" s="15">
        <v>0.82299999999999995</v>
      </c>
      <c r="AO495" s="15">
        <v>6</v>
      </c>
      <c r="AP495" s="15">
        <v>-4.2679999999999998</v>
      </c>
      <c r="AQ495" s="15">
        <v>0</v>
      </c>
      <c r="AR495" s="15">
        <v>6.1600000000000002E-2</v>
      </c>
      <c r="AS495" s="15">
        <v>0.38200000000000001</v>
      </c>
      <c r="AT495" s="15">
        <v>0</v>
      </c>
      <c r="AU495" s="15">
        <v>0.20499999999999999</v>
      </c>
      <c r="AV495" s="15">
        <v>0.42199999999999999</v>
      </c>
      <c r="AW495" s="15">
        <v>131.63800000000001</v>
      </c>
      <c r="AX495" s="15">
        <v>4</v>
      </c>
      <c r="AY495" s="16" t="s">
        <v>24</v>
      </c>
    </row>
    <row r="496" spans="32:51" x14ac:dyDescent="0.35">
      <c r="AF496" s="17" t="s">
        <v>1525</v>
      </c>
      <c r="AG496" s="18" t="s">
        <v>1073</v>
      </c>
      <c r="AH496" s="18" t="s">
        <v>1376</v>
      </c>
      <c r="AI496" s="18" t="s">
        <v>1526</v>
      </c>
      <c r="AJ496" s="18">
        <v>30</v>
      </c>
      <c r="AK496" s="18">
        <v>146129</v>
      </c>
      <c r="AL496" s="18" t="b">
        <v>1</v>
      </c>
      <c r="AM496" s="18">
        <v>0.47399999999999998</v>
      </c>
      <c r="AN496" s="18">
        <v>0.876</v>
      </c>
      <c r="AO496" s="18">
        <v>7</v>
      </c>
      <c r="AP496" s="18">
        <v>-5.0519999999999996</v>
      </c>
      <c r="AQ496" s="18">
        <v>1</v>
      </c>
      <c r="AR496" s="18">
        <v>3.4099999999999998E-2</v>
      </c>
      <c r="AS496" s="18">
        <v>2.7699999999999999E-3</v>
      </c>
      <c r="AT496" s="32" t="s">
        <v>1527</v>
      </c>
      <c r="AU496" s="18">
        <v>0.39</v>
      </c>
      <c r="AV496" s="18">
        <v>0.60699999999999998</v>
      </c>
      <c r="AW496" s="18">
        <v>91.947999999999993</v>
      </c>
      <c r="AX496" s="18">
        <v>4</v>
      </c>
      <c r="AY496" s="19" t="s">
        <v>24</v>
      </c>
    </row>
    <row r="497" spans="32:51" x14ac:dyDescent="0.35">
      <c r="AF497" s="14" t="s">
        <v>1528</v>
      </c>
      <c r="AG497" s="15" t="s">
        <v>1069</v>
      </c>
      <c r="AH497" s="15" t="s">
        <v>1394</v>
      </c>
      <c r="AI497" s="15" t="s">
        <v>1529</v>
      </c>
      <c r="AJ497" s="15">
        <v>30</v>
      </c>
      <c r="AK497" s="15">
        <v>161205</v>
      </c>
      <c r="AL497" s="15" t="b">
        <v>1</v>
      </c>
      <c r="AM497" s="15">
        <v>0.44400000000000001</v>
      </c>
      <c r="AN497" s="15">
        <v>0.67400000000000004</v>
      </c>
      <c r="AO497" s="15">
        <v>5</v>
      </c>
      <c r="AP497" s="15">
        <v>-6.6749999999999998</v>
      </c>
      <c r="AQ497" s="15">
        <v>1</v>
      </c>
      <c r="AR497" s="15">
        <v>3.4099999999999998E-2</v>
      </c>
      <c r="AS497" s="15">
        <v>0.58599999999999997</v>
      </c>
      <c r="AT497" s="15">
        <v>1.47E-4</v>
      </c>
      <c r="AU497" s="15">
        <v>0.109</v>
      </c>
      <c r="AV497" s="15">
        <v>0.69799999999999995</v>
      </c>
      <c r="AW497" s="15">
        <v>111.377</v>
      </c>
      <c r="AX497" s="15">
        <v>3</v>
      </c>
      <c r="AY497" s="16" t="s">
        <v>24</v>
      </c>
    </row>
    <row r="498" spans="32:51" x14ac:dyDescent="0.35">
      <c r="AF498" s="17" t="s">
        <v>1530</v>
      </c>
      <c r="AG498" s="18" t="s">
        <v>418</v>
      </c>
      <c r="AH498" s="18" t="s">
        <v>1531</v>
      </c>
      <c r="AI498" s="18" t="s">
        <v>1532</v>
      </c>
      <c r="AJ498" s="18">
        <v>59</v>
      </c>
      <c r="AK498" s="18">
        <v>215213</v>
      </c>
      <c r="AL498" s="18" t="b">
        <v>0</v>
      </c>
      <c r="AM498" s="18">
        <v>0.56599999999999995</v>
      </c>
      <c r="AN498" s="18">
        <v>0.73299999999999998</v>
      </c>
      <c r="AO498" s="18">
        <v>4</v>
      </c>
      <c r="AP498" s="18">
        <v>-5.3019999999999996</v>
      </c>
      <c r="AQ498" s="18">
        <v>1</v>
      </c>
      <c r="AR498" s="18">
        <v>6.9900000000000004E-2</v>
      </c>
      <c r="AS498" s="18">
        <v>8.3000000000000004E-2</v>
      </c>
      <c r="AT498" s="32" t="s">
        <v>1533</v>
      </c>
      <c r="AU498" s="18">
        <v>0.36199999999999999</v>
      </c>
      <c r="AV498" s="18">
        <v>0.63600000000000001</v>
      </c>
      <c r="AW498" s="18">
        <v>178.828</v>
      </c>
      <c r="AX498" s="18">
        <v>4</v>
      </c>
      <c r="AY498" s="19" t="s">
        <v>24</v>
      </c>
    </row>
    <row r="499" spans="32:51" x14ac:dyDescent="0.35">
      <c r="AF499" s="14" t="s">
        <v>1534</v>
      </c>
      <c r="AG499" s="15" t="s">
        <v>1073</v>
      </c>
      <c r="AH499" s="15" t="s">
        <v>1535</v>
      </c>
      <c r="AI499" s="15" t="s">
        <v>1536</v>
      </c>
      <c r="AJ499" s="15">
        <v>30</v>
      </c>
      <c r="AK499" s="15">
        <v>196813</v>
      </c>
      <c r="AL499" s="15" t="b">
        <v>0</v>
      </c>
      <c r="AM499" s="15">
        <v>0.36699999999999999</v>
      </c>
      <c r="AN499" s="15">
        <v>0.89200000000000002</v>
      </c>
      <c r="AO499" s="15">
        <v>2</v>
      </c>
      <c r="AP499" s="15">
        <v>-3.91</v>
      </c>
      <c r="AQ499" s="15">
        <v>1</v>
      </c>
      <c r="AR499" s="15">
        <v>0.13300000000000001</v>
      </c>
      <c r="AS499" s="15">
        <v>1.2E-4</v>
      </c>
      <c r="AT499" s="15">
        <v>2.6800000000000001E-4</v>
      </c>
      <c r="AU499" s="15">
        <v>0.27600000000000002</v>
      </c>
      <c r="AV499" s="15">
        <v>0.79900000000000004</v>
      </c>
      <c r="AW499" s="15">
        <v>81.927999999999997</v>
      </c>
      <c r="AX499" s="15">
        <v>4</v>
      </c>
      <c r="AY499" s="16" t="s">
        <v>24</v>
      </c>
    </row>
    <row r="500" spans="32:51" x14ac:dyDescent="0.35">
      <c r="AF500" s="17" t="s">
        <v>1537</v>
      </c>
      <c r="AG500" s="18" t="s">
        <v>1069</v>
      </c>
      <c r="AH500" s="18" t="s">
        <v>1394</v>
      </c>
      <c r="AI500" s="18" t="s">
        <v>1538</v>
      </c>
      <c r="AJ500" s="18">
        <v>30</v>
      </c>
      <c r="AK500" s="18">
        <v>184217</v>
      </c>
      <c r="AL500" s="18" t="b">
        <v>1</v>
      </c>
      <c r="AM500" s="18">
        <v>0.25800000000000001</v>
      </c>
      <c r="AN500" s="18">
        <v>0.72899999999999998</v>
      </c>
      <c r="AO500" s="18">
        <v>4</v>
      </c>
      <c r="AP500" s="18">
        <v>-6.4569999999999999</v>
      </c>
      <c r="AQ500" s="18">
        <v>0</v>
      </c>
      <c r="AR500" s="18">
        <v>3.9800000000000002E-2</v>
      </c>
      <c r="AS500" s="18">
        <v>0.39500000000000002</v>
      </c>
      <c r="AT500" s="18">
        <v>4.4200000000000003E-3</v>
      </c>
      <c r="AU500" s="18">
        <v>0.13100000000000001</v>
      </c>
      <c r="AV500" s="18">
        <v>0.46200000000000002</v>
      </c>
      <c r="AW500" s="18">
        <v>116.943</v>
      </c>
      <c r="AX500" s="18">
        <v>3</v>
      </c>
      <c r="AY500" s="19" t="s">
        <v>24</v>
      </c>
    </row>
    <row r="501" spans="32:51" x14ac:dyDescent="0.35">
      <c r="AF501" s="14" t="s">
        <v>1539</v>
      </c>
      <c r="AG501" s="15" t="s">
        <v>156</v>
      </c>
      <c r="AH501" s="15" t="s">
        <v>1540</v>
      </c>
      <c r="AI501" s="15" t="s">
        <v>1541</v>
      </c>
      <c r="AJ501" s="15">
        <v>63</v>
      </c>
      <c r="AK501" s="15">
        <v>230098</v>
      </c>
      <c r="AL501" s="15" t="b">
        <v>0</v>
      </c>
      <c r="AM501" s="15">
        <v>0.56799999999999995</v>
      </c>
      <c r="AN501" s="15">
        <v>0.68600000000000005</v>
      </c>
      <c r="AO501" s="15">
        <v>1</v>
      </c>
      <c r="AP501" s="15">
        <v>-6.6349999999999998</v>
      </c>
      <c r="AQ501" s="15">
        <v>1</v>
      </c>
      <c r="AR501" s="15">
        <v>3.3000000000000002E-2</v>
      </c>
      <c r="AS501" s="15">
        <v>0.15</v>
      </c>
      <c r="AT501" s="31" t="s">
        <v>159</v>
      </c>
      <c r="AU501" s="15">
        <v>8.8099999999999998E-2</v>
      </c>
      <c r="AV501" s="15">
        <v>0.72499999999999998</v>
      </c>
      <c r="AW501" s="15">
        <v>172.07499999999999</v>
      </c>
      <c r="AX501" s="15">
        <v>4</v>
      </c>
      <c r="AY501" s="16" t="s">
        <v>24</v>
      </c>
    </row>
    <row r="502" spans="32:51" x14ac:dyDescent="0.35">
      <c r="AF502" s="17" t="s">
        <v>1542</v>
      </c>
      <c r="AG502" s="18" t="s">
        <v>769</v>
      </c>
      <c r="AH502" s="18" t="s">
        <v>1237</v>
      </c>
      <c r="AI502" s="18" t="s">
        <v>1543</v>
      </c>
      <c r="AJ502" s="18">
        <v>30</v>
      </c>
      <c r="AK502" s="18">
        <v>129472</v>
      </c>
      <c r="AL502" s="18" t="b">
        <v>0</v>
      </c>
      <c r="AM502" s="18">
        <v>0.57099999999999995</v>
      </c>
      <c r="AN502" s="18">
        <v>0.69599999999999995</v>
      </c>
      <c r="AO502" s="18">
        <v>9</v>
      </c>
      <c r="AP502" s="18">
        <v>-8.6880000000000006</v>
      </c>
      <c r="AQ502" s="18">
        <v>1</v>
      </c>
      <c r="AR502" s="18">
        <v>7.3899999999999993E-2</v>
      </c>
      <c r="AS502" s="18">
        <v>0.14000000000000001</v>
      </c>
      <c r="AT502" s="18">
        <v>0</v>
      </c>
      <c r="AU502" s="18">
        <v>9.7299999999999998E-2</v>
      </c>
      <c r="AV502" s="18">
        <v>0.66200000000000003</v>
      </c>
      <c r="AW502" s="18">
        <v>155.13300000000001</v>
      </c>
      <c r="AX502" s="18">
        <v>4</v>
      </c>
      <c r="AY502" s="19" t="s">
        <v>24</v>
      </c>
    </row>
    <row r="503" spans="32:51" x14ac:dyDescent="0.35">
      <c r="AF503" s="14" t="s">
        <v>1544</v>
      </c>
      <c r="AG503" s="15" t="s">
        <v>664</v>
      </c>
      <c r="AH503" s="15" t="s">
        <v>1545</v>
      </c>
      <c r="AI503" s="15" t="s">
        <v>1546</v>
      </c>
      <c r="AJ503" s="15">
        <v>44</v>
      </c>
      <c r="AK503" s="15">
        <v>249728</v>
      </c>
      <c r="AL503" s="15" t="b">
        <v>0</v>
      </c>
      <c r="AM503" s="15">
        <v>0.38500000000000001</v>
      </c>
      <c r="AN503" s="15">
        <v>0.114</v>
      </c>
      <c r="AO503" s="15">
        <v>7</v>
      </c>
      <c r="AP503" s="15">
        <v>-13.005000000000001</v>
      </c>
      <c r="AQ503" s="15">
        <v>1</v>
      </c>
      <c r="AR503" s="15">
        <v>3.1399999999999997E-2</v>
      </c>
      <c r="AS503" s="15">
        <v>0.91700000000000004</v>
      </c>
      <c r="AT503" s="15">
        <v>0</v>
      </c>
      <c r="AU503" s="15">
        <v>0.128</v>
      </c>
      <c r="AV503" s="15">
        <v>0.26900000000000002</v>
      </c>
      <c r="AW503" s="15">
        <v>93.313999999999993</v>
      </c>
      <c r="AX503" s="15">
        <v>4</v>
      </c>
      <c r="AY503" s="16" t="s">
        <v>24</v>
      </c>
    </row>
    <row r="504" spans="32:51" x14ac:dyDescent="0.35">
      <c r="AF504" s="17" t="s">
        <v>1547</v>
      </c>
      <c r="AG504" s="18" t="s">
        <v>1548</v>
      </c>
      <c r="AH504" s="18" t="s">
        <v>1549</v>
      </c>
      <c r="AI504" s="18" t="s">
        <v>1549</v>
      </c>
      <c r="AJ504" s="18">
        <v>54</v>
      </c>
      <c r="AK504" s="18">
        <v>213055</v>
      </c>
      <c r="AL504" s="18" t="b">
        <v>0</v>
      </c>
      <c r="AM504" s="18">
        <v>0.58799999999999997</v>
      </c>
      <c r="AN504" s="18">
        <v>0.56899999999999995</v>
      </c>
      <c r="AO504" s="18">
        <v>9</v>
      </c>
      <c r="AP504" s="18">
        <v>-7.7210000000000001</v>
      </c>
      <c r="AQ504" s="18">
        <v>1</v>
      </c>
      <c r="AR504" s="18">
        <v>2.9499999999999998E-2</v>
      </c>
      <c r="AS504" s="18">
        <v>0.30299999999999999</v>
      </c>
      <c r="AT504" s="18">
        <v>3.4200000000000001E-2</v>
      </c>
      <c r="AU504" s="18">
        <v>0.10100000000000001</v>
      </c>
      <c r="AV504" s="18">
        <v>0.20899999999999999</v>
      </c>
      <c r="AW504" s="18">
        <v>101.988</v>
      </c>
      <c r="AX504" s="18">
        <v>4</v>
      </c>
      <c r="AY504" s="19" t="s">
        <v>24</v>
      </c>
    </row>
    <row r="505" spans="32:51" x14ac:dyDescent="0.35">
      <c r="AF505" s="14" t="s">
        <v>1550</v>
      </c>
      <c r="AG505" s="15" t="s">
        <v>26</v>
      </c>
      <c r="AH505" s="15" t="s">
        <v>1551</v>
      </c>
      <c r="AI505" s="15" t="s">
        <v>1552</v>
      </c>
      <c r="AJ505" s="15">
        <v>28</v>
      </c>
      <c r="AK505" s="15">
        <v>168571</v>
      </c>
      <c r="AL505" s="15" t="b">
        <v>0</v>
      </c>
      <c r="AM505" s="15">
        <v>0.27600000000000002</v>
      </c>
      <c r="AN505" s="15">
        <v>0.28899999999999998</v>
      </c>
      <c r="AO505" s="15">
        <v>2</v>
      </c>
      <c r="AP505" s="15">
        <v>-10.879</v>
      </c>
      <c r="AQ505" s="15">
        <v>1</v>
      </c>
      <c r="AR505" s="15">
        <v>3.2500000000000001E-2</v>
      </c>
      <c r="AS505" s="15">
        <v>0.96799999999999997</v>
      </c>
      <c r="AT505" s="15">
        <v>3.2100000000000002E-3</v>
      </c>
      <c r="AU505" s="15">
        <v>0.13700000000000001</v>
      </c>
      <c r="AV505" s="15">
        <v>0.11799999999999999</v>
      </c>
      <c r="AW505" s="15">
        <v>86.465000000000003</v>
      </c>
      <c r="AX505" s="15">
        <v>3</v>
      </c>
      <c r="AY505" s="16" t="s">
        <v>24</v>
      </c>
    </row>
    <row r="506" spans="32:51" x14ac:dyDescent="0.35">
      <c r="AF506" s="17" t="s">
        <v>1553</v>
      </c>
      <c r="AG506" s="18" t="s">
        <v>1428</v>
      </c>
      <c r="AH506" s="18" t="s">
        <v>1554</v>
      </c>
      <c r="AI506" s="18" t="s">
        <v>1554</v>
      </c>
      <c r="AJ506" s="18">
        <v>47</v>
      </c>
      <c r="AK506" s="18">
        <v>202219</v>
      </c>
      <c r="AL506" s="18" t="b">
        <v>0</v>
      </c>
      <c r="AM506" s="18">
        <v>0.66400000000000003</v>
      </c>
      <c r="AN506" s="18">
        <v>0.30099999999999999</v>
      </c>
      <c r="AO506" s="18">
        <v>0</v>
      </c>
      <c r="AP506" s="18">
        <v>-8.1349999999999998</v>
      </c>
      <c r="AQ506" s="18">
        <v>1</v>
      </c>
      <c r="AR506" s="18">
        <v>2.9600000000000001E-2</v>
      </c>
      <c r="AS506" s="18">
        <v>0.73899999999999999</v>
      </c>
      <c r="AT506" s="18">
        <v>0</v>
      </c>
      <c r="AU506" s="18">
        <v>0.10299999999999999</v>
      </c>
      <c r="AV506" s="18">
        <v>0.26800000000000002</v>
      </c>
      <c r="AW506" s="18">
        <v>115.877</v>
      </c>
      <c r="AX506" s="18">
        <v>4</v>
      </c>
      <c r="AY506" s="19" t="s">
        <v>24</v>
      </c>
    </row>
    <row r="507" spans="32:51" x14ac:dyDescent="0.35">
      <c r="AF507" s="14" t="s">
        <v>1555</v>
      </c>
      <c r="AG507" s="15" t="s">
        <v>199</v>
      </c>
      <c r="AH507" s="15" t="s">
        <v>1556</v>
      </c>
      <c r="AI507" s="15" t="s">
        <v>1556</v>
      </c>
      <c r="AJ507" s="15">
        <v>41</v>
      </c>
      <c r="AK507" s="15">
        <v>242347</v>
      </c>
      <c r="AL507" s="15" t="b">
        <v>0</v>
      </c>
      <c r="AM507" s="15">
        <v>0.50600000000000001</v>
      </c>
      <c r="AN507" s="15">
        <v>0.24</v>
      </c>
      <c r="AO507" s="15">
        <v>2</v>
      </c>
      <c r="AP507" s="15">
        <v>-14.737</v>
      </c>
      <c r="AQ507" s="15">
        <v>1</v>
      </c>
      <c r="AR507" s="15">
        <v>3.0499999999999999E-2</v>
      </c>
      <c r="AS507" s="15">
        <v>0.85399999999999998</v>
      </c>
      <c r="AT507" s="15">
        <v>7.4899999999999994E-2</v>
      </c>
      <c r="AU507" s="15">
        <v>0.10100000000000001</v>
      </c>
      <c r="AV507" s="15">
        <v>6.2100000000000002E-2</v>
      </c>
      <c r="AW507" s="15">
        <v>130.96</v>
      </c>
      <c r="AX507" s="15">
        <v>4</v>
      </c>
      <c r="AY507" s="16" t="s">
        <v>24</v>
      </c>
    </row>
    <row r="508" spans="32:51" x14ac:dyDescent="0.35">
      <c r="AF508" s="17" t="s">
        <v>1557</v>
      </c>
      <c r="AG508" s="18" t="s">
        <v>1019</v>
      </c>
      <c r="AH508" s="18" t="s">
        <v>1558</v>
      </c>
      <c r="AI508" s="18" t="s">
        <v>1558</v>
      </c>
      <c r="AJ508" s="18">
        <v>43</v>
      </c>
      <c r="AK508" s="18">
        <v>188735</v>
      </c>
      <c r="AL508" s="18" t="b">
        <v>0</v>
      </c>
      <c r="AM508" s="18">
        <v>0.59499999999999997</v>
      </c>
      <c r="AN508" s="18">
        <v>0.18</v>
      </c>
      <c r="AO508" s="18">
        <v>9</v>
      </c>
      <c r="AP508" s="18">
        <v>-11.391</v>
      </c>
      <c r="AQ508" s="18">
        <v>1</v>
      </c>
      <c r="AR508" s="18">
        <v>2.98E-2</v>
      </c>
      <c r="AS508" s="18">
        <v>0.89</v>
      </c>
      <c r="AT508" s="18">
        <v>0</v>
      </c>
      <c r="AU508" s="18">
        <v>0.113</v>
      </c>
      <c r="AV508" s="18">
        <v>0.26100000000000001</v>
      </c>
      <c r="AW508" s="18">
        <v>79.921999999999997</v>
      </c>
      <c r="AX508" s="18">
        <v>3</v>
      </c>
      <c r="AY508" s="19" t="s">
        <v>24</v>
      </c>
    </row>
    <row r="509" spans="32:51" x14ac:dyDescent="0.35">
      <c r="AF509" s="14" t="s">
        <v>1559</v>
      </c>
      <c r="AG509" s="15" t="s">
        <v>60</v>
      </c>
      <c r="AH509" s="15" t="s">
        <v>1560</v>
      </c>
      <c r="AI509" s="15" t="s">
        <v>1560</v>
      </c>
      <c r="AJ509" s="15">
        <v>65</v>
      </c>
      <c r="AK509" s="15">
        <v>256648</v>
      </c>
      <c r="AL509" s="15" t="b">
        <v>0</v>
      </c>
      <c r="AM509" s="15">
        <v>0.64400000000000002</v>
      </c>
      <c r="AN509" s="15">
        <v>0.41199999999999998</v>
      </c>
      <c r="AO509" s="15">
        <v>5</v>
      </c>
      <c r="AP509" s="15">
        <v>-9.14</v>
      </c>
      <c r="AQ509" s="15">
        <v>0</v>
      </c>
      <c r="AR509" s="15">
        <v>3.0700000000000002E-2</v>
      </c>
      <c r="AS509" s="15">
        <v>0.79600000000000004</v>
      </c>
      <c r="AT509" s="15">
        <v>0.127</v>
      </c>
      <c r="AU509" s="15">
        <v>9.06E-2</v>
      </c>
      <c r="AV509" s="15">
        <v>0.20599999999999999</v>
      </c>
      <c r="AW509" s="15">
        <v>118.49</v>
      </c>
      <c r="AX509" s="15">
        <v>4</v>
      </c>
      <c r="AY509" s="16" t="s">
        <v>24</v>
      </c>
    </row>
    <row r="510" spans="32:51" x14ac:dyDescent="0.35">
      <c r="AF510" s="17" t="s">
        <v>1561</v>
      </c>
      <c r="AG510" s="18" t="s">
        <v>664</v>
      </c>
      <c r="AH510" s="18" t="s">
        <v>1562</v>
      </c>
      <c r="AI510" s="18" t="s">
        <v>1562</v>
      </c>
      <c r="AJ510" s="18">
        <v>53</v>
      </c>
      <c r="AK510" s="18">
        <v>174677</v>
      </c>
      <c r="AL510" s="18" t="b">
        <v>0</v>
      </c>
      <c r="AM510" s="18">
        <v>0.60699999999999998</v>
      </c>
      <c r="AN510" s="18">
        <v>0.17799999999999999</v>
      </c>
      <c r="AO510" s="18">
        <v>11</v>
      </c>
      <c r="AP510" s="18">
        <v>-15.471</v>
      </c>
      <c r="AQ510" s="18">
        <v>1</v>
      </c>
      <c r="AR510" s="18">
        <v>4.99E-2</v>
      </c>
      <c r="AS510" s="18">
        <v>0.73699999999999999</v>
      </c>
      <c r="AT510" s="18">
        <v>0</v>
      </c>
      <c r="AU510" s="18">
        <v>0.38700000000000001</v>
      </c>
      <c r="AV510" s="18">
        <v>0.42199999999999999</v>
      </c>
      <c r="AW510" s="18">
        <v>127.956</v>
      </c>
      <c r="AX510" s="18">
        <v>4</v>
      </c>
      <c r="AY510" s="19" t="s">
        <v>24</v>
      </c>
    </row>
    <row r="511" spans="32:51" x14ac:dyDescent="0.35">
      <c r="AF511" s="14" t="s">
        <v>1563</v>
      </c>
      <c r="AG511" s="15" t="s">
        <v>970</v>
      </c>
      <c r="AH511" s="15" t="s">
        <v>971</v>
      </c>
      <c r="AI511" s="15" t="s">
        <v>1564</v>
      </c>
      <c r="AJ511" s="15">
        <v>47</v>
      </c>
      <c r="AK511" s="15">
        <v>209583</v>
      </c>
      <c r="AL511" s="15" t="b">
        <v>0</v>
      </c>
      <c r="AM511" s="15">
        <v>0.63</v>
      </c>
      <c r="AN511" s="15">
        <v>0.34200000000000003</v>
      </c>
      <c r="AO511" s="15">
        <v>7</v>
      </c>
      <c r="AP511" s="15">
        <v>-13.377000000000001</v>
      </c>
      <c r="AQ511" s="15">
        <v>1</v>
      </c>
      <c r="AR511" s="15">
        <v>2.4500000000000001E-2</v>
      </c>
      <c r="AS511" s="15">
        <v>0.81699999999999995</v>
      </c>
      <c r="AT511" s="15">
        <v>4.3200000000000001E-3</v>
      </c>
      <c r="AU511" s="15">
        <v>9.6500000000000002E-2</v>
      </c>
      <c r="AV511" s="15">
        <v>0.55200000000000005</v>
      </c>
      <c r="AW511" s="15">
        <v>77.515000000000001</v>
      </c>
      <c r="AX511" s="15">
        <v>4</v>
      </c>
      <c r="AY511" s="16" t="s">
        <v>24</v>
      </c>
    </row>
    <row r="512" spans="32:51" x14ac:dyDescent="0.35">
      <c r="AF512" s="17" t="s">
        <v>1565</v>
      </c>
      <c r="AG512" s="18" t="s">
        <v>1129</v>
      </c>
      <c r="AH512" s="18" t="s">
        <v>1566</v>
      </c>
      <c r="AI512" s="18" t="s">
        <v>1567</v>
      </c>
      <c r="AJ512" s="18">
        <v>55</v>
      </c>
      <c r="AK512" s="18">
        <v>164478</v>
      </c>
      <c r="AL512" s="18" t="b">
        <v>0</v>
      </c>
      <c r="AM512" s="18">
        <v>0.68899999999999995</v>
      </c>
      <c r="AN512" s="18">
        <v>0.29899999999999999</v>
      </c>
      <c r="AO512" s="18">
        <v>7</v>
      </c>
      <c r="AP512" s="18">
        <v>-9.4309999999999992</v>
      </c>
      <c r="AQ512" s="18">
        <v>1</v>
      </c>
      <c r="AR512" s="18">
        <v>3.0099999999999998E-2</v>
      </c>
      <c r="AS512" s="18">
        <v>0.83299999999999996</v>
      </c>
      <c r="AT512" s="18">
        <v>0</v>
      </c>
      <c r="AU512" s="18">
        <v>0.115</v>
      </c>
      <c r="AV512" s="18">
        <v>0.52</v>
      </c>
      <c r="AW512" s="18">
        <v>96.825000000000003</v>
      </c>
      <c r="AX512" s="18">
        <v>4</v>
      </c>
      <c r="AY512" s="19" t="s">
        <v>24</v>
      </c>
    </row>
    <row r="513" spans="32:51" x14ac:dyDescent="0.35">
      <c r="AF513" s="14" t="s">
        <v>1568</v>
      </c>
      <c r="AG513" s="15" t="s">
        <v>339</v>
      </c>
      <c r="AH513" s="15" t="s">
        <v>97</v>
      </c>
      <c r="AI513" s="15" t="s">
        <v>1569</v>
      </c>
      <c r="AJ513" s="15">
        <v>45</v>
      </c>
      <c r="AK513" s="15">
        <v>138201</v>
      </c>
      <c r="AL513" s="15" t="b">
        <v>0</v>
      </c>
      <c r="AM513" s="15">
        <v>0.47299999999999998</v>
      </c>
      <c r="AN513" s="15">
        <v>0.30499999999999999</v>
      </c>
      <c r="AO513" s="15">
        <v>11</v>
      </c>
      <c r="AP513" s="15">
        <v>-8.48</v>
      </c>
      <c r="AQ513" s="15">
        <v>0</v>
      </c>
      <c r="AR513" s="15">
        <v>3.1099999999999999E-2</v>
      </c>
      <c r="AS513" s="15">
        <v>0.83299999999999996</v>
      </c>
      <c r="AT513" s="15">
        <v>0</v>
      </c>
      <c r="AU513" s="15">
        <v>0.109</v>
      </c>
      <c r="AV513" s="15">
        <v>0.52400000000000002</v>
      </c>
      <c r="AW513" s="15">
        <v>81.153000000000006</v>
      </c>
      <c r="AX513" s="15">
        <v>4</v>
      </c>
      <c r="AY513" s="16" t="s">
        <v>24</v>
      </c>
    </row>
    <row r="514" spans="32:51" x14ac:dyDescent="0.35">
      <c r="AF514" s="17" t="s">
        <v>1570</v>
      </c>
      <c r="AG514" s="18" t="s">
        <v>60</v>
      </c>
      <c r="AH514" s="18" t="s">
        <v>684</v>
      </c>
      <c r="AI514" s="18" t="s">
        <v>684</v>
      </c>
      <c r="AJ514" s="18">
        <v>69</v>
      </c>
      <c r="AK514" s="18">
        <v>244067</v>
      </c>
      <c r="AL514" s="18" t="b">
        <v>0</v>
      </c>
      <c r="AM514" s="18">
        <v>0.62</v>
      </c>
      <c r="AN514" s="18">
        <v>0.66800000000000004</v>
      </c>
      <c r="AO514" s="18">
        <v>9</v>
      </c>
      <c r="AP514" s="18">
        <v>-5.7190000000000003</v>
      </c>
      <c r="AQ514" s="18">
        <v>1</v>
      </c>
      <c r="AR514" s="18">
        <v>3.0499999999999999E-2</v>
      </c>
      <c r="AS514" s="18">
        <v>8.7999999999999995E-2</v>
      </c>
      <c r="AT514" s="18">
        <v>0</v>
      </c>
      <c r="AU514" s="18">
        <v>0.36199999999999999</v>
      </c>
      <c r="AV514" s="18">
        <v>0.183</v>
      </c>
      <c r="AW514" s="18">
        <v>118.01300000000001</v>
      </c>
      <c r="AX514" s="18">
        <v>4</v>
      </c>
      <c r="AY514" s="19" t="s">
        <v>24</v>
      </c>
    </row>
    <row r="515" spans="32:51" x14ac:dyDescent="0.35">
      <c r="AF515" s="14" t="s">
        <v>1571</v>
      </c>
      <c r="AG515" s="15" t="s">
        <v>278</v>
      </c>
      <c r="AH515" s="15" t="s">
        <v>344</v>
      </c>
      <c r="AI515" s="15" t="s">
        <v>1572</v>
      </c>
      <c r="AJ515" s="15">
        <v>37</v>
      </c>
      <c r="AK515" s="15">
        <v>198040</v>
      </c>
      <c r="AL515" s="15" t="b">
        <v>0</v>
      </c>
      <c r="AM515" s="15">
        <v>0.751</v>
      </c>
      <c r="AN515" s="15">
        <v>0.56499999999999995</v>
      </c>
      <c r="AO515" s="15">
        <v>5</v>
      </c>
      <c r="AP515" s="15">
        <v>-9.1059999999999999</v>
      </c>
      <c r="AQ515" s="15">
        <v>1</v>
      </c>
      <c r="AR515" s="15">
        <v>5.1299999999999998E-2</v>
      </c>
      <c r="AS515" s="15">
        <v>7.7700000000000005E-2</v>
      </c>
      <c r="AT515" s="15">
        <v>1.21E-2</v>
      </c>
      <c r="AU515" s="15">
        <v>8.5500000000000007E-2</v>
      </c>
      <c r="AV515" s="15">
        <v>0.67900000000000005</v>
      </c>
      <c r="AW515" s="15">
        <v>119.996</v>
      </c>
      <c r="AX515" s="15">
        <v>4</v>
      </c>
      <c r="AY515" s="16" t="s">
        <v>24</v>
      </c>
    </row>
    <row r="516" spans="32:51" x14ac:dyDescent="0.35">
      <c r="AF516" s="17" t="s">
        <v>1573</v>
      </c>
      <c r="AG516" s="18" t="s">
        <v>1574</v>
      </c>
      <c r="AH516" s="18" t="s">
        <v>1575</v>
      </c>
      <c r="AI516" s="18" t="s">
        <v>1575</v>
      </c>
      <c r="AJ516" s="18">
        <v>34</v>
      </c>
      <c r="AK516" s="18">
        <v>266078</v>
      </c>
      <c r="AL516" s="18" t="b">
        <v>0</v>
      </c>
      <c r="AM516" s="18">
        <v>0.62</v>
      </c>
      <c r="AN516" s="18">
        <v>0.46800000000000003</v>
      </c>
      <c r="AO516" s="18">
        <v>4</v>
      </c>
      <c r="AP516" s="18">
        <v>-9.6479999999999997</v>
      </c>
      <c r="AQ516" s="18">
        <v>1</v>
      </c>
      <c r="AR516" s="18">
        <v>2.6800000000000001E-2</v>
      </c>
      <c r="AS516" s="18">
        <v>0.71499999999999997</v>
      </c>
      <c r="AT516" s="32" t="s">
        <v>1576</v>
      </c>
      <c r="AU516" s="18">
        <v>0.106</v>
      </c>
      <c r="AV516" s="18">
        <v>0.217</v>
      </c>
      <c r="AW516" s="18">
        <v>110.96899999999999</v>
      </c>
      <c r="AX516" s="18">
        <v>4</v>
      </c>
      <c r="AY516" s="19" t="s">
        <v>24</v>
      </c>
    </row>
    <row r="517" spans="32:51" x14ac:dyDescent="0.35">
      <c r="AF517" s="14" t="s">
        <v>1577</v>
      </c>
      <c r="AG517" s="15" t="s">
        <v>184</v>
      </c>
      <c r="AH517" s="15" t="s">
        <v>1578</v>
      </c>
      <c r="AI517" s="15" t="s">
        <v>1578</v>
      </c>
      <c r="AJ517" s="15">
        <v>53</v>
      </c>
      <c r="AK517" s="15">
        <v>291676</v>
      </c>
      <c r="AL517" s="15" t="b">
        <v>0</v>
      </c>
      <c r="AM517" s="15">
        <v>0.47799999999999998</v>
      </c>
      <c r="AN517" s="15">
        <v>0.39800000000000002</v>
      </c>
      <c r="AO517" s="15">
        <v>2</v>
      </c>
      <c r="AP517" s="15">
        <v>-10.124000000000001</v>
      </c>
      <c r="AQ517" s="15">
        <v>1</v>
      </c>
      <c r="AR517" s="15">
        <v>2.86E-2</v>
      </c>
      <c r="AS517" s="15">
        <v>2.2200000000000001E-2</v>
      </c>
      <c r="AT517" s="15">
        <v>1.83E-2</v>
      </c>
      <c r="AU517" s="15">
        <v>8.2600000000000007E-2</v>
      </c>
      <c r="AV517" s="15">
        <v>0.371</v>
      </c>
      <c r="AW517" s="15">
        <v>159.90600000000001</v>
      </c>
      <c r="AX517" s="15">
        <v>3</v>
      </c>
      <c r="AY517" s="16" t="s">
        <v>24</v>
      </c>
    </row>
    <row r="518" spans="32:51" x14ac:dyDescent="0.35">
      <c r="AF518" s="17" t="s">
        <v>1579</v>
      </c>
      <c r="AG518" s="18" t="s">
        <v>991</v>
      </c>
      <c r="AH518" s="18" t="s">
        <v>1580</v>
      </c>
      <c r="AI518" s="18" t="s">
        <v>1581</v>
      </c>
      <c r="AJ518" s="18">
        <v>31</v>
      </c>
      <c r="AK518" s="18">
        <v>382786</v>
      </c>
      <c r="AL518" s="18" t="b">
        <v>0</v>
      </c>
      <c r="AM518" s="18">
        <v>0.376</v>
      </c>
      <c r="AN518" s="18">
        <v>0.70199999999999996</v>
      </c>
      <c r="AO518" s="18">
        <v>3</v>
      </c>
      <c r="AP518" s="18">
        <v>-5.7329999999999997</v>
      </c>
      <c r="AQ518" s="18">
        <v>1</v>
      </c>
      <c r="AR518" s="18">
        <v>2.9899999999999999E-2</v>
      </c>
      <c r="AS518" s="18">
        <v>3.7299999999999998E-3</v>
      </c>
      <c r="AT518" s="18">
        <v>1.16E-3</v>
      </c>
      <c r="AU518" s="18">
        <v>0.13800000000000001</v>
      </c>
      <c r="AV518" s="18">
        <v>0.24099999999999999</v>
      </c>
      <c r="AW518" s="18">
        <v>134.81700000000001</v>
      </c>
      <c r="AX518" s="18">
        <v>4</v>
      </c>
      <c r="AY518" s="19" t="s">
        <v>24</v>
      </c>
    </row>
    <row r="519" spans="32:51" x14ac:dyDescent="0.35">
      <c r="AF519" s="14" t="s">
        <v>1582</v>
      </c>
      <c r="AG519" s="15" t="s">
        <v>991</v>
      </c>
      <c r="AH519" s="15" t="s">
        <v>1583</v>
      </c>
      <c r="AI519" s="15" t="s">
        <v>1584</v>
      </c>
      <c r="AJ519" s="15">
        <v>31</v>
      </c>
      <c r="AK519" s="15">
        <v>322906</v>
      </c>
      <c r="AL519" s="15" t="b">
        <v>0</v>
      </c>
      <c r="AM519" s="15">
        <v>0.40300000000000002</v>
      </c>
      <c r="AN519" s="15">
        <v>0.63100000000000001</v>
      </c>
      <c r="AO519" s="15">
        <v>7</v>
      </c>
      <c r="AP519" s="15">
        <v>-5.94</v>
      </c>
      <c r="AQ519" s="15">
        <v>1</v>
      </c>
      <c r="AR519" s="15">
        <v>3.56E-2</v>
      </c>
      <c r="AS519" s="15">
        <v>5.0200000000000002E-2</v>
      </c>
      <c r="AT519" s="31" t="s">
        <v>1585</v>
      </c>
      <c r="AU519" s="15">
        <v>0.193</v>
      </c>
      <c r="AV519" s="15">
        <v>0.32800000000000001</v>
      </c>
      <c r="AW519" s="15">
        <v>78.522000000000006</v>
      </c>
      <c r="AX519" s="15">
        <v>4</v>
      </c>
      <c r="AY519" s="16" t="s">
        <v>24</v>
      </c>
    </row>
    <row r="520" spans="32:51" x14ac:dyDescent="0.35">
      <c r="AF520" s="17" t="s">
        <v>1586</v>
      </c>
      <c r="AG520" s="18" t="s">
        <v>255</v>
      </c>
      <c r="AH520" s="18" t="s">
        <v>1587</v>
      </c>
      <c r="AI520" s="18" t="s">
        <v>1587</v>
      </c>
      <c r="AJ520" s="18">
        <v>47</v>
      </c>
      <c r="AK520" s="18">
        <v>243979</v>
      </c>
      <c r="AL520" s="18" t="b">
        <v>0</v>
      </c>
      <c r="AM520" s="18">
        <v>0.44</v>
      </c>
      <c r="AN520" s="18">
        <v>0.11899999999999999</v>
      </c>
      <c r="AO520" s="18">
        <v>10</v>
      </c>
      <c r="AP520" s="18">
        <v>-12.574</v>
      </c>
      <c r="AQ520" s="18">
        <v>1</v>
      </c>
      <c r="AR520" s="18">
        <v>3.1800000000000002E-2</v>
      </c>
      <c r="AS520" s="18">
        <v>0.92700000000000005</v>
      </c>
      <c r="AT520" s="32" t="s">
        <v>1588</v>
      </c>
      <c r="AU520" s="18">
        <v>0.13700000000000001</v>
      </c>
      <c r="AV520" s="18">
        <v>0.27900000000000003</v>
      </c>
      <c r="AW520" s="18">
        <v>145.18600000000001</v>
      </c>
      <c r="AX520" s="18">
        <v>4</v>
      </c>
      <c r="AY520" s="19" t="s">
        <v>24</v>
      </c>
    </row>
    <row r="521" spans="32:51" x14ac:dyDescent="0.35">
      <c r="AF521" s="14" t="s">
        <v>1589</v>
      </c>
      <c r="AG521" s="15" t="s">
        <v>225</v>
      </c>
      <c r="AH521" s="15" t="s">
        <v>226</v>
      </c>
      <c r="AI521" s="15" t="s">
        <v>1590</v>
      </c>
      <c r="AJ521" s="15">
        <v>45</v>
      </c>
      <c r="AK521" s="15">
        <v>262954</v>
      </c>
      <c r="AL521" s="15" t="b">
        <v>0</v>
      </c>
      <c r="AM521" s="15">
        <v>0.40699999999999997</v>
      </c>
      <c r="AN521" s="15">
        <v>0.35699999999999998</v>
      </c>
      <c r="AO521" s="15">
        <v>1</v>
      </c>
      <c r="AP521" s="15">
        <v>-11.659000000000001</v>
      </c>
      <c r="AQ521" s="15">
        <v>1</v>
      </c>
      <c r="AR521" s="15">
        <v>4.36E-2</v>
      </c>
      <c r="AS521" s="15">
        <v>0.77500000000000002</v>
      </c>
      <c r="AT521" s="15">
        <v>1.0499999999999999E-3</v>
      </c>
      <c r="AU521" s="15">
        <v>0.94</v>
      </c>
      <c r="AV521" s="15">
        <v>0.253</v>
      </c>
      <c r="AW521" s="15">
        <v>112.20699999999999</v>
      </c>
      <c r="AX521" s="15">
        <v>4</v>
      </c>
      <c r="AY521" s="16" t="s">
        <v>24</v>
      </c>
    </row>
    <row r="522" spans="32:51" x14ac:dyDescent="0.35">
      <c r="AF522" s="17" t="s">
        <v>1591</v>
      </c>
      <c r="AG522" s="18" t="s">
        <v>664</v>
      </c>
      <c r="AH522" s="18" t="s">
        <v>1592</v>
      </c>
      <c r="AI522" s="18" t="s">
        <v>1593</v>
      </c>
      <c r="AJ522" s="18">
        <v>51</v>
      </c>
      <c r="AK522" s="18">
        <v>168042</v>
      </c>
      <c r="AL522" s="18" t="b">
        <v>0</v>
      </c>
      <c r="AM522" s="18">
        <v>0.38500000000000001</v>
      </c>
      <c r="AN522" s="18">
        <v>0.13400000000000001</v>
      </c>
      <c r="AO522" s="18">
        <v>5</v>
      </c>
      <c r="AP522" s="18">
        <v>-14.672000000000001</v>
      </c>
      <c r="AQ522" s="18">
        <v>0</v>
      </c>
      <c r="AR522" s="18">
        <v>4.7600000000000003E-2</v>
      </c>
      <c r="AS522" s="18">
        <v>0.89900000000000002</v>
      </c>
      <c r="AT522" s="18">
        <v>0</v>
      </c>
      <c r="AU522" s="18">
        <v>0.113</v>
      </c>
      <c r="AV522" s="18">
        <v>0.42699999999999999</v>
      </c>
      <c r="AW522" s="18">
        <v>203.816</v>
      </c>
      <c r="AX522" s="18">
        <v>4</v>
      </c>
      <c r="AY522" s="19" t="s">
        <v>24</v>
      </c>
    </row>
    <row r="523" spans="32:51" x14ac:dyDescent="0.35">
      <c r="AF523" s="14" t="s">
        <v>1594</v>
      </c>
      <c r="AG523" s="15" t="s">
        <v>215</v>
      </c>
      <c r="AH523" s="15" t="s">
        <v>1448</v>
      </c>
      <c r="AI523" s="15" t="s">
        <v>1595</v>
      </c>
      <c r="AJ523" s="15">
        <v>51</v>
      </c>
      <c r="AK523" s="15">
        <v>131800</v>
      </c>
      <c r="AL523" s="15" t="b">
        <v>0</v>
      </c>
      <c r="AM523" s="15">
        <v>0.42899999999999999</v>
      </c>
      <c r="AN523" s="15">
        <v>0.25800000000000001</v>
      </c>
      <c r="AO523" s="15">
        <v>5</v>
      </c>
      <c r="AP523" s="15">
        <v>-12.407999999999999</v>
      </c>
      <c r="AQ523" s="15">
        <v>1</v>
      </c>
      <c r="AR523" s="15">
        <v>3.1699999999999999E-2</v>
      </c>
      <c r="AS523" s="15">
        <v>0.86799999999999999</v>
      </c>
      <c r="AT523" s="15">
        <v>0.88800000000000001</v>
      </c>
      <c r="AU523" s="15">
        <v>0.108</v>
      </c>
      <c r="AV523" s="15">
        <v>8.9700000000000002E-2</v>
      </c>
      <c r="AW523" s="15">
        <v>108.79600000000001</v>
      </c>
      <c r="AX523" s="15">
        <v>4</v>
      </c>
      <c r="AY523" s="16" t="s">
        <v>24</v>
      </c>
    </row>
    <row r="524" spans="32:51" x14ac:dyDescent="0.35">
      <c r="AF524" s="17" t="s">
        <v>1596</v>
      </c>
      <c r="AG524" s="18" t="s">
        <v>991</v>
      </c>
      <c r="AH524" s="18" t="s">
        <v>1144</v>
      </c>
      <c r="AI524" s="18" t="s">
        <v>1597</v>
      </c>
      <c r="AJ524" s="18">
        <v>31</v>
      </c>
      <c r="AK524" s="18">
        <v>326600</v>
      </c>
      <c r="AL524" s="18" t="b">
        <v>0</v>
      </c>
      <c r="AM524" s="18">
        <v>0.60899999999999999</v>
      </c>
      <c r="AN524" s="18">
        <v>0.76</v>
      </c>
      <c r="AO524" s="18">
        <v>0</v>
      </c>
      <c r="AP524" s="18">
        <v>-5.16</v>
      </c>
      <c r="AQ524" s="18">
        <v>1</v>
      </c>
      <c r="AR524" s="18">
        <v>2.8299999999999999E-2</v>
      </c>
      <c r="AS524" s="18">
        <v>0.13100000000000001</v>
      </c>
      <c r="AT524" s="18">
        <v>0</v>
      </c>
      <c r="AU524" s="18">
        <v>0.41</v>
      </c>
      <c r="AV524" s="18">
        <v>0.44</v>
      </c>
      <c r="AW524" s="18">
        <v>117.13500000000001</v>
      </c>
      <c r="AX524" s="18">
        <v>4</v>
      </c>
      <c r="AY524" s="19" t="s">
        <v>24</v>
      </c>
    </row>
    <row r="525" spans="32:51" x14ac:dyDescent="0.35">
      <c r="AF525" s="14" t="s">
        <v>1598</v>
      </c>
      <c r="AG525" s="15" t="s">
        <v>34</v>
      </c>
      <c r="AH525" s="15" t="s">
        <v>1599</v>
      </c>
      <c r="AI525" s="15" t="s">
        <v>1599</v>
      </c>
      <c r="AJ525" s="15">
        <v>48</v>
      </c>
      <c r="AK525" s="15">
        <v>166320</v>
      </c>
      <c r="AL525" s="15" t="b">
        <v>0</v>
      </c>
      <c r="AM525" s="15">
        <v>0.72099999999999997</v>
      </c>
      <c r="AN525" s="15">
        <v>9.6299999999999997E-2</v>
      </c>
      <c r="AO525" s="15">
        <v>0</v>
      </c>
      <c r="AP525" s="15">
        <v>-15.973000000000001</v>
      </c>
      <c r="AQ525" s="15">
        <v>1</v>
      </c>
      <c r="AR525" s="15">
        <v>5.0200000000000002E-2</v>
      </c>
      <c r="AS525" s="15">
        <v>0.94499999999999995</v>
      </c>
      <c r="AT525" s="31" t="s">
        <v>1600</v>
      </c>
      <c r="AU525" s="15">
        <v>0.13300000000000001</v>
      </c>
      <c r="AV525" s="15">
        <v>0.57599999999999996</v>
      </c>
      <c r="AW525" s="15">
        <v>124.86799999999999</v>
      </c>
      <c r="AX525" s="15">
        <v>4</v>
      </c>
      <c r="AY525" s="16" t="s">
        <v>24</v>
      </c>
    </row>
    <row r="526" spans="32:51" x14ac:dyDescent="0.35">
      <c r="AF526" s="17" t="s">
        <v>1601</v>
      </c>
      <c r="AG526" s="18" t="s">
        <v>517</v>
      </c>
      <c r="AH526" s="18" t="s">
        <v>566</v>
      </c>
      <c r="AI526" s="18" t="s">
        <v>1602</v>
      </c>
      <c r="AJ526" s="18">
        <v>48</v>
      </c>
      <c r="AK526" s="18">
        <v>178319</v>
      </c>
      <c r="AL526" s="18" t="b">
        <v>0</v>
      </c>
      <c r="AM526" s="18">
        <v>0.67500000000000004</v>
      </c>
      <c r="AN526" s="18">
        <v>0.27800000000000002</v>
      </c>
      <c r="AO526" s="18">
        <v>3</v>
      </c>
      <c r="AP526" s="18">
        <v>-9.5690000000000008</v>
      </c>
      <c r="AQ526" s="18">
        <v>1</v>
      </c>
      <c r="AR526" s="18">
        <v>3.4299999999999997E-2</v>
      </c>
      <c r="AS526" s="18">
        <v>0.84499999999999997</v>
      </c>
      <c r="AT526" s="18">
        <v>0</v>
      </c>
      <c r="AU526" s="18">
        <v>0.114</v>
      </c>
      <c r="AV526" s="18">
        <v>0.35299999999999998</v>
      </c>
      <c r="AW526" s="18">
        <v>123.962</v>
      </c>
      <c r="AX526" s="18">
        <v>4</v>
      </c>
      <c r="AY526" s="19" t="s">
        <v>24</v>
      </c>
    </row>
    <row r="527" spans="32:51" x14ac:dyDescent="0.35">
      <c r="AF527" s="14" t="s">
        <v>1603</v>
      </c>
      <c r="AG527" s="15" t="s">
        <v>278</v>
      </c>
      <c r="AH527" s="15" t="s">
        <v>448</v>
      </c>
      <c r="AI527" s="15" t="s">
        <v>1604</v>
      </c>
      <c r="AJ527" s="15">
        <v>51</v>
      </c>
      <c r="AK527" s="15">
        <v>249386</v>
      </c>
      <c r="AL527" s="15" t="b">
        <v>0</v>
      </c>
      <c r="AM527" s="15">
        <v>0.40300000000000002</v>
      </c>
      <c r="AN527" s="15">
        <v>0.28999999999999998</v>
      </c>
      <c r="AO527" s="15">
        <v>2</v>
      </c>
      <c r="AP527" s="15">
        <v>-10.262</v>
      </c>
      <c r="AQ527" s="15">
        <v>1</v>
      </c>
      <c r="AR527" s="15">
        <v>3.2800000000000003E-2</v>
      </c>
      <c r="AS527" s="15">
        <v>0.75700000000000001</v>
      </c>
      <c r="AT527" s="15">
        <v>0</v>
      </c>
      <c r="AU527" s="15">
        <v>9.7199999999999995E-2</v>
      </c>
      <c r="AV527" s="15">
        <v>0.248</v>
      </c>
      <c r="AW527" s="15">
        <v>139.482</v>
      </c>
      <c r="AX527" s="15">
        <v>4</v>
      </c>
      <c r="AY527" s="16" t="s">
        <v>24</v>
      </c>
    </row>
    <row r="528" spans="32:51" x14ac:dyDescent="0.35">
      <c r="AF528" s="17" t="s">
        <v>1605</v>
      </c>
      <c r="AG528" s="18" t="s">
        <v>1319</v>
      </c>
      <c r="AH528" s="18" t="s">
        <v>1606</v>
      </c>
      <c r="AI528" s="18" t="s">
        <v>1607</v>
      </c>
      <c r="AJ528" s="18">
        <v>55</v>
      </c>
      <c r="AK528" s="18">
        <v>200893</v>
      </c>
      <c r="AL528" s="18" t="b">
        <v>0</v>
      </c>
      <c r="AM528" s="18">
        <v>0.627</v>
      </c>
      <c r="AN528" s="18">
        <v>0.51800000000000002</v>
      </c>
      <c r="AO528" s="18">
        <v>8</v>
      </c>
      <c r="AP528" s="18">
        <v>-7.1779999999999999</v>
      </c>
      <c r="AQ528" s="18">
        <v>1</v>
      </c>
      <c r="AR528" s="18">
        <v>2.86E-2</v>
      </c>
      <c r="AS528" s="18">
        <v>0.436</v>
      </c>
      <c r="AT528" s="18">
        <v>0</v>
      </c>
      <c r="AU528" s="18">
        <v>0.128</v>
      </c>
      <c r="AV528" s="18">
        <v>0.33700000000000002</v>
      </c>
      <c r="AW528" s="18">
        <v>95.991</v>
      </c>
      <c r="AX528" s="18">
        <v>4</v>
      </c>
      <c r="AY528" s="19" t="s">
        <v>24</v>
      </c>
    </row>
    <row r="529" spans="32:51" x14ac:dyDescent="0.35">
      <c r="AF529" s="14" t="s">
        <v>1608</v>
      </c>
      <c r="AG529" s="15" t="s">
        <v>991</v>
      </c>
      <c r="AH529" s="15" t="s">
        <v>1609</v>
      </c>
      <c r="AI529" s="15" t="s">
        <v>1609</v>
      </c>
      <c r="AJ529" s="15">
        <v>32</v>
      </c>
      <c r="AK529" s="15">
        <v>292493</v>
      </c>
      <c r="AL529" s="15" t="b">
        <v>0</v>
      </c>
      <c r="AM529" s="15">
        <v>0.40300000000000002</v>
      </c>
      <c r="AN529" s="15">
        <v>0.92500000000000004</v>
      </c>
      <c r="AO529" s="15">
        <v>9</v>
      </c>
      <c r="AP529" s="15">
        <v>-3.1659999999999999</v>
      </c>
      <c r="AQ529" s="15">
        <v>1</v>
      </c>
      <c r="AR529" s="15">
        <v>5.3699999999999998E-2</v>
      </c>
      <c r="AS529" s="15">
        <v>4.35E-4</v>
      </c>
      <c r="AT529" s="15">
        <v>0.755</v>
      </c>
      <c r="AU529" s="15">
        <v>0.32300000000000001</v>
      </c>
      <c r="AV529" s="15">
        <v>0.54300000000000004</v>
      </c>
      <c r="AW529" s="15">
        <v>169.97800000000001</v>
      </c>
      <c r="AX529" s="15">
        <v>4</v>
      </c>
      <c r="AY529" s="16" t="s">
        <v>24</v>
      </c>
    </row>
    <row r="530" spans="32:51" x14ac:dyDescent="0.35">
      <c r="AF530" s="17" t="s">
        <v>1610</v>
      </c>
      <c r="AG530" s="18" t="s">
        <v>1611</v>
      </c>
      <c r="AH530" s="18" t="s">
        <v>1612</v>
      </c>
      <c r="AI530" s="18" t="s">
        <v>802</v>
      </c>
      <c r="AJ530" s="18">
        <v>54</v>
      </c>
      <c r="AK530" s="18">
        <v>189673</v>
      </c>
      <c r="AL530" s="18" t="b">
        <v>0</v>
      </c>
      <c r="AM530" s="18">
        <v>0.44900000000000001</v>
      </c>
      <c r="AN530" s="18">
        <v>0.20899999999999999</v>
      </c>
      <c r="AO530" s="18">
        <v>10</v>
      </c>
      <c r="AP530" s="18">
        <v>-14.494</v>
      </c>
      <c r="AQ530" s="18">
        <v>1</v>
      </c>
      <c r="AR530" s="18">
        <v>8.9599999999999999E-2</v>
      </c>
      <c r="AS530" s="18">
        <v>0.89600000000000002</v>
      </c>
      <c r="AT530" s="18">
        <v>0</v>
      </c>
      <c r="AU530" s="18">
        <v>0.156</v>
      </c>
      <c r="AV530" s="18">
        <v>0.43099999999999999</v>
      </c>
      <c r="AW530" s="18">
        <v>93.617999999999995</v>
      </c>
      <c r="AX530" s="18">
        <v>4</v>
      </c>
      <c r="AY530" s="19" t="s">
        <v>24</v>
      </c>
    </row>
    <row r="531" spans="32:51" x14ac:dyDescent="0.35">
      <c r="AF531" s="14" t="s">
        <v>1613</v>
      </c>
      <c r="AG531" s="15" t="s">
        <v>50</v>
      </c>
      <c r="AH531" s="15" t="s">
        <v>1614</v>
      </c>
      <c r="AI531" s="15" t="s">
        <v>464</v>
      </c>
      <c r="AJ531" s="15">
        <v>60</v>
      </c>
      <c r="AK531" s="15">
        <v>256440</v>
      </c>
      <c r="AL531" s="15" t="b">
        <v>0</v>
      </c>
      <c r="AM531" s="15">
        <v>0.58899999999999997</v>
      </c>
      <c r="AN531" s="15">
        <v>0.86699999999999999</v>
      </c>
      <c r="AO531" s="15">
        <v>10</v>
      </c>
      <c r="AP531" s="15">
        <v>-4.5229999999999997</v>
      </c>
      <c r="AQ531" s="15">
        <v>1</v>
      </c>
      <c r="AR531" s="15">
        <v>3.85E-2</v>
      </c>
      <c r="AS531" s="15">
        <v>4.1000000000000002E-2</v>
      </c>
      <c r="AT531" s="15">
        <v>0</v>
      </c>
      <c r="AU531" s="15">
        <v>0.30599999999999999</v>
      </c>
      <c r="AV531" s="15">
        <v>0.79500000000000004</v>
      </c>
      <c r="AW531" s="15">
        <v>94.52</v>
      </c>
      <c r="AX531" s="15">
        <v>4</v>
      </c>
      <c r="AY531" s="16" t="s">
        <v>24</v>
      </c>
    </row>
    <row r="532" spans="32:51" x14ac:dyDescent="0.35">
      <c r="AF532" s="17" t="s">
        <v>1615</v>
      </c>
      <c r="AG532" s="18" t="s">
        <v>1333</v>
      </c>
      <c r="AH532" s="18" t="s">
        <v>1334</v>
      </c>
      <c r="AI532" s="18" t="s">
        <v>1616</v>
      </c>
      <c r="AJ532" s="18">
        <v>47</v>
      </c>
      <c r="AK532" s="18">
        <v>147809</v>
      </c>
      <c r="AL532" s="18" t="b">
        <v>0</v>
      </c>
      <c r="AM532" s="18">
        <v>0.78900000000000003</v>
      </c>
      <c r="AN532" s="18">
        <v>0.26100000000000001</v>
      </c>
      <c r="AO532" s="18">
        <v>7</v>
      </c>
      <c r="AP532" s="18">
        <v>-14.396000000000001</v>
      </c>
      <c r="AQ532" s="18">
        <v>1</v>
      </c>
      <c r="AR532" s="18">
        <v>4.5600000000000002E-2</v>
      </c>
      <c r="AS532" s="18">
        <v>0.80300000000000005</v>
      </c>
      <c r="AT532" s="18">
        <v>0</v>
      </c>
      <c r="AU532" s="18">
        <v>9.6199999999999994E-2</v>
      </c>
      <c r="AV532" s="18">
        <v>0.49099999999999999</v>
      </c>
      <c r="AW532" s="18">
        <v>117.961</v>
      </c>
      <c r="AX532" s="18">
        <v>4</v>
      </c>
      <c r="AY532" s="19" t="s">
        <v>24</v>
      </c>
    </row>
    <row r="533" spans="32:51" x14ac:dyDescent="0.35">
      <c r="AF533" s="14" t="s">
        <v>1617</v>
      </c>
      <c r="AG533" s="15" t="s">
        <v>1618</v>
      </c>
      <c r="AH533" s="15" t="s">
        <v>1619</v>
      </c>
      <c r="AI533" s="15" t="s">
        <v>1619</v>
      </c>
      <c r="AJ533" s="15">
        <v>29</v>
      </c>
      <c r="AK533" s="15">
        <v>246644</v>
      </c>
      <c r="AL533" s="15" t="b">
        <v>0</v>
      </c>
      <c r="AM533" s="15">
        <v>0.66300000000000003</v>
      </c>
      <c r="AN533" s="15">
        <v>0.23899999999999999</v>
      </c>
      <c r="AO533" s="15">
        <v>9</v>
      </c>
      <c r="AP533" s="15">
        <v>-9.5169999999999995</v>
      </c>
      <c r="AQ533" s="15">
        <v>1</v>
      </c>
      <c r="AR533" s="15">
        <v>3.0800000000000001E-2</v>
      </c>
      <c r="AS533" s="15">
        <v>0.82699999999999996</v>
      </c>
      <c r="AT533" s="15">
        <v>0</v>
      </c>
      <c r="AU533" s="15">
        <v>0.109</v>
      </c>
      <c r="AV533" s="15">
        <v>0.48799999999999999</v>
      </c>
      <c r="AW533" s="15">
        <v>83.102000000000004</v>
      </c>
      <c r="AX533" s="15">
        <v>4</v>
      </c>
      <c r="AY533" s="16" t="s">
        <v>24</v>
      </c>
    </row>
    <row r="534" spans="32:51" x14ac:dyDescent="0.35">
      <c r="AF534" s="17" t="s">
        <v>1620</v>
      </c>
      <c r="AG534" s="18" t="s">
        <v>1002</v>
      </c>
      <c r="AH534" s="18" t="s">
        <v>1621</v>
      </c>
      <c r="AI534" s="18" t="s">
        <v>1621</v>
      </c>
      <c r="AJ534" s="18">
        <v>51</v>
      </c>
      <c r="AK534" s="18">
        <v>228426</v>
      </c>
      <c r="AL534" s="18" t="b">
        <v>0</v>
      </c>
      <c r="AM534" s="18">
        <v>0.498</v>
      </c>
      <c r="AN534" s="18">
        <v>0.113</v>
      </c>
      <c r="AO534" s="18">
        <v>6</v>
      </c>
      <c r="AP534" s="18">
        <v>-16.097000000000001</v>
      </c>
      <c r="AQ534" s="18">
        <v>0</v>
      </c>
      <c r="AR534" s="18">
        <v>3.3300000000000003E-2</v>
      </c>
      <c r="AS534" s="18">
        <v>0.69099999999999995</v>
      </c>
      <c r="AT534" s="18">
        <v>2.8699999999999998E-4</v>
      </c>
      <c r="AU534" s="18">
        <v>0.108</v>
      </c>
      <c r="AV534" s="18">
        <v>0.29599999999999999</v>
      </c>
      <c r="AW534" s="18">
        <v>168.38300000000001</v>
      </c>
      <c r="AX534" s="18">
        <v>4</v>
      </c>
      <c r="AY534" s="19" t="s">
        <v>24</v>
      </c>
    </row>
    <row r="535" spans="32:51" x14ac:dyDescent="0.35">
      <c r="AF535" s="14" t="s">
        <v>1622</v>
      </c>
      <c r="AG535" s="15" t="s">
        <v>192</v>
      </c>
      <c r="AH535" s="15" t="s">
        <v>1623</v>
      </c>
      <c r="AI535" s="15" t="s">
        <v>1623</v>
      </c>
      <c r="AJ535" s="15">
        <v>41</v>
      </c>
      <c r="AK535" s="15">
        <v>207400</v>
      </c>
      <c r="AL535" s="15" t="b">
        <v>0</v>
      </c>
      <c r="AM535" s="15">
        <v>0.58599999999999997</v>
      </c>
      <c r="AN535" s="15">
        <v>0.14899999999999999</v>
      </c>
      <c r="AO535" s="15">
        <v>5</v>
      </c>
      <c r="AP535" s="15">
        <v>-13.369</v>
      </c>
      <c r="AQ535" s="15">
        <v>1</v>
      </c>
      <c r="AR535" s="15">
        <v>3.4799999999999998E-2</v>
      </c>
      <c r="AS535" s="15">
        <v>0.88100000000000001</v>
      </c>
      <c r="AT535" s="15">
        <v>0</v>
      </c>
      <c r="AU535" s="15">
        <v>0.187</v>
      </c>
      <c r="AV535" s="15">
        <v>0.34100000000000003</v>
      </c>
      <c r="AW535" s="15">
        <v>75.120999999999995</v>
      </c>
      <c r="AX535" s="15">
        <v>4</v>
      </c>
      <c r="AY535" s="16" t="s">
        <v>24</v>
      </c>
    </row>
    <row r="536" spans="32:51" x14ac:dyDescent="0.35">
      <c r="AF536" s="17" t="s">
        <v>1624</v>
      </c>
      <c r="AG536" s="18" t="s">
        <v>34</v>
      </c>
      <c r="AH536" s="18" t="s">
        <v>1625</v>
      </c>
      <c r="AI536" s="18" t="s">
        <v>36</v>
      </c>
      <c r="AJ536" s="18">
        <v>48</v>
      </c>
      <c r="AK536" s="18">
        <v>188354</v>
      </c>
      <c r="AL536" s="18" t="b">
        <v>0</v>
      </c>
      <c r="AM536" s="18">
        <v>0.44400000000000001</v>
      </c>
      <c r="AN536" s="18">
        <v>0.14299999999999999</v>
      </c>
      <c r="AO536" s="18">
        <v>0</v>
      </c>
      <c r="AP536" s="18">
        <v>-11.449</v>
      </c>
      <c r="AQ536" s="18">
        <v>1</v>
      </c>
      <c r="AR536" s="18">
        <v>3.0200000000000001E-2</v>
      </c>
      <c r="AS536" s="18">
        <v>0.92500000000000004</v>
      </c>
      <c r="AT536" s="32" t="s">
        <v>1626</v>
      </c>
      <c r="AU536" s="18">
        <v>0.11799999999999999</v>
      </c>
      <c r="AV536" s="18">
        <v>0.13200000000000001</v>
      </c>
      <c r="AW536" s="18">
        <v>100.34099999999999</v>
      </c>
      <c r="AX536" s="18">
        <v>3</v>
      </c>
      <c r="AY536" s="19" t="s">
        <v>24</v>
      </c>
    </row>
    <row r="537" spans="32:51" x14ac:dyDescent="0.35">
      <c r="AF537" s="14" t="s">
        <v>1627</v>
      </c>
      <c r="AG537" s="15" t="s">
        <v>1628</v>
      </c>
      <c r="AH537" s="15" t="s">
        <v>1629</v>
      </c>
      <c r="AI537" s="15" t="s">
        <v>1630</v>
      </c>
      <c r="AJ537" s="15">
        <v>61</v>
      </c>
      <c r="AK537" s="15">
        <v>168712</v>
      </c>
      <c r="AL537" s="15" t="b">
        <v>0</v>
      </c>
      <c r="AM537" s="15">
        <v>0.60599999999999998</v>
      </c>
      <c r="AN537" s="15">
        <v>0.41499999999999998</v>
      </c>
      <c r="AO537" s="15">
        <v>7</v>
      </c>
      <c r="AP537" s="15">
        <v>-8.3170000000000002</v>
      </c>
      <c r="AQ537" s="15">
        <v>0</v>
      </c>
      <c r="AR537" s="15">
        <v>4.7500000000000001E-2</v>
      </c>
      <c r="AS537" s="15">
        <v>0.69499999999999995</v>
      </c>
      <c r="AT537" s="15">
        <v>1.49E-3</v>
      </c>
      <c r="AU537" s="15">
        <v>0.17399999999999999</v>
      </c>
      <c r="AV537" s="15">
        <v>0.40500000000000003</v>
      </c>
      <c r="AW537" s="15">
        <v>137.77500000000001</v>
      </c>
      <c r="AX537" s="15">
        <v>4</v>
      </c>
      <c r="AY537" s="16" t="s">
        <v>24</v>
      </c>
    </row>
    <row r="538" spans="32:51" x14ac:dyDescent="0.35">
      <c r="AF538" s="17" t="s">
        <v>1631</v>
      </c>
      <c r="AG538" s="18" t="s">
        <v>1632</v>
      </c>
      <c r="AH538" s="18" t="s">
        <v>1633</v>
      </c>
      <c r="AI538" s="18" t="s">
        <v>1634</v>
      </c>
      <c r="AJ538" s="18">
        <v>60</v>
      </c>
      <c r="AK538" s="18">
        <v>188200</v>
      </c>
      <c r="AL538" s="18" t="b">
        <v>0</v>
      </c>
      <c r="AM538" s="18">
        <v>0.745</v>
      </c>
      <c r="AN538" s="18">
        <v>0.436</v>
      </c>
      <c r="AO538" s="18">
        <v>5</v>
      </c>
      <c r="AP538" s="18">
        <v>-9.6170000000000009</v>
      </c>
      <c r="AQ538" s="18">
        <v>0</v>
      </c>
      <c r="AR538" s="18">
        <v>4.2999999999999997E-2</v>
      </c>
      <c r="AS538" s="18">
        <v>0.59699999999999998</v>
      </c>
      <c r="AT538" s="18">
        <v>2.1299999999999999E-2</v>
      </c>
      <c r="AU538" s="18">
        <v>0.61</v>
      </c>
      <c r="AV538" s="18">
        <v>0.77100000000000002</v>
      </c>
      <c r="AW538" s="18">
        <v>114.21599999999999</v>
      </c>
      <c r="AX538" s="18">
        <v>4</v>
      </c>
      <c r="AY538" s="19" t="s">
        <v>24</v>
      </c>
    </row>
    <row r="539" spans="32:51" x14ac:dyDescent="0.35">
      <c r="AF539" s="14" t="s">
        <v>1635</v>
      </c>
      <c r="AG539" s="15" t="s">
        <v>1636</v>
      </c>
      <c r="AH539" s="15" t="s">
        <v>1637</v>
      </c>
      <c r="AI539" s="15" t="s">
        <v>1638</v>
      </c>
      <c r="AJ539" s="15">
        <v>45</v>
      </c>
      <c r="AK539" s="15">
        <v>181496</v>
      </c>
      <c r="AL539" s="15" t="b">
        <v>0</v>
      </c>
      <c r="AM539" s="15">
        <v>0.52600000000000002</v>
      </c>
      <c r="AN539" s="15">
        <v>0.13900000000000001</v>
      </c>
      <c r="AO539" s="15">
        <v>9</v>
      </c>
      <c r="AP539" s="15">
        <v>-11.316000000000001</v>
      </c>
      <c r="AQ539" s="15">
        <v>1</v>
      </c>
      <c r="AR539" s="15">
        <v>3.2500000000000001E-2</v>
      </c>
      <c r="AS539" s="15">
        <v>0.879</v>
      </c>
      <c r="AT539" s="15">
        <v>0</v>
      </c>
      <c r="AU539" s="15">
        <v>0.109</v>
      </c>
      <c r="AV539" s="15">
        <v>0.20300000000000001</v>
      </c>
      <c r="AW539" s="15">
        <v>100.852</v>
      </c>
      <c r="AX539" s="15">
        <v>4</v>
      </c>
      <c r="AY539" s="16" t="s">
        <v>24</v>
      </c>
    </row>
    <row r="540" spans="32:51" x14ac:dyDescent="0.35">
      <c r="AF540" s="17" t="s">
        <v>1639</v>
      </c>
      <c r="AG540" s="18" t="s">
        <v>712</v>
      </c>
      <c r="AH540" s="18" t="s">
        <v>1382</v>
      </c>
      <c r="AI540" s="18" t="s">
        <v>1640</v>
      </c>
      <c r="AJ540" s="18">
        <v>58</v>
      </c>
      <c r="AK540" s="18">
        <v>280226</v>
      </c>
      <c r="AL540" s="18" t="b">
        <v>0</v>
      </c>
      <c r="AM540" s="18">
        <v>0.61399999999999999</v>
      </c>
      <c r="AN540" s="18">
        <v>0.28299999999999997</v>
      </c>
      <c r="AO540" s="18">
        <v>0</v>
      </c>
      <c r="AP540" s="18">
        <v>-8.0079999999999991</v>
      </c>
      <c r="AQ540" s="18">
        <v>1</v>
      </c>
      <c r="AR540" s="18">
        <v>2.7E-2</v>
      </c>
      <c r="AS540" s="18">
        <v>0.47199999999999998</v>
      </c>
      <c r="AT540" s="18">
        <v>0</v>
      </c>
      <c r="AU540" s="18">
        <v>0.114</v>
      </c>
      <c r="AV540" s="18">
        <v>0.33100000000000002</v>
      </c>
      <c r="AW540" s="18">
        <v>107.673</v>
      </c>
      <c r="AX540" s="18">
        <v>3</v>
      </c>
      <c r="AY540" s="19" t="s">
        <v>24</v>
      </c>
    </row>
    <row r="541" spans="32:51" x14ac:dyDescent="0.35">
      <c r="AF541" s="14" t="s">
        <v>1641</v>
      </c>
      <c r="AG541" s="15" t="s">
        <v>1642</v>
      </c>
      <c r="AH541" s="15" t="s">
        <v>1643</v>
      </c>
      <c r="AI541" s="15" t="s">
        <v>1644</v>
      </c>
      <c r="AJ541" s="15">
        <v>29</v>
      </c>
      <c r="AK541" s="15">
        <v>254306</v>
      </c>
      <c r="AL541" s="15" t="b">
        <v>0</v>
      </c>
      <c r="AM541" s="15">
        <v>0.47299999999999998</v>
      </c>
      <c r="AN541" s="15">
        <v>0.49299999999999999</v>
      </c>
      <c r="AO541" s="15">
        <v>11</v>
      </c>
      <c r="AP541" s="15">
        <v>-6.7329999999999997</v>
      </c>
      <c r="AQ541" s="15">
        <v>1</v>
      </c>
      <c r="AR541" s="15">
        <v>3.0200000000000001E-2</v>
      </c>
      <c r="AS541" s="15">
        <v>0.84</v>
      </c>
      <c r="AT541" s="31" t="s">
        <v>1645</v>
      </c>
      <c r="AU541" s="15">
        <v>9.1499999999999998E-2</v>
      </c>
      <c r="AV541" s="15">
        <v>0.54</v>
      </c>
      <c r="AW541" s="15">
        <v>169.99799999999999</v>
      </c>
      <c r="AX541" s="15">
        <v>4</v>
      </c>
      <c r="AY541" s="16" t="s">
        <v>24</v>
      </c>
    </row>
    <row r="542" spans="32:51" x14ac:dyDescent="0.35">
      <c r="AF542" s="17" t="s">
        <v>1646</v>
      </c>
      <c r="AG542" s="18" t="s">
        <v>339</v>
      </c>
      <c r="AH542" s="18" t="s">
        <v>736</v>
      </c>
      <c r="AI542" s="18" t="s">
        <v>1647</v>
      </c>
      <c r="AJ542" s="18">
        <v>57</v>
      </c>
      <c r="AK542" s="18">
        <v>276146</v>
      </c>
      <c r="AL542" s="18" t="b">
        <v>0</v>
      </c>
      <c r="AM542" s="18">
        <v>0.439</v>
      </c>
      <c r="AN542" s="18">
        <v>0.20699999999999999</v>
      </c>
      <c r="AO542" s="18">
        <v>1</v>
      </c>
      <c r="AP542" s="18">
        <v>-9.5730000000000004</v>
      </c>
      <c r="AQ542" s="18">
        <v>1</v>
      </c>
      <c r="AR542" s="18">
        <v>2.9700000000000001E-2</v>
      </c>
      <c r="AS542" s="18">
        <v>0.60799999999999998</v>
      </c>
      <c r="AT542" s="18">
        <v>0</v>
      </c>
      <c r="AU542" s="18">
        <v>0.186</v>
      </c>
      <c r="AV542" s="18">
        <v>0.26400000000000001</v>
      </c>
      <c r="AW542" s="18">
        <v>136.51400000000001</v>
      </c>
      <c r="AX542" s="18">
        <v>4</v>
      </c>
      <c r="AY542" s="19" t="s">
        <v>24</v>
      </c>
    </row>
    <row r="543" spans="32:51" x14ac:dyDescent="0.35">
      <c r="AF543" s="14" t="s">
        <v>1648</v>
      </c>
      <c r="AG543" s="15" t="s">
        <v>1489</v>
      </c>
      <c r="AH543" s="15" t="s">
        <v>1490</v>
      </c>
      <c r="AI543" s="15" t="s">
        <v>1649</v>
      </c>
      <c r="AJ543" s="15">
        <v>29</v>
      </c>
      <c r="AK543" s="15">
        <v>274720</v>
      </c>
      <c r="AL543" s="15" t="b">
        <v>0</v>
      </c>
      <c r="AM543" s="15">
        <v>0.66500000000000004</v>
      </c>
      <c r="AN543" s="15">
        <v>0.48699999999999999</v>
      </c>
      <c r="AO543" s="15">
        <v>7</v>
      </c>
      <c r="AP543" s="15">
        <v>-9.4090000000000007</v>
      </c>
      <c r="AQ543" s="15">
        <v>1</v>
      </c>
      <c r="AR543" s="15">
        <v>2.4299999999999999E-2</v>
      </c>
      <c r="AS543" s="15">
        <v>0.63900000000000001</v>
      </c>
      <c r="AT543" s="31" t="s">
        <v>1650</v>
      </c>
      <c r="AU543" s="15">
        <v>9.0999999999999998E-2</v>
      </c>
      <c r="AV543" s="15">
        <v>0.32600000000000001</v>
      </c>
      <c r="AW543" s="15">
        <v>94.977999999999994</v>
      </c>
      <c r="AX543" s="15">
        <v>4</v>
      </c>
      <c r="AY543" s="16" t="s">
        <v>24</v>
      </c>
    </row>
    <row r="544" spans="32:51" x14ac:dyDescent="0.35">
      <c r="AF544" s="17" t="s">
        <v>1651</v>
      </c>
      <c r="AG544" s="18" t="s">
        <v>408</v>
      </c>
      <c r="AH544" s="18" t="s">
        <v>1652</v>
      </c>
      <c r="AI544" s="18" t="s">
        <v>1652</v>
      </c>
      <c r="AJ544" s="18">
        <v>49</v>
      </c>
      <c r="AK544" s="18">
        <v>159820</v>
      </c>
      <c r="AL544" s="18" t="b">
        <v>0</v>
      </c>
      <c r="AM544" s="18">
        <v>0.53400000000000003</v>
      </c>
      <c r="AN544" s="18">
        <v>0.26</v>
      </c>
      <c r="AO544" s="18">
        <v>1</v>
      </c>
      <c r="AP544" s="18">
        <v>-12.406000000000001</v>
      </c>
      <c r="AQ544" s="18">
        <v>1</v>
      </c>
      <c r="AR544" s="18">
        <v>3.1899999999999998E-2</v>
      </c>
      <c r="AS544" s="18">
        <v>0.83399999999999996</v>
      </c>
      <c r="AT544" s="18">
        <v>4.0499999999999998E-3</v>
      </c>
      <c r="AU544" s="18">
        <v>0.10199999999999999</v>
      </c>
      <c r="AV544" s="18">
        <v>0.151</v>
      </c>
      <c r="AW544" s="18">
        <v>113.877</v>
      </c>
      <c r="AX544" s="18">
        <v>4</v>
      </c>
      <c r="AY544" s="19" t="s">
        <v>24</v>
      </c>
    </row>
    <row r="545" spans="32:51" x14ac:dyDescent="0.35">
      <c r="AF545" s="14" t="s">
        <v>1653</v>
      </c>
      <c r="AG545" s="15" t="s">
        <v>894</v>
      </c>
      <c r="AH545" s="15" t="s">
        <v>1654</v>
      </c>
      <c r="AI545" s="15" t="s">
        <v>1655</v>
      </c>
      <c r="AJ545" s="15">
        <v>30</v>
      </c>
      <c r="AK545" s="15">
        <v>178573</v>
      </c>
      <c r="AL545" s="15" t="b">
        <v>0</v>
      </c>
      <c r="AM545" s="15">
        <v>0.45700000000000002</v>
      </c>
      <c r="AN545" s="15">
        <v>0.26</v>
      </c>
      <c r="AO545" s="15">
        <v>7</v>
      </c>
      <c r="AP545" s="15">
        <v>-7.952</v>
      </c>
      <c r="AQ545" s="15">
        <v>1</v>
      </c>
      <c r="AR545" s="15">
        <v>4.0599999999999997E-2</v>
      </c>
      <c r="AS545" s="15">
        <v>5.9400000000000001E-2</v>
      </c>
      <c r="AT545" s="15">
        <v>0</v>
      </c>
      <c r="AU545" s="15">
        <v>0.34599999999999997</v>
      </c>
      <c r="AV545" s="15">
        <v>0.38</v>
      </c>
      <c r="AW545" s="15">
        <v>106.756</v>
      </c>
      <c r="AX545" s="15">
        <v>4</v>
      </c>
      <c r="AY545" s="16" t="s">
        <v>24</v>
      </c>
    </row>
    <row r="546" spans="32:51" x14ac:dyDescent="0.35">
      <c r="AF546" s="17" t="s">
        <v>1656</v>
      </c>
      <c r="AG546" s="18" t="s">
        <v>755</v>
      </c>
      <c r="AH546" s="18" t="s">
        <v>920</v>
      </c>
      <c r="AI546" s="18" t="s">
        <v>1657</v>
      </c>
      <c r="AJ546" s="18">
        <v>30</v>
      </c>
      <c r="AK546" s="18">
        <v>175046</v>
      </c>
      <c r="AL546" s="18" t="b">
        <v>1</v>
      </c>
      <c r="AM546" s="18">
        <v>0.5</v>
      </c>
      <c r="AN546" s="18">
        <v>0.61099999999999999</v>
      </c>
      <c r="AO546" s="18">
        <v>0</v>
      </c>
      <c r="AP546" s="18">
        <v>-10.826000000000001</v>
      </c>
      <c r="AQ546" s="18">
        <v>1</v>
      </c>
      <c r="AR546" s="18">
        <v>7.8799999999999995E-2</v>
      </c>
      <c r="AS546" s="18">
        <v>0.83399999999999996</v>
      </c>
      <c r="AT546" s="32" t="s">
        <v>1658</v>
      </c>
      <c r="AU546" s="18">
        <v>0.24099999999999999</v>
      </c>
      <c r="AV546" s="18">
        <v>0.89400000000000002</v>
      </c>
      <c r="AW546" s="18">
        <v>88.372</v>
      </c>
      <c r="AX546" s="18">
        <v>4</v>
      </c>
      <c r="AY546" s="19" t="s">
        <v>24</v>
      </c>
    </row>
    <row r="547" spans="32:51" x14ac:dyDescent="0.35">
      <c r="AF547" s="14" t="s">
        <v>1659</v>
      </c>
      <c r="AG547" s="15" t="s">
        <v>1660</v>
      </c>
      <c r="AH547" s="15" t="s">
        <v>1661</v>
      </c>
      <c r="AI547" s="15" t="s">
        <v>1662</v>
      </c>
      <c r="AJ547" s="15">
        <v>31</v>
      </c>
      <c r="AK547" s="15">
        <v>180771</v>
      </c>
      <c r="AL547" s="15" t="b">
        <v>0</v>
      </c>
      <c r="AM547" s="15">
        <v>0.44800000000000001</v>
      </c>
      <c r="AN547" s="15">
        <v>0.51600000000000001</v>
      </c>
      <c r="AO547" s="15">
        <v>0</v>
      </c>
      <c r="AP547" s="15">
        <v>-7.4489999999999998</v>
      </c>
      <c r="AQ547" s="15">
        <v>1</v>
      </c>
      <c r="AR547" s="15">
        <v>2.92E-2</v>
      </c>
      <c r="AS547" s="15">
        <v>0.34100000000000003</v>
      </c>
      <c r="AT547" s="15">
        <v>4.9699999999999996E-3</v>
      </c>
      <c r="AU547" s="15">
        <v>9.2899999999999996E-2</v>
      </c>
      <c r="AV547" s="15">
        <v>0.28999999999999998</v>
      </c>
      <c r="AW547" s="15">
        <v>100.672</v>
      </c>
      <c r="AX547" s="15">
        <v>4</v>
      </c>
      <c r="AY547" s="16" t="s">
        <v>24</v>
      </c>
    </row>
    <row r="548" spans="32:51" x14ac:dyDescent="0.35">
      <c r="AF548" s="17" t="s">
        <v>1663</v>
      </c>
      <c r="AG548" s="18" t="s">
        <v>1664</v>
      </c>
      <c r="AH548" s="18" t="s">
        <v>1665</v>
      </c>
      <c r="AI548" s="18" t="s">
        <v>1666</v>
      </c>
      <c r="AJ548" s="18">
        <v>29</v>
      </c>
      <c r="AK548" s="18">
        <v>191052</v>
      </c>
      <c r="AL548" s="18" t="b">
        <v>0</v>
      </c>
      <c r="AM548" s="18">
        <v>0.69899999999999995</v>
      </c>
      <c r="AN548" s="18">
        <v>0.34300000000000003</v>
      </c>
      <c r="AO548" s="18">
        <v>2</v>
      </c>
      <c r="AP548" s="18">
        <v>-6.0519999999999996</v>
      </c>
      <c r="AQ548" s="18">
        <v>1</v>
      </c>
      <c r="AR548" s="18">
        <v>2.9600000000000001E-2</v>
      </c>
      <c r="AS548" s="18">
        <v>0.50600000000000001</v>
      </c>
      <c r="AT548" s="18">
        <v>0</v>
      </c>
      <c r="AU548" s="18">
        <v>0.56000000000000005</v>
      </c>
      <c r="AV548" s="18">
        <v>0.38300000000000001</v>
      </c>
      <c r="AW548" s="18">
        <v>114.021</v>
      </c>
      <c r="AX548" s="18">
        <v>4</v>
      </c>
      <c r="AY548" s="19" t="s">
        <v>24</v>
      </c>
    </row>
    <row r="549" spans="32:51" x14ac:dyDescent="0.35">
      <c r="AF549" s="14" t="s">
        <v>1667</v>
      </c>
      <c r="AG549" s="15" t="s">
        <v>140</v>
      </c>
      <c r="AH549" s="15" t="s">
        <v>1668</v>
      </c>
      <c r="AI549" s="15" t="s">
        <v>1669</v>
      </c>
      <c r="AJ549" s="15">
        <v>59</v>
      </c>
      <c r="AK549" s="15">
        <v>214666</v>
      </c>
      <c r="AL549" s="15" t="b">
        <v>0</v>
      </c>
      <c r="AM549" s="15">
        <v>0.56399999999999995</v>
      </c>
      <c r="AN549" s="15">
        <v>0.20899999999999999</v>
      </c>
      <c r="AO549" s="15">
        <v>3</v>
      </c>
      <c r="AP549" s="15">
        <v>-8.9220000000000006</v>
      </c>
      <c r="AQ549" s="15">
        <v>1</v>
      </c>
      <c r="AR549" s="15">
        <v>3.1699999999999999E-2</v>
      </c>
      <c r="AS549" s="15">
        <v>0.72399999999999998</v>
      </c>
      <c r="AT549" s="31" t="s">
        <v>1670</v>
      </c>
      <c r="AU549" s="15">
        <v>0.107</v>
      </c>
      <c r="AV549" s="15">
        <v>0.40200000000000002</v>
      </c>
      <c r="AW549" s="15">
        <v>109.024</v>
      </c>
      <c r="AX549" s="15">
        <v>4</v>
      </c>
      <c r="AY549" s="16" t="s">
        <v>24</v>
      </c>
    </row>
    <row r="550" spans="32:51" x14ac:dyDescent="0.35">
      <c r="AF550" s="17" t="s">
        <v>1671</v>
      </c>
      <c r="AG550" s="18" t="s">
        <v>1069</v>
      </c>
      <c r="AH550" s="18" t="s">
        <v>1394</v>
      </c>
      <c r="AI550" s="18" t="s">
        <v>1672</v>
      </c>
      <c r="AJ550" s="18">
        <v>30</v>
      </c>
      <c r="AK550" s="18">
        <v>167466</v>
      </c>
      <c r="AL550" s="18" t="b">
        <v>1</v>
      </c>
      <c r="AM550" s="18">
        <v>0.40400000000000003</v>
      </c>
      <c r="AN550" s="18">
        <v>0.57699999999999996</v>
      </c>
      <c r="AO550" s="18">
        <v>2</v>
      </c>
      <c r="AP550" s="18">
        <v>-8.2720000000000002</v>
      </c>
      <c r="AQ550" s="18">
        <v>0</v>
      </c>
      <c r="AR550" s="18">
        <v>2.9399999999999999E-2</v>
      </c>
      <c r="AS550" s="18">
        <v>0.60499999999999998</v>
      </c>
      <c r="AT550" s="18">
        <v>0.249</v>
      </c>
      <c r="AU550" s="18">
        <v>7.1199999999999999E-2</v>
      </c>
      <c r="AV550" s="18">
        <v>0.63700000000000001</v>
      </c>
      <c r="AW550" s="18">
        <v>112.215</v>
      </c>
      <c r="AX550" s="18">
        <v>3</v>
      </c>
      <c r="AY550" s="19" t="s">
        <v>24</v>
      </c>
    </row>
    <row r="551" spans="32:51" x14ac:dyDescent="0.35">
      <c r="AF551" s="14" t="s">
        <v>1673</v>
      </c>
      <c r="AG551" s="15" t="s">
        <v>1674</v>
      </c>
      <c r="AH551" s="15" t="s">
        <v>1675</v>
      </c>
      <c r="AI551" s="15" t="s">
        <v>1676</v>
      </c>
      <c r="AJ551" s="15">
        <v>30</v>
      </c>
      <c r="AK551" s="15">
        <v>252760</v>
      </c>
      <c r="AL551" s="15" t="b">
        <v>1</v>
      </c>
      <c r="AM551" s="15">
        <v>0.501</v>
      </c>
      <c r="AN551" s="15">
        <v>0.44</v>
      </c>
      <c r="AO551" s="15">
        <v>6</v>
      </c>
      <c r="AP551" s="15">
        <v>-8.1669999999999998</v>
      </c>
      <c r="AQ551" s="15">
        <v>1</v>
      </c>
      <c r="AR551" s="15">
        <v>3.5200000000000002E-2</v>
      </c>
      <c r="AS551" s="15">
        <v>0.81799999999999995</v>
      </c>
      <c r="AT551" s="15">
        <v>0</v>
      </c>
      <c r="AU551" s="15">
        <v>0.104</v>
      </c>
      <c r="AV551" s="15">
        <v>0.311</v>
      </c>
      <c r="AW551" s="15">
        <v>89.881</v>
      </c>
      <c r="AX551" s="15">
        <v>4</v>
      </c>
      <c r="AY551" s="16" t="s">
        <v>24</v>
      </c>
    </row>
    <row r="552" spans="32:51" x14ac:dyDescent="0.35">
      <c r="AF552" s="17" t="s">
        <v>1677</v>
      </c>
      <c r="AG552" s="18" t="s">
        <v>769</v>
      </c>
      <c r="AH552" s="18" t="s">
        <v>1237</v>
      </c>
      <c r="AI552" s="18" t="s">
        <v>1678</v>
      </c>
      <c r="AJ552" s="18">
        <v>29</v>
      </c>
      <c r="AK552" s="18">
        <v>136815</v>
      </c>
      <c r="AL552" s="18" t="b">
        <v>1</v>
      </c>
      <c r="AM552" s="18">
        <v>0.46100000000000002</v>
      </c>
      <c r="AN552" s="18">
        <v>0.89300000000000002</v>
      </c>
      <c r="AO552" s="18">
        <v>9</v>
      </c>
      <c r="AP552" s="18">
        <v>-6.0279999999999996</v>
      </c>
      <c r="AQ552" s="18">
        <v>1</v>
      </c>
      <c r="AR552" s="18">
        <v>0.121</v>
      </c>
      <c r="AS552" s="18">
        <v>3.2299999999999998E-3</v>
      </c>
      <c r="AT552" s="18">
        <v>0</v>
      </c>
      <c r="AU552" s="18">
        <v>0.65400000000000003</v>
      </c>
      <c r="AV552" s="18">
        <v>0.4</v>
      </c>
      <c r="AW552" s="18">
        <v>179.92</v>
      </c>
      <c r="AX552" s="18">
        <v>4</v>
      </c>
      <c r="AY552" s="19" t="s">
        <v>24</v>
      </c>
    </row>
    <row r="553" spans="32:51" x14ac:dyDescent="0.35">
      <c r="AF553" s="14" t="s">
        <v>1679</v>
      </c>
      <c r="AG553" s="15" t="s">
        <v>192</v>
      </c>
      <c r="AH553" s="15" t="s">
        <v>1680</v>
      </c>
      <c r="AI553" s="15" t="s">
        <v>1681</v>
      </c>
      <c r="AJ553" s="15">
        <v>55</v>
      </c>
      <c r="AK553" s="15">
        <v>190909</v>
      </c>
      <c r="AL553" s="15" t="b">
        <v>1</v>
      </c>
      <c r="AM553" s="15">
        <v>0.67500000000000004</v>
      </c>
      <c r="AN553" s="15">
        <v>0.24299999999999999</v>
      </c>
      <c r="AO553" s="15">
        <v>0</v>
      </c>
      <c r="AP553" s="15">
        <v>-13.391999999999999</v>
      </c>
      <c r="AQ553" s="15">
        <v>1</v>
      </c>
      <c r="AR553" s="15">
        <v>4.1300000000000003E-2</v>
      </c>
      <c r="AS553" s="15">
        <v>0.79700000000000004</v>
      </c>
      <c r="AT553" s="15">
        <v>0</v>
      </c>
      <c r="AU553" s="15">
        <v>0.214</v>
      </c>
      <c r="AV553" s="15">
        <v>0.70699999999999996</v>
      </c>
      <c r="AW553" s="15">
        <v>142.87</v>
      </c>
      <c r="AX553" s="15">
        <v>4</v>
      </c>
      <c r="AY553" s="16" t="s">
        <v>24</v>
      </c>
    </row>
    <row r="554" spans="32:51" x14ac:dyDescent="0.35">
      <c r="AF554" s="17" t="s">
        <v>1682</v>
      </c>
      <c r="AG554" s="18" t="s">
        <v>263</v>
      </c>
      <c r="AH554" s="18" t="s">
        <v>1683</v>
      </c>
      <c r="AI554" s="18" t="s">
        <v>1683</v>
      </c>
      <c r="AJ554" s="18">
        <v>49</v>
      </c>
      <c r="AK554" s="18">
        <v>218133</v>
      </c>
      <c r="AL554" s="18" t="b">
        <v>0</v>
      </c>
      <c r="AM554" s="18">
        <v>0.505</v>
      </c>
      <c r="AN554" s="18">
        <v>0.31</v>
      </c>
      <c r="AO554" s="18">
        <v>5</v>
      </c>
      <c r="AP554" s="18">
        <v>-10.423</v>
      </c>
      <c r="AQ554" s="18">
        <v>1</v>
      </c>
      <c r="AR554" s="18">
        <v>0.03</v>
      </c>
      <c r="AS554" s="18">
        <v>0.88500000000000001</v>
      </c>
      <c r="AT554" s="18">
        <v>3.5899999999999999E-3</v>
      </c>
      <c r="AU554" s="18">
        <v>9.9599999999999994E-2</v>
      </c>
      <c r="AV554" s="18">
        <v>0.34</v>
      </c>
      <c r="AW554" s="18">
        <v>82.590999999999994</v>
      </c>
      <c r="AX554" s="18">
        <v>4</v>
      </c>
      <c r="AY554" s="19" t="s">
        <v>24</v>
      </c>
    </row>
    <row r="555" spans="32:51" x14ac:dyDescent="0.35">
      <c r="AF555" s="14" t="s">
        <v>1684</v>
      </c>
      <c r="AG555" s="15" t="s">
        <v>184</v>
      </c>
      <c r="AH555" s="15" t="s">
        <v>507</v>
      </c>
      <c r="AI555" s="15" t="s">
        <v>1685</v>
      </c>
      <c r="AJ555" s="15">
        <v>50</v>
      </c>
      <c r="AK555" s="15">
        <v>181093</v>
      </c>
      <c r="AL555" s="15" t="b">
        <v>0</v>
      </c>
      <c r="AM555" s="15">
        <v>0.54700000000000004</v>
      </c>
      <c r="AN555" s="15">
        <v>0.59899999999999998</v>
      </c>
      <c r="AO555" s="15">
        <v>11</v>
      </c>
      <c r="AP555" s="15">
        <v>-8.1739999999999995</v>
      </c>
      <c r="AQ555" s="15">
        <v>0</v>
      </c>
      <c r="AR555" s="15">
        <v>3.0099999999999998E-2</v>
      </c>
      <c r="AS555" s="15">
        <v>3.96E-3</v>
      </c>
      <c r="AT555" s="15">
        <v>0.40899999999999997</v>
      </c>
      <c r="AU555" s="15">
        <v>8.4699999999999998E-2</v>
      </c>
      <c r="AV555" s="15">
        <v>5.7099999999999998E-2</v>
      </c>
      <c r="AW555" s="15">
        <v>120.054</v>
      </c>
      <c r="AX555" s="15">
        <v>4</v>
      </c>
      <c r="AY555" s="16" t="s">
        <v>24</v>
      </c>
    </row>
    <row r="556" spans="32:51" x14ac:dyDescent="0.35">
      <c r="AF556" s="17" t="s">
        <v>1686</v>
      </c>
      <c r="AG556" s="18" t="s">
        <v>1687</v>
      </c>
      <c r="AH556" s="18" t="s">
        <v>1687</v>
      </c>
      <c r="AI556" s="18" t="s">
        <v>1688</v>
      </c>
      <c r="AJ556" s="18">
        <v>55</v>
      </c>
      <c r="AK556" s="18">
        <v>212506</v>
      </c>
      <c r="AL556" s="18" t="b">
        <v>0</v>
      </c>
      <c r="AM556" s="18">
        <v>0.58899999999999997</v>
      </c>
      <c r="AN556" s="18">
        <v>0.89300000000000002</v>
      </c>
      <c r="AO556" s="18">
        <v>0</v>
      </c>
      <c r="AP556" s="18">
        <v>-2.948</v>
      </c>
      <c r="AQ556" s="18">
        <v>1</v>
      </c>
      <c r="AR556" s="18">
        <v>3.9699999999999999E-2</v>
      </c>
      <c r="AS556" s="18">
        <v>2.7300000000000001E-2</v>
      </c>
      <c r="AT556" s="18">
        <v>0</v>
      </c>
      <c r="AU556" s="18">
        <v>0.34300000000000003</v>
      </c>
      <c r="AV556" s="18">
        <v>0.94</v>
      </c>
      <c r="AW556" s="18">
        <v>92.010999999999996</v>
      </c>
      <c r="AX556" s="18">
        <v>4</v>
      </c>
      <c r="AY556" s="19" t="s">
        <v>24</v>
      </c>
    </row>
    <row r="557" spans="32:51" x14ac:dyDescent="0.35">
      <c r="AF557" s="14" t="s">
        <v>1689</v>
      </c>
      <c r="AG557" s="15" t="s">
        <v>1690</v>
      </c>
      <c r="AH557" s="15" t="s">
        <v>1691</v>
      </c>
      <c r="AI557" s="15" t="s">
        <v>1691</v>
      </c>
      <c r="AJ557" s="15">
        <v>49</v>
      </c>
      <c r="AK557" s="15">
        <v>172454</v>
      </c>
      <c r="AL557" s="15" t="b">
        <v>0</v>
      </c>
      <c r="AM557" s="15">
        <v>0.503</v>
      </c>
      <c r="AN557" s="15">
        <v>0.123</v>
      </c>
      <c r="AO557" s="15">
        <v>2</v>
      </c>
      <c r="AP557" s="15">
        <v>-14.311999999999999</v>
      </c>
      <c r="AQ557" s="15">
        <v>0</v>
      </c>
      <c r="AR557" s="15">
        <v>3.27E-2</v>
      </c>
      <c r="AS557" s="15">
        <v>0.86799999999999999</v>
      </c>
      <c r="AT557" s="31" t="s">
        <v>138</v>
      </c>
      <c r="AU557" s="15">
        <v>0.111</v>
      </c>
      <c r="AV557" s="15">
        <v>0.34300000000000003</v>
      </c>
      <c r="AW557" s="15">
        <v>183.571</v>
      </c>
      <c r="AX557" s="15">
        <v>4</v>
      </c>
      <c r="AY557" s="16" t="s">
        <v>24</v>
      </c>
    </row>
    <row r="558" spans="32:51" x14ac:dyDescent="0.35">
      <c r="AF558" s="17" t="s">
        <v>1692</v>
      </c>
      <c r="AG558" s="18" t="s">
        <v>26</v>
      </c>
      <c r="AH558" s="18" t="s">
        <v>1693</v>
      </c>
      <c r="AI558" s="18" t="s">
        <v>1693</v>
      </c>
      <c r="AJ558" s="18">
        <v>32</v>
      </c>
      <c r="AK558" s="18">
        <v>234046</v>
      </c>
      <c r="AL558" s="18" t="b">
        <v>0</v>
      </c>
      <c r="AM558" s="18">
        <v>0.61099999999999999</v>
      </c>
      <c r="AN558" s="18">
        <v>0.53400000000000003</v>
      </c>
      <c r="AO558" s="18">
        <v>7</v>
      </c>
      <c r="AP558" s="18">
        <v>-8.8989999999999991</v>
      </c>
      <c r="AQ558" s="18">
        <v>1</v>
      </c>
      <c r="AR558" s="18">
        <v>7.4399999999999994E-2</v>
      </c>
      <c r="AS558" s="18">
        <v>0.42299999999999999</v>
      </c>
      <c r="AT558" s="18">
        <v>0</v>
      </c>
      <c r="AU558" s="18">
        <v>0.14499999999999999</v>
      </c>
      <c r="AV558" s="18">
        <v>0.38</v>
      </c>
      <c r="AW558" s="18">
        <v>159.98500000000001</v>
      </c>
      <c r="AX558" s="18">
        <v>4</v>
      </c>
      <c r="AY558" s="19" t="s">
        <v>24</v>
      </c>
    </row>
    <row r="559" spans="32:51" x14ac:dyDescent="0.35">
      <c r="AF559" s="14" t="s">
        <v>1694</v>
      </c>
      <c r="AG559" s="15" t="s">
        <v>641</v>
      </c>
      <c r="AH559" s="15" t="s">
        <v>1695</v>
      </c>
      <c r="AI559" s="15" t="s">
        <v>1696</v>
      </c>
      <c r="AJ559" s="15">
        <v>53</v>
      </c>
      <c r="AK559" s="15">
        <v>330200</v>
      </c>
      <c r="AL559" s="15" t="b">
        <v>0</v>
      </c>
      <c r="AM559" s="15">
        <v>0.55000000000000004</v>
      </c>
      <c r="AN559" s="15">
        <v>0.40799999999999997</v>
      </c>
      <c r="AO559" s="15">
        <v>11</v>
      </c>
      <c r="AP559" s="15">
        <v>-8.4039999999999999</v>
      </c>
      <c r="AQ559" s="15">
        <v>0</v>
      </c>
      <c r="AR559" s="15">
        <v>3.1800000000000002E-2</v>
      </c>
      <c r="AS559" s="15">
        <v>0.71899999999999997</v>
      </c>
      <c r="AT559" s="15">
        <v>0</v>
      </c>
      <c r="AU559" s="15">
        <v>0.11</v>
      </c>
      <c r="AV559" s="15">
        <v>0.33100000000000002</v>
      </c>
      <c r="AW559" s="15">
        <v>129.15199999999999</v>
      </c>
      <c r="AX559" s="15">
        <v>4</v>
      </c>
      <c r="AY559" s="16" t="s">
        <v>24</v>
      </c>
    </row>
    <row r="560" spans="32:51" x14ac:dyDescent="0.35">
      <c r="AF560" s="17" t="s">
        <v>1697</v>
      </c>
      <c r="AG560" s="18" t="s">
        <v>517</v>
      </c>
      <c r="AH560" s="18" t="s">
        <v>1698</v>
      </c>
      <c r="AI560" s="18" t="s">
        <v>1698</v>
      </c>
      <c r="AJ560" s="18">
        <v>46</v>
      </c>
      <c r="AK560" s="18">
        <v>190981</v>
      </c>
      <c r="AL560" s="18" t="b">
        <v>0</v>
      </c>
      <c r="AM560" s="18">
        <v>0.65600000000000003</v>
      </c>
      <c r="AN560" s="18">
        <v>0.3</v>
      </c>
      <c r="AO560" s="18">
        <v>4</v>
      </c>
      <c r="AP560" s="18">
        <v>-9.9049999999999994</v>
      </c>
      <c r="AQ560" s="18">
        <v>1</v>
      </c>
      <c r="AR560" s="18">
        <v>3.49E-2</v>
      </c>
      <c r="AS560" s="18">
        <v>0.87</v>
      </c>
      <c r="AT560" s="18">
        <v>0</v>
      </c>
      <c r="AU560" s="18">
        <v>9.5600000000000004E-2</v>
      </c>
      <c r="AV560" s="18">
        <v>0.36899999999999999</v>
      </c>
      <c r="AW560" s="18">
        <v>120.006</v>
      </c>
      <c r="AX560" s="18">
        <v>4</v>
      </c>
      <c r="AY560" s="19" t="s">
        <v>24</v>
      </c>
    </row>
    <row r="561" spans="32:51" x14ac:dyDescent="0.35">
      <c r="AF561" s="14" t="s">
        <v>1699</v>
      </c>
      <c r="AG561" s="15" t="s">
        <v>278</v>
      </c>
      <c r="AH561" s="15" t="s">
        <v>1458</v>
      </c>
      <c r="AI561" s="15" t="s">
        <v>1700</v>
      </c>
      <c r="AJ561" s="15">
        <v>23</v>
      </c>
      <c r="AK561" s="15">
        <v>240449</v>
      </c>
      <c r="AL561" s="15" t="b">
        <v>0</v>
      </c>
      <c r="AM561" s="15">
        <v>0.52400000000000002</v>
      </c>
      <c r="AN561" s="15">
        <v>0.56599999999999995</v>
      </c>
      <c r="AO561" s="15">
        <v>1</v>
      </c>
      <c r="AP561" s="15">
        <v>-5.4429999999999996</v>
      </c>
      <c r="AQ561" s="15">
        <v>1</v>
      </c>
      <c r="AR561" s="15">
        <v>3.6400000000000002E-2</v>
      </c>
      <c r="AS561" s="15">
        <v>4.1099999999999998E-2</v>
      </c>
      <c r="AT561" s="15">
        <v>0</v>
      </c>
      <c r="AU561" s="15">
        <v>0.25</v>
      </c>
      <c r="AV561" s="15">
        <v>0.36199999999999999</v>
      </c>
      <c r="AW561" s="15">
        <v>159.91399999999999</v>
      </c>
      <c r="AX561" s="15">
        <v>4</v>
      </c>
      <c r="AY561" s="16" t="s">
        <v>24</v>
      </c>
    </row>
    <row r="562" spans="32:51" x14ac:dyDescent="0.35">
      <c r="AF562" s="17" t="s">
        <v>1701</v>
      </c>
      <c r="AG562" s="18" t="s">
        <v>1702</v>
      </c>
      <c r="AH562" s="18" t="s">
        <v>1703</v>
      </c>
      <c r="AI562" s="18" t="s">
        <v>1703</v>
      </c>
      <c r="AJ562" s="18">
        <v>41</v>
      </c>
      <c r="AK562" s="18">
        <v>89268</v>
      </c>
      <c r="AL562" s="18" t="b">
        <v>0</v>
      </c>
      <c r="AM562" s="18">
        <v>0.34</v>
      </c>
      <c r="AN562" s="18">
        <v>0.309</v>
      </c>
      <c r="AO562" s="18">
        <v>11</v>
      </c>
      <c r="AP562" s="18">
        <v>-12.98</v>
      </c>
      <c r="AQ562" s="18">
        <v>0</v>
      </c>
      <c r="AR562" s="18">
        <v>0.05</v>
      </c>
      <c r="AS562" s="18">
        <v>0.85499999999999998</v>
      </c>
      <c r="AT562" s="18">
        <v>0.90300000000000002</v>
      </c>
      <c r="AU562" s="18">
        <v>0.16800000000000001</v>
      </c>
      <c r="AV562" s="18">
        <v>0.153</v>
      </c>
      <c r="AW562" s="18">
        <v>176.899</v>
      </c>
      <c r="AX562" s="18">
        <v>3</v>
      </c>
      <c r="AY562" s="19" t="s">
        <v>24</v>
      </c>
    </row>
    <row r="563" spans="32:51" x14ac:dyDescent="0.35">
      <c r="AF563" s="14" t="s">
        <v>1704</v>
      </c>
      <c r="AG563" s="15" t="s">
        <v>948</v>
      </c>
      <c r="AH563" s="15" t="s">
        <v>949</v>
      </c>
      <c r="AI563" s="15" t="s">
        <v>1705</v>
      </c>
      <c r="AJ563" s="15">
        <v>49</v>
      </c>
      <c r="AK563" s="15">
        <v>213453</v>
      </c>
      <c r="AL563" s="15" t="b">
        <v>0</v>
      </c>
      <c r="AM563" s="15">
        <v>0.59799999999999998</v>
      </c>
      <c r="AN563" s="15">
        <v>0.29099999999999998</v>
      </c>
      <c r="AO563" s="15">
        <v>2</v>
      </c>
      <c r="AP563" s="15">
        <v>-8.6270000000000007</v>
      </c>
      <c r="AQ563" s="15">
        <v>1</v>
      </c>
      <c r="AR563" s="15">
        <v>3.2800000000000003E-2</v>
      </c>
      <c r="AS563" s="15">
        <v>0.46600000000000003</v>
      </c>
      <c r="AT563" s="31" t="s">
        <v>1706</v>
      </c>
      <c r="AU563" s="15">
        <v>0.12</v>
      </c>
      <c r="AV563" s="15">
        <v>0.38</v>
      </c>
      <c r="AW563" s="15">
        <v>123.97799999999999</v>
      </c>
      <c r="AX563" s="15">
        <v>4</v>
      </c>
      <c r="AY563" s="16" t="s">
        <v>24</v>
      </c>
    </row>
    <row r="564" spans="32:51" x14ac:dyDescent="0.35">
      <c r="AF564" s="17" t="s">
        <v>1707</v>
      </c>
      <c r="AG564" s="18" t="s">
        <v>1708</v>
      </c>
      <c r="AH564" s="18" t="s">
        <v>1709</v>
      </c>
      <c r="AI564" s="18" t="s">
        <v>1710</v>
      </c>
      <c r="AJ564" s="18">
        <v>59</v>
      </c>
      <c r="AK564" s="18">
        <v>235106</v>
      </c>
      <c r="AL564" s="18" t="b">
        <v>0</v>
      </c>
      <c r="AM564" s="18">
        <v>0.51400000000000001</v>
      </c>
      <c r="AN564" s="18">
        <v>0.31900000000000001</v>
      </c>
      <c r="AO564" s="18">
        <v>3</v>
      </c>
      <c r="AP564" s="18">
        <v>-8.9779999999999998</v>
      </c>
      <c r="AQ564" s="18">
        <v>1</v>
      </c>
      <c r="AR564" s="18">
        <v>9.4100000000000003E-2</v>
      </c>
      <c r="AS564" s="18">
        <v>0.80500000000000005</v>
      </c>
      <c r="AT564" s="18">
        <v>0</v>
      </c>
      <c r="AU564" s="18">
        <v>0.21099999999999999</v>
      </c>
      <c r="AV564" s="18">
        <v>0.67700000000000005</v>
      </c>
      <c r="AW564" s="18">
        <v>203.65100000000001</v>
      </c>
      <c r="AX564" s="18">
        <v>4</v>
      </c>
      <c r="AY564" s="19" t="s">
        <v>24</v>
      </c>
    </row>
    <row r="565" spans="32:51" x14ac:dyDescent="0.35">
      <c r="AF565" s="14" t="s">
        <v>1711</v>
      </c>
      <c r="AG565" s="15" t="s">
        <v>517</v>
      </c>
      <c r="AH565" s="15" t="s">
        <v>1712</v>
      </c>
      <c r="AI565" s="15" t="s">
        <v>1712</v>
      </c>
      <c r="AJ565" s="15">
        <v>43</v>
      </c>
      <c r="AK565" s="15">
        <v>219976</v>
      </c>
      <c r="AL565" s="15" t="b">
        <v>0</v>
      </c>
      <c r="AM565" s="15">
        <v>0.44800000000000001</v>
      </c>
      <c r="AN565" s="15">
        <v>0.25600000000000001</v>
      </c>
      <c r="AO565" s="15">
        <v>5</v>
      </c>
      <c r="AP565" s="15">
        <v>-10.17</v>
      </c>
      <c r="AQ565" s="15">
        <v>1</v>
      </c>
      <c r="AR565" s="15">
        <v>4.8300000000000003E-2</v>
      </c>
      <c r="AS565" s="15">
        <v>0.875</v>
      </c>
      <c r="AT565" s="15">
        <v>0</v>
      </c>
      <c r="AU565" s="15">
        <v>0.113</v>
      </c>
      <c r="AV565" s="15">
        <v>0.17399999999999999</v>
      </c>
      <c r="AW565" s="15">
        <v>77.272000000000006</v>
      </c>
      <c r="AX565" s="15">
        <v>4</v>
      </c>
      <c r="AY565" s="16" t="s">
        <v>24</v>
      </c>
    </row>
    <row r="566" spans="32:51" x14ac:dyDescent="0.35">
      <c r="AF566" s="17" t="s">
        <v>1713</v>
      </c>
      <c r="AG566" s="18" t="s">
        <v>991</v>
      </c>
      <c r="AH566" s="18" t="s">
        <v>1714</v>
      </c>
      <c r="AI566" s="18" t="s">
        <v>1714</v>
      </c>
      <c r="AJ566" s="18">
        <v>31</v>
      </c>
      <c r="AK566" s="18">
        <v>259493</v>
      </c>
      <c r="AL566" s="18" t="b">
        <v>0</v>
      </c>
      <c r="AM566" s="18">
        <v>0.441</v>
      </c>
      <c r="AN566" s="18">
        <v>0.42299999999999999</v>
      </c>
      <c r="AO566" s="18">
        <v>0</v>
      </c>
      <c r="AP566" s="18">
        <v>-7.5720000000000001</v>
      </c>
      <c r="AQ566" s="18">
        <v>1</v>
      </c>
      <c r="AR566" s="18">
        <v>2.8199999999999999E-2</v>
      </c>
      <c r="AS566" s="18">
        <v>0.83899999999999997</v>
      </c>
      <c r="AT566" s="18">
        <v>3.59E-4</v>
      </c>
      <c r="AU566" s="18">
        <v>0.122</v>
      </c>
      <c r="AV566" s="18">
        <v>0.153</v>
      </c>
      <c r="AW566" s="18">
        <v>88.864999999999995</v>
      </c>
      <c r="AX566" s="18">
        <v>4</v>
      </c>
      <c r="AY566" s="19" t="s">
        <v>24</v>
      </c>
    </row>
    <row r="567" spans="32:51" x14ac:dyDescent="0.35">
      <c r="AF567" s="14" t="s">
        <v>1715</v>
      </c>
      <c r="AG567" s="15" t="s">
        <v>339</v>
      </c>
      <c r="AH567" s="15" t="s">
        <v>92</v>
      </c>
      <c r="AI567" s="15" t="s">
        <v>1716</v>
      </c>
      <c r="AJ567" s="15">
        <v>46</v>
      </c>
      <c r="AK567" s="15">
        <v>222052</v>
      </c>
      <c r="AL567" s="15" t="b">
        <v>0</v>
      </c>
      <c r="AM567" s="15">
        <v>0.63600000000000001</v>
      </c>
      <c r="AN567" s="15">
        <v>0.16900000000000001</v>
      </c>
      <c r="AO567" s="15">
        <v>11</v>
      </c>
      <c r="AP567" s="15">
        <v>-11.191000000000001</v>
      </c>
      <c r="AQ567" s="15">
        <v>1</v>
      </c>
      <c r="AR567" s="15">
        <v>3.5000000000000003E-2</v>
      </c>
      <c r="AS567" s="15">
        <v>0.88700000000000001</v>
      </c>
      <c r="AT567" s="15">
        <v>0</v>
      </c>
      <c r="AU567" s="15">
        <v>0.124</v>
      </c>
      <c r="AV567" s="15">
        <v>0.46700000000000003</v>
      </c>
      <c r="AW567" s="15">
        <v>138.23599999999999</v>
      </c>
      <c r="AX567" s="15">
        <v>4</v>
      </c>
      <c r="AY567" s="16" t="s">
        <v>24</v>
      </c>
    </row>
    <row r="568" spans="32:51" x14ac:dyDescent="0.35">
      <c r="AF568" s="17" t="s">
        <v>1717</v>
      </c>
      <c r="AG568" s="18" t="s">
        <v>215</v>
      </c>
      <c r="AH568" s="18" t="s">
        <v>216</v>
      </c>
      <c r="AI568" s="18" t="s">
        <v>1718</v>
      </c>
      <c r="AJ568" s="18">
        <v>50</v>
      </c>
      <c r="AK568" s="18">
        <v>148573</v>
      </c>
      <c r="AL568" s="18" t="b">
        <v>0</v>
      </c>
      <c r="AM568" s="18">
        <v>0.44500000000000001</v>
      </c>
      <c r="AN568" s="18">
        <v>0.28899999999999998</v>
      </c>
      <c r="AO568" s="18">
        <v>11</v>
      </c>
      <c r="AP568" s="18">
        <v>-19.113</v>
      </c>
      <c r="AQ568" s="18">
        <v>0</v>
      </c>
      <c r="AR568" s="18">
        <v>3.2899999999999999E-2</v>
      </c>
      <c r="AS568" s="18">
        <v>0.437</v>
      </c>
      <c r="AT568" s="18">
        <v>6.4099999999999999E-3</v>
      </c>
      <c r="AU568" s="18">
        <v>9.8799999999999999E-2</v>
      </c>
      <c r="AV568" s="18">
        <v>0.17199999999999999</v>
      </c>
      <c r="AW568" s="18">
        <v>104.006</v>
      </c>
      <c r="AX568" s="18">
        <v>4</v>
      </c>
      <c r="AY568" s="19" t="s">
        <v>24</v>
      </c>
    </row>
    <row r="569" spans="32:51" x14ac:dyDescent="0.35">
      <c r="AF569" s="14" t="s">
        <v>1719</v>
      </c>
      <c r="AG569" s="15" t="s">
        <v>1720</v>
      </c>
      <c r="AH569" s="15" t="s">
        <v>900</v>
      </c>
      <c r="AI569" s="15" t="s">
        <v>1721</v>
      </c>
      <c r="AJ569" s="15">
        <v>41</v>
      </c>
      <c r="AK569" s="15">
        <v>244900</v>
      </c>
      <c r="AL569" s="15" t="b">
        <v>0</v>
      </c>
      <c r="AM569" s="15">
        <v>0.435</v>
      </c>
      <c r="AN569" s="15">
        <v>0.20799999999999999</v>
      </c>
      <c r="AO569" s="15">
        <v>1</v>
      </c>
      <c r="AP569" s="15">
        <v>-15.75</v>
      </c>
      <c r="AQ569" s="15">
        <v>0</v>
      </c>
      <c r="AR569" s="15">
        <v>5.5800000000000002E-2</v>
      </c>
      <c r="AS569" s="15">
        <v>0.64700000000000002</v>
      </c>
      <c r="AT569" s="15">
        <v>9.2100000000000005E-4</v>
      </c>
      <c r="AU569" s="15">
        <v>0.14699999999999999</v>
      </c>
      <c r="AV569" s="15">
        <v>0.189</v>
      </c>
      <c r="AW569" s="15">
        <v>69.027000000000001</v>
      </c>
      <c r="AX569" s="15">
        <v>4</v>
      </c>
      <c r="AY569" s="16" t="s">
        <v>24</v>
      </c>
    </row>
    <row r="570" spans="32:51" x14ac:dyDescent="0.35">
      <c r="AF570" s="17" t="s">
        <v>1722</v>
      </c>
      <c r="AG570" s="18" t="s">
        <v>1723</v>
      </c>
      <c r="AH570" s="18" t="s">
        <v>1020</v>
      </c>
      <c r="AI570" s="18" t="s">
        <v>1724</v>
      </c>
      <c r="AJ570" s="18">
        <v>48</v>
      </c>
      <c r="AK570" s="18">
        <v>232500</v>
      </c>
      <c r="AL570" s="18" t="b">
        <v>0</v>
      </c>
      <c r="AM570" s="18">
        <v>0.65600000000000003</v>
      </c>
      <c r="AN570" s="18">
        <v>0.34899999999999998</v>
      </c>
      <c r="AO570" s="18">
        <v>0</v>
      </c>
      <c r="AP570" s="18">
        <v>-6.8410000000000002</v>
      </c>
      <c r="AQ570" s="18">
        <v>1</v>
      </c>
      <c r="AR570" s="18">
        <v>2.8899999999999999E-2</v>
      </c>
      <c r="AS570" s="18">
        <v>0.78400000000000003</v>
      </c>
      <c r="AT570" s="18">
        <v>0</v>
      </c>
      <c r="AU570" s="18">
        <v>0.13800000000000001</v>
      </c>
      <c r="AV570" s="18">
        <v>0.28899999999999998</v>
      </c>
      <c r="AW570" s="18">
        <v>118.026</v>
      </c>
      <c r="AX570" s="18">
        <v>4</v>
      </c>
      <c r="AY570" s="19" t="s">
        <v>24</v>
      </c>
    </row>
    <row r="571" spans="32:51" x14ac:dyDescent="0.35">
      <c r="AF571" s="14" t="s">
        <v>1725</v>
      </c>
      <c r="AG571" s="15" t="s">
        <v>83</v>
      </c>
      <c r="AH571" s="15" t="s">
        <v>1726</v>
      </c>
      <c r="AI571" s="15" t="s">
        <v>1726</v>
      </c>
      <c r="AJ571" s="15">
        <v>36</v>
      </c>
      <c r="AK571" s="15">
        <v>195535</v>
      </c>
      <c r="AL571" s="15" t="b">
        <v>0</v>
      </c>
      <c r="AM571" s="15">
        <v>0.60899999999999999</v>
      </c>
      <c r="AN571" s="15">
        <v>8.6599999999999996E-2</v>
      </c>
      <c r="AO571" s="15">
        <v>4</v>
      </c>
      <c r="AP571" s="15">
        <v>-19.163</v>
      </c>
      <c r="AQ571" s="15">
        <v>1</v>
      </c>
      <c r="AR571" s="15">
        <v>4.1200000000000001E-2</v>
      </c>
      <c r="AS571" s="15">
        <v>0.91200000000000003</v>
      </c>
      <c r="AT571" s="15">
        <v>0</v>
      </c>
      <c r="AU571" s="15">
        <v>0.113</v>
      </c>
      <c r="AV571" s="15">
        <v>0.41099999999999998</v>
      </c>
      <c r="AW571" s="15">
        <v>167.892</v>
      </c>
      <c r="AX571" s="15">
        <v>3</v>
      </c>
      <c r="AY571" s="16" t="s">
        <v>24</v>
      </c>
    </row>
    <row r="572" spans="32:51" x14ac:dyDescent="0.35">
      <c r="AF572" s="17" t="s">
        <v>1727</v>
      </c>
      <c r="AG572" s="18" t="s">
        <v>1708</v>
      </c>
      <c r="AH572" s="18" t="s">
        <v>1728</v>
      </c>
      <c r="AI572" s="18" t="s">
        <v>1729</v>
      </c>
      <c r="AJ572" s="18">
        <v>44</v>
      </c>
      <c r="AK572" s="18">
        <v>255893</v>
      </c>
      <c r="AL572" s="18" t="b">
        <v>0</v>
      </c>
      <c r="AM572" s="18">
        <v>0.44800000000000001</v>
      </c>
      <c r="AN572" s="18">
        <v>0.88500000000000001</v>
      </c>
      <c r="AO572" s="18">
        <v>9</v>
      </c>
      <c r="AP572" s="18">
        <v>-3.7549999999999999</v>
      </c>
      <c r="AQ572" s="18">
        <v>1</v>
      </c>
      <c r="AR572" s="18">
        <v>5.62E-2</v>
      </c>
      <c r="AS572" s="18">
        <v>0.111</v>
      </c>
      <c r="AT572" s="32" t="s">
        <v>1730</v>
      </c>
      <c r="AU572" s="18">
        <v>4.7600000000000003E-2</v>
      </c>
      <c r="AV572" s="18">
        <v>0.13400000000000001</v>
      </c>
      <c r="AW572" s="18">
        <v>178.15100000000001</v>
      </c>
      <c r="AX572" s="18">
        <v>4</v>
      </c>
      <c r="AY572" s="19" t="s">
        <v>24</v>
      </c>
    </row>
    <row r="573" spans="32:51" x14ac:dyDescent="0.35">
      <c r="AF573" s="14" t="s">
        <v>1731</v>
      </c>
      <c r="AG573" s="15" t="s">
        <v>1319</v>
      </c>
      <c r="AH573" s="15" t="s">
        <v>1732</v>
      </c>
      <c r="AI573" s="15" t="s">
        <v>1733</v>
      </c>
      <c r="AJ573" s="15">
        <v>56</v>
      </c>
      <c r="AK573" s="15">
        <v>149013</v>
      </c>
      <c r="AL573" s="15" t="b">
        <v>0</v>
      </c>
      <c r="AM573" s="15">
        <v>0.54500000000000004</v>
      </c>
      <c r="AN573" s="15">
        <v>0.255</v>
      </c>
      <c r="AO573" s="15">
        <v>8</v>
      </c>
      <c r="AP573" s="15">
        <v>-14.843999999999999</v>
      </c>
      <c r="AQ573" s="15">
        <v>1</v>
      </c>
      <c r="AR573" s="15">
        <v>3.1099999999999999E-2</v>
      </c>
      <c r="AS573" s="15">
        <v>0.36199999999999999</v>
      </c>
      <c r="AT573" s="31" t="s">
        <v>1734</v>
      </c>
      <c r="AU573" s="15">
        <v>8.4099999999999994E-2</v>
      </c>
      <c r="AV573" s="15">
        <v>0.83099999999999996</v>
      </c>
      <c r="AW573" s="15">
        <v>98.087999999999994</v>
      </c>
      <c r="AX573" s="15">
        <v>4</v>
      </c>
      <c r="AY573" s="16" t="s">
        <v>24</v>
      </c>
    </row>
    <row r="574" spans="32:51" x14ac:dyDescent="0.35">
      <c r="AF574" s="17" t="s">
        <v>1735</v>
      </c>
      <c r="AG574" s="18" t="s">
        <v>1736</v>
      </c>
      <c r="AH574" s="18" t="s">
        <v>1737</v>
      </c>
      <c r="AI574" s="18" t="s">
        <v>1738</v>
      </c>
      <c r="AJ574" s="18">
        <v>29</v>
      </c>
      <c r="AK574" s="18">
        <v>207933</v>
      </c>
      <c r="AL574" s="18" t="b">
        <v>0</v>
      </c>
      <c r="AM574" s="18">
        <v>0.626</v>
      </c>
      <c r="AN574" s="18">
        <v>0.68200000000000005</v>
      </c>
      <c r="AO574" s="18">
        <v>6</v>
      </c>
      <c r="AP574" s="18">
        <v>-5.6559999999999997</v>
      </c>
      <c r="AQ574" s="18">
        <v>1</v>
      </c>
      <c r="AR574" s="18">
        <v>3.9699999999999999E-2</v>
      </c>
      <c r="AS574" s="18">
        <v>0.27700000000000002</v>
      </c>
      <c r="AT574" s="18">
        <v>3.2499999999999999E-4</v>
      </c>
      <c r="AU574" s="18">
        <v>9.8500000000000004E-2</v>
      </c>
      <c r="AV574" s="18">
        <v>0.63600000000000001</v>
      </c>
      <c r="AW574" s="18">
        <v>75.02</v>
      </c>
      <c r="AX574" s="18">
        <v>4</v>
      </c>
      <c r="AY574" s="19" t="s">
        <v>24</v>
      </c>
    </row>
    <row r="575" spans="32:51" x14ac:dyDescent="0.35">
      <c r="AF575" s="14" t="s">
        <v>1739</v>
      </c>
      <c r="AG575" s="15" t="s">
        <v>408</v>
      </c>
      <c r="AH575" s="15" t="s">
        <v>1740</v>
      </c>
      <c r="AI575" s="15" t="s">
        <v>1740</v>
      </c>
      <c r="AJ575" s="15">
        <v>52</v>
      </c>
      <c r="AK575" s="15">
        <v>238733</v>
      </c>
      <c r="AL575" s="15" t="b">
        <v>0</v>
      </c>
      <c r="AM575" s="15">
        <v>0.57199999999999995</v>
      </c>
      <c r="AN575" s="15">
        <v>0.317</v>
      </c>
      <c r="AO575" s="15">
        <v>0</v>
      </c>
      <c r="AP575" s="15">
        <v>-9.1080000000000005</v>
      </c>
      <c r="AQ575" s="15">
        <v>1</v>
      </c>
      <c r="AR575" s="15">
        <v>2.41E-2</v>
      </c>
      <c r="AS575" s="15">
        <v>0.70499999999999996</v>
      </c>
      <c r="AT575" s="15">
        <v>3.8500000000000001E-3</v>
      </c>
      <c r="AU575" s="15">
        <v>0.52800000000000002</v>
      </c>
      <c r="AV575" s="15">
        <v>0.38</v>
      </c>
      <c r="AW575" s="15">
        <v>78.009</v>
      </c>
      <c r="AX575" s="15">
        <v>4</v>
      </c>
      <c r="AY575" s="16" t="s">
        <v>24</v>
      </c>
    </row>
    <row r="576" spans="32:51" x14ac:dyDescent="0.35">
      <c r="AF576" s="17" t="s">
        <v>1741</v>
      </c>
      <c r="AG576" s="18" t="s">
        <v>991</v>
      </c>
      <c r="AH576" s="18" t="s">
        <v>1742</v>
      </c>
      <c r="AI576" s="18" t="s">
        <v>1742</v>
      </c>
      <c r="AJ576" s="18">
        <v>31</v>
      </c>
      <c r="AK576" s="18">
        <v>236853</v>
      </c>
      <c r="AL576" s="18" t="b">
        <v>0</v>
      </c>
      <c r="AM576" s="18">
        <v>0.36799999999999999</v>
      </c>
      <c r="AN576" s="18">
        <v>0.871</v>
      </c>
      <c r="AO576" s="18">
        <v>9</v>
      </c>
      <c r="AP576" s="18">
        <v>-3.032</v>
      </c>
      <c r="AQ576" s="18">
        <v>0</v>
      </c>
      <c r="AR576" s="18">
        <v>6.6100000000000006E-2</v>
      </c>
      <c r="AS576" s="18">
        <v>3.56E-2</v>
      </c>
      <c r="AT576" s="18">
        <v>0</v>
      </c>
      <c r="AU576" s="18">
        <v>0.14899999999999999</v>
      </c>
      <c r="AV576" s="18">
        <v>0.63600000000000001</v>
      </c>
      <c r="AW576" s="18">
        <v>107.721</v>
      </c>
      <c r="AX576" s="18">
        <v>4</v>
      </c>
      <c r="AY576" s="19" t="s">
        <v>24</v>
      </c>
    </row>
    <row r="577" spans="32:51" x14ac:dyDescent="0.35">
      <c r="AF577" s="14" t="s">
        <v>1743</v>
      </c>
      <c r="AG577" s="15" t="s">
        <v>225</v>
      </c>
      <c r="AH577" s="15" t="s">
        <v>226</v>
      </c>
      <c r="AI577" s="15" t="s">
        <v>1744</v>
      </c>
      <c r="AJ577" s="15">
        <v>47</v>
      </c>
      <c r="AK577" s="15">
        <v>182744</v>
      </c>
      <c r="AL577" s="15" t="b">
        <v>0</v>
      </c>
      <c r="AM577" s="15">
        <v>0.51</v>
      </c>
      <c r="AN577" s="15">
        <v>0.32</v>
      </c>
      <c r="AO577" s="15">
        <v>1</v>
      </c>
      <c r="AP577" s="15">
        <v>-10.371</v>
      </c>
      <c r="AQ577" s="15">
        <v>1</v>
      </c>
      <c r="AR577" s="15">
        <v>3.9199999999999999E-2</v>
      </c>
      <c r="AS577" s="15">
        <v>0.82299999999999995</v>
      </c>
      <c r="AT577" s="15">
        <v>1.93E-4</v>
      </c>
      <c r="AU577" s="15">
        <v>0.124</v>
      </c>
      <c r="AV577" s="15">
        <v>0.42499999999999999</v>
      </c>
      <c r="AW577" s="15">
        <v>92.385000000000005</v>
      </c>
      <c r="AX577" s="15">
        <v>4</v>
      </c>
      <c r="AY577" s="16" t="s">
        <v>24</v>
      </c>
    </row>
    <row r="578" spans="32:51" x14ac:dyDescent="0.35">
      <c r="AF578" s="17" t="s">
        <v>1745</v>
      </c>
      <c r="AG578" s="18" t="s">
        <v>712</v>
      </c>
      <c r="AH578" s="18" t="s">
        <v>1746</v>
      </c>
      <c r="AI578" s="18" t="s">
        <v>1747</v>
      </c>
      <c r="AJ578" s="18">
        <v>56</v>
      </c>
      <c r="AK578" s="18">
        <v>307534</v>
      </c>
      <c r="AL578" s="18" t="b">
        <v>0</v>
      </c>
      <c r="AM578" s="18">
        <v>0.55000000000000004</v>
      </c>
      <c r="AN578" s="18">
        <v>0.33400000000000002</v>
      </c>
      <c r="AO578" s="18">
        <v>10</v>
      </c>
      <c r="AP578" s="18">
        <v>-10.73</v>
      </c>
      <c r="AQ578" s="18">
        <v>1</v>
      </c>
      <c r="AR578" s="18">
        <v>2.8799999999999999E-2</v>
      </c>
      <c r="AS578" s="18">
        <v>0.51700000000000002</v>
      </c>
      <c r="AT578" s="18">
        <v>1.6899999999999999E-4</v>
      </c>
      <c r="AU578" s="18">
        <v>0.10100000000000001</v>
      </c>
      <c r="AV578" s="18">
        <v>0.14299999999999999</v>
      </c>
      <c r="AW578" s="18">
        <v>72.234999999999999</v>
      </c>
      <c r="AX578" s="18">
        <v>4</v>
      </c>
      <c r="AY578" s="19" t="s">
        <v>24</v>
      </c>
    </row>
    <row r="579" spans="32:51" x14ac:dyDescent="0.35">
      <c r="AF579" s="14" t="s">
        <v>1748</v>
      </c>
      <c r="AG579" s="15" t="s">
        <v>1749</v>
      </c>
      <c r="AH579" s="15" t="s">
        <v>1750</v>
      </c>
      <c r="AI579" s="15" t="s">
        <v>1751</v>
      </c>
      <c r="AJ579" s="15">
        <v>37</v>
      </c>
      <c r="AK579" s="15">
        <v>81000</v>
      </c>
      <c r="AL579" s="15" t="b">
        <v>0</v>
      </c>
      <c r="AM579" s="15">
        <v>0.48699999999999999</v>
      </c>
      <c r="AN579" s="15">
        <v>0.16200000000000001</v>
      </c>
      <c r="AO579" s="15">
        <v>11</v>
      </c>
      <c r="AP579" s="15">
        <v>-11.238</v>
      </c>
      <c r="AQ579" s="15">
        <v>0</v>
      </c>
      <c r="AR579" s="15">
        <v>0.106</v>
      </c>
      <c r="AS579" s="15">
        <v>0.93300000000000005</v>
      </c>
      <c r="AT579" s="15">
        <v>0.82899999999999996</v>
      </c>
      <c r="AU579" s="15">
        <v>0.11700000000000001</v>
      </c>
      <c r="AV579" s="15">
        <v>0.49</v>
      </c>
      <c r="AW579" s="15">
        <v>82.33</v>
      </c>
      <c r="AX579" s="15">
        <v>4</v>
      </c>
      <c r="AY579" s="16" t="s">
        <v>24</v>
      </c>
    </row>
    <row r="580" spans="32:51" x14ac:dyDescent="0.35">
      <c r="AF580" s="17" t="s">
        <v>1752</v>
      </c>
      <c r="AG580" s="18" t="s">
        <v>278</v>
      </c>
      <c r="AH580" s="18" t="s">
        <v>1458</v>
      </c>
      <c r="AI580" s="18" t="s">
        <v>1753</v>
      </c>
      <c r="AJ580" s="18">
        <v>24</v>
      </c>
      <c r="AK580" s="18">
        <v>145720</v>
      </c>
      <c r="AL580" s="18" t="b">
        <v>0</v>
      </c>
      <c r="AM580" s="18">
        <v>0.309</v>
      </c>
      <c r="AN580" s="18">
        <v>0.34899999999999998</v>
      </c>
      <c r="AO580" s="18">
        <v>2</v>
      </c>
      <c r="AP580" s="18">
        <v>-8.4019999999999992</v>
      </c>
      <c r="AQ580" s="18">
        <v>1</v>
      </c>
      <c r="AR580" s="18">
        <v>3.2199999999999999E-2</v>
      </c>
      <c r="AS580" s="18">
        <v>0.82799999999999996</v>
      </c>
      <c r="AT580" s="32" t="s">
        <v>1754</v>
      </c>
      <c r="AU580" s="18">
        <v>9.0700000000000003E-2</v>
      </c>
      <c r="AV580" s="18">
        <v>0.192</v>
      </c>
      <c r="AW580" s="18">
        <v>180.07499999999999</v>
      </c>
      <c r="AX580" s="18">
        <v>4</v>
      </c>
      <c r="AY580" s="19" t="s">
        <v>24</v>
      </c>
    </row>
    <row r="581" spans="32:51" x14ac:dyDescent="0.35">
      <c r="AF581" s="14" t="s">
        <v>1755</v>
      </c>
      <c r="AG581" s="15" t="s">
        <v>278</v>
      </c>
      <c r="AH581" s="15" t="s">
        <v>1458</v>
      </c>
      <c r="AI581" s="15" t="s">
        <v>1756</v>
      </c>
      <c r="AJ581" s="15">
        <v>23</v>
      </c>
      <c r="AK581" s="15">
        <v>208400</v>
      </c>
      <c r="AL581" s="15" t="b">
        <v>0</v>
      </c>
      <c r="AM581" s="15">
        <v>0.38</v>
      </c>
      <c r="AN581" s="15">
        <v>0.46800000000000003</v>
      </c>
      <c r="AO581" s="15">
        <v>1</v>
      </c>
      <c r="AP581" s="15">
        <v>-4.2450000000000001</v>
      </c>
      <c r="AQ581" s="15">
        <v>1</v>
      </c>
      <c r="AR581" s="15">
        <v>3.1800000000000002E-2</v>
      </c>
      <c r="AS581" s="15">
        <v>0.24299999999999999</v>
      </c>
      <c r="AT581" s="15">
        <v>0</v>
      </c>
      <c r="AU581" s="15">
        <v>9.7299999999999998E-2</v>
      </c>
      <c r="AV581" s="15">
        <v>0.30299999999999999</v>
      </c>
      <c r="AW581" s="15">
        <v>143.50399999999999</v>
      </c>
      <c r="AX581" s="15">
        <v>4</v>
      </c>
      <c r="AY581" s="16" t="s">
        <v>24</v>
      </c>
    </row>
    <row r="582" spans="32:51" x14ac:dyDescent="0.35">
      <c r="AF582" s="17" t="s">
        <v>1757</v>
      </c>
      <c r="AG582" s="18" t="s">
        <v>1489</v>
      </c>
      <c r="AH582" s="18" t="s">
        <v>1490</v>
      </c>
      <c r="AI582" s="18" t="b">
        <v>1</v>
      </c>
      <c r="AJ582" s="18">
        <v>28</v>
      </c>
      <c r="AK582" s="18">
        <v>287760</v>
      </c>
      <c r="AL582" s="18" t="b">
        <v>0</v>
      </c>
      <c r="AM582" s="18">
        <v>0.71599999999999997</v>
      </c>
      <c r="AN582" s="18">
        <v>0.52500000000000002</v>
      </c>
      <c r="AO582" s="18">
        <v>3</v>
      </c>
      <c r="AP582" s="18">
        <v>-8.7330000000000005</v>
      </c>
      <c r="AQ582" s="18">
        <v>1</v>
      </c>
      <c r="AR582" s="18">
        <v>2.7E-2</v>
      </c>
      <c r="AS582" s="18">
        <v>0.64700000000000002</v>
      </c>
      <c r="AT582" s="18">
        <v>8.6800000000000002E-3</v>
      </c>
      <c r="AU582" s="18">
        <v>8.9300000000000004E-2</v>
      </c>
      <c r="AV582" s="18">
        <v>0.42299999999999999</v>
      </c>
      <c r="AW582" s="18">
        <v>96.992999999999995</v>
      </c>
      <c r="AX582" s="18">
        <v>4</v>
      </c>
      <c r="AY582" s="19" t="s">
        <v>24</v>
      </c>
    </row>
    <row r="583" spans="32:51" x14ac:dyDescent="0.35">
      <c r="AF583" s="14" t="s">
        <v>1758</v>
      </c>
      <c r="AG583" s="15" t="s">
        <v>498</v>
      </c>
      <c r="AH583" s="15" t="s">
        <v>1759</v>
      </c>
      <c r="AI583" s="15" t="s">
        <v>1759</v>
      </c>
      <c r="AJ583" s="15">
        <v>51</v>
      </c>
      <c r="AK583" s="15">
        <v>243680</v>
      </c>
      <c r="AL583" s="15" t="b">
        <v>0</v>
      </c>
      <c r="AM583" s="15">
        <v>0.40699999999999997</v>
      </c>
      <c r="AN583" s="15">
        <v>0.222</v>
      </c>
      <c r="AO583" s="15">
        <v>5</v>
      </c>
      <c r="AP583" s="15">
        <v>-7.9909999999999997</v>
      </c>
      <c r="AQ583" s="15">
        <v>0</v>
      </c>
      <c r="AR583" s="15">
        <v>3.2399999999999998E-2</v>
      </c>
      <c r="AS583" s="15">
        <v>0.85299999999999998</v>
      </c>
      <c r="AT583" s="31" t="s">
        <v>1760</v>
      </c>
      <c r="AU583" s="15">
        <v>0.11</v>
      </c>
      <c r="AV583" s="15">
        <v>0.20399999999999999</v>
      </c>
      <c r="AW583" s="15">
        <v>123.61799999999999</v>
      </c>
      <c r="AX583" s="15">
        <v>4</v>
      </c>
      <c r="AY583" s="16" t="s">
        <v>24</v>
      </c>
    </row>
    <row r="584" spans="32:51" x14ac:dyDescent="0.35">
      <c r="AF584" s="17" t="s">
        <v>1761</v>
      </c>
      <c r="AG584" s="18" t="s">
        <v>1175</v>
      </c>
      <c r="AH584" s="18" t="s">
        <v>1762</v>
      </c>
      <c r="AI584" s="18" t="s">
        <v>1763</v>
      </c>
      <c r="AJ584" s="18">
        <v>51</v>
      </c>
      <c r="AK584" s="18">
        <v>236379</v>
      </c>
      <c r="AL584" s="18" t="b">
        <v>0</v>
      </c>
      <c r="AM584" s="18">
        <v>0.65700000000000003</v>
      </c>
      <c r="AN584" s="18">
        <v>0.43</v>
      </c>
      <c r="AO584" s="18">
        <v>1</v>
      </c>
      <c r="AP584" s="18">
        <v>-10.202</v>
      </c>
      <c r="AQ584" s="18">
        <v>1</v>
      </c>
      <c r="AR584" s="18">
        <v>3.1399999999999997E-2</v>
      </c>
      <c r="AS584" s="18">
        <v>0.53400000000000003</v>
      </c>
      <c r="AT584" s="18">
        <v>2.3800000000000001E-4</v>
      </c>
      <c r="AU584" s="18">
        <v>0.12</v>
      </c>
      <c r="AV584" s="18">
        <v>0.33500000000000002</v>
      </c>
      <c r="AW584" s="18">
        <v>91.966999999999999</v>
      </c>
      <c r="AX584" s="18">
        <v>4</v>
      </c>
      <c r="AY584" s="19" t="s">
        <v>24</v>
      </c>
    </row>
    <row r="585" spans="32:51" x14ac:dyDescent="0.35">
      <c r="AF585" s="14" t="s">
        <v>1764</v>
      </c>
      <c r="AG585" s="15" t="s">
        <v>422</v>
      </c>
      <c r="AH585" s="15" t="s">
        <v>423</v>
      </c>
      <c r="AI585" s="15" t="s">
        <v>1765</v>
      </c>
      <c r="AJ585" s="15">
        <v>51</v>
      </c>
      <c r="AK585" s="15">
        <v>216933</v>
      </c>
      <c r="AL585" s="15" t="b">
        <v>0</v>
      </c>
      <c r="AM585" s="15">
        <v>0.53400000000000003</v>
      </c>
      <c r="AN585" s="15">
        <v>0.49199999999999999</v>
      </c>
      <c r="AO585" s="15">
        <v>4</v>
      </c>
      <c r="AP585" s="15">
        <v>-8.9049999999999994</v>
      </c>
      <c r="AQ585" s="15">
        <v>1</v>
      </c>
      <c r="AR585" s="15">
        <v>2.6100000000000002E-2</v>
      </c>
      <c r="AS585" s="15">
        <v>0.58399999999999996</v>
      </c>
      <c r="AT585" s="31" t="s">
        <v>1766</v>
      </c>
      <c r="AU585" s="15">
        <v>0.185</v>
      </c>
      <c r="AV585" s="15">
        <v>0.32800000000000001</v>
      </c>
      <c r="AW585" s="15">
        <v>82.465000000000003</v>
      </c>
      <c r="AX585" s="15">
        <v>3</v>
      </c>
      <c r="AY585" s="16" t="s">
        <v>24</v>
      </c>
    </row>
    <row r="586" spans="32:51" x14ac:dyDescent="0.35">
      <c r="AF586" s="17" t="s">
        <v>1767</v>
      </c>
      <c r="AG586" s="18" t="s">
        <v>400</v>
      </c>
      <c r="AH586" s="18" t="s">
        <v>1768</v>
      </c>
      <c r="AI586" s="18" t="s">
        <v>1769</v>
      </c>
      <c r="AJ586" s="18">
        <v>50</v>
      </c>
      <c r="AK586" s="18">
        <v>265173</v>
      </c>
      <c r="AL586" s="18" t="b">
        <v>0</v>
      </c>
      <c r="AM586" s="18">
        <v>0.60299999999999998</v>
      </c>
      <c r="AN586" s="18">
        <v>0.374</v>
      </c>
      <c r="AO586" s="18">
        <v>1</v>
      </c>
      <c r="AP586" s="18">
        <v>-10.875</v>
      </c>
      <c r="AQ586" s="18">
        <v>1</v>
      </c>
      <c r="AR586" s="18">
        <v>2.58E-2</v>
      </c>
      <c r="AS586" s="18">
        <v>0.25600000000000001</v>
      </c>
      <c r="AT586" s="18">
        <v>3.56E-2</v>
      </c>
      <c r="AU586" s="18">
        <v>0.127</v>
      </c>
      <c r="AV586" s="18">
        <v>0.54200000000000004</v>
      </c>
      <c r="AW586" s="18">
        <v>135.946</v>
      </c>
      <c r="AX586" s="18">
        <v>4</v>
      </c>
      <c r="AY586" s="19" t="s">
        <v>24</v>
      </c>
    </row>
    <row r="587" spans="32:51" x14ac:dyDescent="0.35">
      <c r="AF587" s="14" t="s">
        <v>1770</v>
      </c>
      <c r="AG587" s="15" t="s">
        <v>991</v>
      </c>
      <c r="AH587" s="15" t="s">
        <v>1330</v>
      </c>
      <c r="AI587" s="15" t="s">
        <v>1771</v>
      </c>
      <c r="AJ587" s="15">
        <v>31</v>
      </c>
      <c r="AK587" s="15">
        <v>245800</v>
      </c>
      <c r="AL587" s="15" t="b">
        <v>0</v>
      </c>
      <c r="AM587" s="15">
        <v>0.72499999999999998</v>
      </c>
      <c r="AN587" s="15">
        <v>0.746</v>
      </c>
      <c r="AO587" s="15">
        <v>9</v>
      </c>
      <c r="AP587" s="15">
        <v>-8.2140000000000004</v>
      </c>
      <c r="AQ587" s="15">
        <v>1</v>
      </c>
      <c r="AR587" s="15">
        <v>3.3799999999999997E-2</v>
      </c>
      <c r="AS587" s="15">
        <v>7.2100000000000003E-3</v>
      </c>
      <c r="AT587" s="15">
        <v>0</v>
      </c>
      <c r="AU587" s="15">
        <v>5.7500000000000002E-2</v>
      </c>
      <c r="AV587" s="15">
        <v>0.65600000000000003</v>
      </c>
      <c r="AW587" s="15">
        <v>102.87</v>
      </c>
      <c r="AX587" s="15">
        <v>4</v>
      </c>
      <c r="AY587" s="16" t="s">
        <v>24</v>
      </c>
    </row>
    <row r="588" spans="32:51" x14ac:dyDescent="0.35">
      <c r="AF588" s="17" t="s">
        <v>1772</v>
      </c>
      <c r="AG588" s="18" t="s">
        <v>641</v>
      </c>
      <c r="AH588" s="18" t="s">
        <v>1773</v>
      </c>
      <c r="AI588" s="18" t="s">
        <v>1774</v>
      </c>
      <c r="AJ588" s="18">
        <v>30</v>
      </c>
      <c r="AK588" s="18">
        <v>358040</v>
      </c>
      <c r="AL588" s="18" t="b">
        <v>0</v>
      </c>
      <c r="AM588" s="18">
        <v>0.44800000000000001</v>
      </c>
      <c r="AN588" s="18">
        <v>0.755</v>
      </c>
      <c r="AO588" s="18">
        <v>2</v>
      </c>
      <c r="AP588" s="18">
        <v>-5.7190000000000003</v>
      </c>
      <c r="AQ588" s="18">
        <v>0</v>
      </c>
      <c r="AR588" s="18">
        <v>4.2900000000000001E-2</v>
      </c>
      <c r="AS588" s="18">
        <v>2.8000000000000001E-2</v>
      </c>
      <c r="AT588" s="18">
        <v>0</v>
      </c>
      <c r="AU588" s="18">
        <v>0.27300000000000002</v>
      </c>
      <c r="AV588" s="18">
        <v>0.57499999999999996</v>
      </c>
      <c r="AW588" s="18">
        <v>156.04499999999999</v>
      </c>
      <c r="AX588" s="18">
        <v>4</v>
      </c>
      <c r="AY588" s="19" t="s">
        <v>24</v>
      </c>
    </row>
    <row r="589" spans="32:51" x14ac:dyDescent="0.35">
      <c r="AF589" s="14" t="s">
        <v>1775</v>
      </c>
      <c r="AG589" s="15" t="s">
        <v>991</v>
      </c>
      <c r="AH589" s="15" t="s">
        <v>1776</v>
      </c>
      <c r="AI589" s="15" t="s">
        <v>1776</v>
      </c>
      <c r="AJ589" s="15">
        <v>31</v>
      </c>
      <c r="AK589" s="15">
        <v>280546</v>
      </c>
      <c r="AL589" s="15" t="b">
        <v>0</v>
      </c>
      <c r="AM589" s="15">
        <v>0.59499999999999997</v>
      </c>
      <c r="AN589" s="15">
        <v>0.879</v>
      </c>
      <c r="AO589" s="15">
        <v>8</v>
      </c>
      <c r="AP589" s="15">
        <v>-4.8490000000000002</v>
      </c>
      <c r="AQ589" s="15">
        <v>1</v>
      </c>
      <c r="AR589" s="15">
        <v>4.0500000000000001E-2</v>
      </c>
      <c r="AS589" s="15">
        <v>3.1899999999999998E-2</v>
      </c>
      <c r="AT589" s="15">
        <v>0</v>
      </c>
      <c r="AU589" s="15">
        <v>0.34399999999999997</v>
      </c>
      <c r="AV589" s="15">
        <v>0.83899999999999997</v>
      </c>
      <c r="AW589" s="15">
        <v>124.78400000000001</v>
      </c>
      <c r="AX589" s="15">
        <v>4</v>
      </c>
      <c r="AY589" s="16" t="s">
        <v>24</v>
      </c>
    </row>
    <row r="590" spans="32:51" x14ac:dyDescent="0.35">
      <c r="AF590" s="17" t="s">
        <v>1777</v>
      </c>
      <c r="AG590" s="18" t="s">
        <v>1778</v>
      </c>
      <c r="AH590" s="18" t="s">
        <v>1779</v>
      </c>
      <c r="AI590" s="18" t="s">
        <v>1779</v>
      </c>
      <c r="AJ590" s="18">
        <v>29</v>
      </c>
      <c r="AK590" s="18">
        <v>230915</v>
      </c>
      <c r="AL590" s="18" t="b">
        <v>0</v>
      </c>
      <c r="AM590" s="18">
        <v>0.68600000000000005</v>
      </c>
      <c r="AN590" s="18">
        <v>0.28499999999999998</v>
      </c>
      <c r="AO590" s="18">
        <v>5</v>
      </c>
      <c r="AP590" s="18">
        <v>-10.912000000000001</v>
      </c>
      <c r="AQ590" s="18">
        <v>1</v>
      </c>
      <c r="AR590" s="18">
        <v>2.9100000000000001E-2</v>
      </c>
      <c r="AS590" s="18">
        <v>0.68899999999999995</v>
      </c>
      <c r="AT590" s="18">
        <v>0</v>
      </c>
      <c r="AU590" s="18">
        <v>0.129</v>
      </c>
      <c r="AV590" s="18">
        <v>0.67200000000000004</v>
      </c>
      <c r="AW590" s="18">
        <v>103.995</v>
      </c>
      <c r="AX590" s="18">
        <v>4</v>
      </c>
      <c r="AY590" s="19" t="s">
        <v>24</v>
      </c>
    </row>
    <row r="591" spans="32:51" x14ac:dyDescent="0.35">
      <c r="AF591" s="14" t="s">
        <v>1780</v>
      </c>
      <c r="AG591" s="15" t="s">
        <v>1781</v>
      </c>
      <c r="AH591" s="15" t="s">
        <v>1782</v>
      </c>
      <c r="AI591" s="15" t="s">
        <v>1783</v>
      </c>
      <c r="AJ591" s="15">
        <v>61</v>
      </c>
      <c r="AK591" s="15">
        <v>274632</v>
      </c>
      <c r="AL591" s="15" t="b">
        <v>0</v>
      </c>
      <c r="AM591" s="15">
        <v>0.69299999999999995</v>
      </c>
      <c r="AN591" s="15">
        <v>0.36699999999999999</v>
      </c>
      <c r="AO591" s="15">
        <v>3</v>
      </c>
      <c r="AP591" s="15">
        <v>-11.66</v>
      </c>
      <c r="AQ591" s="15">
        <v>1</v>
      </c>
      <c r="AR591" s="15">
        <v>3.2300000000000002E-2</v>
      </c>
      <c r="AS591" s="15">
        <v>0.35099999999999998</v>
      </c>
      <c r="AT591" s="31" t="s">
        <v>1784</v>
      </c>
      <c r="AU591" s="15">
        <v>0.111</v>
      </c>
      <c r="AV591" s="15">
        <v>0.28599999999999998</v>
      </c>
      <c r="AW591" s="15">
        <v>129.87899999999999</v>
      </c>
      <c r="AX591" s="15">
        <v>4</v>
      </c>
      <c r="AY591" s="16" t="s">
        <v>24</v>
      </c>
    </row>
    <row r="592" spans="32:51" x14ac:dyDescent="0.35">
      <c r="AF592" s="17" t="s">
        <v>1785</v>
      </c>
      <c r="AG592" s="18" t="s">
        <v>1786</v>
      </c>
      <c r="AH592" s="18" t="s">
        <v>1787</v>
      </c>
      <c r="AI592" s="18" t="s">
        <v>1788</v>
      </c>
      <c r="AJ592" s="18">
        <v>28</v>
      </c>
      <c r="AK592" s="18">
        <v>244528</v>
      </c>
      <c r="AL592" s="18" t="b">
        <v>0</v>
      </c>
      <c r="AM592" s="18">
        <v>0.71</v>
      </c>
      <c r="AN592" s="18">
        <v>0.40200000000000002</v>
      </c>
      <c r="AO592" s="18">
        <v>0</v>
      </c>
      <c r="AP592" s="18">
        <v>-9.91</v>
      </c>
      <c r="AQ592" s="18">
        <v>1</v>
      </c>
      <c r="AR592" s="18">
        <v>2.7400000000000001E-2</v>
      </c>
      <c r="AS592" s="18">
        <v>0.873</v>
      </c>
      <c r="AT592" s="18">
        <v>0.23200000000000001</v>
      </c>
      <c r="AU592" s="18">
        <v>0.10299999999999999</v>
      </c>
      <c r="AV592" s="18">
        <v>0.13600000000000001</v>
      </c>
      <c r="AW592" s="18">
        <v>106.024</v>
      </c>
      <c r="AX592" s="18">
        <v>4</v>
      </c>
      <c r="AY592" s="19" t="s">
        <v>24</v>
      </c>
    </row>
    <row r="593" spans="32:51" x14ac:dyDescent="0.35">
      <c r="AF593" s="14" t="s">
        <v>1789</v>
      </c>
      <c r="AG593" s="15" t="s">
        <v>617</v>
      </c>
      <c r="AH593" s="15" t="s">
        <v>1790</v>
      </c>
      <c r="AI593" s="15" t="s">
        <v>1791</v>
      </c>
      <c r="AJ593" s="15">
        <v>55</v>
      </c>
      <c r="AK593" s="15">
        <v>137880</v>
      </c>
      <c r="AL593" s="15" t="b">
        <v>0</v>
      </c>
      <c r="AM593" s="15">
        <v>0.69099999999999995</v>
      </c>
      <c r="AN593" s="15">
        <v>0.55200000000000005</v>
      </c>
      <c r="AO593" s="15">
        <v>5</v>
      </c>
      <c r="AP593" s="15">
        <v>-9.1140000000000008</v>
      </c>
      <c r="AQ593" s="15">
        <v>1</v>
      </c>
      <c r="AR593" s="15">
        <v>2.64E-2</v>
      </c>
      <c r="AS593" s="15">
        <v>0.497</v>
      </c>
      <c r="AT593" s="15">
        <v>5.8900000000000001E-4</v>
      </c>
      <c r="AU593" s="15">
        <v>0.19700000000000001</v>
      </c>
      <c r="AV593" s="15">
        <v>0.68500000000000005</v>
      </c>
      <c r="AW593" s="15">
        <v>119.931</v>
      </c>
      <c r="AX593" s="15">
        <v>4</v>
      </c>
      <c r="AY593" s="16" t="s">
        <v>24</v>
      </c>
    </row>
    <row r="594" spans="32:51" x14ac:dyDescent="0.35">
      <c r="AF594" s="17" t="s">
        <v>1792</v>
      </c>
      <c r="AG594" s="18" t="s">
        <v>1202</v>
      </c>
      <c r="AH594" s="18" t="s">
        <v>1203</v>
      </c>
      <c r="AI594" s="18" t="s">
        <v>1793</v>
      </c>
      <c r="AJ594" s="18">
        <v>29</v>
      </c>
      <c r="AK594" s="18">
        <v>152100</v>
      </c>
      <c r="AL594" s="18" t="b">
        <v>0</v>
      </c>
      <c r="AM594" s="18">
        <v>0.64200000000000002</v>
      </c>
      <c r="AN594" s="18">
        <v>0.23699999999999999</v>
      </c>
      <c r="AO594" s="18">
        <v>7</v>
      </c>
      <c r="AP594" s="18">
        <v>-16.141999999999999</v>
      </c>
      <c r="AQ594" s="18">
        <v>0</v>
      </c>
      <c r="AR594" s="18">
        <v>3.8699999999999998E-2</v>
      </c>
      <c r="AS594" s="18">
        <v>0.72399999999999998</v>
      </c>
      <c r="AT594" s="32" t="s">
        <v>1323</v>
      </c>
      <c r="AU594" s="18">
        <v>5.74E-2</v>
      </c>
      <c r="AV594" s="18">
        <v>0.69399999999999995</v>
      </c>
      <c r="AW594" s="18">
        <v>137.4</v>
      </c>
      <c r="AX594" s="18">
        <v>4</v>
      </c>
      <c r="AY594" s="19" t="s">
        <v>24</v>
      </c>
    </row>
    <row r="595" spans="32:51" x14ac:dyDescent="0.35">
      <c r="AF595" s="14" t="s">
        <v>1794</v>
      </c>
      <c r="AG595" s="15" t="s">
        <v>755</v>
      </c>
      <c r="AH595" s="15" t="s">
        <v>756</v>
      </c>
      <c r="AI595" s="15" t="s">
        <v>1795</v>
      </c>
      <c r="AJ595" s="15">
        <v>30</v>
      </c>
      <c r="AK595" s="15">
        <v>162282</v>
      </c>
      <c r="AL595" s="15" t="b">
        <v>1</v>
      </c>
      <c r="AM595" s="15">
        <v>0.48</v>
      </c>
      <c r="AN595" s="15">
        <v>0.77</v>
      </c>
      <c r="AO595" s="15">
        <v>10</v>
      </c>
      <c r="AP595" s="15">
        <v>-3.5470000000000002</v>
      </c>
      <c r="AQ595" s="15">
        <v>1</v>
      </c>
      <c r="AR595" s="15">
        <v>5.4199999999999998E-2</v>
      </c>
      <c r="AS595" s="15">
        <v>0.39700000000000002</v>
      </c>
      <c r="AT595" s="15">
        <v>0</v>
      </c>
      <c r="AU595" s="15">
        <v>0.254</v>
      </c>
      <c r="AV595" s="15">
        <v>0.74399999999999999</v>
      </c>
      <c r="AW595" s="15">
        <v>126.22499999999999</v>
      </c>
      <c r="AX595" s="15">
        <v>4</v>
      </c>
      <c r="AY595" s="16" t="s">
        <v>24</v>
      </c>
    </row>
    <row r="596" spans="32:51" x14ac:dyDescent="0.35">
      <c r="AF596" s="17" t="s">
        <v>1796</v>
      </c>
      <c r="AG596" s="18" t="s">
        <v>1054</v>
      </c>
      <c r="AH596" s="18" t="s">
        <v>1797</v>
      </c>
      <c r="AI596" s="18" t="s">
        <v>1798</v>
      </c>
      <c r="AJ596" s="18">
        <v>29</v>
      </c>
      <c r="AK596" s="18">
        <v>255680</v>
      </c>
      <c r="AL596" s="18" t="b">
        <v>0</v>
      </c>
      <c r="AM596" s="18">
        <v>0.78500000000000003</v>
      </c>
      <c r="AN596" s="18">
        <v>0.73199999999999998</v>
      </c>
      <c r="AO596" s="18">
        <v>5</v>
      </c>
      <c r="AP596" s="18">
        <v>-6.1769999999999996</v>
      </c>
      <c r="AQ596" s="18">
        <v>1</v>
      </c>
      <c r="AR596" s="18">
        <v>5.1299999999999998E-2</v>
      </c>
      <c r="AS596" s="18">
        <v>5.8999999999999997E-2</v>
      </c>
      <c r="AT596" s="32" t="s">
        <v>1799</v>
      </c>
      <c r="AU596" s="18">
        <v>0.52400000000000002</v>
      </c>
      <c r="AV596" s="18">
        <v>0.79800000000000004</v>
      </c>
      <c r="AW596" s="18">
        <v>137.946</v>
      </c>
      <c r="AX596" s="18">
        <v>4</v>
      </c>
      <c r="AY596" s="19" t="s">
        <v>24</v>
      </c>
    </row>
    <row r="597" spans="32:51" x14ac:dyDescent="0.35">
      <c r="AF597" s="14" t="s">
        <v>1800</v>
      </c>
      <c r="AG597" s="15" t="s">
        <v>1801</v>
      </c>
      <c r="AH597" s="15" t="s">
        <v>1802</v>
      </c>
      <c r="AI597" s="15" t="s">
        <v>1803</v>
      </c>
      <c r="AJ597" s="15">
        <v>30</v>
      </c>
      <c r="AK597" s="15">
        <v>216894</v>
      </c>
      <c r="AL597" s="15" t="b">
        <v>1</v>
      </c>
      <c r="AM597" s="15">
        <v>0.66800000000000004</v>
      </c>
      <c r="AN597" s="15">
        <v>0.30399999999999999</v>
      </c>
      <c r="AO597" s="15">
        <v>9</v>
      </c>
      <c r="AP597" s="15">
        <v>-9.4149999999999991</v>
      </c>
      <c r="AQ597" s="15">
        <v>1</v>
      </c>
      <c r="AR597" s="15">
        <v>3.5400000000000001E-2</v>
      </c>
      <c r="AS597" s="15">
        <v>0.81100000000000005</v>
      </c>
      <c r="AT597" s="15">
        <v>0</v>
      </c>
      <c r="AU597" s="15">
        <v>8.2600000000000007E-2</v>
      </c>
      <c r="AV597" s="15">
        <v>0.56699999999999995</v>
      </c>
      <c r="AW597" s="15">
        <v>112.33799999999999</v>
      </c>
      <c r="AX597" s="15">
        <v>4</v>
      </c>
      <c r="AY597" s="16" t="s">
        <v>24</v>
      </c>
    </row>
    <row r="598" spans="32:51" x14ac:dyDescent="0.35">
      <c r="AF598" s="17" t="s">
        <v>1804</v>
      </c>
      <c r="AG598" s="18" t="s">
        <v>1805</v>
      </c>
      <c r="AH598" s="18" t="s">
        <v>1806</v>
      </c>
      <c r="AI598" s="18" t="s">
        <v>1807</v>
      </c>
      <c r="AJ598" s="18">
        <v>29</v>
      </c>
      <c r="AK598" s="18">
        <v>239000</v>
      </c>
      <c r="AL598" s="18" t="b">
        <v>0</v>
      </c>
      <c r="AM598" s="18">
        <v>0.75800000000000001</v>
      </c>
      <c r="AN598" s="18">
        <v>0.40600000000000003</v>
      </c>
      <c r="AO598" s="18">
        <v>10</v>
      </c>
      <c r="AP598" s="18">
        <v>-10.474</v>
      </c>
      <c r="AQ598" s="18">
        <v>1</v>
      </c>
      <c r="AR598" s="18">
        <v>3.0599999999999999E-2</v>
      </c>
      <c r="AS598" s="18">
        <v>0.90100000000000002</v>
      </c>
      <c r="AT598" s="32" t="s">
        <v>1808</v>
      </c>
      <c r="AU598" s="18">
        <v>9.0800000000000006E-2</v>
      </c>
      <c r="AV598" s="18">
        <v>0.38300000000000001</v>
      </c>
      <c r="AW598" s="18">
        <v>109.98399999999999</v>
      </c>
      <c r="AX598" s="18">
        <v>4</v>
      </c>
      <c r="AY598" s="19" t="s">
        <v>24</v>
      </c>
    </row>
    <row r="599" spans="32:51" x14ac:dyDescent="0.35">
      <c r="AF599" s="14" t="s">
        <v>1809</v>
      </c>
      <c r="AG599" s="15" t="s">
        <v>1069</v>
      </c>
      <c r="AH599" s="15" t="s">
        <v>1070</v>
      </c>
      <c r="AI599" s="15" t="s">
        <v>1810</v>
      </c>
      <c r="AJ599" s="15">
        <v>29</v>
      </c>
      <c r="AK599" s="15">
        <v>128731</v>
      </c>
      <c r="AL599" s="15" t="b">
        <v>0</v>
      </c>
      <c r="AM599" s="15">
        <v>0.49</v>
      </c>
      <c r="AN599" s="15">
        <v>0.749</v>
      </c>
      <c r="AO599" s="15">
        <v>9</v>
      </c>
      <c r="AP599" s="15">
        <v>-2.2440000000000002</v>
      </c>
      <c r="AQ599" s="15">
        <v>0</v>
      </c>
      <c r="AR599" s="15">
        <v>6.4899999999999999E-2</v>
      </c>
      <c r="AS599" s="15">
        <v>0.38900000000000001</v>
      </c>
      <c r="AT599" s="15">
        <v>0</v>
      </c>
      <c r="AU599" s="15">
        <v>7.9200000000000007E-2</v>
      </c>
      <c r="AV599" s="15">
        <v>0.73899999999999999</v>
      </c>
      <c r="AW599" s="15">
        <v>144.87</v>
      </c>
      <c r="AX599" s="15">
        <v>4</v>
      </c>
      <c r="AY599" s="16" t="s">
        <v>24</v>
      </c>
    </row>
    <row r="600" spans="32:51" x14ac:dyDescent="0.35">
      <c r="AF600" s="17" t="s">
        <v>1811</v>
      </c>
      <c r="AG600" s="18" t="s">
        <v>755</v>
      </c>
      <c r="AH600" s="18" t="s">
        <v>756</v>
      </c>
      <c r="AI600" s="18" t="s">
        <v>1812</v>
      </c>
      <c r="AJ600" s="18">
        <v>30</v>
      </c>
      <c r="AK600" s="18">
        <v>381910</v>
      </c>
      <c r="AL600" s="18" t="b">
        <v>0</v>
      </c>
      <c r="AM600" s="18">
        <v>0.38900000000000001</v>
      </c>
      <c r="AN600" s="18">
        <v>0.86399999999999999</v>
      </c>
      <c r="AO600" s="18">
        <v>9</v>
      </c>
      <c r="AP600" s="18">
        <v>-3.218</v>
      </c>
      <c r="AQ600" s="18">
        <v>1</v>
      </c>
      <c r="AR600" s="18">
        <v>0.11700000000000001</v>
      </c>
      <c r="AS600" s="18">
        <v>3.6200000000000003E-2</v>
      </c>
      <c r="AT600" s="32" t="s">
        <v>1813</v>
      </c>
      <c r="AU600" s="18">
        <v>0.193</v>
      </c>
      <c r="AV600" s="18">
        <v>0.54800000000000004</v>
      </c>
      <c r="AW600" s="18">
        <v>98.11</v>
      </c>
      <c r="AX600" s="18">
        <v>3</v>
      </c>
      <c r="AY600" s="19" t="s">
        <v>24</v>
      </c>
    </row>
    <row r="601" spans="32:51" x14ac:dyDescent="0.35">
      <c r="AF601" s="14" t="s">
        <v>1814</v>
      </c>
      <c r="AG601" s="15" t="s">
        <v>755</v>
      </c>
      <c r="AH601" s="15" t="s">
        <v>1390</v>
      </c>
      <c r="AI601" s="15" t="s">
        <v>1815</v>
      </c>
      <c r="AJ601" s="15">
        <v>29</v>
      </c>
      <c r="AK601" s="15">
        <v>196161</v>
      </c>
      <c r="AL601" s="15" t="b">
        <v>1</v>
      </c>
      <c r="AM601" s="15">
        <v>0.38700000000000001</v>
      </c>
      <c r="AN601" s="15">
        <v>0.52400000000000002</v>
      </c>
      <c r="AO601" s="15">
        <v>3</v>
      </c>
      <c r="AP601" s="15">
        <v>-9.6329999999999991</v>
      </c>
      <c r="AQ601" s="15">
        <v>1</v>
      </c>
      <c r="AR601" s="15">
        <v>4.9299999999999997E-2</v>
      </c>
      <c r="AS601" s="15">
        <v>0.77700000000000002</v>
      </c>
      <c r="AT601" s="31" t="s">
        <v>1816</v>
      </c>
      <c r="AU601" s="15">
        <v>0.71799999999999997</v>
      </c>
      <c r="AV601" s="15">
        <v>0.85799999999999998</v>
      </c>
      <c r="AW601" s="15">
        <v>95.623000000000005</v>
      </c>
      <c r="AX601" s="15">
        <v>4</v>
      </c>
      <c r="AY601" s="16" t="s">
        <v>24</v>
      </c>
    </row>
    <row r="602" spans="32:51" x14ac:dyDescent="0.35">
      <c r="AF602" s="17" t="s">
        <v>1817</v>
      </c>
      <c r="AG602" s="18" t="s">
        <v>769</v>
      </c>
      <c r="AH602" s="18" t="s">
        <v>1237</v>
      </c>
      <c r="AI602" s="18" t="s">
        <v>1818</v>
      </c>
      <c r="AJ602" s="18">
        <v>28</v>
      </c>
      <c r="AK602" s="18">
        <v>156533</v>
      </c>
      <c r="AL602" s="18" t="b">
        <v>0</v>
      </c>
      <c r="AM602" s="18">
        <v>0.40799999999999997</v>
      </c>
      <c r="AN602" s="18">
        <v>0.97399999999999998</v>
      </c>
      <c r="AO602" s="18">
        <v>1</v>
      </c>
      <c r="AP602" s="18">
        <v>-5.5010000000000003</v>
      </c>
      <c r="AQ602" s="18">
        <v>1</v>
      </c>
      <c r="AR602" s="18">
        <v>0.15</v>
      </c>
      <c r="AS602" s="32" t="s">
        <v>1819</v>
      </c>
      <c r="AT602" s="18">
        <v>0</v>
      </c>
      <c r="AU602" s="18">
        <v>0.27800000000000002</v>
      </c>
      <c r="AV602" s="18">
        <v>0.57799999999999996</v>
      </c>
      <c r="AW602" s="18">
        <v>197.00800000000001</v>
      </c>
      <c r="AX602" s="18">
        <v>4</v>
      </c>
      <c r="AY602" s="19" t="s">
        <v>24</v>
      </c>
    </row>
    <row r="603" spans="32:51" x14ac:dyDescent="0.35">
      <c r="AF603" s="14" t="s">
        <v>1820</v>
      </c>
      <c r="AG603" s="15" t="s">
        <v>664</v>
      </c>
      <c r="AH603" s="15" t="s">
        <v>28</v>
      </c>
      <c r="AI603" s="15" t="s">
        <v>28</v>
      </c>
      <c r="AJ603" s="15">
        <v>42</v>
      </c>
      <c r="AK603" s="15">
        <v>155050</v>
      </c>
      <c r="AL603" s="15" t="b">
        <v>0</v>
      </c>
      <c r="AM603" s="15">
        <v>0.48599999999999999</v>
      </c>
      <c r="AN603" s="15">
        <v>7.4499999999999997E-2</v>
      </c>
      <c r="AO603" s="15">
        <v>10</v>
      </c>
      <c r="AP603" s="15">
        <v>-14.271000000000001</v>
      </c>
      <c r="AQ603" s="15">
        <v>1</v>
      </c>
      <c r="AR603" s="15">
        <v>5.9900000000000002E-2</v>
      </c>
      <c r="AS603" s="15">
        <v>0.92200000000000004</v>
      </c>
      <c r="AT603" s="15">
        <v>0</v>
      </c>
      <c r="AU603" s="15">
        <v>0.104</v>
      </c>
      <c r="AV603" s="15">
        <v>0.39600000000000002</v>
      </c>
      <c r="AW603" s="15">
        <v>145.91200000000001</v>
      </c>
      <c r="AX603" s="15">
        <v>4</v>
      </c>
      <c r="AY603" s="16" t="s">
        <v>24</v>
      </c>
    </row>
    <row r="604" spans="32:51" x14ac:dyDescent="0.35">
      <c r="AF604" s="17" t="s">
        <v>1821</v>
      </c>
      <c r="AG604" s="18" t="s">
        <v>492</v>
      </c>
      <c r="AH604" s="18" t="s">
        <v>1822</v>
      </c>
      <c r="AI604" s="18" t="s">
        <v>1822</v>
      </c>
      <c r="AJ604" s="18">
        <v>49</v>
      </c>
      <c r="AK604" s="18">
        <v>125677</v>
      </c>
      <c r="AL604" s="18" t="b">
        <v>0</v>
      </c>
      <c r="AM604" s="18">
        <v>0.63800000000000001</v>
      </c>
      <c r="AN604" s="18">
        <v>0.32900000000000001</v>
      </c>
      <c r="AO604" s="18">
        <v>3</v>
      </c>
      <c r="AP604" s="18">
        <v>-13.683</v>
      </c>
      <c r="AQ604" s="18">
        <v>1</v>
      </c>
      <c r="AR604" s="18">
        <v>4.2200000000000001E-2</v>
      </c>
      <c r="AS604" s="18">
        <v>0.97899999999999998</v>
      </c>
      <c r="AT604" s="18">
        <v>5.9700000000000003E-2</v>
      </c>
      <c r="AU604" s="18">
        <v>0.33800000000000002</v>
      </c>
      <c r="AV604" s="18">
        <v>0.47499999999999998</v>
      </c>
      <c r="AW604" s="18">
        <v>94.125</v>
      </c>
      <c r="AX604" s="18">
        <v>4</v>
      </c>
      <c r="AY604" s="19" t="s">
        <v>24</v>
      </c>
    </row>
    <row r="605" spans="32:51" x14ac:dyDescent="0.35">
      <c r="AF605" s="14" t="s">
        <v>1823</v>
      </c>
      <c r="AG605" s="15" t="s">
        <v>1824</v>
      </c>
      <c r="AH605" s="15" t="s">
        <v>1825</v>
      </c>
      <c r="AI605" s="15" t="s">
        <v>1826</v>
      </c>
      <c r="AJ605" s="15">
        <v>53</v>
      </c>
      <c r="AK605" s="15">
        <v>169058</v>
      </c>
      <c r="AL605" s="15" t="b">
        <v>0</v>
      </c>
      <c r="AM605" s="15">
        <v>0.52200000000000002</v>
      </c>
      <c r="AN605" s="15">
        <v>0.38200000000000001</v>
      </c>
      <c r="AO605" s="15">
        <v>10</v>
      </c>
      <c r="AP605" s="15">
        <v>-6.7649999999999997</v>
      </c>
      <c r="AQ605" s="15">
        <v>1</v>
      </c>
      <c r="AR605" s="15">
        <v>3.1E-2</v>
      </c>
      <c r="AS605" s="15">
        <v>0.38900000000000001</v>
      </c>
      <c r="AT605" s="15">
        <v>0</v>
      </c>
      <c r="AU605" s="15">
        <v>0.13300000000000001</v>
      </c>
      <c r="AV605" s="15">
        <v>0.51900000000000002</v>
      </c>
      <c r="AW605" s="15">
        <v>169.86099999999999</v>
      </c>
      <c r="AX605" s="15">
        <v>4</v>
      </c>
      <c r="AY605" s="16" t="s">
        <v>24</v>
      </c>
    </row>
    <row r="606" spans="32:51" x14ac:dyDescent="0.35">
      <c r="AF606" s="17" t="s">
        <v>1827</v>
      </c>
      <c r="AG606" s="18" t="s">
        <v>1121</v>
      </c>
      <c r="AH606" s="18" t="s">
        <v>1122</v>
      </c>
      <c r="AI606" s="18" t="s">
        <v>1828</v>
      </c>
      <c r="AJ606" s="18">
        <v>50</v>
      </c>
      <c r="AK606" s="18">
        <v>196724</v>
      </c>
      <c r="AL606" s="18" t="b">
        <v>0</v>
      </c>
      <c r="AM606" s="18">
        <v>0.49</v>
      </c>
      <c r="AN606" s="18">
        <v>0.20399999999999999</v>
      </c>
      <c r="AO606" s="18">
        <v>11</v>
      </c>
      <c r="AP606" s="18">
        <v>-10.992000000000001</v>
      </c>
      <c r="AQ606" s="18">
        <v>1</v>
      </c>
      <c r="AR606" s="18">
        <v>3.15E-2</v>
      </c>
      <c r="AS606" s="18">
        <v>0.90100000000000002</v>
      </c>
      <c r="AT606" s="18">
        <v>0</v>
      </c>
      <c r="AU606" s="18">
        <v>8.9300000000000004E-2</v>
      </c>
      <c r="AV606" s="18">
        <v>0.373</v>
      </c>
      <c r="AW606" s="18">
        <v>167.57300000000001</v>
      </c>
      <c r="AX606" s="18">
        <v>4</v>
      </c>
      <c r="AY606" s="19" t="s">
        <v>24</v>
      </c>
    </row>
    <row r="607" spans="32:51" x14ac:dyDescent="0.35">
      <c r="AF607" s="14" t="s">
        <v>1829</v>
      </c>
      <c r="AG607" s="15" t="s">
        <v>1690</v>
      </c>
      <c r="AH607" s="15" t="s">
        <v>1830</v>
      </c>
      <c r="AI607" s="15" t="s">
        <v>1830</v>
      </c>
      <c r="AJ607" s="15">
        <v>52</v>
      </c>
      <c r="AK607" s="15">
        <v>199114</v>
      </c>
      <c r="AL607" s="15" t="b">
        <v>0</v>
      </c>
      <c r="AM607" s="15">
        <v>0.67400000000000004</v>
      </c>
      <c r="AN607" s="15">
        <v>0.11600000000000001</v>
      </c>
      <c r="AO607" s="15">
        <v>9</v>
      </c>
      <c r="AP607" s="15">
        <v>-13.448</v>
      </c>
      <c r="AQ607" s="15">
        <v>1</v>
      </c>
      <c r="AR607" s="15">
        <v>3.7499999999999999E-2</v>
      </c>
      <c r="AS607" s="15">
        <v>0.86199999999999999</v>
      </c>
      <c r="AT607" s="15">
        <v>0</v>
      </c>
      <c r="AU607" s="15">
        <v>9.7900000000000001E-2</v>
      </c>
      <c r="AV607" s="15">
        <v>0.21</v>
      </c>
      <c r="AW607" s="15">
        <v>129.976</v>
      </c>
      <c r="AX607" s="15">
        <v>4</v>
      </c>
      <c r="AY607" s="16" t="s">
        <v>24</v>
      </c>
    </row>
    <row r="608" spans="32:51" x14ac:dyDescent="0.35">
      <c r="AF608" s="17" t="s">
        <v>1831</v>
      </c>
      <c r="AG608" s="18" t="s">
        <v>70</v>
      </c>
      <c r="AH608" s="18" t="s">
        <v>1832</v>
      </c>
      <c r="AI608" s="18" t="s">
        <v>1832</v>
      </c>
      <c r="AJ608" s="18">
        <v>36</v>
      </c>
      <c r="AK608" s="18">
        <v>156923</v>
      </c>
      <c r="AL608" s="18" t="b">
        <v>0</v>
      </c>
      <c r="AM608" s="18">
        <v>0.77800000000000002</v>
      </c>
      <c r="AN608" s="18">
        <v>0.44500000000000001</v>
      </c>
      <c r="AO608" s="18">
        <v>7</v>
      </c>
      <c r="AP608" s="18">
        <v>-8.2279999999999998</v>
      </c>
      <c r="AQ608" s="18">
        <v>1</v>
      </c>
      <c r="AR608" s="18">
        <v>4.6800000000000001E-2</v>
      </c>
      <c r="AS608" s="18">
        <v>0.45</v>
      </c>
      <c r="AT608" s="32" t="s">
        <v>1833</v>
      </c>
      <c r="AU608" s="18">
        <v>0.11899999999999999</v>
      </c>
      <c r="AV608" s="18">
        <v>0.502</v>
      </c>
      <c r="AW608" s="18">
        <v>130.01</v>
      </c>
      <c r="AX608" s="18">
        <v>4</v>
      </c>
      <c r="AY608" s="19" t="s">
        <v>24</v>
      </c>
    </row>
    <row r="609" spans="32:51" x14ac:dyDescent="0.35">
      <c r="AF609" s="14" t="s">
        <v>1834</v>
      </c>
      <c r="AG609" s="15" t="s">
        <v>1417</v>
      </c>
      <c r="AH609" s="15" t="s">
        <v>1835</v>
      </c>
      <c r="AI609" s="15" t="s">
        <v>1835</v>
      </c>
      <c r="AJ609" s="15">
        <v>49</v>
      </c>
      <c r="AK609" s="15">
        <v>254615</v>
      </c>
      <c r="AL609" s="15" t="b">
        <v>0</v>
      </c>
      <c r="AM609" s="15">
        <v>0.25900000000000001</v>
      </c>
      <c r="AN609" s="15">
        <v>0.19500000000000001</v>
      </c>
      <c r="AO609" s="15">
        <v>9</v>
      </c>
      <c r="AP609" s="15">
        <v>-13.638999999999999</v>
      </c>
      <c r="AQ609" s="15">
        <v>0</v>
      </c>
      <c r="AR609" s="15">
        <v>3.3099999999999997E-2</v>
      </c>
      <c r="AS609" s="15">
        <v>0.26400000000000001</v>
      </c>
      <c r="AT609" s="15">
        <v>0.433</v>
      </c>
      <c r="AU609" s="15">
        <v>0.35199999999999998</v>
      </c>
      <c r="AV609" s="15">
        <v>0.183</v>
      </c>
      <c r="AW609" s="15">
        <v>146.011</v>
      </c>
      <c r="AX609" s="15">
        <v>4</v>
      </c>
      <c r="AY609" s="16" t="s">
        <v>24</v>
      </c>
    </row>
    <row r="610" spans="32:51" x14ac:dyDescent="0.35">
      <c r="AF610" s="17" t="s">
        <v>1836</v>
      </c>
      <c r="AG610" s="18" t="s">
        <v>664</v>
      </c>
      <c r="AH610" s="18" t="s">
        <v>1837</v>
      </c>
      <c r="AI610" s="18" t="s">
        <v>1837</v>
      </c>
      <c r="AJ610" s="18">
        <v>40</v>
      </c>
      <c r="AK610" s="18">
        <v>222186</v>
      </c>
      <c r="AL610" s="18" t="b">
        <v>0</v>
      </c>
      <c r="AM610" s="18">
        <v>0.40799999999999997</v>
      </c>
      <c r="AN610" s="18">
        <v>9.5000000000000001E-2</v>
      </c>
      <c r="AO610" s="18">
        <v>1</v>
      </c>
      <c r="AP610" s="18">
        <v>-18.102</v>
      </c>
      <c r="AQ610" s="18">
        <v>1</v>
      </c>
      <c r="AR610" s="18">
        <v>3.9699999999999999E-2</v>
      </c>
      <c r="AS610" s="18">
        <v>0.94799999999999995</v>
      </c>
      <c r="AT610" s="18">
        <v>0</v>
      </c>
      <c r="AU610" s="18">
        <v>0.106</v>
      </c>
      <c r="AV610" s="18">
        <v>0.35699999999999998</v>
      </c>
      <c r="AW610" s="18">
        <v>137.54599999999999</v>
      </c>
      <c r="AX610" s="18">
        <v>4</v>
      </c>
      <c r="AY610" s="19" t="s">
        <v>24</v>
      </c>
    </row>
    <row r="611" spans="32:51" x14ac:dyDescent="0.35">
      <c r="AF611" s="14" t="s">
        <v>1838</v>
      </c>
      <c r="AG611" s="15" t="s">
        <v>1274</v>
      </c>
      <c r="AH611" s="15" t="s">
        <v>1839</v>
      </c>
      <c r="AI611" s="15" t="s">
        <v>1840</v>
      </c>
      <c r="AJ611" s="15">
        <v>51</v>
      </c>
      <c r="AK611" s="15">
        <v>236298</v>
      </c>
      <c r="AL611" s="15" t="b">
        <v>0</v>
      </c>
      <c r="AM611" s="15">
        <v>0.66300000000000003</v>
      </c>
      <c r="AN611" s="15">
        <v>0.26</v>
      </c>
      <c r="AO611" s="15">
        <v>11</v>
      </c>
      <c r="AP611" s="15">
        <v>-9.5869999999999997</v>
      </c>
      <c r="AQ611" s="15">
        <v>1</v>
      </c>
      <c r="AR611" s="15">
        <v>3.0300000000000001E-2</v>
      </c>
      <c r="AS611" s="15">
        <v>0.86499999999999999</v>
      </c>
      <c r="AT611" s="15">
        <v>0</v>
      </c>
      <c r="AU611" s="15">
        <v>0.10100000000000001</v>
      </c>
      <c r="AV611" s="15">
        <v>0.24299999999999999</v>
      </c>
      <c r="AW611" s="15">
        <v>107.931</v>
      </c>
      <c r="AX611" s="15">
        <v>4</v>
      </c>
      <c r="AY611" s="16" t="s">
        <v>24</v>
      </c>
    </row>
    <row r="612" spans="32:51" x14ac:dyDescent="0.35">
      <c r="AF612" s="17" t="s">
        <v>1841</v>
      </c>
      <c r="AG612" s="18" t="s">
        <v>1842</v>
      </c>
      <c r="AH612" s="18" t="s">
        <v>1843</v>
      </c>
      <c r="AI612" s="18" t="s">
        <v>1843</v>
      </c>
      <c r="AJ612" s="18">
        <v>41</v>
      </c>
      <c r="AK612" s="18">
        <v>203024</v>
      </c>
      <c r="AL612" s="18" t="b">
        <v>0</v>
      </c>
      <c r="AM612" s="18">
        <v>0.625</v>
      </c>
      <c r="AN612" s="18">
        <v>0.81799999999999995</v>
      </c>
      <c r="AO612" s="18">
        <v>6</v>
      </c>
      <c r="AP612" s="18">
        <v>-6.2960000000000003</v>
      </c>
      <c r="AQ612" s="18">
        <v>0</v>
      </c>
      <c r="AR612" s="18">
        <v>6.6900000000000001E-2</v>
      </c>
      <c r="AS612" s="18">
        <v>5.16E-2</v>
      </c>
      <c r="AT612" s="32" t="s">
        <v>1844</v>
      </c>
      <c r="AU612" s="18">
        <v>0.13200000000000001</v>
      </c>
      <c r="AV612" s="18">
        <v>0.307</v>
      </c>
      <c r="AW612" s="18">
        <v>123.905</v>
      </c>
      <c r="AX612" s="18">
        <v>4</v>
      </c>
      <c r="AY612" s="19" t="s">
        <v>24</v>
      </c>
    </row>
    <row r="613" spans="32:51" x14ac:dyDescent="0.35">
      <c r="AF613" s="14" t="s">
        <v>1845</v>
      </c>
      <c r="AG613" s="15" t="s">
        <v>1846</v>
      </c>
      <c r="AH613" s="15" t="s">
        <v>1847</v>
      </c>
      <c r="AI613" s="15" t="s">
        <v>1848</v>
      </c>
      <c r="AJ613" s="15">
        <v>55</v>
      </c>
      <c r="AK613" s="15">
        <v>228013</v>
      </c>
      <c r="AL613" s="15" t="b">
        <v>0</v>
      </c>
      <c r="AM613" s="15">
        <v>0.52900000000000003</v>
      </c>
      <c r="AN613" s="15">
        <v>5.4600000000000003E-2</v>
      </c>
      <c r="AO613" s="15">
        <v>1</v>
      </c>
      <c r="AP613" s="15">
        <v>-23.684000000000001</v>
      </c>
      <c r="AQ613" s="15">
        <v>1</v>
      </c>
      <c r="AR613" s="15">
        <v>3.6400000000000002E-2</v>
      </c>
      <c r="AS613" s="15">
        <v>0.92400000000000004</v>
      </c>
      <c r="AT613" s="15">
        <v>4.2799999999999998E-2</v>
      </c>
      <c r="AU613" s="15">
        <v>0.108</v>
      </c>
      <c r="AV613" s="15">
        <v>0.51700000000000002</v>
      </c>
      <c r="AW613" s="15">
        <v>78.450999999999993</v>
      </c>
      <c r="AX613" s="15">
        <v>4</v>
      </c>
      <c r="AY613" s="16" t="s">
        <v>24</v>
      </c>
    </row>
    <row r="614" spans="32:51" x14ac:dyDescent="0.35">
      <c r="AF614" s="17" t="s">
        <v>1849</v>
      </c>
      <c r="AG614" s="18" t="s">
        <v>1850</v>
      </c>
      <c r="AH614" s="18" t="s">
        <v>1851</v>
      </c>
      <c r="AI614" s="18" t="s">
        <v>1851</v>
      </c>
      <c r="AJ614" s="18">
        <v>52</v>
      </c>
      <c r="AK614" s="18">
        <v>226470</v>
      </c>
      <c r="AL614" s="18" t="b">
        <v>0</v>
      </c>
      <c r="AM614" s="18">
        <v>0.56999999999999995</v>
      </c>
      <c r="AN614" s="18">
        <v>0.46800000000000003</v>
      </c>
      <c r="AO614" s="18">
        <v>6</v>
      </c>
      <c r="AP614" s="18">
        <v>-4.1920000000000002</v>
      </c>
      <c r="AQ614" s="18">
        <v>1</v>
      </c>
      <c r="AR614" s="18">
        <v>4.7E-2</v>
      </c>
      <c r="AS614" s="18">
        <v>0.75800000000000001</v>
      </c>
      <c r="AT614" s="18">
        <v>0</v>
      </c>
      <c r="AU614" s="18">
        <v>0.20599999999999999</v>
      </c>
      <c r="AV614" s="18">
        <v>0.33500000000000002</v>
      </c>
      <c r="AW614" s="18">
        <v>137.85499999999999</v>
      </c>
      <c r="AX614" s="18">
        <v>4</v>
      </c>
      <c r="AY614" s="19" t="s">
        <v>24</v>
      </c>
    </row>
    <row r="615" spans="32:51" x14ac:dyDescent="0.35">
      <c r="AF615" s="14" t="s">
        <v>1852</v>
      </c>
      <c r="AG615" s="15" t="s">
        <v>255</v>
      </c>
      <c r="AH615" s="15" t="s">
        <v>1853</v>
      </c>
      <c r="AI615" s="15" t="s">
        <v>1853</v>
      </c>
      <c r="AJ615" s="15">
        <v>51</v>
      </c>
      <c r="AK615" s="15">
        <v>181596</v>
      </c>
      <c r="AL615" s="15" t="b">
        <v>0</v>
      </c>
      <c r="AM615" s="15">
        <v>0.56599999999999995</v>
      </c>
      <c r="AN615" s="15">
        <v>0.16800000000000001</v>
      </c>
      <c r="AO615" s="15">
        <v>3</v>
      </c>
      <c r="AP615" s="15">
        <v>-12.483000000000001</v>
      </c>
      <c r="AQ615" s="15">
        <v>1</v>
      </c>
      <c r="AR615" s="15">
        <v>3.7199999999999997E-2</v>
      </c>
      <c r="AS615" s="15">
        <v>0.81200000000000006</v>
      </c>
      <c r="AT615" s="15">
        <v>0</v>
      </c>
      <c r="AU615" s="15">
        <v>0.125</v>
      </c>
      <c r="AV615" s="15">
        <v>0.23799999999999999</v>
      </c>
      <c r="AW615" s="15">
        <v>116.286</v>
      </c>
      <c r="AX615" s="15">
        <v>4</v>
      </c>
      <c r="AY615" s="16" t="s">
        <v>24</v>
      </c>
    </row>
    <row r="616" spans="32:51" x14ac:dyDescent="0.35">
      <c r="AF616" s="17" t="s">
        <v>1854</v>
      </c>
      <c r="AG616" s="18" t="s">
        <v>60</v>
      </c>
      <c r="AH616" s="18" t="s">
        <v>61</v>
      </c>
      <c r="AI616" s="18" t="s">
        <v>1855</v>
      </c>
      <c r="AJ616" s="18">
        <v>49</v>
      </c>
      <c r="AK616" s="18">
        <v>192631</v>
      </c>
      <c r="AL616" s="18" t="b">
        <v>0</v>
      </c>
      <c r="AM616" s="18">
        <v>0.59799999999999998</v>
      </c>
      <c r="AN616" s="18">
        <v>0.249</v>
      </c>
      <c r="AO616" s="18">
        <v>11</v>
      </c>
      <c r="AP616" s="18">
        <v>-10.847</v>
      </c>
      <c r="AQ616" s="18">
        <v>1</v>
      </c>
      <c r="AR616" s="18">
        <v>6.0299999999999999E-2</v>
      </c>
      <c r="AS616" s="18">
        <v>0.19400000000000001</v>
      </c>
      <c r="AT616" s="18">
        <v>0</v>
      </c>
      <c r="AU616" s="18">
        <v>8.9200000000000002E-2</v>
      </c>
      <c r="AV616" s="18">
        <v>0.29199999999999998</v>
      </c>
      <c r="AW616" s="18">
        <v>113.82899999999999</v>
      </c>
      <c r="AX616" s="18">
        <v>3</v>
      </c>
      <c r="AY616" s="19" t="s">
        <v>24</v>
      </c>
    </row>
    <row r="617" spans="32:51" x14ac:dyDescent="0.35">
      <c r="AF617" s="14" t="s">
        <v>1856</v>
      </c>
      <c r="AG617" s="15" t="s">
        <v>1857</v>
      </c>
      <c r="AH617" s="15" t="s">
        <v>1858</v>
      </c>
      <c r="AI617" s="15" t="s">
        <v>1859</v>
      </c>
      <c r="AJ617" s="15">
        <v>54</v>
      </c>
      <c r="AK617" s="15">
        <v>318840</v>
      </c>
      <c r="AL617" s="15" t="b">
        <v>0</v>
      </c>
      <c r="AM617" s="15">
        <v>0.71299999999999997</v>
      </c>
      <c r="AN617" s="15">
        <v>0.28100000000000003</v>
      </c>
      <c r="AO617" s="15">
        <v>3</v>
      </c>
      <c r="AP617" s="15">
        <v>-11.057</v>
      </c>
      <c r="AQ617" s="15">
        <v>0</v>
      </c>
      <c r="AR617" s="15">
        <v>3.7900000000000003E-2</v>
      </c>
      <c r="AS617" s="15">
        <v>0.13700000000000001</v>
      </c>
      <c r="AT617" s="15">
        <v>2.58E-2</v>
      </c>
      <c r="AU617" s="15">
        <v>0.111</v>
      </c>
      <c r="AV617" s="15">
        <v>0.39700000000000002</v>
      </c>
      <c r="AW617" s="15">
        <v>148.30099999999999</v>
      </c>
      <c r="AX617" s="15">
        <v>3</v>
      </c>
      <c r="AY617" s="16" t="s">
        <v>24</v>
      </c>
    </row>
    <row r="618" spans="32:51" x14ac:dyDescent="0.35">
      <c r="AF618" s="17" t="s">
        <v>1860</v>
      </c>
      <c r="AG618" s="18" t="s">
        <v>886</v>
      </c>
      <c r="AH618" s="18" t="s">
        <v>1683</v>
      </c>
      <c r="AI618" s="18" t="s">
        <v>1861</v>
      </c>
      <c r="AJ618" s="18">
        <v>46</v>
      </c>
      <c r="AK618" s="18">
        <v>267862</v>
      </c>
      <c r="AL618" s="18" t="b">
        <v>0</v>
      </c>
      <c r="AM618" s="18">
        <v>0.54700000000000004</v>
      </c>
      <c r="AN618" s="18">
        <v>0.32800000000000001</v>
      </c>
      <c r="AO618" s="18">
        <v>8</v>
      </c>
      <c r="AP618" s="18">
        <v>-11.118</v>
      </c>
      <c r="AQ618" s="18">
        <v>1</v>
      </c>
      <c r="AR618" s="18">
        <v>3.2099999999999997E-2</v>
      </c>
      <c r="AS618" s="18">
        <v>0.16300000000000001</v>
      </c>
      <c r="AT618" s="18">
        <v>9.2600000000000002E-2</v>
      </c>
      <c r="AU618" s="18">
        <v>8.8400000000000006E-2</v>
      </c>
      <c r="AV618" s="18">
        <v>0.186</v>
      </c>
      <c r="AW618" s="18">
        <v>139.959</v>
      </c>
      <c r="AX618" s="18">
        <v>4</v>
      </c>
      <c r="AY618" s="19" t="s">
        <v>24</v>
      </c>
    </row>
    <row r="619" spans="32:51" x14ac:dyDescent="0.35">
      <c r="AF619" s="14" t="s">
        <v>1862</v>
      </c>
      <c r="AG619" s="15" t="s">
        <v>696</v>
      </c>
      <c r="AH619" s="15" t="s">
        <v>1863</v>
      </c>
      <c r="AI619" s="15" t="s">
        <v>1863</v>
      </c>
      <c r="AJ619" s="15">
        <v>45</v>
      </c>
      <c r="AK619" s="15">
        <v>174884</v>
      </c>
      <c r="AL619" s="15" t="b">
        <v>0</v>
      </c>
      <c r="AM619" s="15">
        <v>0.80600000000000005</v>
      </c>
      <c r="AN619" s="15">
        <v>0.26300000000000001</v>
      </c>
      <c r="AO619" s="15">
        <v>5</v>
      </c>
      <c r="AP619" s="15">
        <v>-10.43</v>
      </c>
      <c r="AQ619" s="15">
        <v>1</v>
      </c>
      <c r="AR619" s="15">
        <v>5.0200000000000002E-2</v>
      </c>
      <c r="AS619" s="15">
        <v>0.78700000000000003</v>
      </c>
      <c r="AT619" s="15">
        <v>0</v>
      </c>
      <c r="AU619" s="15">
        <v>0.182</v>
      </c>
      <c r="AV619" s="15">
        <v>0.86799999999999999</v>
      </c>
      <c r="AW619" s="15">
        <v>115.854</v>
      </c>
      <c r="AX619" s="15">
        <v>4</v>
      </c>
      <c r="AY619" s="16" t="s">
        <v>24</v>
      </c>
    </row>
    <row r="620" spans="32:51" x14ac:dyDescent="0.35">
      <c r="AF620" s="17" t="s">
        <v>1864</v>
      </c>
      <c r="AG620" s="18" t="s">
        <v>991</v>
      </c>
      <c r="AH620" s="18" t="s">
        <v>1865</v>
      </c>
      <c r="AI620" s="18" t="s">
        <v>1865</v>
      </c>
      <c r="AJ620" s="18">
        <v>30</v>
      </c>
      <c r="AK620" s="18">
        <v>347200</v>
      </c>
      <c r="AL620" s="18" t="b">
        <v>0</v>
      </c>
      <c r="AM620" s="18">
        <v>0.54800000000000004</v>
      </c>
      <c r="AN620" s="18">
        <v>0.88900000000000001</v>
      </c>
      <c r="AO620" s="18">
        <v>0</v>
      </c>
      <c r="AP620" s="18">
        <v>-6.1059999999999999</v>
      </c>
      <c r="AQ620" s="18">
        <v>1</v>
      </c>
      <c r="AR620" s="18">
        <v>3.09E-2</v>
      </c>
      <c r="AS620" s="18">
        <v>3.2399999999999998E-2</v>
      </c>
      <c r="AT620" s="18">
        <v>0</v>
      </c>
      <c r="AU620" s="18">
        <v>0.35899999999999999</v>
      </c>
      <c r="AV620" s="18">
        <v>0.78900000000000003</v>
      </c>
      <c r="AW620" s="18">
        <v>95.289000000000001</v>
      </c>
      <c r="AX620" s="18">
        <v>4</v>
      </c>
      <c r="AY620" s="19" t="s">
        <v>24</v>
      </c>
    </row>
    <row r="621" spans="32:51" x14ac:dyDescent="0.35">
      <c r="AF621" s="14" t="s">
        <v>1866</v>
      </c>
      <c r="AG621" s="15" t="s">
        <v>50</v>
      </c>
      <c r="AH621" s="15" t="s">
        <v>276</v>
      </c>
      <c r="AI621" s="15" t="s">
        <v>276</v>
      </c>
      <c r="AJ621" s="15">
        <v>53</v>
      </c>
      <c r="AK621" s="15">
        <v>226098</v>
      </c>
      <c r="AL621" s="15" t="b">
        <v>0</v>
      </c>
      <c r="AM621" s="15">
        <v>0.64300000000000002</v>
      </c>
      <c r="AN621" s="15">
        <v>0.61699999999999999</v>
      </c>
      <c r="AO621" s="15">
        <v>1</v>
      </c>
      <c r="AP621" s="15">
        <v>-4.95</v>
      </c>
      <c r="AQ621" s="15">
        <v>0</v>
      </c>
      <c r="AR621" s="15">
        <v>4.1000000000000002E-2</v>
      </c>
      <c r="AS621" s="15">
        <v>0.19400000000000001</v>
      </c>
      <c r="AT621" s="15">
        <v>0</v>
      </c>
      <c r="AU621" s="15">
        <v>9.8900000000000002E-2</v>
      </c>
      <c r="AV621" s="15">
        <v>0.59199999999999997</v>
      </c>
      <c r="AW621" s="15">
        <v>82.028999999999996</v>
      </c>
      <c r="AX621" s="15">
        <v>4</v>
      </c>
      <c r="AY621" s="16" t="s">
        <v>24</v>
      </c>
    </row>
    <row r="622" spans="32:51" x14ac:dyDescent="0.35">
      <c r="AF622" s="17" t="s">
        <v>1867</v>
      </c>
      <c r="AG622" s="18" t="s">
        <v>948</v>
      </c>
      <c r="AH622" s="18" t="s">
        <v>949</v>
      </c>
      <c r="AI622" s="18" t="s">
        <v>1868</v>
      </c>
      <c r="AJ622" s="18">
        <v>48</v>
      </c>
      <c r="AK622" s="18">
        <v>282133</v>
      </c>
      <c r="AL622" s="18" t="b">
        <v>0</v>
      </c>
      <c r="AM622" s="18">
        <v>0.42799999999999999</v>
      </c>
      <c r="AN622" s="18">
        <v>0.81299999999999994</v>
      </c>
      <c r="AO622" s="18">
        <v>7</v>
      </c>
      <c r="AP622" s="18">
        <v>-4.4779999999999998</v>
      </c>
      <c r="AQ622" s="18">
        <v>0</v>
      </c>
      <c r="AR622" s="18">
        <v>2.5000000000000001E-2</v>
      </c>
      <c r="AS622" s="18">
        <v>6.2199999999999998E-2</v>
      </c>
      <c r="AT622" s="18">
        <v>3.8800000000000002E-3</v>
      </c>
      <c r="AU622" s="18">
        <v>0.154</v>
      </c>
      <c r="AV622" s="18">
        <v>0.34699999999999998</v>
      </c>
      <c r="AW622" s="18">
        <v>91.052999999999997</v>
      </c>
      <c r="AX622" s="18">
        <v>4</v>
      </c>
      <c r="AY622" s="19" t="s">
        <v>24</v>
      </c>
    </row>
    <row r="623" spans="32:51" x14ac:dyDescent="0.35">
      <c r="AF623" s="14" t="s">
        <v>1869</v>
      </c>
      <c r="AG623" s="15" t="s">
        <v>1870</v>
      </c>
      <c r="AH623" s="15" t="s">
        <v>1871</v>
      </c>
      <c r="AI623" s="15" t="s">
        <v>1291</v>
      </c>
      <c r="AJ623" s="15">
        <v>52</v>
      </c>
      <c r="AK623" s="15">
        <v>251640</v>
      </c>
      <c r="AL623" s="15" t="b">
        <v>0</v>
      </c>
      <c r="AM623" s="15">
        <v>0.432</v>
      </c>
      <c r="AN623" s="15">
        <v>0.66400000000000003</v>
      </c>
      <c r="AO623" s="15">
        <v>7</v>
      </c>
      <c r="AP623" s="15">
        <v>-4.6619999999999999</v>
      </c>
      <c r="AQ623" s="15">
        <v>1</v>
      </c>
      <c r="AR623" s="15">
        <v>3.0200000000000001E-2</v>
      </c>
      <c r="AS623" s="15">
        <v>0.215</v>
      </c>
      <c r="AT623" s="15">
        <v>0</v>
      </c>
      <c r="AU623" s="15">
        <v>0.15</v>
      </c>
      <c r="AV623" s="15">
        <v>0.29399999999999998</v>
      </c>
      <c r="AW623" s="15">
        <v>156.21600000000001</v>
      </c>
      <c r="AX623" s="15">
        <v>4</v>
      </c>
      <c r="AY623" s="16" t="s">
        <v>24</v>
      </c>
    </row>
    <row r="624" spans="32:51" x14ac:dyDescent="0.35">
      <c r="AF624" s="17" t="s">
        <v>1872</v>
      </c>
      <c r="AG624" s="18" t="s">
        <v>204</v>
      </c>
      <c r="AH624" s="18" t="s">
        <v>1873</v>
      </c>
      <c r="AI624" s="18" t="s">
        <v>1874</v>
      </c>
      <c r="AJ624" s="18">
        <v>51</v>
      </c>
      <c r="AK624" s="18">
        <v>298280</v>
      </c>
      <c r="AL624" s="18" t="b">
        <v>0</v>
      </c>
      <c r="AM624" s="18">
        <v>0.36599999999999999</v>
      </c>
      <c r="AN624" s="18">
        <v>0.48199999999999998</v>
      </c>
      <c r="AO624" s="18">
        <v>5</v>
      </c>
      <c r="AP624" s="18">
        <v>-7.9</v>
      </c>
      <c r="AQ624" s="18">
        <v>1</v>
      </c>
      <c r="AR624" s="18">
        <v>2.7799999999999998E-2</v>
      </c>
      <c r="AS624" s="18">
        <v>0.28799999999999998</v>
      </c>
      <c r="AT624" s="18">
        <v>6.5500000000000003E-3</v>
      </c>
      <c r="AU624" s="18">
        <v>0.11700000000000001</v>
      </c>
      <c r="AV624" s="18">
        <v>0.27800000000000002</v>
      </c>
      <c r="AW624" s="18">
        <v>169.67699999999999</v>
      </c>
      <c r="AX624" s="18">
        <v>4</v>
      </c>
      <c r="AY624" s="19" t="s">
        <v>24</v>
      </c>
    </row>
    <row r="625" spans="32:51" x14ac:dyDescent="0.35">
      <c r="AF625" s="14" t="s">
        <v>1875</v>
      </c>
      <c r="AG625" s="15" t="s">
        <v>712</v>
      </c>
      <c r="AH625" s="15" t="s">
        <v>729</v>
      </c>
      <c r="AI625" s="15" t="s">
        <v>729</v>
      </c>
      <c r="AJ625" s="15">
        <v>59</v>
      </c>
      <c r="AK625" s="15">
        <v>241546</v>
      </c>
      <c r="AL625" s="15" t="b">
        <v>0</v>
      </c>
      <c r="AM625" s="15">
        <v>0.32500000000000001</v>
      </c>
      <c r="AN625" s="15">
        <v>0.42399999999999999</v>
      </c>
      <c r="AO625" s="15">
        <v>7</v>
      </c>
      <c r="AP625" s="15">
        <v>-12.733000000000001</v>
      </c>
      <c r="AQ625" s="15">
        <v>1</v>
      </c>
      <c r="AR625" s="15">
        <v>4.3799999999999999E-2</v>
      </c>
      <c r="AS625" s="15">
        <v>0.34100000000000003</v>
      </c>
      <c r="AT625" s="15">
        <v>2.6699999999999998E-4</v>
      </c>
      <c r="AU625" s="15">
        <v>0.23</v>
      </c>
      <c r="AV625" s="15">
        <v>0.49399999999999999</v>
      </c>
      <c r="AW625" s="15">
        <v>173.352</v>
      </c>
      <c r="AX625" s="15">
        <v>3</v>
      </c>
      <c r="AY625" s="16" t="s">
        <v>24</v>
      </c>
    </row>
    <row r="626" spans="32:51" x14ac:dyDescent="0.35">
      <c r="AF626" s="17" t="s">
        <v>1876</v>
      </c>
      <c r="AG626" s="18" t="s">
        <v>339</v>
      </c>
      <c r="AH626" s="18" t="s">
        <v>363</v>
      </c>
      <c r="AI626" s="18" t="s">
        <v>1877</v>
      </c>
      <c r="AJ626" s="18">
        <v>53</v>
      </c>
      <c r="AK626" s="18">
        <v>197170</v>
      </c>
      <c r="AL626" s="18" t="b">
        <v>0</v>
      </c>
      <c r="AM626" s="18">
        <v>0.46</v>
      </c>
      <c r="AN626" s="18">
        <v>0.19500000000000001</v>
      </c>
      <c r="AO626" s="18">
        <v>10</v>
      </c>
      <c r="AP626" s="18">
        <v>-12.093</v>
      </c>
      <c r="AQ626" s="18">
        <v>1</v>
      </c>
      <c r="AR626" s="18">
        <v>4.5900000000000003E-2</v>
      </c>
      <c r="AS626" s="18">
        <v>0.86699999999999999</v>
      </c>
      <c r="AT626" s="32" t="s">
        <v>1878</v>
      </c>
      <c r="AU626" s="18">
        <v>0.112</v>
      </c>
      <c r="AV626" s="18">
        <v>0.38400000000000001</v>
      </c>
      <c r="AW626" s="18">
        <v>176.119</v>
      </c>
      <c r="AX626" s="18">
        <v>4</v>
      </c>
      <c r="AY626" s="19" t="s">
        <v>24</v>
      </c>
    </row>
    <row r="627" spans="32:51" x14ac:dyDescent="0.35">
      <c r="AF627" s="14" t="s">
        <v>1879</v>
      </c>
      <c r="AG627" s="15" t="s">
        <v>42</v>
      </c>
      <c r="AH627" s="15" t="s">
        <v>1880</v>
      </c>
      <c r="AI627" s="15" t="s">
        <v>1881</v>
      </c>
      <c r="AJ627" s="15">
        <v>47</v>
      </c>
      <c r="AK627" s="15">
        <v>178093</v>
      </c>
      <c r="AL627" s="15" t="b">
        <v>0</v>
      </c>
      <c r="AM627" s="15">
        <v>0.61299999999999999</v>
      </c>
      <c r="AN627" s="15">
        <v>0.81200000000000006</v>
      </c>
      <c r="AO627" s="15">
        <v>2</v>
      </c>
      <c r="AP627" s="15">
        <v>-3.524</v>
      </c>
      <c r="AQ627" s="15">
        <v>1</v>
      </c>
      <c r="AR627" s="15">
        <v>3.5499999999999997E-2</v>
      </c>
      <c r="AS627" s="15">
        <v>0.25900000000000001</v>
      </c>
      <c r="AT627" s="15">
        <v>0</v>
      </c>
      <c r="AU627" s="15">
        <v>0.185</v>
      </c>
      <c r="AV627" s="15">
        <v>0.39400000000000002</v>
      </c>
      <c r="AW627" s="15">
        <v>119.979</v>
      </c>
      <c r="AX627" s="15">
        <v>4</v>
      </c>
      <c r="AY627" s="16" t="s">
        <v>24</v>
      </c>
    </row>
    <row r="628" spans="32:51" x14ac:dyDescent="0.35">
      <c r="AF628" s="17" t="s">
        <v>1882</v>
      </c>
      <c r="AG628" s="18" t="s">
        <v>1883</v>
      </c>
      <c r="AH628" s="18" t="s">
        <v>1884</v>
      </c>
      <c r="AI628" s="18" t="s">
        <v>1884</v>
      </c>
      <c r="AJ628" s="18">
        <v>28</v>
      </c>
      <c r="AK628" s="18">
        <v>230545</v>
      </c>
      <c r="AL628" s="18" t="b">
        <v>0</v>
      </c>
      <c r="AM628" s="18">
        <v>0.49199999999999999</v>
      </c>
      <c r="AN628" s="18">
        <v>0.33</v>
      </c>
      <c r="AO628" s="18">
        <v>4</v>
      </c>
      <c r="AP628" s="18">
        <v>-8.9670000000000005</v>
      </c>
      <c r="AQ628" s="18">
        <v>1</v>
      </c>
      <c r="AR628" s="18">
        <v>2.8500000000000001E-2</v>
      </c>
      <c r="AS628" s="18">
        <v>0.26600000000000001</v>
      </c>
      <c r="AT628" s="18">
        <v>0</v>
      </c>
      <c r="AU628" s="18">
        <v>0.29699999999999999</v>
      </c>
      <c r="AV628" s="18">
        <v>0.109</v>
      </c>
      <c r="AW628" s="18">
        <v>132.005</v>
      </c>
      <c r="AX628" s="18">
        <v>4</v>
      </c>
      <c r="AY628" s="19" t="s">
        <v>24</v>
      </c>
    </row>
    <row r="629" spans="32:51" x14ac:dyDescent="0.35">
      <c r="AF629" s="14" t="s">
        <v>1885</v>
      </c>
      <c r="AG629" s="15" t="s">
        <v>1886</v>
      </c>
      <c r="AH629" s="15" t="s">
        <v>1887</v>
      </c>
      <c r="AI629" s="15" t="s">
        <v>1888</v>
      </c>
      <c r="AJ629" s="15">
        <v>30</v>
      </c>
      <c r="AK629" s="15">
        <v>163813</v>
      </c>
      <c r="AL629" s="15" t="b">
        <v>0</v>
      </c>
      <c r="AM629" s="15">
        <v>0.56999999999999995</v>
      </c>
      <c r="AN629" s="15">
        <v>0.45400000000000001</v>
      </c>
      <c r="AO629" s="15">
        <v>2</v>
      </c>
      <c r="AP629" s="15">
        <v>-7.6130000000000004</v>
      </c>
      <c r="AQ629" s="15">
        <v>0</v>
      </c>
      <c r="AR629" s="15">
        <v>9.8699999999999996E-2</v>
      </c>
      <c r="AS629" s="15">
        <v>0.88100000000000001</v>
      </c>
      <c r="AT629" s="15">
        <v>0.88900000000000001</v>
      </c>
      <c r="AU629" s="15">
        <v>9.8299999999999998E-2</v>
      </c>
      <c r="AV629" s="15">
        <v>0.38100000000000001</v>
      </c>
      <c r="AW629" s="15">
        <v>101.476</v>
      </c>
      <c r="AX629" s="15">
        <v>4</v>
      </c>
      <c r="AY629" s="16" t="s">
        <v>24</v>
      </c>
    </row>
    <row r="630" spans="32:51" x14ac:dyDescent="0.35">
      <c r="AF630" s="17" t="s">
        <v>1889</v>
      </c>
      <c r="AG630" s="18" t="s">
        <v>1890</v>
      </c>
      <c r="AH630" s="18" t="s">
        <v>1891</v>
      </c>
      <c r="AI630" s="18" t="s">
        <v>1892</v>
      </c>
      <c r="AJ630" s="18">
        <v>29</v>
      </c>
      <c r="AK630" s="18">
        <v>212080</v>
      </c>
      <c r="AL630" s="18" t="b">
        <v>0</v>
      </c>
      <c r="AM630" s="18">
        <v>0.49399999999999999</v>
      </c>
      <c r="AN630" s="18">
        <v>0.46500000000000002</v>
      </c>
      <c r="AO630" s="18">
        <v>6</v>
      </c>
      <c r="AP630" s="18">
        <v>-6.0949999999999998</v>
      </c>
      <c r="AQ630" s="18">
        <v>1</v>
      </c>
      <c r="AR630" s="18">
        <v>2.7E-2</v>
      </c>
      <c r="AS630" s="18">
        <v>0.70499999999999996</v>
      </c>
      <c r="AT630" s="18">
        <v>0</v>
      </c>
      <c r="AU630" s="18">
        <v>6.93E-2</v>
      </c>
      <c r="AV630" s="18">
        <v>0.27500000000000002</v>
      </c>
      <c r="AW630" s="18">
        <v>132.501</v>
      </c>
      <c r="AX630" s="18">
        <v>4</v>
      </c>
      <c r="AY630" s="19" t="s">
        <v>24</v>
      </c>
    </row>
    <row r="631" spans="32:51" x14ac:dyDescent="0.35">
      <c r="AF631" s="14" t="s">
        <v>1893</v>
      </c>
      <c r="AG631" s="15" t="s">
        <v>1316</v>
      </c>
      <c r="AH631" s="15" t="s">
        <v>1316</v>
      </c>
      <c r="AI631" s="15" t="s">
        <v>1894</v>
      </c>
      <c r="AJ631" s="15">
        <v>48</v>
      </c>
      <c r="AK631" s="15">
        <v>156773</v>
      </c>
      <c r="AL631" s="15" t="b">
        <v>0</v>
      </c>
      <c r="AM631" s="15">
        <v>0.74</v>
      </c>
      <c r="AN631" s="15">
        <v>0.377</v>
      </c>
      <c r="AO631" s="15">
        <v>2</v>
      </c>
      <c r="AP631" s="15">
        <v>-10.013</v>
      </c>
      <c r="AQ631" s="15">
        <v>1</v>
      </c>
      <c r="AR631" s="15">
        <v>5.8299999999999998E-2</v>
      </c>
      <c r="AS631" s="15">
        <v>0.65</v>
      </c>
      <c r="AT631" s="15">
        <v>0</v>
      </c>
      <c r="AU631" s="15">
        <v>0.17799999999999999</v>
      </c>
      <c r="AV631" s="15">
        <v>0.40799999999999997</v>
      </c>
      <c r="AW631" s="15">
        <v>78.988</v>
      </c>
      <c r="AX631" s="15">
        <v>4</v>
      </c>
      <c r="AY631" s="16" t="s">
        <v>24</v>
      </c>
    </row>
    <row r="632" spans="32:51" x14ac:dyDescent="0.35">
      <c r="AF632" s="17" t="s">
        <v>1895</v>
      </c>
      <c r="AG632" s="18" t="s">
        <v>1896</v>
      </c>
      <c r="AH632" s="18" t="s">
        <v>1897</v>
      </c>
      <c r="AI632" s="18" t="s">
        <v>1898</v>
      </c>
      <c r="AJ632" s="18">
        <v>52</v>
      </c>
      <c r="AK632" s="18">
        <v>171486</v>
      </c>
      <c r="AL632" s="18" t="b">
        <v>0</v>
      </c>
      <c r="AM632" s="18">
        <v>0.49</v>
      </c>
      <c r="AN632" s="18">
        <v>0.26300000000000001</v>
      </c>
      <c r="AO632" s="18">
        <v>5</v>
      </c>
      <c r="AP632" s="18">
        <v>-9.2479999999999993</v>
      </c>
      <c r="AQ632" s="18">
        <v>0</v>
      </c>
      <c r="AR632" s="18">
        <v>4.6199999999999998E-2</v>
      </c>
      <c r="AS632" s="18">
        <v>0.92</v>
      </c>
      <c r="AT632" s="18">
        <v>0</v>
      </c>
      <c r="AU632" s="18">
        <v>0.10299999999999999</v>
      </c>
      <c r="AV632" s="18">
        <v>0.36099999999999999</v>
      </c>
      <c r="AW632" s="18">
        <v>73.834000000000003</v>
      </c>
      <c r="AX632" s="18">
        <v>4</v>
      </c>
      <c r="AY632" s="19" t="s">
        <v>24</v>
      </c>
    </row>
    <row r="633" spans="32:51" x14ac:dyDescent="0.35">
      <c r="AF633" s="14" t="s">
        <v>1899</v>
      </c>
      <c r="AG633" s="15" t="s">
        <v>1202</v>
      </c>
      <c r="AH633" s="15" t="s">
        <v>1900</v>
      </c>
      <c r="AI633" s="15" t="s">
        <v>1901</v>
      </c>
      <c r="AJ633" s="15">
        <v>28</v>
      </c>
      <c r="AK633" s="15">
        <v>312133</v>
      </c>
      <c r="AL633" s="15" t="b">
        <v>0</v>
      </c>
      <c r="AM633" s="15">
        <v>0.46500000000000002</v>
      </c>
      <c r="AN633" s="15">
        <v>0.21099999999999999</v>
      </c>
      <c r="AO633" s="15">
        <v>7</v>
      </c>
      <c r="AP633" s="15">
        <v>-14.143000000000001</v>
      </c>
      <c r="AQ633" s="15">
        <v>1</v>
      </c>
      <c r="AR633" s="15">
        <v>3.8399999999999997E-2</v>
      </c>
      <c r="AS633" s="15">
        <v>0.81200000000000006</v>
      </c>
      <c r="AT633" s="15">
        <v>1.99E-3</v>
      </c>
      <c r="AU633" s="15">
        <v>0.10199999999999999</v>
      </c>
      <c r="AV633" s="15">
        <v>0.25600000000000001</v>
      </c>
      <c r="AW633" s="15">
        <v>83.257000000000005</v>
      </c>
      <c r="AX633" s="15">
        <v>4</v>
      </c>
      <c r="AY633" s="16" t="s">
        <v>24</v>
      </c>
    </row>
    <row r="634" spans="32:51" x14ac:dyDescent="0.35">
      <c r="AF634" s="17" t="s">
        <v>1902</v>
      </c>
      <c r="AG634" s="18" t="s">
        <v>408</v>
      </c>
      <c r="AH634" s="18" t="s">
        <v>1903</v>
      </c>
      <c r="AI634" s="18" t="s">
        <v>1903</v>
      </c>
      <c r="AJ634" s="18">
        <v>51</v>
      </c>
      <c r="AK634" s="18">
        <v>248386</v>
      </c>
      <c r="AL634" s="18" t="b">
        <v>0</v>
      </c>
      <c r="AM634" s="18">
        <v>0.47699999999999998</v>
      </c>
      <c r="AN634" s="18">
        <v>0.34</v>
      </c>
      <c r="AO634" s="18">
        <v>0</v>
      </c>
      <c r="AP634" s="18">
        <v>-11.666</v>
      </c>
      <c r="AQ634" s="18">
        <v>1</v>
      </c>
      <c r="AR634" s="18">
        <v>3.1899999999999998E-2</v>
      </c>
      <c r="AS634" s="18">
        <v>0.84899999999999998</v>
      </c>
      <c r="AT634" s="18">
        <v>4.8799999999999999E-4</v>
      </c>
      <c r="AU634" s="18">
        <v>9.9199999999999997E-2</v>
      </c>
      <c r="AV634" s="18">
        <v>0.26100000000000001</v>
      </c>
      <c r="AW634" s="18">
        <v>173.86</v>
      </c>
      <c r="AX634" s="18">
        <v>4</v>
      </c>
      <c r="AY634" s="19" t="s">
        <v>24</v>
      </c>
    </row>
    <row r="635" spans="32:51" x14ac:dyDescent="0.35">
      <c r="AF635" s="14" t="s">
        <v>1904</v>
      </c>
      <c r="AG635" s="15" t="s">
        <v>408</v>
      </c>
      <c r="AH635" s="15" t="s">
        <v>460</v>
      </c>
      <c r="AI635" s="15" t="s">
        <v>1905</v>
      </c>
      <c r="AJ635" s="15">
        <v>53</v>
      </c>
      <c r="AK635" s="15">
        <v>291386</v>
      </c>
      <c r="AL635" s="15" t="b">
        <v>0</v>
      </c>
      <c r="AM635" s="15">
        <v>0.41099999999999998</v>
      </c>
      <c r="AN635" s="15">
        <v>0.191</v>
      </c>
      <c r="AO635" s="15">
        <v>7</v>
      </c>
      <c r="AP635" s="15">
        <v>-10.178000000000001</v>
      </c>
      <c r="AQ635" s="15">
        <v>1</v>
      </c>
      <c r="AR635" s="15">
        <v>3.0800000000000001E-2</v>
      </c>
      <c r="AS635" s="15">
        <v>0.91600000000000004</v>
      </c>
      <c r="AT635" s="15">
        <v>0</v>
      </c>
      <c r="AU635" s="15">
        <v>0.1</v>
      </c>
      <c r="AV635" s="15">
        <v>0.155</v>
      </c>
      <c r="AW635" s="15">
        <v>74.92</v>
      </c>
      <c r="AX635" s="15">
        <v>3</v>
      </c>
      <c r="AY635" s="16" t="s">
        <v>24</v>
      </c>
    </row>
    <row r="636" spans="32:51" x14ac:dyDescent="0.35">
      <c r="AF636" s="17" t="s">
        <v>1906</v>
      </c>
      <c r="AG636" s="18" t="s">
        <v>418</v>
      </c>
      <c r="AH636" s="18" t="s">
        <v>1310</v>
      </c>
      <c r="AI636" s="18" t="s">
        <v>1907</v>
      </c>
      <c r="AJ636" s="18">
        <v>52</v>
      </c>
      <c r="AK636" s="18">
        <v>254026</v>
      </c>
      <c r="AL636" s="18" t="b">
        <v>0</v>
      </c>
      <c r="AM636" s="18">
        <v>0.59199999999999997</v>
      </c>
      <c r="AN636" s="18">
        <v>0.30399999999999999</v>
      </c>
      <c r="AO636" s="18">
        <v>8</v>
      </c>
      <c r="AP636" s="18">
        <v>-9.8330000000000002</v>
      </c>
      <c r="AQ636" s="18">
        <v>1</v>
      </c>
      <c r="AR636" s="18">
        <v>2.98E-2</v>
      </c>
      <c r="AS636" s="18">
        <v>0.56399999999999995</v>
      </c>
      <c r="AT636" s="18">
        <v>0</v>
      </c>
      <c r="AU636" s="18">
        <v>0.107</v>
      </c>
      <c r="AV636" s="18">
        <v>0.307</v>
      </c>
      <c r="AW636" s="18">
        <v>114.72</v>
      </c>
      <c r="AX636" s="18">
        <v>3</v>
      </c>
      <c r="AY636" s="19" t="s">
        <v>24</v>
      </c>
    </row>
    <row r="637" spans="32:51" x14ac:dyDescent="0.35">
      <c r="AF637" s="14" t="s">
        <v>1908</v>
      </c>
      <c r="AG637" s="15" t="s">
        <v>408</v>
      </c>
      <c r="AH637" s="15" t="s">
        <v>1909</v>
      </c>
      <c r="AI637" s="15" t="s">
        <v>1909</v>
      </c>
      <c r="AJ637" s="15">
        <v>42</v>
      </c>
      <c r="AK637" s="15">
        <v>236000</v>
      </c>
      <c r="AL637" s="15" t="b">
        <v>0</v>
      </c>
      <c r="AM637" s="15">
        <v>0.439</v>
      </c>
      <c r="AN637" s="15">
        <v>0.29199999999999998</v>
      </c>
      <c r="AO637" s="15">
        <v>0</v>
      </c>
      <c r="AP637" s="15">
        <v>-10.92</v>
      </c>
      <c r="AQ637" s="15">
        <v>1</v>
      </c>
      <c r="AR637" s="15">
        <v>3.0800000000000001E-2</v>
      </c>
      <c r="AS637" s="15">
        <v>0.74399999999999999</v>
      </c>
      <c r="AT637" s="31" t="s">
        <v>1910</v>
      </c>
      <c r="AU637" s="15">
        <v>9.8699999999999996E-2</v>
      </c>
      <c r="AV637" s="15">
        <v>0.153</v>
      </c>
      <c r="AW637" s="15">
        <v>82.221999999999994</v>
      </c>
      <c r="AX637" s="15">
        <v>4</v>
      </c>
      <c r="AY637" s="16" t="s">
        <v>24</v>
      </c>
    </row>
    <row r="638" spans="32:51" x14ac:dyDescent="0.35">
      <c r="AF638" s="17" t="s">
        <v>1911</v>
      </c>
      <c r="AG638" s="18" t="s">
        <v>894</v>
      </c>
      <c r="AH638" s="18" t="s">
        <v>1912</v>
      </c>
      <c r="AI638" s="18" t="s">
        <v>1913</v>
      </c>
      <c r="AJ638" s="18">
        <v>29</v>
      </c>
      <c r="AK638" s="18">
        <v>133840</v>
      </c>
      <c r="AL638" s="18" t="b">
        <v>0</v>
      </c>
      <c r="AM638" s="18">
        <v>0.65900000000000003</v>
      </c>
      <c r="AN638" s="18">
        <v>0.83</v>
      </c>
      <c r="AO638" s="18">
        <v>5</v>
      </c>
      <c r="AP638" s="18">
        <v>-4.6589999999999998</v>
      </c>
      <c r="AQ638" s="18">
        <v>1</v>
      </c>
      <c r="AR638" s="18">
        <v>4.4499999999999998E-2</v>
      </c>
      <c r="AS638" s="18">
        <v>0.58799999999999997</v>
      </c>
      <c r="AT638" s="18">
        <v>0</v>
      </c>
      <c r="AU638" s="18">
        <v>0.111</v>
      </c>
      <c r="AV638" s="18">
        <v>0.93700000000000006</v>
      </c>
      <c r="AW638" s="18">
        <v>127.014</v>
      </c>
      <c r="AX638" s="18">
        <v>4</v>
      </c>
      <c r="AY638" s="19" t="s">
        <v>24</v>
      </c>
    </row>
    <row r="639" spans="32:51" x14ac:dyDescent="0.35">
      <c r="AF639" s="14" t="s">
        <v>1914</v>
      </c>
      <c r="AG639" s="15" t="s">
        <v>1202</v>
      </c>
      <c r="AH639" s="15" t="s">
        <v>1211</v>
      </c>
      <c r="AI639" s="15" t="s">
        <v>1211</v>
      </c>
      <c r="AJ639" s="15">
        <v>29</v>
      </c>
      <c r="AK639" s="15">
        <v>229533</v>
      </c>
      <c r="AL639" s="15" t="b">
        <v>0</v>
      </c>
      <c r="AM639" s="15">
        <v>0.373</v>
      </c>
      <c r="AN639" s="15">
        <v>0.71599999999999997</v>
      </c>
      <c r="AO639" s="15">
        <v>5</v>
      </c>
      <c r="AP639" s="15">
        <v>-7.3579999999999997</v>
      </c>
      <c r="AQ639" s="15">
        <v>1</v>
      </c>
      <c r="AR639" s="15">
        <v>3.1300000000000001E-2</v>
      </c>
      <c r="AS639" s="15">
        <v>8.2000000000000003E-2</v>
      </c>
      <c r="AT639" s="15">
        <v>2.3900000000000001E-4</v>
      </c>
      <c r="AU639" s="15">
        <v>0.105</v>
      </c>
      <c r="AV639" s="15">
        <v>0.374</v>
      </c>
      <c r="AW639" s="15">
        <v>134.76400000000001</v>
      </c>
      <c r="AX639" s="15">
        <v>4</v>
      </c>
      <c r="AY639" s="16" t="s">
        <v>24</v>
      </c>
    </row>
    <row r="640" spans="32:51" x14ac:dyDescent="0.35">
      <c r="AF640" s="17" t="s">
        <v>1915</v>
      </c>
      <c r="AG640" s="18" t="s">
        <v>140</v>
      </c>
      <c r="AH640" s="18" t="s">
        <v>1916</v>
      </c>
      <c r="AI640" s="18" t="s">
        <v>1917</v>
      </c>
      <c r="AJ640" s="18">
        <v>60</v>
      </c>
      <c r="AK640" s="18">
        <v>279373</v>
      </c>
      <c r="AL640" s="18" t="b">
        <v>0</v>
      </c>
      <c r="AM640" s="18">
        <v>0.23599999999999999</v>
      </c>
      <c r="AN640" s="18">
        <v>0.57799999999999996</v>
      </c>
      <c r="AO640" s="18">
        <v>7</v>
      </c>
      <c r="AP640" s="18">
        <v>-5.4770000000000003</v>
      </c>
      <c r="AQ640" s="18">
        <v>1</v>
      </c>
      <c r="AR640" s="18">
        <v>4.0399999999999998E-2</v>
      </c>
      <c r="AS640" s="18">
        <v>0.32700000000000001</v>
      </c>
      <c r="AT640" s="18">
        <v>1.4999999999999999E-4</v>
      </c>
      <c r="AU640" s="18">
        <v>0.20599999999999999</v>
      </c>
      <c r="AV640" s="18">
        <v>0.22700000000000001</v>
      </c>
      <c r="AW640" s="18">
        <v>75.367000000000004</v>
      </c>
      <c r="AX640" s="18">
        <v>4</v>
      </c>
      <c r="AY640" s="19" t="s">
        <v>24</v>
      </c>
    </row>
    <row r="641" spans="32:51" x14ac:dyDescent="0.35">
      <c r="AF641" s="14" t="s">
        <v>1918</v>
      </c>
      <c r="AG641" s="15" t="s">
        <v>149</v>
      </c>
      <c r="AH641" s="15" t="s">
        <v>285</v>
      </c>
      <c r="AI641" s="15" t="s">
        <v>1919</v>
      </c>
      <c r="AJ641" s="15">
        <v>51</v>
      </c>
      <c r="AK641" s="15">
        <v>60306</v>
      </c>
      <c r="AL641" s="15" t="b">
        <v>0</v>
      </c>
      <c r="AM641" s="15">
        <v>0.33700000000000002</v>
      </c>
      <c r="AN641" s="15">
        <v>0.28699999999999998</v>
      </c>
      <c r="AO641" s="15">
        <v>0</v>
      </c>
      <c r="AP641" s="15">
        <v>-15.051</v>
      </c>
      <c r="AQ641" s="15">
        <v>1</v>
      </c>
      <c r="AR641" s="15">
        <v>3.32E-2</v>
      </c>
      <c r="AS641" s="15">
        <v>0.89800000000000002</v>
      </c>
      <c r="AT641" s="15">
        <v>0.97799999999999998</v>
      </c>
      <c r="AU641" s="15">
        <v>0.12</v>
      </c>
      <c r="AV641" s="15">
        <v>0.39300000000000002</v>
      </c>
      <c r="AW641" s="15">
        <v>107.03100000000001</v>
      </c>
      <c r="AX641" s="15">
        <v>4</v>
      </c>
      <c r="AY641" s="16" t="s">
        <v>24</v>
      </c>
    </row>
    <row r="642" spans="32:51" x14ac:dyDescent="0.35">
      <c r="AF642" s="17" t="s">
        <v>1920</v>
      </c>
      <c r="AG642" s="18" t="s">
        <v>1921</v>
      </c>
      <c r="AH642" s="18" t="s">
        <v>1665</v>
      </c>
      <c r="AI642" s="18" t="s">
        <v>1922</v>
      </c>
      <c r="AJ642" s="18">
        <v>28</v>
      </c>
      <c r="AK642" s="18">
        <v>124742</v>
      </c>
      <c r="AL642" s="18" t="b">
        <v>0</v>
      </c>
      <c r="AM642" s="18">
        <v>0.46200000000000002</v>
      </c>
      <c r="AN642" s="18">
        <v>0.42399999999999999</v>
      </c>
      <c r="AO642" s="18">
        <v>5</v>
      </c>
      <c r="AP642" s="18">
        <v>-7.0380000000000003</v>
      </c>
      <c r="AQ642" s="18">
        <v>0</v>
      </c>
      <c r="AR642" s="18">
        <v>3.0099999999999998E-2</v>
      </c>
      <c r="AS642" s="18">
        <v>0.88300000000000001</v>
      </c>
      <c r="AT642" s="18">
        <v>0</v>
      </c>
      <c r="AU642" s="18">
        <v>0.14699999999999999</v>
      </c>
      <c r="AV642" s="18">
        <v>0.56399999999999995</v>
      </c>
      <c r="AW642" s="18">
        <v>97.674999999999997</v>
      </c>
      <c r="AX642" s="18">
        <v>4</v>
      </c>
      <c r="AY642" s="19" t="s">
        <v>24</v>
      </c>
    </row>
    <row r="643" spans="32:51" x14ac:dyDescent="0.35">
      <c r="AF643" s="14" t="s">
        <v>1923</v>
      </c>
      <c r="AG643" s="15" t="s">
        <v>1924</v>
      </c>
      <c r="AH643" s="15" t="s">
        <v>1925</v>
      </c>
      <c r="AI643" s="15" t="s">
        <v>1926</v>
      </c>
      <c r="AJ643" s="15">
        <v>27</v>
      </c>
      <c r="AK643" s="15">
        <v>169000</v>
      </c>
      <c r="AL643" s="15" t="b">
        <v>0</v>
      </c>
      <c r="AM643" s="15">
        <v>0.51</v>
      </c>
      <c r="AN643" s="15">
        <v>0.48499999999999999</v>
      </c>
      <c r="AO643" s="15">
        <v>9</v>
      </c>
      <c r="AP643" s="15">
        <v>-4.4320000000000004</v>
      </c>
      <c r="AQ643" s="15">
        <v>0</v>
      </c>
      <c r="AR643" s="15">
        <v>3.3399999999999999E-2</v>
      </c>
      <c r="AS643" s="15">
        <v>0.61199999999999999</v>
      </c>
      <c r="AT643" s="31" t="s">
        <v>1927</v>
      </c>
      <c r="AU643" s="15">
        <v>0.126</v>
      </c>
      <c r="AV643" s="15">
        <v>0.45100000000000001</v>
      </c>
      <c r="AW643" s="15">
        <v>154.97</v>
      </c>
      <c r="AX643" s="15">
        <v>4</v>
      </c>
      <c r="AY643" s="16" t="s">
        <v>24</v>
      </c>
    </row>
    <row r="644" spans="32:51" x14ac:dyDescent="0.35">
      <c r="AF644" s="17" t="s">
        <v>1928</v>
      </c>
      <c r="AG644" s="18" t="s">
        <v>1929</v>
      </c>
      <c r="AH644" s="18" t="s">
        <v>1930</v>
      </c>
      <c r="AI644" s="18" t="s">
        <v>1931</v>
      </c>
      <c r="AJ644" s="18">
        <v>28</v>
      </c>
      <c r="AK644" s="18">
        <v>196213</v>
      </c>
      <c r="AL644" s="18" t="b">
        <v>0</v>
      </c>
      <c r="AM644" s="18">
        <v>0.56000000000000005</v>
      </c>
      <c r="AN644" s="18">
        <v>0.755</v>
      </c>
      <c r="AO644" s="18">
        <v>1</v>
      </c>
      <c r="AP644" s="18">
        <v>-3.923</v>
      </c>
      <c r="AQ644" s="18">
        <v>0</v>
      </c>
      <c r="AR644" s="18">
        <v>2.7799999999999998E-2</v>
      </c>
      <c r="AS644" s="18">
        <v>0.28599999999999998</v>
      </c>
      <c r="AT644" s="18">
        <v>4.9799999999999996E-4</v>
      </c>
      <c r="AU644" s="18">
        <v>0.24299999999999999</v>
      </c>
      <c r="AV644" s="18">
        <v>0.49099999999999999</v>
      </c>
      <c r="AW644" s="18">
        <v>147.13800000000001</v>
      </c>
      <c r="AX644" s="18">
        <v>4</v>
      </c>
      <c r="AY644" s="19" t="s">
        <v>24</v>
      </c>
    </row>
    <row r="645" spans="32:51" x14ac:dyDescent="0.35">
      <c r="AF645" s="14" t="s">
        <v>1932</v>
      </c>
      <c r="AG645" s="15" t="s">
        <v>773</v>
      </c>
      <c r="AH645" s="15" t="s">
        <v>1933</v>
      </c>
      <c r="AI645" s="15" t="s">
        <v>1934</v>
      </c>
      <c r="AJ645" s="15">
        <v>58</v>
      </c>
      <c r="AK645" s="15">
        <v>169997</v>
      </c>
      <c r="AL645" s="15" t="b">
        <v>0</v>
      </c>
      <c r="AM645" s="15">
        <v>0.71099999999999997</v>
      </c>
      <c r="AN645" s="15">
        <v>0.48299999999999998</v>
      </c>
      <c r="AO645" s="15">
        <v>11</v>
      </c>
      <c r="AP645" s="15">
        <v>-11.211</v>
      </c>
      <c r="AQ645" s="15">
        <v>1</v>
      </c>
      <c r="AR645" s="15">
        <v>2.98E-2</v>
      </c>
      <c r="AS645" s="15">
        <v>0.434</v>
      </c>
      <c r="AT645" s="15">
        <v>1.2E-2</v>
      </c>
      <c r="AU645" s="15">
        <v>2.8400000000000002E-2</v>
      </c>
      <c r="AV645" s="15">
        <v>0.88400000000000001</v>
      </c>
      <c r="AW645" s="15">
        <v>91.652000000000001</v>
      </c>
      <c r="AX645" s="15">
        <v>4</v>
      </c>
      <c r="AY645" s="16" t="s">
        <v>24</v>
      </c>
    </row>
    <row r="646" spans="32:51" x14ac:dyDescent="0.35">
      <c r="AF646" s="17" t="s">
        <v>1935</v>
      </c>
      <c r="AG646" s="18" t="s">
        <v>617</v>
      </c>
      <c r="AH646" s="18" t="s">
        <v>618</v>
      </c>
      <c r="AI646" s="18" t="s">
        <v>1936</v>
      </c>
      <c r="AJ646" s="18">
        <v>54</v>
      </c>
      <c r="AK646" s="18">
        <v>120720</v>
      </c>
      <c r="AL646" s="18" t="b">
        <v>0</v>
      </c>
      <c r="AM646" s="18">
        <v>0.75900000000000001</v>
      </c>
      <c r="AN646" s="18">
        <v>0.159</v>
      </c>
      <c r="AO646" s="18">
        <v>11</v>
      </c>
      <c r="AP646" s="18">
        <v>-13.035</v>
      </c>
      <c r="AQ646" s="18">
        <v>1</v>
      </c>
      <c r="AR646" s="18">
        <v>4.53E-2</v>
      </c>
      <c r="AS646" s="18">
        <v>0.95699999999999996</v>
      </c>
      <c r="AT646" s="18">
        <v>4.7199999999999998E-4</v>
      </c>
      <c r="AU646" s="18">
        <v>0.10299999999999999</v>
      </c>
      <c r="AV646" s="18">
        <v>0.32900000000000001</v>
      </c>
      <c r="AW646" s="18">
        <v>115.94499999999999</v>
      </c>
      <c r="AX646" s="18">
        <v>3</v>
      </c>
      <c r="AY646" s="19" t="s">
        <v>24</v>
      </c>
    </row>
    <row r="647" spans="32:51" x14ac:dyDescent="0.35">
      <c r="AF647" s="14" t="s">
        <v>1937</v>
      </c>
      <c r="AG647" s="15" t="s">
        <v>1938</v>
      </c>
      <c r="AH647" s="15" t="s">
        <v>1939</v>
      </c>
      <c r="AI647" s="15" t="s">
        <v>1940</v>
      </c>
      <c r="AJ647" s="15">
        <v>28</v>
      </c>
      <c r="AK647" s="15">
        <v>149274</v>
      </c>
      <c r="AL647" s="15" t="b">
        <v>0</v>
      </c>
      <c r="AM647" s="15">
        <v>0.38</v>
      </c>
      <c r="AN647" s="15">
        <v>0.39600000000000002</v>
      </c>
      <c r="AO647" s="15">
        <v>6</v>
      </c>
      <c r="AP647" s="15">
        <v>-6.5069999999999997</v>
      </c>
      <c r="AQ647" s="15">
        <v>1</v>
      </c>
      <c r="AR647" s="15">
        <v>3.6600000000000001E-2</v>
      </c>
      <c r="AS647" s="15">
        <v>0.20200000000000001</v>
      </c>
      <c r="AT647" s="15">
        <v>0</v>
      </c>
      <c r="AU647" s="15">
        <v>0.13300000000000001</v>
      </c>
      <c r="AV647" s="15">
        <v>0.192</v>
      </c>
      <c r="AW647" s="15">
        <v>103.621</v>
      </c>
      <c r="AX647" s="15">
        <v>4</v>
      </c>
      <c r="AY647" s="16" t="s">
        <v>24</v>
      </c>
    </row>
    <row r="648" spans="32:51" x14ac:dyDescent="0.35">
      <c r="AF648" s="17" t="s">
        <v>1941</v>
      </c>
      <c r="AG648" s="18" t="s">
        <v>755</v>
      </c>
      <c r="AH648" s="18" t="s">
        <v>920</v>
      </c>
      <c r="AI648" s="18" t="s">
        <v>1942</v>
      </c>
      <c r="AJ648" s="18">
        <v>29</v>
      </c>
      <c r="AK648" s="18">
        <v>127033</v>
      </c>
      <c r="AL648" s="18" t="b">
        <v>1</v>
      </c>
      <c r="AM648" s="18">
        <v>0.59799999999999998</v>
      </c>
      <c r="AN648" s="18">
        <v>0.59899999999999998</v>
      </c>
      <c r="AO648" s="18">
        <v>3</v>
      </c>
      <c r="AP648" s="18">
        <v>-10.265000000000001</v>
      </c>
      <c r="AQ648" s="18">
        <v>1</v>
      </c>
      <c r="AR648" s="18">
        <v>8.2299999999999998E-2</v>
      </c>
      <c r="AS648" s="18">
        <v>0.32600000000000001</v>
      </c>
      <c r="AT648" s="32" t="s">
        <v>1943</v>
      </c>
      <c r="AU648" s="18">
        <v>0.11700000000000001</v>
      </c>
      <c r="AV648" s="18">
        <v>0.94</v>
      </c>
      <c r="AW648" s="18">
        <v>90.206000000000003</v>
      </c>
      <c r="AX648" s="18">
        <v>4</v>
      </c>
      <c r="AY648" s="19" t="s">
        <v>24</v>
      </c>
    </row>
    <row r="649" spans="32:51" x14ac:dyDescent="0.35">
      <c r="AF649" s="14" t="s">
        <v>1944</v>
      </c>
      <c r="AG649" s="15" t="s">
        <v>1921</v>
      </c>
      <c r="AH649" s="15" t="s">
        <v>1665</v>
      </c>
      <c r="AI649" s="15" t="s">
        <v>1945</v>
      </c>
      <c r="AJ649" s="15">
        <v>28</v>
      </c>
      <c r="AK649" s="15">
        <v>169404</v>
      </c>
      <c r="AL649" s="15" t="b">
        <v>0</v>
      </c>
      <c r="AM649" s="15">
        <v>0.65100000000000002</v>
      </c>
      <c r="AN649" s="15">
        <v>0.42499999999999999</v>
      </c>
      <c r="AO649" s="15">
        <v>3</v>
      </c>
      <c r="AP649" s="15">
        <v>-6.0019999999999998</v>
      </c>
      <c r="AQ649" s="15">
        <v>1</v>
      </c>
      <c r="AR649" s="15">
        <v>3.09E-2</v>
      </c>
      <c r="AS649" s="15">
        <v>0.879</v>
      </c>
      <c r="AT649" s="31" t="s">
        <v>1946</v>
      </c>
      <c r="AU649" s="15">
        <v>0.156</v>
      </c>
      <c r="AV649" s="15">
        <v>0.30199999999999999</v>
      </c>
      <c r="AW649" s="15">
        <v>104.819</v>
      </c>
      <c r="AX649" s="15">
        <v>4</v>
      </c>
      <c r="AY649" s="16" t="s">
        <v>24</v>
      </c>
    </row>
    <row r="650" spans="32:51" x14ac:dyDescent="0.35">
      <c r="AF650" s="17" t="s">
        <v>1947</v>
      </c>
      <c r="AG650" s="18" t="s">
        <v>1069</v>
      </c>
      <c r="AH650" s="18" t="s">
        <v>1070</v>
      </c>
      <c r="AI650" s="18" t="s">
        <v>1948</v>
      </c>
      <c r="AJ650" s="18">
        <v>28</v>
      </c>
      <c r="AK650" s="18">
        <v>202594</v>
      </c>
      <c r="AL650" s="18" t="b">
        <v>0</v>
      </c>
      <c r="AM650" s="18">
        <v>0.30599999999999999</v>
      </c>
      <c r="AN650" s="18">
        <v>0.94799999999999995</v>
      </c>
      <c r="AO650" s="18">
        <v>0</v>
      </c>
      <c r="AP650" s="18">
        <v>-2.8769999999999998</v>
      </c>
      <c r="AQ650" s="18">
        <v>1</v>
      </c>
      <c r="AR650" s="18">
        <v>9.8900000000000002E-2</v>
      </c>
      <c r="AS650" s="18">
        <v>0.64</v>
      </c>
      <c r="AT650" s="18">
        <v>0</v>
      </c>
      <c r="AU650" s="18">
        <v>0.35299999999999998</v>
      </c>
      <c r="AV650" s="18">
        <v>0.90300000000000002</v>
      </c>
      <c r="AW650" s="18">
        <v>135.76</v>
      </c>
      <c r="AX650" s="18">
        <v>4</v>
      </c>
      <c r="AY650" s="19" t="s">
        <v>24</v>
      </c>
    </row>
    <row r="651" spans="32:51" x14ac:dyDescent="0.35">
      <c r="AF651" s="14" t="s">
        <v>1949</v>
      </c>
      <c r="AG651" s="15" t="s">
        <v>1950</v>
      </c>
      <c r="AH651" s="15" t="s">
        <v>1950</v>
      </c>
      <c r="AI651" s="15" t="s">
        <v>1951</v>
      </c>
      <c r="AJ651" s="15">
        <v>28</v>
      </c>
      <c r="AK651" s="15">
        <v>125100</v>
      </c>
      <c r="AL651" s="15" t="b">
        <v>1</v>
      </c>
      <c r="AM651" s="15">
        <v>0.46899999999999997</v>
      </c>
      <c r="AN651" s="15">
        <v>0.45700000000000002</v>
      </c>
      <c r="AO651" s="15">
        <v>5</v>
      </c>
      <c r="AP651" s="15">
        <v>-10.102</v>
      </c>
      <c r="AQ651" s="15">
        <v>1</v>
      </c>
      <c r="AR651" s="15">
        <v>4.1200000000000001E-2</v>
      </c>
      <c r="AS651" s="15">
        <v>0.69199999999999995</v>
      </c>
      <c r="AT651" s="15">
        <v>0</v>
      </c>
      <c r="AU651" s="15">
        <v>5.3100000000000001E-2</v>
      </c>
      <c r="AV651" s="15">
        <v>0.89300000000000002</v>
      </c>
      <c r="AW651" s="15">
        <v>84.063999999999993</v>
      </c>
      <c r="AX651" s="15">
        <v>4</v>
      </c>
      <c r="AY651" s="16" t="s">
        <v>24</v>
      </c>
    </row>
    <row r="652" spans="32:51" x14ac:dyDescent="0.35">
      <c r="AF652" s="17" t="s">
        <v>1952</v>
      </c>
      <c r="AG652" s="18" t="s">
        <v>1073</v>
      </c>
      <c r="AH652" s="18" t="s">
        <v>1953</v>
      </c>
      <c r="AI652" s="18" t="s">
        <v>1954</v>
      </c>
      <c r="AJ652" s="18">
        <v>28</v>
      </c>
      <c r="AK652" s="18">
        <v>202400</v>
      </c>
      <c r="AL652" s="18" t="b">
        <v>0</v>
      </c>
      <c r="AM652" s="18">
        <v>0.442</v>
      </c>
      <c r="AN652" s="18">
        <v>0.89800000000000002</v>
      </c>
      <c r="AO652" s="18">
        <v>5</v>
      </c>
      <c r="AP652" s="18">
        <v>-4.6619999999999999</v>
      </c>
      <c r="AQ652" s="18">
        <v>1</v>
      </c>
      <c r="AR652" s="18">
        <v>6.13E-2</v>
      </c>
      <c r="AS652" s="18">
        <v>1.5799999999999999E-4</v>
      </c>
      <c r="AT652" s="32" t="s">
        <v>1955</v>
      </c>
      <c r="AU652" s="18">
        <v>0.1</v>
      </c>
      <c r="AV652" s="18">
        <v>0.44600000000000001</v>
      </c>
      <c r="AW652" s="18">
        <v>144.29900000000001</v>
      </c>
      <c r="AX652" s="18">
        <v>4</v>
      </c>
      <c r="AY652" s="19" t="s">
        <v>24</v>
      </c>
    </row>
    <row r="653" spans="32:51" x14ac:dyDescent="0.35">
      <c r="AF653" s="14" t="s">
        <v>1956</v>
      </c>
      <c r="AG653" s="15" t="s">
        <v>1093</v>
      </c>
      <c r="AH653" s="15">
        <v>0</v>
      </c>
      <c r="AI653" s="15" t="s">
        <v>1957</v>
      </c>
      <c r="AJ653" s="15">
        <v>52</v>
      </c>
      <c r="AK653" s="15">
        <v>406103</v>
      </c>
      <c r="AL653" s="15" t="b">
        <v>0</v>
      </c>
      <c r="AM653" s="15">
        <v>0.59199999999999997</v>
      </c>
      <c r="AN653" s="15">
        <v>8.3299999999999999E-2</v>
      </c>
      <c r="AO653" s="15">
        <v>0</v>
      </c>
      <c r="AP653" s="15">
        <v>-16.516999999999999</v>
      </c>
      <c r="AQ653" s="15">
        <v>0</v>
      </c>
      <c r="AR653" s="15">
        <v>8.3500000000000005E-2</v>
      </c>
      <c r="AS653" s="15">
        <v>0.94599999999999995</v>
      </c>
      <c r="AT653" s="15">
        <v>7.9100000000000004E-2</v>
      </c>
      <c r="AU653" s="15">
        <v>9.4100000000000003E-2</v>
      </c>
      <c r="AV653" s="15">
        <v>0.20499999999999999</v>
      </c>
      <c r="AW653" s="15">
        <v>143.24299999999999</v>
      </c>
      <c r="AX653" s="15">
        <v>4</v>
      </c>
      <c r="AY653" s="16" t="s">
        <v>24</v>
      </c>
    </row>
    <row r="654" spans="32:51" x14ac:dyDescent="0.35">
      <c r="AF654" s="17" t="s">
        <v>1958</v>
      </c>
      <c r="AG654" s="18" t="s">
        <v>339</v>
      </c>
      <c r="AH654" s="18" t="s">
        <v>1959</v>
      </c>
      <c r="AI654" s="18" t="s">
        <v>1959</v>
      </c>
      <c r="AJ654" s="18">
        <v>46</v>
      </c>
      <c r="AK654" s="18">
        <v>247805</v>
      </c>
      <c r="AL654" s="18" t="b">
        <v>0</v>
      </c>
      <c r="AM654" s="18">
        <v>0.69799999999999995</v>
      </c>
      <c r="AN654" s="18">
        <v>0.38900000000000001</v>
      </c>
      <c r="AO654" s="18">
        <v>2</v>
      </c>
      <c r="AP654" s="18">
        <v>-6.2460000000000004</v>
      </c>
      <c r="AQ654" s="18">
        <v>0</v>
      </c>
      <c r="AR654" s="18">
        <v>3.2099999999999997E-2</v>
      </c>
      <c r="AS654" s="18">
        <v>0.88500000000000001</v>
      </c>
      <c r="AT654" s="18">
        <v>0</v>
      </c>
      <c r="AU654" s="18">
        <v>0.13600000000000001</v>
      </c>
      <c r="AV654" s="18">
        <v>0.70399999999999996</v>
      </c>
      <c r="AW654" s="18">
        <v>76.897000000000006</v>
      </c>
      <c r="AX654" s="18">
        <v>4</v>
      </c>
      <c r="AY654" s="19" t="s">
        <v>24</v>
      </c>
    </row>
    <row r="655" spans="32:51" x14ac:dyDescent="0.35">
      <c r="AF655" s="14" t="s">
        <v>1960</v>
      </c>
      <c r="AG655" s="15" t="s">
        <v>199</v>
      </c>
      <c r="AH655" s="15" t="s">
        <v>1961</v>
      </c>
      <c r="AI655" s="15" t="s">
        <v>1961</v>
      </c>
      <c r="AJ655" s="15">
        <v>47</v>
      </c>
      <c r="AK655" s="15">
        <v>191765</v>
      </c>
      <c r="AL655" s="15" t="b">
        <v>0</v>
      </c>
      <c r="AM655" s="15">
        <v>0.39600000000000002</v>
      </c>
      <c r="AN655" s="15">
        <v>0.29299999999999998</v>
      </c>
      <c r="AO655" s="15">
        <v>1</v>
      </c>
      <c r="AP655" s="15">
        <v>-10.739000000000001</v>
      </c>
      <c r="AQ655" s="15">
        <v>0</v>
      </c>
      <c r="AR655" s="15">
        <v>3.6700000000000003E-2</v>
      </c>
      <c r="AS655" s="15">
        <v>0.73199999999999998</v>
      </c>
      <c r="AT655" s="15">
        <v>0.11600000000000001</v>
      </c>
      <c r="AU655" s="15">
        <v>0.10199999999999999</v>
      </c>
      <c r="AV655" s="15">
        <v>0.19900000000000001</v>
      </c>
      <c r="AW655" s="15">
        <v>145.55600000000001</v>
      </c>
      <c r="AX655" s="15">
        <v>3</v>
      </c>
      <c r="AY655" s="16" t="s">
        <v>24</v>
      </c>
    </row>
    <row r="656" spans="32:51" x14ac:dyDescent="0.35">
      <c r="AF656" s="17" t="s">
        <v>1962</v>
      </c>
      <c r="AG656" s="18" t="s">
        <v>1963</v>
      </c>
      <c r="AH656" s="18" t="s">
        <v>1964</v>
      </c>
      <c r="AI656" s="18" t="s">
        <v>1965</v>
      </c>
      <c r="AJ656" s="18">
        <v>39</v>
      </c>
      <c r="AK656" s="18">
        <v>192397</v>
      </c>
      <c r="AL656" s="18" t="b">
        <v>0</v>
      </c>
      <c r="AM656" s="18">
        <v>0.55900000000000005</v>
      </c>
      <c r="AN656" s="18">
        <v>0.11799999999999999</v>
      </c>
      <c r="AO656" s="18">
        <v>7</v>
      </c>
      <c r="AP656" s="18">
        <v>-16.34</v>
      </c>
      <c r="AQ656" s="18">
        <v>1</v>
      </c>
      <c r="AR656" s="18">
        <v>4.2099999999999999E-2</v>
      </c>
      <c r="AS656" s="18">
        <v>0.97899999999999998</v>
      </c>
      <c r="AT656" s="18">
        <v>0.93500000000000005</v>
      </c>
      <c r="AU656" s="18">
        <v>0.109</v>
      </c>
      <c r="AV656" s="18">
        <v>0.28899999999999998</v>
      </c>
      <c r="AW656" s="18">
        <v>97.1</v>
      </c>
      <c r="AX656" s="18">
        <v>4</v>
      </c>
      <c r="AY656" s="19" t="s">
        <v>24</v>
      </c>
    </row>
    <row r="657" spans="32:51" x14ac:dyDescent="0.35">
      <c r="AF657" s="14" t="s">
        <v>1966</v>
      </c>
      <c r="AG657" s="15" t="s">
        <v>34</v>
      </c>
      <c r="AH657" s="15" t="s">
        <v>1967</v>
      </c>
      <c r="AI657" s="15" t="s">
        <v>1967</v>
      </c>
      <c r="AJ657" s="15">
        <v>50</v>
      </c>
      <c r="AK657" s="15">
        <v>154732</v>
      </c>
      <c r="AL657" s="15" t="b">
        <v>0</v>
      </c>
      <c r="AM657" s="15">
        <v>0.52</v>
      </c>
      <c r="AN657" s="15">
        <v>0.17100000000000001</v>
      </c>
      <c r="AO657" s="15">
        <v>1</v>
      </c>
      <c r="AP657" s="15">
        <v>-14.5</v>
      </c>
      <c r="AQ657" s="15">
        <v>0</v>
      </c>
      <c r="AR657" s="15">
        <v>4.2299999999999997E-2</v>
      </c>
      <c r="AS657" s="15">
        <v>0.85299999999999998</v>
      </c>
      <c r="AT657" s="15">
        <v>0</v>
      </c>
      <c r="AU657" s="15">
        <v>0.17399999999999999</v>
      </c>
      <c r="AV657" s="15">
        <v>0.23</v>
      </c>
      <c r="AW657" s="15">
        <v>123.565</v>
      </c>
      <c r="AX657" s="15">
        <v>3</v>
      </c>
      <c r="AY657" s="16" t="s">
        <v>24</v>
      </c>
    </row>
    <row r="658" spans="32:51" x14ac:dyDescent="0.35">
      <c r="AF658" s="17" t="s">
        <v>1968</v>
      </c>
      <c r="AG658" s="18" t="s">
        <v>413</v>
      </c>
      <c r="AH658" s="18" t="s">
        <v>1969</v>
      </c>
      <c r="AI658" s="18" t="s">
        <v>1970</v>
      </c>
      <c r="AJ658" s="18">
        <v>43</v>
      </c>
      <c r="AK658" s="18">
        <v>215746</v>
      </c>
      <c r="AL658" s="18" t="b">
        <v>0</v>
      </c>
      <c r="AM658" s="18">
        <v>0.23100000000000001</v>
      </c>
      <c r="AN658" s="18">
        <v>0.63600000000000001</v>
      </c>
      <c r="AO658" s="18">
        <v>11</v>
      </c>
      <c r="AP658" s="18">
        <v>-7.2569999999999997</v>
      </c>
      <c r="AQ658" s="18">
        <v>1</v>
      </c>
      <c r="AR658" s="18">
        <v>3.39E-2</v>
      </c>
      <c r="AS658" s="18">
        <v>4.0200000000000001E-3</v>
      </c>
      <c r="AT658" s="18">
        <v>0</v>
      </c>
      <c r="AU658" s="18">
        <v>5.04E-2</v>
      </c>
      <c r="AV658" s="18">
        <v>0.24399999999999999</v>
      </c>
      <c r="AW658" s="18">
        <v>202.09800000000001</v>
      </c>
      <c r="AX658" s="18">
        <v>3</v>
      </c>
      <c r="AY658" s="19" t="s">
        <v>24</v>
      </c>
    </row>
    <row r="659" spans="32:51" x14ac:dyDescent="0.35">
      <c r="AF659" s="14" t="s">
        <v>1971</v>
      </c>
      <c r="AG659" s="15" t="s">
        <v>83</v>
      </c>
      <c r="AH659" s="15" t="s">
        <v>93</v>
      </c>
      <c r="AI659" s="15" t="s">
        <v>93</v>
      </c>
      <c r="AJ659" s="15">
        <v>30</v>
      </c>
      <c r="AK659" s="15">
        <v>218590</v>
      </c>
      <c r="AL659" s="15" t="b">
        <v>0</v>
      </c>
      <c r="AM659" s="15">
        <v>0.80700000000000005</v>
      </c>
      <c r="AN659" s="15">
        <v>4.5900000000000003E-2</v>
      </c>
      <c r="AO659" s="15">
        <v>4</v>
      </c>
      <c r="AP659" s="15">
        <v>-19.882999999999999</v>
      </c>
      <c r="AQ659" s="15">
        <v>1</v>
      </c>
      <c r="AR659" s="15">
        <v>4.8099999999999997E-2</v>
      </c>
      <c r="AS659" s="15">
        <v>0.85199999999999998</v>
      </c>
      <c r="AT659" s="31" t="s">
        <v>1972</v>
      </c>
      <c r="AU659" s="15">
        <v>0.10199999999999999</v>
      </c>
      <c r="AV659" s="15">
        <v>0.27500000000000002</v>
      </c>
      <c r="AW659" s="15">
        <v>110.512</v>
      </c>
      <c r="AX659" s="15">
        <v>4</v>
      </c>
      <c r="AY659" s="16" t="s">
        <v>24</v>
      </c>
    </row>
    <row r="660" spans="32:51" x14ac:dyDescent="0.35">
      <c r="AF660" s="17" t="s">
        <v>1973</v>
      </c>
      <c r="AG660" s="18" t="s">
        <v>998</v>
      </c>
      <c r="AH660" s="18" t="s">
        <v>1974</v>
      </c>
      <c r="AI660" s="18" t="s">
        <v>1975</v>
      </c>
      <c r="AJ660" s="18">
        <v>53</v>
      </c>
      <c r="AK660" s="18">
        <v>251960</v>
      </c>
      <c r="AL660" s="18" t="b">
        <v>0</v>
      </c>
      <c r="AM660" s="18">
        <v>0.61899999999999999</v>
      </c>
      <c r="AN660" s="18">
        <v>0.29899999999999999</v>
      </c>
      <c r="AO660" s="18">
        <v>2</v>
      </c>
      <c r="AP660" s="18">
        <v>-7.7439999999999998</v>
      </c>
      <c r="AQ660" s="18">
        <v>1</v>
      </c>
      <c r="AR660" s="18">
        <v>2.7900000000000001E-2</v>
      </c>
      <c r="AS660" s="18">
        <v>0.84599999999999997</v>
      </c>
      <c r="AT660" s="32" t="s">
        <v>1976</v>
      </c>
      <c r="AU660" s="18">
        <v>0.24299999999999999</v>
      </c>
      <c r="AV660" s="18">
        <v>0.31</v>
      </c>
      <c r="AW660" s="18">
        <v>115.405</v>
      </c>
      <c r="AX660" s="18">
        <v>4</v>
      </c>
      <c r="AY660" s="19" t="s">
        <v>24</v>
      </c>
    </row>
    <row r="661" spans="32:51" x14ac:dyDescent="0.35">
      <c r="AF661" s="14" t="s">
        <v>1977</v>
      </c>
      <c r="AG661" s="15" t="s">
        <v>255</v>
      </c>
      <c r="AH661" s="15" t="s">
        <v>564</v>
      </c>
      <c r="AI661" s="15" t="s">
        <v>564</v>
      </c>
      <c r="AJ661" s="15">
        <v>51</v>
      </c>
      <c r="AK661" s="15">
        <v>165223</v>
      </c>
      <c r="AL661" s="15" t="b">
        <v>0</v>
      </c>
      <c r="AM661" s="15">
        <v>0.60499999999999998</v>
      </c>
      <c r="AN661" s="15">
        <v>0.316</v>
      </c>
      <c r="AO661" s="15">
        <v>0</v>
      </c>
      <c r="AP661" s="15">
        <v>-8.9239999999999995</v>
      </c>
      <c r="AQ661" s="15">
        <v>1</v>
      </c>
      <c r="AR661" s="15">
        <v>3.1899999999999998E-2</v>
      </c>
      <c r="AS661" s="15">
        <v>0.86899999999999999</v>
      </c>
      <c r="AT661" s="31" t="s">
        <v>1978</v>
      </c>
      <c r="AU661" s="15">
        <v>0.14000000000000001</v>
      </c>
      <c r="AV661" s="15">
        <v>0.34399999999999997</v>
      </c>
      <c r="AW661" s="15">
        <v>134.054</v>
      </c>
      <c r="AX661" s="15">
        <v>3</v>
      </c>
      <c r="AY661" s="16" t="s">
        <v>24</v>
      </c>
    </row>
    <row r="662" spans="32:51" x14ac:dyDescent="0.35">
      <c r="AF662" s="17" t="s">
        <v>1979</v>
      </c>
      <c r="AG662" s="18" t="s">
        <v>1980</v>
      </c>
      <c r="AH662" s="18" t="s">
        <v>1981</v>
      </c>
      <c r="AI662" s="18" t="s">
        <v>1982</v>
      </c>
      <c r="AJ662" s="18">
        <v>31</v>
      </c>
      <c r="AK662" s="18">
        <v>228387</v>
      </c>
      <c r="AL662" s="18" t="b">
        <v>0</v>
      </c>
      <c r="AM662" s="18">
        <v>0.52900000000000003</v>
      </c>
      <c r="AN662" s="18">
        <v>0.66300000000000003</v>
      </c>
      <c r="AO662" s="18">
        <v>1</v>
      </c>
      <c r="AP662" s="18">
        <v>-7.0359999999999996</v>
      </c>
      <c r="AQ662" s="18">
        <v>1</v>
      </c>
      <c r="AR662" s="18">
        <v>2.5100000000000001E-2</v>
      </c>
      <c r="AS662" s="18">
        <v>0.36799999999999999</v>
      </c>
      <c r="AT662" s="18">
        <v>2.2499999999999998E-3</v>
      </c>
      <c r="AU662" s="18">
        <v>0.107</v>
      </c>
      <c r="AV662" s="18">
        <v>0.223</v>
      </c>
      <c r="AW662" s="18">
        <v>96.991</v>
      </c>
      <c r="AX662" s="18">
        <v>4</v>
      </c>
      <c r="AY662" s="19" t="s">
        <v>24</v>
      </c>
    </row>
    <row r="663" spans="32:51" x14ac:dyDescent="0.35">
      <c r="AF663" s="14" t="s">
        <v>1983</v>
      </c>
      <c r="AG663" s="15" t="s">
        <v>991</v>
      </c>
      <c r="AH663" s="15" t="s">
        <v>1984</v>
      </c>
      <c r="AI663" s="15" t="s">
        <v>1985</v>
      </c>
      <c r="AJ663" s="15">
        <v>29</v>
      </c>
      <c r="AK663" s="15">
        <v>272320</v>
      </c>
      <c r="AL663" s="15" t="b">
        <v>0</v>
      </c>
      <c r="AM663" s="15">
        <v>0.45900000000000002</v>
      </c>
      <c r="AN663" s="15">
        <v>0.56999999999999995</v>
      </c>
      <c r="AO663" s="15">
        <v>4</v>
      </c>
      <c r="AP663" s="15">
        <v>-5.6719999999999997</v>
      </c>
      <c r="AQ663" s="15">
        <v>1</v>
      </c>
      <c r="AR663" s="15">
        <v>2.93E-2</v>
      </c>
      <c r="AS663" s="15">
        <v>0.19900000000000001</v>
      </c>
      <c r="AT663" s="15">
        <v>0</v>
      </c>
      <c r="AU663" s="15">
        <v>0.13700000000000001</v>
      </c>
      <c r="AV663" s="15">
        <v>0.36099999999999999</v>
      </c>
      <c r="AW663" s="15">
        <v>72.977999999999994</v>
      </c>
      <c r="AX663" s="15">
        <v>4</v>
      </c>
      <c r="AY663" s="16" t="s">
        <v>24</v>
      </c>
    </row>
    <row r="664" spans="32:51" x14ac:dyDescent="0.35">
      <c r="AF664" s="17" t="s">
        <v>1986</v>
      </c>
      <c r="AG664" s="18" t="s">
        <v>1987</v>
      </c>
      <c r="AH664" s="18" t="s">
        <v>1988</v>
      </c>
      <c r="AI664" s="18" t="s">
        <v>1989</v>
      </c>
      <c r="AJ664" s="18">
        <v>43</v>
      </c>
      <c r="AK664" s="18">
        <v>235960</v>
      </c>
      <c r="AL664" s="18" t="b">
        <v>0</v>
      </c>
      <c r="AM664" s="18">
        <v>0.51500000000000001</v>
      </c>
      <c r="AN664" s="18">
        <v>6.8599999999999994E-2</v>
      </c>
      <c r="AO664" s="18">
        <v>0</v>
      </c>
      <c r="AP664" s="18">
        <v>-17.61</v>
      </c>
      <c r="AQ664" s="18">
        <v>1</v>
      </c>
      <c r="AR664" s="18">
        <v>4.0099999999999997E-2</v>
      </c>
      <c r="AS664" s="18">
        <v>0.93600000000000005</v>
      </c>
      <c r="AT664" s="18">
        <v>1.2899999999999999E-4</v>
      </c>
      <c r="AU664" s="18">
        <v>0.11700000000000001</v>
      </c>
      <c r="AV664" s="18">
        <v>0.33</v>
      </c>
      <c r="AW664" s="18">
        <v>113.185</v>
      </c>
      <c r="AX664" s="18">
        <v>5</v>
      </c>
      <c r="AY664" s="19" t="s">
        <v>24</v>
      </c>
    </row>
    <row r="665" spans="32:51" x14ac:dyDescent="0.35">
      <c r="AF665" s="14" t="s">
        <v>1990</v>
      </c>
      <c r="AG665" s="15" t="s">
        <v>1574</v>
      </c>
      <c r="AH665" s="15" t="s">
        <v>499</v>
      </c>
      <c r="AI665" s="15" t="s">
        <v>499</v>
      </c>
      <c r="AJ665" s="15">
        <v>55</v>
      </c>
      <c r="AK665" s="15">
        <v>194129</v>
      </c>
      <c r="AL665" s="15" t="b">
        <v>0</v>
      </c>
      <c r="AM665" s="15">
        <v>0.46</v>
      </c>
      <c r="AN665" s="15">
        <v>0.31900000000000001</v>
      </c>
      <c r="AO665" s="15">
        <v>1</v>
      </c>
      <c r="AP665" s="15">
        <v>-8.6210000000000004</v>
      </c>
      <c r="AQ665" s="15">
        <v>1</v>
      </c>
      <c r="AR665" s="15">
        <v>3.56E-2</v>
      </c>
      <c r="AS665" s="15">
        <v>0.86099999999999999</v>
      </c>
      <c r="AT665" s="15">
        <v>0</v>
      </c>
      <c r="AU665" s="15">
        <v>0.11799999999999999</v>
      </c>
      <c r="AV665" s="15">
        <v>0.32900000000000001</v>
      </c>
      <c r="AW665" s="15">
        <v>145.76499999999999</v>
      </c>
      <c r="AX665" s="15">
        <v>4</v>
      </c>
      <c r="AY665" s="16" t="s">
        <v>24</v>
      </c>
    </row>
    <row r="666" spans="32:51" x14ac:dyDescent="0.35">
      <c r="AF666" s="17" t="s">
        <v>1991</v>
      </c>
      <c r="AG666" s="18" t="s">
        <v>21</v>
      </c>
      <c r="AH666" s="18" t="s">
        <v>1992</v>
      </c>
      <c r="AI666" s="18" t="s">
        <v>1992</v>
      </c>
      <c r="AJ666" s="18">
        <v>50</v>
      </c>
      <c r="AK666" s="18">
        <v>225533</v>
      </c>
      <c r="AL666" s="18" t="b">
        <v>0</v>
      </c>
      <c r="AM666" s="18">
        <v>0.82899999999999996</v>
      </c>
      <c r="AN666" s="18">
        <v>0.751</v>
      </c>
      <c r="AO666" s="18">
        <v>11</v>
      </c>
      <c r="AP666" s="18">
        <v>-4.9370000000000003</v>
      </c>
      <c r="AQ666" s="18">
        <v>0</v>
      </c>
      <c r="AR666" s="18">
        <v>6.4500000000000002E-2</v>
      </c>
      <c r="AS666" s="18">
        <v>1.4200000000000001E-2</v>
      </c>
      <c r="AT666" s="18">
        <v>1.4E-2</v>
      </c>
      <c r="AU666" s="18">
        <v>4.1399999999999999E-2</v>
      </c>
      <c r="AV666" s="18">
        <v>0.96</v>
      </c>
      <c r="AW666" s="18">
        <v>129.99299999999999</v>
      </c>
      <c r="AX666" s="18">
        <v>4</v>
      </c>
      <c r="AY666" s="19" t="s">
        <v>24</v>
      </c>
    </row>
    <row r="667" spans="32:51" x14ac:dyDescent="0.35">
      <c r="AF667" s="14" t="s">
        <v>1993</v>
      </c>
      <c r="AG667" s="15" t="s">
        <v>991</v>
      </c>
      <c r="AH667" s="15" t="s">
        <v>1994</v>
      </c>
      <c r="AI667" s="15" t="s">
        <v>1994</v>
      </c>
      <c r="AJ667" s="15">
        <v>30</v>
      </c>
      <c r="AK667" s="15">
        <v>326413</v>
      </c>
      <c r="AL667" s="15" t="b">
        <v>0</v>
      </c>
      <c r="AM667" s="15">
        <v>0.52400000000000002</v>
      </c>
      <c r="AN667" s="15">
        <v>0.85199999999999998</v>
      </c>
      <c r="AO667" s="15">
        <v>11</v>
      </c>
      <c r="AP667" s="15">
        <v>-4.7080000000000002</v>
      </c>
      <c r="AQ667" s="15">
        <v>1</v>
      </c>
      <c r="AR667" s="15">
        <v>2.98E-2</v>
      </c>
      <c r="AS667" s="15">
        <v>1.5900000000000001E-2</v>
      </c>
      <c r="AT667" s="31" t="s">
        <v>1995</v>
      </c>
      <c r="AU667" s="15">
        <v>0.112</v>
      </c>
      <c r="AV667" s="15">
        <v>0.63500000000000001</v>
      </c>
      <c r="AW667" s="15">
        <v>92.748000000000005</v>
      </c>
      <c r="AX667" s="15">
        <v>4</v>
      </c>
      <c r="AY667" s="16" t="s">
        <v>24</v>
      </c>
    </row>
    <row r="668" spans="32:51" x14ac:dyDescent="0.35">
      <c r="AF668" s="17" t="s">
        <v>1996</v>
      </c>
      <c r="AG668" s="18" t="s">
        <v>258</v>
      </c>
      <c r="AH668" s="18" t="s">
        <v>1997</v>
      </c>
      <c r="AI668" s="18" t="s">
        <v>1998</v>
      </c>
      <c r="AJ668" s="18">
        <v>46</v>
      </c>
      <c r="AK668" s="18">
        <v>208226</v>
      </c>
      <c r="AL668" s="18" t="b">
        <v>0</v>
      </c>
      <c r="AM668" s="18">
        <v>0.626</v>
      </c>
      <c r="AN668" s="18">
        <v>0.57499999999999996</v>
      </c>
      <c r="AO668" s="18">
        <v>4</v>
      </c>
      <c r="AP668" s="18">
        <v>-7.5069999999999997</v>
      </c>
      <c r="AQ668" s="18">
        <v>1</v>
      </c>
      <c r="AR668" s="18">
        <v>5.3499999999999999E-2</v>
      </c>
      <c r="AS668" s="18">
        <v>6.9400000000000003E-2</v>
      </c>
      <c r="AT668" s="32" t="s">
        <v>1999</v>
      </c>
      <c r="AU668" s="18">
        <v>0.114</v>
      </c>
      <c r="AV668" s="18">
        <v>0.222</v>
      </c>
      <c r="AW668" s="18">
        <v>119.97</v>
      </c>
      <c r="AX668" s="18">
        <v>4</v>
      </c>
      <c r="AY668" s="19" t="s">
        <v>24</v>
      </c>
    </row>
    <row r="669" spans="32:51" x14ac:dyDescent="0.35">
      <c r="AF669" s="14" t="s">
        <v>2000</v>
      </c>
      <c r="AG669" s="15" t="s">
        <v>50</v>
      </c>
      <c r="AH669" s="15" t="s">
        <v>275</v>
      </c>
      <c r="AI669" s="15" t="s">
        <v>2001</v>
      </c>
      <c r="AJ669" s="15">
        <v>46</v>
      </c>
      <c r="AK669" s="15">
        <v>148000</v>
      </c>
      <c r="AL669" s="15" t="b">
        <v>0</v>
      </c>
      <c r="AM669" s="15">
        <v>0.49099999999999999</v>
      </c>
      <c r="AN669" s="15">
        <v>0.30399999999999999</v>
      </c>
      <c r="AO669" s="15">
        <v>9</v>
      </c>
      <c r="AP669" s="15">
        <v>-9.3789999999999996</v>
      </c>
      <c r="AQ669" s="15">
        <v>1</v>
      </c>
      <c r="AR669" s="15">
        <v>2.9100000000000001E-2</v>
      </c>
      <c r="AS669" s="15">
        <v>0.5</v>
      </c>
      <c r="AT669" s="15">
        <v>0</v>
      </c>
      <c r="AU669" s="15">
        <v>9.7500000000000003E-2</v>
      </c>
      <c r="AV669" s="15">
        <v>0.45900000000000002</v>
      </c>
      <c r="AW669" s="15">
        <v>149.28800000000001</v>
      </c>
      <c r="AX669" s="15">
        <v>4</v>
      </c>
      <c r="AY669" s="16" t="s">
        <v>24</v>
      </c>
    </row>
    <row r="670" spans="32:51" x14ac:dyDescent="0.35">
      <c r="AF670" s="17" t="s">
        <v>2002</v>
      </c>
      <c r="AG670" s="18" t="s">
        <v>339</v>
      </c>
      <c r="AH670" s="18" t="s">
        <v>2003</v>
      </c>
      <c r="AI670" s="18" t="s">
        <v>2003</v>
      </c>
      <c r="AJ670" s="18">
        <v>52</v>
      </c>
      <c r="AK670" s="18">
        <v>260040</v>
      </c>
      <c r="AL670" s="18" t="b">
        <v>0</v>
      </c>
      <c r="AM670" s="18">
        <v>0.58599999999999997</v>
      </c>
      <c r="AN670" s="18">
        <v>0.51400000000000001</v>
      </c>
      <c r="AO670" s="18">
        <v>2</v>
      </c>
      <c r="AP670" s="18">
        <v>-6.2670000000000003</v>
      </c>
      <c r="AQ670" s="18">
        <v>1</v>
      </c>
      <c r="AR670" s="18">
        <v>2.69E-2</v>
      </c>
      <c r="AS670" s="18">
        <v>0.56000000000000005</v>
      </c>
      <c r="AT670" s="18">
        <v>3.4699999999999998E-4</v>
      </c>
      <c r="AU670" s="18">
        <v>0.122</v>
      </c>
      <c r="AV670" s="18">
        <v>0.27</v>
      </c>
      <c r="AW670" s="18">
        <v>142.02099999999999</v>
      </c>
      <c r="AX670" s="18">
        <v>4</v>
      </c>
      <c r="AY670" s="19" t="s">
        <v>24</v>
      </c>
    </row>
    <row r="671" spans="32:51" x14ac:dyDescent="0.35">
      <c r="AF671" s="14" t="s">
        <v>2004</v>
      </c>
      <c r="AG671" s="15" t="s">
        <v>2005</v>
      </c>
      <c r="AH671" s="15" t="s">
        <v>2006</v>
      </c>
      <c r="AI671" s="15" t="s">
        <v>2007</v>
      </c>
      <c r="AJ671" s="15">
        <v>44</v>
      </c>
      <c r="AK671" s="15">
        <v>101539</v>
      </c>
      <c r="AL671" s="15" t="b">
        <v>0</v>
      </c>
      <c r="AM671" s="15">
        <v>0.65300000000000002</v>
      </c>
      <c r="AN671" s="15">
        <v>0.17399999999999999</v>
      </c>
      <c r="AO671" s="15">
        <v>7</v>
      </c>
      <c r="AP671" s="15">
        <v>-11.07</v>
      </c>
      <c r="AQ671" s="15">
        <v>1</v>
      </c>
      <c r="AR671" s="15">
        <v>5.1999999999999998E-2</v>
      </c>
      <c r="AS671" s="15">
        <v>0.99099999999999999</v>
      </c>
      <c r="AT671" s="15">
        <v>2.48E-3</v>
      </c>
      <c r="AU671" s="15">
        <v>0.106</v>
      </c>
      <c r="AV671" s="15">
        <v>0.61099999999999999</v>
      </c>
      <c r="AW671" s="15">
        <v>138.98099999999999</v>
      </c>
      <c r="AX671" s="15">
        <v>3</v>
      </c>
      <c r="AY671" s="16" t="s">
        <v>24</v>
      </c>
    </row>
    <row r="672" spans="32:51" x14ac:dyDescent="0.35">
      <c r="AF672" s="17" t="s">
        <v>2008</v>
      </c>
      <c r="AG672" s="18" t="s">
        <v>1611</v>
      </c>
      <c r="AH672" s="18" t="s">
        <v>940</v>
      </c>
      <c r="AI672" s="18" t="s">
        <v>940</v>
      </c>
      <c r="AJ672" s="18">
        <v>51</v>
      </c>
      <c r="AK672" s="18">
        <v>178666</v>
      </c>
      <c r="AL672" s="18" t="b">
        <v>0</v>
      </c>
      <c r="AM672" s="18">
        <v>0.55800000000000005</v>
      </c>
      <c r="AN672" s="18">
        <v>0.17199999999999999</v>
      </c>
      <c r="AO672" s="18">
        <v>8</v>
      </c>
      <c r="AP672" s="18">
        <v>-13.379</v>
      </c>
      <c r="AQ672" s="18">
        <v>1</v>
      </c>
      <c r="AR672" s="18">
        <v>5.1299999999999998E-2</v>
      </c>
      <c r="AS672" s="18">
        <v>0.874</v>
      </c>
      <c r="AT672" s="18">
        <v>0</v>
      </c>
      <c r="AU672" s="18">
        <v>0.1</v>
      </c>
      <c r="AV672" s="18">
        <v>0.51800000000000002</v>
      </c>
      <c r="AW672" s="18">
        <v>90.146000000000001</v>
      </c>
      <c r="AX672" s="18">
        <v>4</v>
      </c>
      <c r="AY672" s="19" t="s">
        <v>24</v>
      </c>
    </row>
    <row r="673" spans="32:51" x14ac:dyDescent="0.35">
      <c r="AF673" s="14" t="s">
        <v>2009</v>
      </c>
      <c r="AG673" s="15" t="s">
        <v>339</v>
      </c>
      <c r="AH673" s="15" t="s">
        <v>2010</v>
      </c>
      <c r="AI673" s="15" t="s">
        <v>2010</v>
      </c>
      <c r="AJ673" s="15">
        <v>53</v>
      </c>
      <c r="AK673" s="15">
        <v>236800</v>
      </c>
      <c r="AL673" s="15" t="b">
        <v>0</v>
      </c>
      <c r="AM673" s="15">
        <v>0.45</v>
      </c>
      <c r="AN673" s="15">
        <v>0.33500000000000002</v>
      </c>
      <c r="AO673" s="15">
        <v>2</v>
      </c>
      <c r="AP673" s="15">
        <v>-6.8330000000000002</v>
      </c>
      <c r="AQ673" s="15">
        <v>1</v>
      </c>
      <c r="AR673" s="15">
        <v>3.0099999999999998E-2</v>
      </c>
      <c r="AS673" s="15">
        <v>0.78800000000000003</v>
      </c>
      <c r="AT673" s="31" t="s">
        <v>2011</v>
      </c>
      <c r="AU673" s="15">
        <v>0.115</v>
      </c>
      <c r="AV673" s="15">
        <v>0.16600000000000001</v>
      </c>
      <c r="AW673" s="15">
        <v>125.48399999999999</v>
      </c>
      <c r="AX673" s="15">
        <v>4</v>
      </c>
      <c r="AY673" s="16" t="s">
        <v>24</v>
      </c>
    </row>
    <row r="674" spans="32:51" x14ac:dyDescent="0.35">
      <c r="AF674" s="17" t="s">
        <v>2012</v>
      </c>
      <c r="AG674" s="18" t="s">
        <v>305</v>
      </c>
      <c r="AH674" s="18" t="s">
        <v>305</v>
      </c>
      <c r="AI674" s="18" t="s">
        <v>2013</v>
      </c>
      <c r="AJ674" s="18">
        <v>47</v>
      </c>
      <c r="AK674" s="18">
        <v>149426</v>
      </c>
      <c r="AL674" s="18" t="b">
        <v>0</v>
      </c>
      <c r="AM674" s="18">
        <v>0.254</v>
      </c>
      <c r="AN674" s="18">
        <v>0.34899999999999998</v>
      </c>
      <c r="AO674" s="18">
        <v>4</v>
      </c>
      <c r="AP674" s="18">
        <v>-10.02</v>
      </c>
      <c r="AQ674" s="18">
        <v>0</v>
      </c>
      <c r="AR674" s="18">
        <v>3.7900000000000003E-2</v>
      </c>
      <c r="AS674" s="18">
        <v>0.85</v>
      </c>
      <c r="AT674" s="32" t="s">
        <v>416</v>
      </c>
      <c r="AU674" s="18">
        <v>0.23400000000000001</v>
      </c>
      <c r="AV674" s="18">
        <v>0.30299999999999999</v>
      </c>
      <c r="AW674" s="18">
        <v>170.214</v>
      </c>
      <c r="AX674" s="18">
        <v>3</v>
      </c>
      <c r="AY674" s="19" t="s">
        <v>24</v>
      </c>
    </row>
    <row r="675" spans="32:51" x14ac:dyDescent="0.35">
      <c r="AF675" s="14" t="s">
        <v>2014</v>
      </c>
      <c r="AG675" s="15" t="s">
        <v>2015</v>
      </c>
      <c r="AH675" s="15" t="s">
        <v>2016</v>
      </c>
      <c r="AI675" s="15" t="s">
        <v>2017</v>
      </c>
      <c r="AJ675" s="15">
        <v>48</v>
      </c>
      <c r="AK675" s="15">
        <v>148127</v>
      </c>
      <c r="AL675" s="15" t="b">
        <v>0</v>
      </c>
      <c r="AM675" s="15">
        <v>0.625</v>
      </c>
      <c r="AN675" s="15">
        <v>0.28499999999999998</v>
      </c>
      <c r="AO675" s="15">
        <v>0</v>
      </c>
      <c r="AP675" s="15">
        <v>-13.819000000000001</v>
      </c>
      <c r="AQ675" s="15">
        <v>1</v>
      </c>
      <c r="AR675" s="15">
        <v>5.2400000000000002E-2</v>
      </c>
      <c r="AS675" s="15">
        <v>0.89700000000000002</v>
      </c>
      <c r="AT675" s="15">
        <v>0.91</v>
      </c>
      <c r="AU675" s="15">
        <v>0.108</v>
      </c>
      <c r="AV675" s="15">
        <v>0.17299999999999999</v>
      </c>
      <c r="AW675" s="15">
        <v>141.61099999999999</v>
      </c>
      <c r="AX675" s="15">
        <v>4</v>
      </c>
      <c r="AY675" s="16" t="s">
        <v>24</v>
      </c>
    </row>
    <row r="676" spans="32:51" x14ac:dyDescent="0.35">
      <c r="AF676" s="17" t="s">
        <v>2018</v>
      </c>
      <c r="AG676" s="18" t="s">
        <v>258</v>
      </c>
      <c r="AH676" s="18" t="s">
        <v>2019</v>
      </c>
      <c r="AI676" s="18" t="s">
        <v>2020</v>
      </c>
      <c r="AJ676" s="18">
        <v>56</v>
      </c>
      <c r="AK676" s="18">
        <v>221413</v>
      </c>
      <c r="AL676" s="18" t="b">
        <v>0</v>
      </c>
      <c r="AM676" s="18">
        <v>0.51800000000000002</v>
      </c>
      <c r="AN676" s="18">
        <v>0.82799999999999996</v>
      </c>
      <c r="AO676" s="18">
        <v>8</v>
      </c>
      <c r="AP676" s="18">
        <v>-5.7249999999999996</v>
      </c>
      <c r="AQ676" s="18">
        <v>1</v>
      </c>
      <c r="AR676" s="18">
        <v>0.04</v>
      </c>
      <c r="AS676" s="18">
        <v>0.03</v>
      </c>
      <c r="AT676" s="32" t="s">
        <v>2021</v>
      </c>
      <c r="AU676" s="18">
        <v>4.5600000000000002E-2</v>
      </c>
      <c r="AV676" s="18">
        <v>0.69</v>
      </c>
      <c r="AW676" s="18">
        <v>84.834999999999994</v>
      </c>
      <c r="AX676" s="18">
        <v>4</v>
      </c>
      <c r="AY676" s="19" t="s">
        <v>24</v>
      </c>
    </row>
    <row r="677" spans="32:51" x14ac:dyDescent="0.35">
      <c r="AF677" s="14" t="s">
        <v>2022</v>
      </c>
      <c r="AG677" s="15" t="s">
        <v>50</v>
      </c>
      <c r="AH677" s="15" t="s">
        <v>64</v>
      </c>
      <c r="AI677" s="15" t="s">
        <v>2023</v>
      </c>
      <c r="AJ677" s="15">
        <v>48</v>
      </c>
      <c r="AK677" s="15">
        <v>190751</v>
      </c>
      <c r="AL677" s="15" t="b">
        <v>0</v>
      </c>
      <c r="AM677" s="15">
        <v>0.59099999999999997</v>
      </c>
      <c r="AN677" s="15">
        <v>0.64700000000000002</v>
      </c>
      <c r="AO677" s="15">
        <v>4</v>
      </c>
      <c r="AP677" s="15">
        <v>-8.34</v>
      </c>
      <c r="AQ677" s="15">
        <v>1</v>
      </c>
      <c r="AR677" s="15">
        <v>2.7699999999999999E-2</v>
      </c>
      <c r="AS677" s="15">
        <v>6.7000000000000004E-2</v>
      </c>
      <c r="AT677" s="31" t="s">
        <v>2024</v>
      </c>
      <c r="AU677" s="15">
        <v>0.23100000000000001</v>
      </c>
      <c r="AV677" s="15">
        <v>0.67800000000000005</v>
      </c>
      <c r="AW677" s="15">
        <v>79.680000000000007</v>
      </c>
      <c r="AX677" s="15">
        <v>4</v>
      </c>
      <c r="AY677" s="16" t="s">
        <v>24</v>
      </c>
    </row>
    <row r="678" spans="32:51" x14ac:dyDescent="0.35">
      <c r="AF678" s="17" t="s">
        <v>2025</v>
      </c>
      <c r="AG678" s="18" t="s">
        <v>2026</v>
      </c>
      <c r="AH678" s="18" t="s">
        <v>2027</v>
      </c>
      <c r="AI678" s="18" t="s">
        <v>2028</v>
      </c>
      <c r="AJ678" s="18">
        <v>47</v>
      </c>
      <c r="AK678" s="18">
        <v>234600</v>
      </c>
      <c r="AL678" s="18" t="b">
        <v>0</v>
      </c>
      <c r="AM678" s="18">
        <v>0.60899999999999999</v>
      </c>
      <c r="AN678" s="18">
        <v>0.53</v>
      </c>
      <c r="AO678" s="18">
        <v>3</v>
      </c>
      <c r="AP678" s="18">
        <v>-5.4649999999999999</v>
      </c>
      <c r="AQ678" s="18">
        <v>0</v>
      </c>
      <c r="AR678" s="18">
        <v>6.4799999999999996E-2</v>
      </c>
      <c r="AS678" s="18">
        <v>0.84</v>
      </c>
      <c r="AT678" s="32" t="s">
        <v>2029</v>
      </c>
      <c r="AU678" s="18">
        <v>0.13300000000000001</v>
      </c>
      <c r="AV678" s="18">
        <v>0.91900000000000004</v>
      </c>
      <c r="AW678" s="18">
        <v>150.405</v>
      </c>
      <c r="AX678" s="18">
        <v>4</v>
      </c>
      <c r="AY678" s="19" t="s">
        <v>24</v>
      </c>
    </row>
    <row r="679" spans="32:51" x14ac:dyDescent="0.35">
      <c r="AF679" s="14" t="s">
        <v>2030</v>
      </c>
      <c r="AG679" s="15" t="s">
        <v>991</v>
      </c>
      <c r="AH679" s="15" t="s">
        <v>2031</v>
      </c>
      <c r="AI679" s="15" t="s">
        <v>2032</v>
      </c>
      <c r="AJ679" s="15">
        <v>29</v>
      </c>
      <c r="AK679" s="15">
        <v>330026</v>
      </c>
      <c r="AL679" s="15" t="b">
        <v>0</v>
      </c>
      <c r="AM679" s="15">
        <v>0.52400000000000002</v>
      </c>
      <c r="AN679" s="15">
        <v>0.79700000000000004</v>
      </c>
      <c r="AO679" s="15">
        <v>7</v>
      </c>
      <c r="AP679" s="15">
        <v>-6.6109999999999998</v>
      </c>
      <c r="AQ679" s="15">
        <v>1</v>
      </c>
      <c r="AR679" s="15">
        <v>2.98E-2</v>
      </c>
      <c r="AS679" s="15">
        <v>5.67E-2</v>
      </c>
      <c r="AT679" s="15">
        <v>0</v>
      </c>
      <c r="AU679" s="15">
        <v>7.9600000000000004E-2</v>
      </c>
      <c r="AV679" s="15">
        <v>0.76600000000000001</v>
      </c>
      <c r="AW679" s="15">
        <v>105.901</v>
      </c>
      <c r="AX679" s="15">
        <v>4</v>
      </c>
      <c r="AY679" s="16" t="s">
        <v>24</v>
      </c>
    </row>
    <row r="680" spans="32:51" x14ac:dyDescent="0.35">
      <c r="AF680" s="17" t="s">
        <v>2033</v>
      </c>
      <c r="AG680" s="18" t="s">
        <v>1489</v>
      </c>
      <c r="AH680" s="18" t="s">
        <v>1490</v>
      </c>
      <c r="AI680" s="18" t="s">
        <v>2034</v>
      </c>
      <c r="AJ680" s="18">
        <v>28</v>
      </c>
      <c r="AK680" s="18">
        <v>181466</v>
      </c>
      <c r="AL680" s="18" t="b">
        <v>0</v>
      </c>
      <c r="AM680" s="18">
        <v>0.71</v>
      </c>
      <c r="AN680" s="18">
        <v>0.64600000000000002</v>
      </c>
      <c r="AO680" s="18">
        <v>3</v>
      </c>
      <c r="AP680" s="18">
        <v>-5.9450000000000003</v>
      </c>
      <c r="AQ680" s="18">
        <v>1</v>
      </c>
      <c r="AR680" s="18">
        <v>3.1300000000000001E-2</v>
      </c>
      <c r="AS680" s="18">
        <v>0.78900000000000003</v>
      </c>
      <c r="AT680" s="32" t="s">
        <v>2035</v>
      </c>
      <c r="AU680" s="18">
        <v>0.106</v>
      </c>
      <c r="AV680" s="18">
        <v>0.61499999999999999</v>
      </c>
      <c r="AW680" s="18">
        <v>120.02800000000001</v>
      </c>
      <c r="AX680" s="18">
        <v>4</v>
      </c>
      <c r="AY680" s="19" t="s">
        <v>24</v>
      </c>
    </row>
    <row r="681" spans="32:51" x14ac:dyDescent="0.35">
      <c r="AF681" s="14" t="s">
        <v>2036</v>
      </c>
      <c r="AG681" s="15" t="s">
        <v>347</v>
      </c>
      <c r="AH681" s="15" t="s">
        <v>2037</v>
      </c>
      <c r="AI681" s="15" t="s">
        <v>2037</v>
      </c>
      <c r="AJ681" s="15">
        <v>28</v>
      </c>
      <c r="AK681" s="15">
        <v>217466</v>
      </c>
      <c r="AL681" s="15" t="b">
        <v>0</v>
      </c>
      <c r="AM681" s="15">
        <v>0.57799999999999996</v>
      </c>
      <c r="AN681" s="15">
        <v>0.63600000000000001</v>
      </c>
      <c r="AO681" s="15">
        <v>2</v>
      </c>
      <c r="AP681" s="15">
        <v>-5.5060000000000002</v>
      </c>
      <c r="AQ681" s="15">
        <v>1</v>
      </c>
      <c r="AR681" s="15">
        <v>3.4200000000000001E-2</v>
      </c>
      <c r="AS681" s="15">
        <v>8.7400000000000005E-2</v>
      </c>
      <c r="AT681" s="15">
        <v>0</v>
      </c>
      <c r="AU681" s="15">
        <v>0.124</v>
      </c>
      <c r="AV681" s="15">
        <v>0.55600000000000005</v>
      </c>
      <c r="AW681" s="15">
        <v>124.9</v>
      </c>
      <c r="AX681" s="15">
        <v>4</v>
      </c>
      <c r="AY681" s="16" t="s">
        <v>24</v>
      </c>
    </row>
    <row r="682" spans="32:51" x14ac:dyDescent="0.35">
      <c r="AF682" s="17" t="s">
        <v>2038</v>
      </c>
      <c r="AG682" s="18" t="s">
        <v>135</v>
      </c>
      <c r="AH682" s="18" t="s">
        <v>450</v>
      </c>
      <c r="AI682" s="18" t="s">
        <v>2039</v>
      </c>
      <c r="AJ682" s="18">
        <v>67</v>
      </c>
      <c r="AK682" s="18">
        <v>172373</v>
      </c>
      <c r="AL682" s="18" t="b">
        <v>0</v>
      </c>
      <c r="AM682" s="18">
        <v>0.748</v>
      </c>
      <c r="AN682" s="18">
        <v>0.78600000000000003</v>
      </c>
      <c r="AO682" s="18">
        <v>4</v>
      </c>
      <c r="AP682" s="18">
        <v>-7.7880000000000003</v>
      </c>
      <c r="AQ682" s="18">
        <v>0</v>
      </c>
      <c r="AR682" s="18">
        <v>6.4100000000000004E-2</v>
      </c>
      <c r="AS682" s="18">
        <v>0.32800000000000001</v>
      </c>
      <c r="AT682" s="18">
        <v>0</v>
      </c>
      <c r="AU682" s="18">
        <v>0.34</v>
      </c>
      <c r="AV682" s="18">
        <v>0.91700000000000004</v>
      </c>
      <c r="AW682" s="18">
        <v>104.833</v>
      </c>
      <c r="AX682" s="18">
        <v>4</v>
      </c>
      <c r="AY682" s="19" t="s">
        <v>24</v>
      </c>
    </row>
    <row r="683" spans="32:51" x14ac:dyDescent="0.35">
      <c r="AF683" s="14" t="s">
        <v>2040</v>
      </c>
      <c r="AG683" s="15" t="s">
        <v>2041</v>
      </c>
      <c r="AH683" s="15" t="s">
        <v>2042</v>
      </c>
      <c r="AI683" s="15" t="s">
        <v>2043</v>
      </c>
      <c r="AJ683" s="15">
        <v>29</v>
      </c>
      <c r="AK683" s="15">
        <v>279068</v>
      </c>
      <c r="AL683" s="15" t="b">
        <v>0</v>
      </c>
      <c r="AM683" s="15">
        <v>0.39900000000000002</v>
      </c>
      <c r="AN683" s="15">
        <v>0.46100000000000002</v>
      </c>
      <c r="AO683" s="15">
        <v>3</v>
      </c>
      <c r="AP683" s="15">
        <v>-10.694000000000001</v>
      </c>
      <c r="AQ683" s="15">
        <v>1</v>
      </c>
      <c r="AR683" s="15">
        <v>4.1099999999999998E-2</v>
      </c>
      <c r="AS683" s="15">
        <v>0.157</v>
      </c>
      <c r="AT683" s="31" t="s">
        <v>2044</v>
      </c>
      <c r="AU683" s="15">
        <v>0.11600000000000001</v>
      </c>
      <c r="AV683" s="15">
        <v>0.20499999999999999</v>
      </c>
      <c r="AW683" s="15">
        <v>96.590999999999994</v>
      </c>
      <c r="AX683" s="15">
        <v>4</v>
      </c>
      <c r="AY683" s="16" t="s">
        <v>24</v>
      </c>
    </row>
    <row r="684" spans="32:51" x14ac:dyDescent="0.35">
      <c r="AF684" s="17" t="s">
        <v>2045</v>
      </c>
      <c r="AG684" s="18" t="s">
        <v>2046</v>
      </c>
      <c r="AH684" s="18" t="s">
        <v>2047</v>
      </c>
      <c r="AI684" s="18" t="s">
        <v>2048</v>
      </c>
      <c r="AJ684" s="18">
        <v>56</v>
      </c>
      <c r="AK684" s="18">
        <v>146360</v>
      </c>
      <c r="AL684" s="18" t="b">
        <v>0</v>
      </c>
      <c r="AM684" s="18">
        <v>0.625</v>
      </c>
      <c r="AN684" s="18">
        <v>0.81</v>
      </c>
      <c r="AO684" s="18">
        <v>10</v>
      </c>
      <c r="AP684" s="18">
        <v>-5.9950000000000001</v>
      </c>
      <c r="AQ684" s="18">
        <v>1</v>
      </c>
      <c r="AR684" s="18">
        <v>3.3000000000000002E-2</v>
      </c>
      <c r="AS684" s="18">
        <v>0.14599999999999999</v>
      </c>
      <c r="AT684" s="32" t="s">
        <v>2049</v>
      </c>
      <c r="AU684" s="18">
        <v>0.13500000000000001</v>
      </c>
      <c r="AV684" s="18">
        <v>0.74099999999999999</v>
      </c>
      <c r="AW684" s="18">
        <v>104.066</v>
      </c>
      <c r="AX684" s="18">
        <v>4</v>
      </c>
      <c r="AY684" s="19" t="s">
        <v>24</v>
      </c>
    </row>
    <row r="685" spans="32:51" x14ac:dyDescent="0.35">
      <c r="AF685" s="14" t="s">
        <v>2050</v>
      </c>
      <c r="AG685" s="15" t="s">
        <v>622</v>
      </c>
      <c r="AH685" s="15" t="s">
        <v>2051</v>
      </c>
      <c r="AI685" s="15" t="s">
        <v>2052</v>
      </c>
      <c r="AJ685" s="15">
        <v>54</v>
      </c>
      <c r="AK685" s="15">
        <v>253333</v>
      </c>
      <c r="AL685" s="15" t="b">
        <v>0</v>
      </c>
      <c r="AM685" s="15">
        <v>0.64</v>
      </c>
      <c r="AN685" s="15">
        <v>0.496</v>
      </c>
      <c r="AO685" s="15">
        <v>2</v>
      </c>
      <c r="AP685" s="15">
        <v>-11.124000000000001</v>
      </c>
      <c r="AQ685" s="15">
        <v>1</v>
      </c>
      <c r="AR685" s="15">
        <v>4.1300000000000003E-2</v>
      </c>
      <c r="AS685" s="15">
        <v>0.61599999999999999</v>
      </c>
      <c r="AT685" s="31" t="s">
        <v>2053</v>
      </c>
      <c r="AU685" s="15">
        <v>0.183</v>
      </c>
      <c r="AV685" s="15">
        <v>0.95399999999999996</v>
      </c>
      <c r="AW685" s="15">
        <v>116.63200000000001</v>
      </c>
      <c r="AX685" s="15">
        <v>4</v>
      </c>
      <c r="AY685" s="16" t="s">
        <v>24</v>
      </c>
    </row>
    <row r="686" spans="32:51" x14ac:dyDescent="0.35">
      <c r="AF686" s="17" t="s">
        <v>2054</v>
      </c>
      <c r="AG686" s="18" t="s">
        <v>408</v>
      </c>
      <c r="AH686" s="18" t="s">
        <v>1909</v>
      </c>
      <c r="AI686" s="18" t="s">
        <v>2055</v>
      </c>
      <c r="AJ686" s="18">
        <v>25</v>
      </c>
      <c r="AK686" s="18">
        <v>236000</v>
      </c>
      <c r="AL686" s="18" t="b">
        <v>0</v>
      </c>
      <c r="AM686" s="18">
        <v>0.44600000000000001</v>
      </c>
      <c r="AN686" s="18">
        <v>0.14199999999999999</v>
      </c>
      <c r="AO686" s="18">
        <v>0</v>
      </c>
      <c r="AP686" s="18">
        <v>-12.119</v>
      </c>
      <c r="AQ686" s="18">
        <v>1</v>
      </c>
      <c r="AR686" s="18">
        <v>3.73E-2</v>
      </c>
      <c r="AS686" s="18">
        <v>0.91</v>
      </c>
      <c r="AT686" s="32" t="s">
        <v>2056</v>
      </c>
      <c r="AU686" s="18">
        <v>9.4299999999999995E-2</v>
      </c>
      <c r="AV686" s="18">
        <v>0.192</v>
      </c>
      <c r="AW686" s="18">
        <v>115.911</v>
      </c>
      <c r="AX686" s="18">
        <v>3</v>
      </c>
      <c r="AY686" s="19" t="s">
        <v>24</v>
      </c>
    </row>
    <row r="687" spans="32:51" x14ac:dyDescent="0.35">
      <c r="AF687" s="14" t="s">
        <v>2057</v>
      </c>
      <c r="AG687" s="15" t="s">
        <v>418</v>
      </c>
      <c r="AH687" s="15" t="s">
        <v>419</v>
      </c>
      <c r="AI687" s="15" t="s">
        <v>2058</v>
      </c>
      <c r="AJ687" s="15">
        <v>49</v>
      </c>
      <c r="AK687" s="15">
        <v>226826</v>
      </c>
      <c r="AL687" s="15" t="b">
        <v>0</v>
      </c>
      <c r="AM687" s="15">
        <v>0.44400000000000001</v>
      </c>
      <c r="AN687" s="15">
        <v>0.77100000000000002</v>
      </c>
      <c r="AO687" s="15">
        <v>0</v>
      </c>
      <c r="AP687" s="15">
        <v>-4.6070000000000002</v>
      </c>
      <c r="AQ687" s="15">
        <v>1</v>
      </c>
      <c r="AR687" s="15">
        <v>4.8500000000000001E-2</v>
      </c>
      <c r="AS687" s="15">
        <v>0.13</v>
      </c>
      <c r="AT687" s="15">
        <v>0</v>
      </c>
      <c r="AU687" s="15">
        <v>0.27300000000000002</v>
      </c>
      <c r="AV687" s="15">
        <v>0.45</v>
      </c>
      <c r="AW687" s="15">
        <v>148.02799999999999</v>
      </c>
      <c r="AX687" s="15">
        <v>4</v>
      </c>
      <c r="AY687" s="16" t="s">
        <v>24</v>
      </c>
    </row>
    <row r="688" spans="32:51" x14ac:dyDescent="0.35">
      <c r="AF688" s="17" t="s">
        <v>2059</v>
      </c>
      <c r="AG688" s="18" t="s">
        <v>755</v>
      </c>
      <c r="AH688" s="18" t="s">
        <v>1513</v>
      </c>
      <c r="AI688" s="18" t="s">
        <v>2060</v>
      </c>
      <c r="AJ688" s="18">
        <v>28</v>
      </c>
      <c r="AK688" s="18">
        <v>269139</v>
      </c>
      <c r="AL688" s="18" t="b">
        <v>0</v>
      </c>
      <c r="AM688" s="18">
        <v>0.40799999999999997</v>
      </c>
      <c r="AN688" s="18">
        <v>0.68500000000000005</v>
      </c>
      <c r="AO688" s="18">
        <v>9</v>
      </c>
      <c r="AP688" s="18">
        <v>-10.773</v>
      </c>
      <c r="AQ688" s="18">
        <v>0</v>
      </c>
      <c r="AR688" s="18">
        <v>7.5399999999999995E-2</v>
      </c>
      <c r="AS688" s="18">
        <v>0.84</v>
      </c>
      <c r="AT688" s="18">
        <v>1.3299999999999999E-2</v>
      </c>
      <c r="AU688" s="18">
        <v>0.61399999999999999</v>
      </c>
      <c r="AV688" s="18">
        <v>0.90500000000000003</v>
      </c>
      <c r="AW688" s="18">
        <v>159.83099999999999</v>
      </c>
      <c r="AX688" s="18">
        <v>4</v>
      </c>
      <c r="AY688" s="19" t="s">
        <v>24</v>
      </c>
    </row>
    <row r="689" spans="32:51" x14ac:dyDescent="0.35">
      <c r="AF689" s="14" t="s">
        <v>2061</v>
      </c>
      <c r="AG689" s="15" t="s">
        <v>1073</v>
      </c>
      <c r="AH689" s="15" t="s">
        <v>2062</v>
      </c>
      <c r="AI689" s="15" t="s">
        <v>2063</v>
      </c>
      <c r="AJ689" s="15">
        <v>28</v>
      </c>
      <c r="AK689" s="15">
        <v>288133</v>
      </c>
      <c r="AL689" s="15" t="b">
        <v>0</v>
      </c>
      <c r="AM689" s="15">
        <v>0.65800000000000003</v>
      </c>
      <c r="AN689" s="15">
        <v>0.67800000000000005</v>
      </c>
      <c r="AO689" s="15">
        <v>4</v>
      </c>
      <c r="AP689" s="15">
        <v>-6.8070000000000004</v>
      </c>
      <c r="AQ689" s="15">
        <v>1</v>
      </c>
      <c r="AR689" s="15">
        <v>2.8400000000000002E-2</v>
      </c>
      <c r="AS689" s="15">
        <v>8.9700000000000005E-3</v>
      </c>
      <c r="AT689" s="15">
        <v>0</v>
      </c>
      <c r="AU689" s="15">
        <v>9.1399999999999995E-2</v>
      </c>
      <c r="AV689" s="15">
        <v>0.63</v>
      </c>
      <c r="AW689" s="15">
        <v>131.976</v>
      </c>
      <c r="AX689" s="15">
        <v>4</v>
      </c>
      <c r="AY689" s="16" t="s">
        <v>24</v>
      </c>
    </row>
    <row r="690" spans="32:51" x14ac:dyDescent="0.35">
      <c r="AF690" s="17" t="s">
        <v>2064</v>
      </c>
      <c r="AG690" s="18" t="s">
        <v>135</v>
      </c>
      <c r="AH690" s="18" t="s">
        <v>450</v>
      </c>
      <c r="AI690" s="18" t="s">
        <v>2065</v>
      </c>
      <c r="AJ690" s="18">
        <v>29</v>
      </c>
      <c r="AK690" s="18">
        <v>214560</v>
      </c>
      <c r="AL690" s="18" t="b">
        <v>0</v>
      </c>
      <c r="AM690" s="18">
        <v>0.42699999999999999</v>
      </c>
      <c r="AN690" s="18">
        <v>0.69499999999999995</v>
      </c>
      <c r="AO690" s="18">
        <v>2</v>
      </c>
      <c r="AP690" s="18">
        <v>-5.3780000000000001</v>
      </c>
      <c r="AQ690" s="18">
        <v>1</v>
      </c>
      <c r="AR690" s="18">
        <v>3.4299999999999997E-2</v>
      </c>
      <c r="AS690" s="18">
        <v>0.48699999999999999</v>
      </c>
      <c r="AT690" s="18">
        <v>0</v>
      </c>
      <c r="AU690" s="18">
        <v>8.3599999999999994E-2</v>
      </c>
      <c r="AV690" s="18">
        <v>0.36799999999999999</v>
      </c>
      <c r="AW690" s="18">
        <v>160.142</v>
      </c>
      <c r="AX690" s="18">
        <v>4</v>
      </c>
      <c r="AY690" s="19" t="s">
        <v>24</v>
      </c>
    </row>
    <row r="691" spans="32:51" x14ac:dyDescent="0.35">
      <c r="AF691" s="14" t="s">
        <v>2066</v>
      </c>
      <c r="AG691" s="15" t="s">
        <v>149</v>
      </c>
      <c r="AH691" s="15" t="s">
        <v>285</v>
      </c>
      <c r="AI691" s="15" t="s">
        <v>2067</v>
      </c>
      <c r="AJ691" s="15">
        <v>53</v>
      </c>
      <c r="AK691" s="15">
        <v>97866</v>
      </c>
      <c r="AL691" s="15" t="b">
        <v>0</v>
      </c>
      <c r="AM691" s="15">
        <v>0.54900000000000004</v>
      </c>
      <c r="AN691" s="15">
        <v>0.78</v>
      </c>
      <c r="AO691" s="15">
        <v>2</v>
      </c>
      <c r="AP691" s="15">
        <v>-5.08</v>
      </c>
      <c r="AQ691" s="15">
        <v>1</v>
      </c>
      <c r="AR691" s="15">
        <v>2.9100000000000001E-2</v>
      </c>
      <c r="AS691" s="15">
        <v>1.1599999999999999E-2</v>
      </c>
      <c r="AT691" s="15">
        <v>0</v>
      </c>
      <c r="AU691" s="15">
        <v>0.19500000000000001</v>
      </c>
      <c r="AV691" s="15">
        <v>0.80400000000000005</v>
      </c>
      <c r="AW691" s="15">
        <v>119.369</v>
      </c>
      <c r="AX691" s="15">
        <v>4</v>
      </c>
      <c r="AY691" s="16" t="s">
        <v>24</v>
      </c>
    </row>
    <row r="692" spans="32:51" x14ac:dyDescent="0.35">
      <c r="AF692" s="17" t="s">
        <v>2068</v>
      </c>
      <c r="AG692" s="18" t="s">
        <v>1073</v>
      </c>
      <c r="AH692" s="18" t="s">
        <v>2062</v>
      </c>
      <c r="AI692" s="18" t="s">
        <v>2069</v>
      </c>
      <c r="AJ692" s="18">
        <v>28</v>
      </c>
      <c r="AK692" s="18">
        <v>94466</v>
      </c>
      <c r="AL692" s="18" t="b">
        <v>0</v>
      </c>
      <c r="AM692" s="18">
        <v>0.28399999999999997</v>
      </c>
      <c r="AN692" s="18">
        <v>0.108</v>
      </c>
      <c r="AO692" s="18">
        <v>7</v>
      </c>
      <c r="AP692" s="18">
        <v>-9.3520000000000003</v>
      </c>
      <c r="AQ692" s="18">
        <v>1</v>
      </c>
      <c r="AR692" s="18">
        <v>4.7300000000000002E-2</v>
      </c>
      <c r="AS692" s="18">
        <v>0.67400000000000004</v>
      </c>
      <c r="AT692" s="32" t="s">
        <v>2070</v>
      </c>
      <c r="AU692" s="18">
        <v>0.20399999999999999</v>
      </c>
      <c r="AV692" s="18">
        <v>0.28199999999999997</v>
      </c>
      <c r="AW692" s="18">
        <v>148.95599999999999</v>
      </c>
      <c r="AX692" s="18">
        <v>3</v>
      </c>
      <c r="AY692" s="19" t="s">
        <v>24</v>
      </c>
    </row>
    <row r="693" spans="32:51" x14ac:dyDescent="0.35">
      <c r="AF693" s="14" t="s">
        <v>2071</v>
      </c>
      <c r="AG693" s="15" t="s">
        <v>755</v>
      </c>
      <c r="AH693" s="15" t="s">
        <v>920</v>
      </c>
      <c r="AI693" s="15" t="s">
        <v>2072</v>
      </c>
      <c r="AJ693" s="15">
        <v>28</v>
      </c>
      <c r="AK693" s="15">
        <v>148035</v>
      </c>
      <c r="AL693" s="15" t="b">
        <v>0</v>
      </c>
      <c r="AM693" s="15">
        <v>0.52200000000000002</v>
      </c>
      <c r="AN693" s="15">
        <v>0.40300000000000002</v>
      </c>
      <c r="AO693" s="15">
        <v>5</v>
      </c>
      <c r="AP693" s="15">
        <v>-10.989000000000001</v>
      </c>
      <c r="AQ693" s="15">
        <v>1</v>
      </c>
      <c r="AR693" s="15">
        <v>3.5799999999999998E-2</v>
      </c>
      <c r="AS693" s="15">
        <v>0.64200000000000002</v>
      </c>
      <c r="AT693" s="15">
        <v>6.0499999999999998E-3</v>
      </c>
      <c r="AU693" s="15">
        <v>0.152</v>
      </c>
      <c r="AV693" s="15">
        <v>0.621</v>
      </c>
      <c r="AW693" s="15">
        <v>123.196</v>
      </c>
      <c r="AX693" s="15">
        <v>4</v>
      </c>
      <c r="AY693" s="16" t="s">
        <v>24</v>
      </c>
    </row>
    <row r="694" spans="32:51" x14ac:dyDescent="0.35">
      <c r="AF694" s="17" t="s">
        <v>2073</v>
      </c>
      <c r="AG694" s="18" t="s">
        <v>2074</v>
      </c>
      <c r="AH694" s="18" t="s">
        <v>2075</v>
      </c>
      <c r="AI694" s="18" t="s">
        <v>2076</v>
      </c>
      <c r="AJ694" s="18">
        <v>28</v>
      </c>
      <c r="AK694" s="18">
        <v>243840</v>
      </c>
      <c r="AL694" s="18" t="b">
        <v>0</v>
      </c>
      <c r="AM694" s="18">
        <v>0.71899999999999997</v>
      </c>
      <c r="AN694" s="18">
        <v>0.84899999999999998</v>
      </c>
      <c r="AO694" s="18">
        <v>1</v>
      </c>
      <c r="AP694" s="18">
        <v>-4.2329999999999997</v>
      </c>
      <c r="AQ694" s="18">
        <v>0</v>
      </c>
      <c r="AR694" s="18">
        <v>3.5200000000000002E-2</v>
      </c>
      <c r="AS694" s="18">
        <v>1.7999999999999999E-2</v>
      </c>
      <c r="AT694" s="32" t="s">
        <v>2077</v>
      </c>
      <c r="AU694" s="18">
        <v>3.7900000000000003E-2</v>
      </c>
      <c r="AV694" s="18">
        <v>0.88600000000000001</v>
      </c>
      <c r="AW694" s="18">
        <v>120.063</v>
      </c>
      <c r="AX694" s="18">
        <v>4</v>
      </c>
      <c r="AY694" s="19" t="s">
        <v>24</v>
      </c>
    </row>
    <row r="695" spans="32:51" x14ac:dyDescent="0.35">
      <c r="AF695" s="14" t="s">
        <v>2078</v>
      </c>
      <c r="AG695" s="15" t="s">
        <v>1069</v>
      </c>
      <c r="AH695" s="15" t="s">
        <v>1070</v>
      </c>
      <c r="AI695" s="15" t="s">
        <v>2079</v>
      </c>
      <c r="AJ695" s="15">
        <v>28</v>
      </c>
      <c r="AK695" s="15">
        <v>204926</v>
      </c>
      <c r="AL695" s="15" t="b">
        <v>0</v>
      </c>
      <c r="AM695" s="15">
        <v>0.54400000000000004</v>
      </c>
      <c r="AN695" s="15">
        <v>0.91100000000000003</v>
      </c>
      <c r="AO695" s="15">
        <v>9</v>
      </c>
      <c r="AP695" s="15">
        <v>-2.73</v>
      </c>
      <c r="AQ695" s="15">
        <v>1</v>
      </c>
      <c r="AR695" s="15">
        <v>0.20399999999999999</v>
      </c>
      <c r="AS695" s="15">
        <v>0.66100000000000003</v>
      </c>
      <c r="AT695" s="15">
        <v>0</v>
      </c>
      <c r="AU695" s="15">
        <v>0.34399999999999997</v>
      </c>
      <c r="AV695" s="15">
        <v>0.85099999999999998</v>
      </c>
      <c r="AW695" s="15">
        <v>114.776</v>
      </c>
      <c r="AX695" s="15">
        <v>4</v>
      </c>
      <c r="AY695" s="16" t="s">
        <v>24</v>
      </c>
    </row>
    <row r="696" spans="32:51" x14ac:dyDescent="0.35">
      <c r="AF696" s="17" t="s">
        <v>2080</v>
      </c>
      <c r="AG696" s="18" t="s">
        <v>1069</v>
      </c>
      <c r="AH696" s="18" t="s">
        <v>1070</v>
      </c>
      <c r="AI696" s="18" t="s">
        <v>2081</v>
      </c>
      <c r="AJ696" s="18">
        <v>28</v>
      </c>
      <c r="AK696" s="18">
        <v>168118</v>
      </c>
      <c r="AL696" s="18" t="b">
        <v>0</v>
      </c>
      <c r="AM696" s="18">
        <v>0.67200000000000004</v>
      </c>
      <c r="AN696" s="18">
        <v>0.879</v>
      </c>
      <c r="AO696" s="18">
        <v>9</v>
      </c>
      <c r="AP696" s="18">
        <v>-3.6930000000000001</v>
      </c>
      <c r="AQ696" s="18">
        <v>1</v>
      </c>
      <c r="AR696" s="18">
        <v>0.114</v>
      </c>
      <c r="AS696" s="18">
        <v>0.629</v>
      </c>
      <c r="AT696" s="32" t="s">
        <v>2082</v>
      </c>
      <c r="AU696" s="18">
        <v>0.16900000000000001</v>
      </c>
      <c r="AV696" s="18">
        <v>0.74</v>
      </c>
      <c r="AW696" s="18">
        <v>119.996</v>
      </c>
      <c r="AX696" s="18">
        <v>4</v>
      </c>
      <c r="AY696" s="19" t="s">
        <v>24</v>
      </c>
    </row>
    <row r="697" spans="32:51" x14ac:dyDescent="0.35">
      <c r="AF697" s="14" t="s">
        <v>2083</v>
      </c>
      <c r="AG697" s="15" t="s">
        <v>1073</v>
      </c>
      <c r="AH697" s="15" t="s">
        <v>1535</v>
      </c>
      <c r="AI697" s="15" t="s">
        <v>2084</v>
      </c>
      <c r="AJ697" s="15">
        <v>28</v>
      </c>
      <c r="AK697" s="15">
        <v>174466</v>
      </c>
      <c r="AL697" s="15" t="b">
        <v>1</v>
      </c>
      <c r="AM697" s="15">
        <v>0.57299999999999995</v>
      </c>
      <c r="AN697" s="15">
        <v>0.78900000000000003</v>
      </c>
      <c r="AO697" s="15">
        <v>11</v>
      </c>
      <c r="AP697" s="15">
        <v>-5.4349999999999996</v>
      </c>
      <c r="AQ697" s="15">
        <v>1</v>
      </c>
      <c r="AR697" s="15">
        <v>0.05</v>
      </c>
      <c r="AS697" s="15">
        <v>4.8799999999999999E-4</v>
      </c>
      <c r="AT697" s="15">
        <v>9.6500000000000006E-3</v>
      </c>
      <c r="AU697" s="15">
        <v>0.126</v>
      </c>
      <c r="AV697" s="15">
        <v>0.33200000000000002</v>
      </c>
      <c r="AW697" s="15">
        <v>128.077</v>
      </c>
      <c r="AX697" s="15">
        <v>4</v>
      </c>
      <c r="AY697" s="16" t="s">
        <v>24</v>
      </c>
    </row>
    <row r="698" spans="32:51" x14ac:dyDescent="0.35">
      <c r="AF698" s="17" t="s">
        <v>2085</v>
      </c>
      <c r="AG698" s="18" t="s">
        <v>1522</v>
      </c>
      <c r="AH698" s="18" t="s">
        <v>2086</v>
      </c>
      <c r="AI698" s="18" t="s">
        <v>2087</v>
      </c>
      <c r="AJ698" s="18">
        <v>28</v>
      </c>
      <c r="AK698" s="18">
        <v>272100</v>
      </c>
      <c r="AL698" s="18" t="b">
        <v>1</v>
      </c>
      <c r="AM698" s="18">
        <v>0.495</v>
      </c>
      <c r="AN698" s="18">
        <v>0.81100000000000005</v>
      </c>
      <c r="AO698" s="18">
        <v>9</v>
      </c>
      <c r="AP698" s="18">
        <v>-3.1</v>
      </c>
      <c r="AQ698" s="18">
        <v>1</v>
      </c>
      <c r="AR698" s="18">
        <v>4.1099999999999998E-2</v>
      </c>
      <c r="AS698" s="18">
        <v>0.53400000000000003</v>
      </c>
      <c r="AT698" s="18">
        <v>2.8600000000000001E-4</v>
      </c>
      <c r="AU698" s="18">
        <v>0.13600000000000001</v>
      </c>
      <c r="AV698" s="18">
        <v>0.9</v>
      </c>
      <c r="AW698" s="18">
        <v>173.56</v>
      </c>
      <c r="AX698" s="18">
        <v>4</v>
      </c>
      <c r="AY698" s="19" t="s">
        <v>24</v>
      </c>
    </row>
    <row r="699" spans="32:51" x14ac:dyDescent="0.35">
      <c r="AF699" s="14" t="s">
        <v>2088</v>
      </c>
      <c r="AG699" s="15" t="s">
        <v>2089</v>
      </c>
      <c r="AH699" s="15" t="s">
        <v>1390</v>
      </c>
      <c r="AI699" s="15" t="s">
        <v>2090</v>
      </c>
      <c r="AJ699" s="15">
        <v>29</v>
      </c>
      <c r="AK699" s="15">
        <v>157000</v>
      </c>
      <c r="AL699" s="15" t="b">
        <v>0</v>
      </c>
      <c r="AM699" s="15">
        <v>0.48</v>
      </c>
      <c r="AN699" s="15">
        <v>0.6</v>
      </c>
      <c r="AO699" s="15">
        <v>0</v>
      </c>
      <c r="AP699" s="15">
        <v>-8.9760000000000009</v>
      </c>
      <c r="AQ699" s="15">
        <v>1</v>
      </c>
      <c r="AR699" s="15">
        <v>3.9800000000000002E-2</v>
      </c>
      <c r="AS699" s="15">
        <v>0.24</v>
      </c>
      <c r="AT699" s="15">
        <v>0</v>
      </c>
      <c r="AU699" s="15">
        <v>0.53300000000000003</v>
      </c>
      <c r="AV699" s="15">
        <v>0.94399999999999995</v>
      </c>
      <c r="AW699" s="15">
        <v>92.545000000000002</v>
      </c>
      <c r="AX699" s="15">
        <v>4</v>
      </c>
      <c r="AY699" s="16" t="s">
        <v>24</v>
      </c>
    </row>
    <row r="700" spans="32:51" x14ac:dyDescent="0.35">
      <c r="AF700" s="17" t="s">
        <v>2091</v>
      </c>
      <c r="AG700" s="18" t="s">
        <v>2092</v>
      </c>
      <c r="AH700" s="18" t="s">
        <v>2093</v>
      </c>
      <c r="AI700" s="18" t="s">
        <v>2094</v>
      </c>
      <c r="AJ700" s="18">
        <v>0</v>
      </c>
      <c r="AK700" s="18">
        <v>216093</v>
      </c>
      <c r="AL700" s="18" t="b">
        <v>0</v>
      </c>
      <c r="AM700" s="18">
        <v>0.56999999999999995</v>
      </c>
      <c r="AN700" s="18">
        <v>0.42699999999999999</v>
      </c>
      <c r="AO700" s="18">
        <v>6</v>
      </c>
      <c r="AP700" s="18">
        <v>-5.8730000000000002</v>
      </c>
      <c r="AQ700" s="18">
        <v>1</v>
      </c>
      <c r="AR700" s="18">
        <v>2.9600000000000001E-2</v>
      </c>
      <c r="AS700" s="18">
        <v>0.36799999999999999</v>
      </c>
      <c r="AT700" s="32" t="s">
        <v>2095</v>
      </c>
      <c r="AU700" s="18">
        <v>0.156</v>
      </c>
      <c r="AV700" s="18">
        <v>0.186</v>
      </c>
      <c r="AW700" s="18">
        <v>98.995000000000005</v>
      </c>
      <c r="AX700" s="18">
        <v>4</v>
      </c>
      <c r="AY700" s="19" t="s">
        <v>24</v>
      </c>
    </row>
    <row r="701" spans="32:51" x14ac:dyDescent="0.35">
      <c r="AF701" s="14" t="s">
        <v>2096</v>
      </c>
      <c r="AG701" s="15" t="s">
        <v>2092</v>
      </c>
      <c r="AH701" s="15" t="s">
        <v>2097</v>
      </c>
      <c r="AI701" s="15" t="s">
        <v>2094</v>
      </c>
      <c r="AJ701" s="15">
        <v>0</v>
      </c>
      <c r="AK701" s="15">
        <v>216093</v>
      </c>
      <c r="AL701" s="15" t="b">
        <v>0</v>
      </c>
      <c r="AM701" s="15">
        <v>0.56999999999999995</v>
      </c>
      <c r="AN701" s="15">
        <v>0.42699999999999999</v>
      </c>
      <c r="AO701" s="15">
        <v>6</v>
      </c>
      <c r="AP701" s="15">
        <v>-5.8730000000000002</v>
      </c>
      <c r="AQ701" s="15">
        <v>1</v>
      </c>
      <c r="AR701" s="15">
        <v>2.9600000000000001E-2</v>
      </c>
      <c r="AS701" s="15">
        <v>0.36799999999999999</v>
      </c>
      <c r="AT701" s="31" t="s">
        <v>2095</v>
      </c>
      <c r="AU701" s="15">
        <v>0.156</v>
      </c>
      <c r="AV701" s="15">
        <v>0.186</v>
      </c>
      <c r="AW701" s="15">
        <v>98.995000000000005</v>
      </c>
      <c r="AX701" s="15">
        <v>4</v>
      </c>
      <c r="AY701" s="16" t="s">
        <v>24</v>
      </c>
    </row>
    <row r="702" spans="32:51" x14ac:dyDescent="0.35">
      <c r="AF702" s="17" t="s">
        <v>2098</v>
      </c>
      <c r="AG702" s="18" t="s">
        <v>2092</v>
      </c>
      <c r="AH702" s="18" t="s">
        <v>174</v>
      </c>
      <c r="AI702" s="18" t="s">
        <v>2099</v>
      </c>
      <c r="AJ702" s="18">
        <v>0</v>
      </c>
      <c r="AK702" s="18">
        <v>220213</v>
      </c>
      <c r="AL702" s="18" t="b">
        <v>0</v>
      </c>
      <c r="AM702" s="18">
        <v>0.61199999999999999</v>
      </c>
      <c r="AN702" s="18">
        <v>0.48399999999999999</v>
      </c>
      <c r="AO702" s="18">
        <v>9</v>
      </c>
      <c r="AP702" s="18">
        <v>-9.7729999999999997</v>
      </c>
      <c r="AQ702" s="18">
        <v>1</v>
      </c>
      <c r="AR702" s="18">
        <v>3.1899999999999998E-2</v>
      </c>
      <c r="AS702" s="18">
        <v>0.64300000000000002</v>
      </c>
      <c r="AT702" s="18">
        <v>0</v>
      </c>
      <c r="AU702" s="18">
        <v>0.11799999999999999</v>
      </c>
      <c r="AV702" s="18">
        <v>0.254</v>
      </c>
      <c r="AW702" s="18">
        <v>138.96100000000001</v>
      </c>
      <c r="AX702" s="18">
        <v>4</v>
      </c>
      <c r="AY702" s="19" t="s">
        <v>24</v>
      </c>
    </row>
    <row r="703" spans="32:51" x14ac:dyDescent="0.35">
      <c r="AF703" s="14" t="s">
        <v>2100</v>
      </c>
      <c r="AG703" s="15" t="s">
        <v>2101</v>
      </c>
      <c r="AH703" s="15" t="s">
        <v>2102</v>
      </c>
      <c r="AI703" s="15" t="s">
        <v>2103</v>
      </c>
      <c r="AJ703" s="15">
        <v>32</v>
      </c>
      <c r="AK703" s="15">
        <v>245726</v>
      </c>
      <c r="AL703" s="15" t="b">
        <v>0</v>
      </c>
      <c r="AM703" s="15">
        <v>0.40100000000000002</v>
      </c>
      <c r="AN703" s="15">
        <v>0.54600000000000004</v>
      </c>
      <c r="AO703" s="15">
        <v>11</v>
      </c>
      <c r="AP703" s="15">
        <v>-5.8460000000000001</v>
      </c>
      <c r="AQ703" s="15">
        <v>0</v>
      </c>
      <c r="AR703" s="15">
        <v>3.1899999999999998E-2</v>
      </c>
      <c r="AS703" s="15">
        <v>0.39500000000000002</v>
      </c>
      <c r="AT703" s="31" t="s">
        <v>2104</v>
      </c>
      <c r="AU703" s="15">
        <v>0.12</v>
      </c>
      <c r="AV703" s="15">
        <v>0.15</v>
      </c>
      <c r="AW703" s="15">
        <v>89.331000000000003</v>
      </c>
      <c r="AX703" s="15">
        <v>4</v>
      </c>
      <c r="AY703" s="16" t="s">
        <v>24</v>
      </c>
    </row>
    <row r="704" spans="32:51" x14ac:dyDescent="0.35">
      <c r="AF704" s="17" t="s">
        <v>2105</v>
      </c>
      <c r="AG704" s="18" t="s">
        <v>192</v>
      </c>
      <c r="AH704" s="18" t="s">
        <v>2106</v>
      </c>
      <c r="AI704" s="18" t="s">
        <v>2106</v>
      </c>
      <c r="AJ704" s="18">
        <v>35</v>
      </c>
      <c r="AK704" s="18">
        <v>172857</v>
      </c>
      <c r="AL704" s="18" t="b">
        <v>1</v>
      </c>
      <c r="AM704" s="18">
        <v>0.75900000000000001</v>
      </c>
      <c r="AN704" s="18">
        <v>0.27500000000000002</v>
      </c>
      <c r="AO704" s="18">
        <v>0</v>
      </c>
      <c r="AP704" s="18">
        <v>-10.707000000000001</v>
      </c>
      <c r="AQ704" s="18">
        <v>1</v>
      </c>
      <c r="AR704" s="18">
        <v>6.2600000000000003E-2</v>
      </c>
      <c r="AS704" s="18">
        <v>0.81</v>
      </c>
      <c r="AT704" s="18">
        <v>0</v>
      </c>
      <c r="AU704" s="18">
        <v>0.17699999999999999</v>
      </c>
      <c r="AV704" s="18">
        <v>0.45700000000000002</v>
      </c>
      <c r="AW704" s="18">
        <v>73.552999999999997</v>
      </c>
      <c r="AX704" s="18">
        <v>4</v>
      </c>
      <c r="AY704" s="19" t="s">
        <v>24</v>
      </c>
    </row>
    <row r="705" spans="32:51" x14ac:dyDescent="0.35">
      <c r="AF705" s="14" t="s">
        <v>2107</v>
      </c>
      <c r="AG705" s="15" t="s">
        <v>1896</v>
      </c>
      <c r="AH705" s="15" t="s">
        <v>2108</v>
      </c>
      <c r="AI705" s="15" t="s">
        <v>2109</v>
      </c>
      <c r="AJ705" s="15">
        <v>49</v>
      </c>
      <c r="AK705" s="15">
        <v>155904</v>
      </c>
      <c r="AL705" s="15" t="b">
        <v>0</v>
      </c>
      <c r="AM705" s="15">
        <v>0.73699999999999999</v>
      </c>
      <c r="AN705" s="15">
        <v>0.39100000000000001</v>
      </c>
      <c r="AO705" s="15">
        <v>2</v>
      </c>
      <c r="AP705" s="15">
        <v>-7.9340000000000002</v>
      </c>
      <c r="AQ705" s="15">
        <v>1</v>
      </c>
      <c r="AR705" s="15">
        <v>6.8000000000000005E-2</v>
      </c>
      <c r="AS705" s="15">
        <v>0.80700000000000005</v>
      </c>
      <c r="AT705" s="15">
        <v>0</v>
      </c>
      <c r="AU705" s="15">
        <v>0.36699999999999999</v>
      </c>
      <c r="AV705" s="15">
        <v>0.83599999999999997</v>
      </c>
      <c r="AW705" s="15">
        <v>93.936000000000007</v>
      </c>
      <c r="AX705" s="15">
        <v>4</v>
      </c>
      <c r="AY705" s="16" t="s">
        <v>24</v>
      </c>
    </row>
    <row r="706" spans="32:51" x14ac:dyDescent="0.35">
      <c r="AF706" s="17" t="s">
        <v>2110</v>
      </c>
      <c r="AG706" s="18" t="s">
        <v>2111</v>
      </c>
      <c r="AH706" s="18" t="s">
        <v>1160</v>
      </c>
      <c r="AI706" s="18" t="s">
        <v>2112</v>
      </c>
      <c r="AJ706" s="18">
        <v>52</v>
      </c>
      <c r="AK706" s="18">
        <v>175200</v>
      </c>
      <c r="AL706" s="18" t="b">
        <v>0</v>
      </c>
      <c r="AM706" s="18">
        <v>0.63900000000000001</v>
      </c>
      <c r="AN706" s="18">
        <v>0.439</v>
      </c>
      <c r="AO706" s="18">
        <v>0</v>
      </c>
      <c r="AP706" s="18">
        <v>-7.157</v>
      </c>
      <c r="AQ706" s="18">
        <v>1</v>
      </c>
      <c r="AR706" s="18">
        <v>4.8899999999999999E-2</v>
      </c>
      <c r="AS706" s="18">
        <v>0.872</v>
      </c>
      <c r="AT706" s="18">
        <v>0</v>
      </c>
      <c r="AU706" s="18">
        <v>9.1800000000000007E-2</v>
      </c>
      <c r="AV706" s="18">
        <v>0.51</v>
      </c>
      <c r="AW706" s="18">
        <v>133.87</v>
      </c>
      <c r="AX706" s="18">
        <v>4</v>
      </c>
      <c r="AY706" s="19" t="s">
        <v>24</v>
      </c>
    </row>
    <row r="707" spans="32:51" x14ac:dyDescent="0.35">
      <c r="AF707" s="14" t="s">
        <v>2113</v>
      </c>
      <c r="AG707" s="15" t="s">
        <v>1099</v>
      </c>
      <c r="AH707" s="15" t="s">
        <v>2114</v>
      </c>
      <c r="AI707" s="15" t="s">
        <v>2115</v>
      </c>
      <c r="AJ707" s="15">
        <v>31</v>
      </c>
      <c r="AK707" s="15">
        <v>208386</v>
      </c>
      <c r="AL707" s="15" t="b">
        <v>0</v>
      </c>
      <c r="AM707" s="15">
        <v>0.53200000000000003</v>
      </c>
      <c r="AN707" s="15">
        <v>0.66700000000000004</v>
      </c>
      <c r="AO707" s="15">
        <v>11</v>
      </c>
      <c r="AP707" s="15">
        <v>-7.0650000000000004</v>
      </c>
      <c r="AQ707" s="15">
        <v>0</v>
      </c>
      <c r="AR707" s="15">
        <v>2.9499999999999998E-2</v>
      </c>
      <c r="AS707" s="15">
        <v>0.14000000000000001</v>
      </c>
      <c r="AT707" s="15">
        <v>1.9400000000000001E-2</v>
      </c>
      <c r="AU707" s="15">
        <v>0.193</v>
      </c>
      <c r="AV707" s="15">
        <v>0.67</v>
      </c>
      <c r="AW707" s="15">
        <v>144.90100000000001</v>
      </c>
      <c r="AX707" s="15">
        <v>4</v>
      </c>
      <c r="AY707" s="16" t="s">
        <v>24</v>
      </c>
    </row>
    <row r="708" spans="32:51" x14ac:dyDescent="0.35">
      <c r="AF708" s="17" t="s">
        <v>2116</v>
      </c>
      <c r="AG708" s="18" t="s">
        <v>1133</v>
      </c>
      <c r="AH708" s="18" t="s">
        <v>2117</v>
      </c>
      <c r="AI708" s="18" t="s">
        <v>2118</v>
      </c>
      <c r="AJ708" s="18">
        <v>28</v>
      </c>
      <c r="AK708" s="18">
        <v>246786</v>
      </c>
      <c r="AL708" s="18" t="b">
        <v>0</v>
      </c>
      <c r="AM708" s="18">
        <v>0.65600000000000003</v>
      </c>
      <c r="AN708" s="18">
        <v>0.82599999999999996</v>
      </c>
      <c r="AO708" s="18">
        <v>4</v>
      </c>
      <c r="AP708" s="18">
        <v>-3.9289999999999998</v>
      </c>
      <c r="AQ708" s="18">
        <v>1</v>
      </c>
      <c r="AR708" s="18">
        <v>3.2300000000000002E-2</v>
      </c>
      <c r="AS708" s="18">
        <v>4.5300000000000002E-3</v>
      </c>
      <c r="AT708" s="32" t="s">
        <v>1730</v>
      </c>
      <c r="AU708" s="18">
        <v>7.9100000000000004E-2</v>
      </c>
      <c r="AV708" s="18">
        <v>0.89400000000000002</v>
      </c>
      <c r="AW708" s="18">
        <v>117.648</v>
      </c>
      <c r="AX708" s="18">
        <v>4</v>
      </c>
      <c r="AY708" s="19" t="s">
        <v>24</v>
      </c>
    </row>
    <row r="709" spans="32:51" x14ac:dyDescent="0.35">
      <c r="AF709" s="14" t="s">
        <v>2119</v>
      </c>
      <c r="AG709" s="15" t="s">
        <v>2120</v>
      </c>
      <c r="AH709" s="15" t="s">
        <v>97</v>
      </c>
      <c r="AI709" s="15" t="s">
        <v>540</v>
      </c>
      <c r="AJ709" s="15">
        <v>48</v>
      </c>
      <c r="AK709" s="15">
        <v>219650</v>
      </c>
      <c r="AL709" s="15" t="b">
        <v>0</v>
      </c>
      <c r="AM709" s="15">
        <v>0.59699999999999998</v>
      </c>
      <c r="AN709" s="15">
        <v>0.33400000000000002</v>
      </c>
      <c r="AO709" s="15">
        <v>11</v>
      </c>
      <c r="AP709" s="15">
        <v>-8.5589999999999993</v>
      </c>
      <c r="AQ709" s="15">
        <v>1</v>
      </c>
      <c r="AR709" s="15">
        <v>2.7900000000000001E-2</v>
      </c>
      <c r="AS709" s="15">
        <v>0.86</v>
      </c>
      <c r="AT709" s="15">
        <v>0</v>
      </c>
      <c r="AU709" s="15">
        <v>0.123</v>
      </c>
      <c r="AV709" s="15">
        <v>0.34200000000000003</v>
      </c>
      <c r="AW709" s="15">
        <v>134.94</v>
      </c>
      <c r="AX709" s="15">
        <v>4</v>
      </c>
      <c r="AY709" s="16" t="s">
        <v>24</v>
      </c>
    </row>
    <row r="710" spans="32:51" x14ac:dyDescent="0.35">
      <c r="AF710" s="17" t="s">
        <v>2121</v>
      </c>
      <c r="AG710" s="18" t="s">
        <v>225</v>
      </c>
      <c r="AH710" s="18" t="s">
        <v>2122</v>
      </c>
      <c r="AI710" s="18" t="s">
        <v>2123</v>
      </c>
      <c r="AJ710" s="18">
        <v>48</v>
      </c>
      <c r="AK710" s="18">
        <v>252640</v>
      </c>
      <c r="AL710" s="18" t="b">
        <v>0</v>
      </c>
      <c r="AM710" s="18">
        <v>0.496</v>
      </c>
      <c r="AN710" s="18">
        <v>0.11</v>
      </c>
      <c r="AO710" s="18">
        <v>1</v>
      </c>
      <c r="AP710" s="18">
        <v>-15.584</v>
      </c>
      <c r="AQ710" s="18">
        <v>1</v>
      </c>
      <c r="AR710" s="18">
        <v>4.2000000000000003E-2</v>
      </c>
      <c r="AS710" s="18">
        <v>0.91100000000000003</v>
      </c>
      <c r="AT710" s="32" t="s">
        <v>2124</v>
      </c>
      <c r="AU710" s="18">
        <v>8.2900000000000001E-2</v>
      </c>
      <c r="AV710" s="18">
        <v>0.23499999999999999</v>
      </c>
      <c r="AW710" s="18">
        <v>145.27699999999999</v>
      </c>
      <c r="AX710" s="18">
        <v>4</v>
      </c>
      <c r="AY710" s="19" t="s">
        <v>24</v>
      </c>
    </row>
    <row r="711" spans="32:51" x14ac:dyDescent="0.35">
      <c r="AF711" s="14" t="s">
        <v>2125</v>
      </c>
      <c r="AG711" s="15" t="s">
        <v>910</v>
      </c>
      <c r="AH711" s="15" t="s">
        <v>2126</v>
      </c>
      <c r="AI711" s="15" t="s">
        <v>2127</v>
      </c>
      <c r="AJ711" s="15">
        <v>41</v>
      </c>
      <c r="AK711" s="15">
        <v>214784</v>
      </c>
      <c r="AL711" s="15" t="b">
        <v>0</v>
      </c>
      <c r="AM711" s="15">
        <v>0.61299999999999999</v>
      </c>
      <c r="AN711" s="15">
        <v>0.34599999999999997</v>
      </c>
      <c r="AO711" s="15">
        <v>7</v>
      </c>
      <c r="AP711" s="15">
        <v>-11.33</v>
      </c>
      <c r="AQ711" s="15">
        <v>1</v>
      </c>
      <c r="AR711" s="15">
        <v>3.9800000000000002E-2</v>
      </c>
      <c r="AS711" s="15">
        <v>0.89</v>
      </c>
      <c r="AT711" s="15">
        <v>0.91300000000000003</v>
      </c>
      <c r="AU711" s="15">
        <v>9.9400000000000002E-2</v>
      </c>
      <c r="AV711" s="15">
        <v>0.128</v>
      </c>
      <c r="AW711" s="15">
        <v>95.980999999999995</v>
      </c>
      <c r="AX711" s="15">
        <v>4</v>
      </c>
      <c r="AY711" s="16" t="s">
        <v>24</v>
      </c>
    </row>
    <row r="712" spans="32:51" x14ac:dyDescent="0.35">
      <c r="AF712" s="17" t="s">
        <v>2128</v>
      </c>
      <c r="AG712" s="18" t="s">
        <v>2129</v>
      </c>
      <c r="AH712" s="18" t="s">
        <v>264</v>
      </c>
      <c r="AI712" s="18" t="s">
        <v>2130</v>
      </c>
      <c r="AJ712" s="18">
        <v>47</v>
      </c>
      <c r="AK712" s="18">
        <v>216040</v>
      </c>
      <c r="AL712" s="18" t="b">
        <v>0</v>
      </c>
      <c r="AM712" s="18">
        <v>0.61</v>
      </c>
      <c r="AN712" s="18">
        <v>0.79600000000000004</v>
      </c>
      <c r="AO712" s="18">
        <v>10</v>
      </c>
      <c r="AP712" s="18">
        <v>-5.431</v>
      </c>
      <c r="AQ712" s="18">
        <v>1</v>
      </c>
      <c r="AR712" s="18">
        <v>6.5600000000000006E-2</v>
      </c>
      <c r="AS712" s="18">
        <v>3.6499999999999998E-2</v>
      </c>
      <c r="AT712" s="18">
        <v>0</v>
      </c>
      <c r="AU712" s="18">
        <v>0.27400000000000002</v>
      </c>
      <c r="AV712" s="18">
        <v>0.51</v>
      </c>
      <c r="AW712" s="18">
        <v>159.94399999999999</v>
      </c>
      <c r="AX712" s="18">
        <v>4</v>
      </c>
      <c r="AY712" s="19" t="s">
        <v>24</v>
      </c>
    </row>
    <row r="713" spans="32:51" x14ac:dyDescent="0.35">
      <c r="AF713" s="14" t="s">
        <v>2131</v>
      </c>
      <c r="AG713" s="15" t="s">
        <v>1202</v>
      </c>
      <c r="AH713" s="15" t="s">
        <v>2132</v>
      </c>
      <c r="AI713" s="15" t="s">
        <v>2133</v>
      </c>
      <c r="AJ713" s="15">
        <v>28</v>
      </c>
      <c r="AK713" s="15">
        <v>274133</v>
      </c>
      <c r="AL713" s="15" t="b">
        <v>0</v>
      </c>
      <c r="AM713" s="15">
        <v>0.63</v>
      </c>
      <c r="AN713" s="15">
        <v>0.36699999999999999</v>
      </c>
      <c r="AO713" s="15">
        <v>1</v>
      </c>
      <c r="AP713" s="15">
        <v>-11.054</v>
      </c>
      <c r="AQ713" s="15">
        <v>1</v>
      </c>
      <c r="AR713" s="15">
        <v>2.3199999999999998E-2</v>
      </c>
      <c r="AS713" s="15">
        <v>5.1999999999999998E-2</v>
      </c>
      <c r="AT713" s="15">
        <v>2.02E-4</v>
      </c>
      <c r="AU713" s="15">
        <v>0.10299999999999999</v>
      </c>
      <c r="AV713" s="15">
        <v>0.54700000000000004</v>
      </c>
      <c r="AW713" s="15">
        <v>98.995000000000005</v>
      </c>
      <c r="AX713" s="15">
        <v>4</v>
      </c>
      <c r="AY713" s="16" t="s">
        <v>24</v>
      </c>
    </row>
    <row r="714" spans="32:51" x14ac:dyDescent="0.35">
      <c r="AF714" s="17" t="s">
        <v>2134</v>
      </c>
      <c r="AG714" s="18" t="s">
        <v>712</v>
      </c>
      <c r="AH714" s="18" t="s">
        <v>2135</v>
      </c>
      <c r="AI714" s="18" t="s">
        <v>389</v>
      </c>
      <c r="AJ714" s="18">
        <v>60</v>
      </c>
      <c r="AK714" s="18">
        <v>251933</v>
      </c>
      <c r="AL714" s="18" t="b">
        <v>0</v>
      </c>
      <c r="AM714" s="18">
        <v>0.65900000000000003</v>
      </c>
      <c r="AN714" s="18">
        <v>0.23599999999999999</v>
      </c>
      <c r="AO714" s="18">
        <v>9</v>
      </c>
      <c r="AP714" s="18">
        <v>-12.56</v>
      </c>
      <c r="AQ714" s="18">
        <v>1</v>
      </c>
      <c r="AR714" s="18">
        <v>3.04E-2</v>
      </c>
      <c r="AS714" s="18">
        <v>0.84</v>
      </c>
      <c r="AT714" s="32" t="s">
        <v>2136</v>
      </c>
      <c r="AU714" s="18">
        <v>0.20599999999999999</v>
      </c>
      <c r="AV714" s="18">
        <v>0.216</v>
      </c>
      <c r="AW714" s="18">
        <v>78.087999999999994</v>
      </c>
      <c r="AX714" s="18">
        <v>4</v>
      </c>
      <c r="AY714" s="19" t="s">
        <v>24</v>
      </c>
    </row>
    <row r="715" spans="32:51" x14ac:dyDescent="0.35">
      <c r="AF715" s="14" t="s">
        <v>2137</v>
      </c>
      <c r="AG715" s="15" t="s">
        <v>1297</v>
      </c>
      <c r="AH715" s="15" t="s">
        <v>2138</v>
      </c>
      <c r="AI715" s="15" t="s">
        <v>2139</v>
      </c>
      <c r="AJ715" s="15">
        <v>47</v>
      </c>
      <c r="AK715" s="15">
        <v>296653</v>
      </c>
      <c r="AL715" s="15" t="b">
        <v>0</v>
      </c>
      <c r="AM715" s="15">
        <v>0.55900000000000005</v>
      </c>
      <c r="AN715" s="15">
        <v>0.44800000000000001</v>
      </c>
      <c r="AO715" s="15">
        <v>8</v>
      </c>
      <c r="AP715" s="15">
        <v>-4.1100000000000003</v>
      </c>
      <c r="AQ715" s="15">
        <v>1</v>
      </c>
      <c r="AR715" s="15">
        <v>2.75E-2</v>
      </c>
      <c r="AS715" s="15">
        <v>0.53700000000000003</v>
      </c>
      <c r="AT715" s="31" t="s">
        <v>2140</v>
      </c>
      <c r="AU715" s="15">
        <v>9.1499999999999998E-2</v>
      </c>
      <c r="AV715" s="15">
        <v>0.35399999999999998</v>
      </c>
      <c r="AW715" s="15">
        <v>148.02000000000001</v>
      </c>
      <c r="AX715" s="15">
        <v>4</v>
      </c>
      <c r="AY715" s="16" t="s">
        <v>24</v>
      </c>
    </row>
    <row r="716" spans="32:51" x14ac:dyDescent="0.35">
      <c r="AF716" s="17" t="s">
        <v>2141</v>
      </c>
      <c r="AG716" s="18" t="s">
        <v>42</v>
      </c>
      <c r="AH716" s="18" t="s">
        <v>2142</v>
      </c>
      <c r="AI716" s="18" t="s">
        <v>43</v>
      </c>
      <c r="AJ716" s="18">
        <v>30</v>
      </c>
      <c r="AK716" s="18">
        <v>201506</v>
      </c>
      <c r="AL716" s="18" t="b">
        <v>0</v>
      </c>
      <c r="AM716" s="18">
        <v>0.80400000000000005</v>
      </c>
      <c r="AN716" s="18">
        <v>0.45700000000000002</v>
      </c>
      <c r="AO716" s="18">
        <v>6</v>
      </c>
      <c r="AP716" s="18">
        <v>-7.8449999999999998</v>
      </c>
      <c r="AQ716" s="18">
        <v>1</v>
      </c>
      <c r="AR716" s="18">
        <v>0.19700000000000001</v>
      </c>
      <c r="AS716" s="18">
        <v>0.6</v>
      </c>
      <c r="AT716" s="18">
        <v>0</v>
      </c>
      <c r="AU716" s="18">
        <v>0.15</v>
      </c>
      <c r="AV716" s="18">
        <v>0.55200000000000005</v>
      </c>
      <c r="AW716" s="18">
        <v>98.034999999999997</v>
      </c>
      <c r="AX716" s="18">
        <v>4</v>
      </c>
      <c r="AY716" s="19" t="s">
        <v>24</v>
      </c>
    </row>
    <row r="717" spans="32:51" x14ac:dyDescent="0.35">
      <c r="AF717" s="14" t="s">
        <v>2143</v>
      </c>
      <c r="AG717" s="15" t="s">
        <v>2144</v>
      </c>
      <c r="AH717" s="15" t="s">
        <v>2145</v>
      </c>
      <c r="AI717" s="15" t="s">
        <v>2146</v>
      </c>
      <c r="AJ717" s="15">
        <v>49</v>
      </c>
      <c r="AK717" s="15">
        <v>201861</v>
      </c>
      <c r="AL717" s="15" t="b">
        <v>0</v>
      </c>
      <c r="AM717" s="15">
        <v>0.63700000000000001</v>
      </c>
      <c r="AN717" s="15">
        <v>0.46</v>
      </c>
      <c r="AO717" s="15">
        <v>3</v>
      </c>
      <c r="AP717" s="15">
        <v>-9.07</v>
      </c>
      <c r="AQ717" s="15">
        <v>1</v>
      </c>
      <c r="AR717" s="15">
        <v>3.8399999999999997E-2</v>
      </c>
      <c r="AS717" s="15">
        <v>0.85499999999999998</v>
      </c>
      <c r="AT717" s="31" t="s">
        <v>2147</v>
      </c>
      <c r="AU717" s="15">
        <v>0.114</v>
      </c>
      <c r="AV717" s="15">
        <v>0.34499999999999997</v>
      </c>
      <c r="AW717" s="15">
        <v>93.954999999999998</v>
      </c>
      <c r="AX717" s="15">
        <v>4</v>
      </c>
      <c r="AY717" s="16" t="s">
        <v>24</v>
      </c>
    </row>
    <row r="718" spans="32:51" x14ac:dyDescent="0.35">
      <c r="AF718" s="17" t="s">
        <v>2148</v>
      </c>
      <c r="AG718" s="18" t="s">
        <v>50</v>
      </c>
      <c r="AH718" s="18" t="s">
        <v>275</v>
      </c>
      <c r="AI718" s="18" t="s">
        <v>107</v>
      </c>
      <c r="AJ718" s="18">
        <v>51</v>
      </c>
      <c r="AK718" s="18">
        <v>231266</v>
      </c>
      <c r="AL718" s="18" t="b">
        <v>0</v>
      </c>
      <c r="AM718" s="18">
        <v>0.79500000000000004</v>
      </c>
      <c r="AN718" s="18">
        <v>0.66700000000000004</v>
      </c>
      <c r="AO718" s="18">
        <v>5</v>
      </c>
      <c r="AP718" s="18">
        <v>-4.8310000000000004</v>
      </c>
      <c r="AQ718" s="18">
        <v>0</v>
      </c>
      <c r="AR718" s="18">
        <v>3.9199999999999999E-2</v>
      </c>
      <c r="AS718" s="18">
        <v>0.379</v>
      </c>
      <c r="AT718" s="18">
        <v>0</v>
      </c>
      <c r="AU718" s="18">
        <v>0.221</v>
      </c>
      <c r="AV718" s="18">
        <v>0.754</v>
      </c>
      <c r="AW718" s="18">
        <v>97.986999999999995</v>
      </c>
      <c r="AX718" s="18">
        <v>4</v>
      </c>
      <c r="AY718" s="19" t="s">
        <v>24</v>
      </c>
    </row>
    <row r="719" spans="32:51" x14ac:dyDescent="0.35">
      <c r="AF719" s="14" t="s">
        <v>2149</v>
      </c>
      <c r="AG719" s="15" t="s">
        <v>91</v>
      </c>
      <c r="AH719" s="15" t="s">
        <v>92</v>
      </c>
      <c r="AI719" s="15" t="s">
        <v>2150</v>
      </c>
      <c r="AJ719" s="15">
        <v>50</v>
      </c>
      <c r="AK719" s="15">
        <v>239802</v>
      </c>
      <c r="AL719" s="15" t="b">
        <v>0</v>
      </c>
      <c r="AM719" s="15">
        <v>0.56999999999999995</v>
      </c>
      <c r="AN719" s="15">
        <v>0.41299999999999998</v>
      </c>
      <c r="AO719" s="15">
        <v>9</v>
      </c>
      <c r="AP719" s="15">
        <v>-7.0339999999999998</v>
      </c>
      <c r="AQ719" s="15">
        <v>1</v>
      </c>
      <c r="AR719" s="15">
        <v>3.4500000000000003E-2</v>
      </c>
      <c r="AS719" s="15">
        <v>0.53500000000000003</v>
      </c>
      <c r="AT719" s="15">
        <v>0</v>
      </c>
      <c r="AU719" s="15">
        <v>7.5999999999999998E-2</v>
      </c>
      <c r="AV719" s="15">
        <v>0.27800000000000002</v>
      </c>
      <c r="AW719" s="15">
        <v>152.03200000000001</v>
      </c>
      <c r="AX719" s="15">
        <v>4</v>
      </c>
      <c r="AY719" s="16" t="s">
        <v>24</v>
      </c>
    </row>
    <row r="720" spans="32:51" x14ac:dyDescent="0.35">
      <c r="AF720" s="17" t="s">
        <v>2151</v>
      </c>
      <c r="AG720" s="18" t="s">
        <v>1736</v>
      </c>
      <c r="AH720" s="18" t="s">
        <v>1737</v>
      </c>
      <c r="AI720" s="18" t="s">
        <v>2152</v>
      </c>
      <c r="AJ720" s="18">
        <v>28</v>
      </c>
      <c r="AK720" s="18">
        <v>247666</v>
      </c>
      <c r="AL720" s="18" t="b">
        <v>0</v>
      </c>
      <c r="AM720" s="18">
        <v>0.56499999999999995</v>
      </c>
      <c r="AN720" s="18">
        <v>0.56599999999999995</v>
      </c>
      <c r="AO720" s="18">
        <v>6</v>
      </c>
      <c r="AP720" s="18">
        <v>-7.258</v>
      </c>
      <c r="AQ720" s="18">
        <v>1</v>
      </c>
      <c r="AR720" s="18">
        <v>2.7199999999999998E-2</v>
      </c>
      <c r="AS720" s="18">
        <v>0.47199999999999998</v>
      </c>
      <c r="AT720" s="18">
        <v>4.26E-4</v>
      </c>
      <c r="AU720" s="18">
        <v>0.14799999999999999</v>
      </c>
      <c r="AV720" s="18">
        <v>0.55100000000000005</v>
      </c>
      <c r="AW720" s="18">
        <v>92.016999999999996</v>
      </c>
      <c r="AX720" s="18">
        <v>4</v>
      </c>
      <c r="AY720" s="19" t="s">
        <v>24</v>
      </c>
    </row>
    <row r="721" spans="32:51" x14ac:dyDescent="0.35">
      <c r="AF721" s="14" t="s">
        <v>2153</v>
      </c>
      <c r="AG721" s="15" t="s">
        <v>2154</v>
      </c>
      <c r="AH721" s="15" t="s">
        <v>2155</v>
      </c>
      <c r="AI721" s="15" t="s">
        <v>2156</v>
      </c>
      <c r="AJ721" s="15">
        <v>51</v>
      </c>
      <c r="AK721" s="15">
        <v>155510</v>
      </c>
      <c r="AL721" s="15" t="b">
        <v>0</v>
      </c>
      <c r="AM721" s="15">
        <v>0.77600000000000002</v>
      </c>
      <c r="AN721" s="15">
        <v>0.31900000000000001</v>
      </c>
      <c r="AO721" s="15">
        <v>8</v>
      </c>
      <c r="AP721" s="15">
        <v>-7.4960000000000004</v>
      </c>
      <c r="AQ721" s="15">
        <v>1</v>
      </c>
      <c r="AR721" s="15">
        <v>3.1E-2</v>
      </c>
      <c r="AS721" s="15">
        <v>0.79100000000000004</v>
      </c>
      <c r="AT721" s="15">
        <v>0</v>
      </c>
      <c r="AU721" s="15">
        <v>0.159</v>
      </c>
      <c r="AV721" s="15">
        <v>0.501</v>
      </c>
      <c r="AW721" s="15">
        <v>98.016000000000005</v>
      </c>
      <c r="AX721" s="15">
        <v>4</v>
      </c>
      <c r="AY721" s="16" t="s">
        <v>24</v>
      </c>
    </row>
    <row r="722" spans="32:51" x14ac:dyDescent="0.35">
      <c r="AF722" s="17" t="s">
        <v>2157</v>
      </c>
      <c r="AG722" s="18" t="s">
        <v>278</v>
      </c>
      <c r="AH722" s="18" t="s">
        <v>344</v>
      </c>
      <c r="AI722" s="18" t="s">
        <v>2158</v>
      </c>
      <c r="AJ722" s="18">
        <v>45</v>
      </c>
      <c r="AK722" s="18">
        <v>164786</v>
      </c>
      <c r="AL722" s="18" t="b">
        <v>0</v>
      </c>
      <c r="AM722" s="18">
        <v>0.32800000000000001</v>
      </c>
      <c r="AN722" s="18">
        <v>0.53</v>
      </c>
      <c r="AO722" s="18">
        <v>5</v>
      </c>
      <c r="AP722" s="18">
        <v>-8.1240000000000006</v>
      </c>
      <c r="AQ722" s="18">
        <v>1</v>
      </c>
      <c r="AR722" s="18">
        <v>5.0900000000000001E-2</v>
      </c>
      <c r="AS722" s="18">
        <v>6.0199999999999997E-2</v>
      </c>
      <c r="AT722" s="18">
        <v>0</v>
      </c>
      <c r="AU722" s="18">
        <v>5.7000000000000002E-2</v>
      </c>
      <c r="AV722" s="18">
        <v>0.753</v>
      </c>
      <c r="AW722" s="18">
        <v>162.03100000000001</v>
      </c>
      <c r="AX722" s="18">
        <v>4</v>
      </c>
      <c r="AY722" s="19" t="s">
        <v>24</v>
      </c>
    </row>
    <row r="723" spans="32:51" x14ac:dyDescent="0.35">
      <c r="AF723" s="14" t="s">
        <v>2159</v>
      </c>
      <c r="AG723" s="15" t="s">
        <v>517</v>
      </c>
      <c r="AH723" s="15" t="s">
        <v>566</v>
      </c>
      <c r="AI723" s="15" t="s">
        <v>2160</v>
      </c>
      <c r="AJ723" s="15">
        <v>54</v>
      </c>
      <c r="AK723" s="15">
        <v>183472</v>
      </c>
      <c r="AL723" s="15" t="b">
        <v>0</v>
      </c>
      <c r="AM723" s="15">
        <v>0.438</v>
      </c>
      <c r="AN723" s="15">
        <v>0.44800000000000001</v>
      </c>
      <c r="AO723" s="15">
        <v>1</v>
      </c>
      <c r="AP723" s="15">
        <v>-7.6760000000000002</v>
      </c>
      <c r="AQ723" s="15">
        <v>1</v>
      </c>
      <c r="AR723" s="15">
        <v>6.6600000000000006E-2</v>
      </c>
      <c r="AS723" s="15">
        <v>0.70599999999999996</v>
      </c>
      <c r="AT723" s="15">
        <v>0</v>
      </c>
      <c r="AU723" s="15">
        <v>0.159</v>
      </c>
      <c r="AV723" s="15">
        <v>0.36599999999999999</v>
      </c>
      <c r="AW723" s="15">
        <v>118.37</v>
      </c>
      <c r="AX723" s="15">
        <v>5</v>
      </c>
      <c r="AY723" s="16" t="s">
        <v>24</v>
      </c>
    </row>
    <row r="724" spans="32:51" x14ac:dyDescent="0.35">
      <c r="AF724" s="17" t="s">
        <v>2161</v>
      </c>
      <c r="AG724" s="18" t="s">
        <v>1720</v>
      </c>
      <c r="AH724" s="18" t="s">
        <v>900</v>
      </c>
      <c r="AI724" s="18" t="s">
        <v>2162</v>
      </c>
      <c r="AJ724" s="18">
        <v>54</v>
      </c>
      <c r="AK724" s="18">
        <v>218502</v>
      </c>
      <c r="AL724" s="18" t="b">
        <v>0</v>
      </c>
      <c r="AM724" s="18">
        <v>0.54600000000000004</v>
      </c>
      <c r="AN724" s="18">
        <v>0.41099999999999998</v>
      </c>
      <c r="AO724" s="18">
        <v>2</v>
      </c>
      <c r="AP724" s="18">
        <v>-9.3079999999999998</v>
      </c>
      <c r="AQ724" s="18">
        <v>1</v>
      </c>
      <c r="AR724" s="18">
        <v>4.7500000000000001E-2</v>
      </c>
      <c r="AS724" s="18">
        <v>0.70099999999999996</v>
      </c>
      <c r="AT724" s="32" t="s">
        <v>2163</v>
      </c>
      <c r="AU724" s="18">
        <v>9.5500000000000002E-2</v>
      </c>
      <c r="AV724" s="18">
        <v>0.52800000000000002</v>
      </c>
      <c r="AW724" s="18">
        <v>79.784999999999997</v>
      </c>
      <c r="AX724" s="18">
        <v>4</v>
      </c>
      <c r="AY724" s="19" t="s">
        <v>24</v>
      </c>
    </row>
    <row r="725" spans="32:51" x14ac:dyDescent="0.35">
      <c r="AF725" s="14" t="s">
        <v>2164</v>
      </c>
      <c r="AG725" s="15" t="s">
        <v>2165</v>
      </c>
      <c r="AH725" s="15" t="s">
        <v>2166</v>
      </c>
      <c r="AI725" s="15" t="s">
        <v>2167</v>
      </c>
      <c r="AJ725" s="15">
        <v>57</v>
      </c>
      <c r="AK725" s="15">
        <v>269209</v>
      </c>
      <c r="AL725" s="15" t="b">
        <v>0</v>
      </c>
      <c r="AM725" s="15">
        <v>0.42399999999999999</v>
      </c>
      <c r="AN725" s="15">
        <v>0.253</v>
      </c>
      <c r="AO725" s="15">
        <v>10</v>
      </c>
      <c r="AP725" s="15">
        <v>-13.259</v>
      </c>
      <c r="AQ725" s="15">
        <v>1</v>
      </c>
      <c r="AR725" s="15">
        <v>3.6600000000000001E-2</v>
      </c>
      <c r="AS725" s="15">
        <v>0.82499999999999996</v>
      </c>
      <c r="AT725" s="15">
        <v>0</v>
      </c>
      <c r="AU725" s="15">
        <v>0.11700000000000001</v>
      </c>
      <c r="AV725" s="15">
        <v>0.16</v>
      </c>
      <c r="AW725" s="15">
        <v>129.81200000000001</v>
      </c>
      <c r="AX725" s="15">
        <v>3</v>
      </c>
      <c r="AY725" s="16" t="s">
        <v>24</v>
      </c>
    </row>
    <row r="726" spans="32:51" x14ac:dyDescent="0.35">
      <c r="AF726" s="17" t="s">
        <v>2168</v>
      </c>
      <c r="AG726" s="18" t="s">
        <v>1489</v>
      </c>
      <c r="AH726" s="18" t="s">
        <v>1490</v>
      </c>
      <c r="AI726" s="18" t="s">
        <v>2169</v>
      </c>
      <c r="AJ726" s="18">
        <v>27</v>
      </c>
      <c r="AK726" s="18">
        <v>242880</v>
      </c>
      <c r="AL726" s="18" t="b">
        <v>0</v>
      </c>
      <c r="AM726" s="18">
        <v>0.58599999999999997</v>
      </c>
      <c r="AN726" s="18">
        <v>0.41499999999999998</v>
      </c>
      <c r="AO726" s="18">
        <v>11</v>
      </c>
      <c r="AP726" s="18">
        <v>-7.8339999999999996</v>
      </c>
      <c r="AQ726" s="18">
        <v>1</v>
      </c>
      <c r="AR726" s="18">
        <v>2.76E-2</v>
      </c>
      <c r="AS726" s="18">
        <v>0.83599999999999997</v>
      </c>
      <c r="AT726" s="32" t="s">
        <v>2170</v>
      </c>
      <c r="AU726" s="18">
        <v>0.122</v>
      </c>
      <c r="AV726" s="18">
        <v>0.70399999999999996</v>
      </c>
      <c r="AW726" s="18">
        <v>140.005</v>
      </c>
      <c r="AX726" s="18">
        <v>4</v>
      </c>
      <c r="AY726" s="19" t="s">
        <v>24</v>
      </c>
    </row>
    <row r="727" spans="32:51" x14ac:dyDescent="0.35">
      <c r="AF727" s="14" t="s">
        <v>2171</v>
      </c>
      <c r="AG727" s="15" t="s">
        <v>305</v>
      </c>
      <c r="AH727" s="15" t="s">
        <v>2172</v>
      </c>
      <c r="AI727" s="15" t="s">
        <v>2173</v>
      </c>
      <c r="AJ727" s="15">
        <v>57</v>
      </c>
      <c r="AK727" s="15">
        <v>259920</v>
      </c>
      <c r="AL727" s="15" t="b">
        <v>0</v>
      </c>
      <c r="AM727" s="15">
        <v>0.53200000000000003</v>
      </c>
      <c r="AN727" s="15">
        <v>0.20300000000000001</v>
      </c>
      <c r="AO727" s="15">
        <v>9</v>
      </c>
      <c r="AP727" s="15">
        <v>-8.5239999999999991</v>
      </c>
      <c r="AQ727" s="15">
        <v>0</v>
      </c>
      <c r="AR727" s="15">
        <v>6.6799999999999998E-2</v>
      </c>
      <c r="AS727" s="15">
        <v>0.82899999999999996</v>
      </c>
      <c r="AT727" s="15">
        <v>0</v>
      </c>
      <c r="AU727" s="15">
        <v>0.108</v>
      </c>
      <c r="AV727" s="15">
        <v>0.54300000000000004</v>
      </c>
      <c r="AW727" s="15">
        <v>89.646000000000001</v>
      </c>
      <c r="AX727" s="15">
        <v>4</v>
      </c>
      <c r="AY727" s="16" t="s">
        <v>24</v>
      </c>
    </row>
    <row r="728" spans="32:51" x14ac:dyDescent="0.35">
      <c r="AF728" s="17" t="s">
        <v>2174</v>
      </c>
      <c r="AG728" s="18" t="s">
        <v>2175</v>
      </c>
      <c r="AH728" s="18" t="s">
        <v>2176</v>
      </c>
      <c r="AI728" s="18" t="s">
        <v>2177</v>
      </c>
      <c r="AJ728" s="18">
        <v>55</v>
      </c>
      <c r="AK728" s="18">
        <v>318333</v>
      </c>
      <c r="AL728" s="18" t="b">
        <v>0</v>
      </c>
      <c r="AM728" s="18">
        <v>0.73499999999999999</v>
      </c>
      <c r="AN728" s="18">
        <v>0.35499999999999998</v>
      </c>
      <c r="AO728" s="18">
        <v>9</v>
      </c>
      <c r="AP728" s="18">
        <v>-19.032</v>
      </c>
      <c r="AQ728" s="18">
        <v>0</v>
      </c>
      <c r="AR728" s="18">
        <v>3.8699999999999998E-2</v>
      </c>
      <c r="AS728" s="18">
        <v>0.65600000000000003</v>
      </c>
      <c r="AT728" s="18">
        <v>9.4E-2</v>
      </c>
      <c r="AU728" s="18">
        <v>0.11899999999999999</v>
      </c>
      <c r="AV728" s="18">
        <v>0.72399999999999998</v>
      </c>
      <c r="AW728" s="18">
        <v>93.552999999999997</v>
      </c>
      <c r="AX728" s="18">
        <v>4</v>
      </c>
      <c r="AY728" s="19" t="s">
        <v>24</v>
      </c>
    </row>
    <row r="729" spans="32:51" x14ac:dyDescent="0.35">
      <c r="AF729" s="14" t="s">
        <v>2178</v>
      </c>
      <c r="AG729" s="15" t="s">
        <v>1749</v>
      </c>
      <c r="AH729" s="15" t="s">
        <v>2179</v>
      </c>
      <c r="AI729" s="15" t="s">
        <v>2180</v>
      </c>
      <c r="AJ729" s="15">
        <v>30</v>
      </c>
      <c r="AK729" s="15">
        <v>98000</v>
      </c>
      <c r="AL729" s="15" t="b">
        <v>0</v>
      </c>
      <c r="AM729" s="15">
        <v>0.315</v>
      </c>
      <c r="AN729" s="15">
        <v>0.51600000000000001</v>
      </c>
      <c r="AO729" s="15">
        <v>1</v>
      </c>
      <c r="AP729" s="15">
        <v>-8.1120000000000001</v>
      </c>
      <c r="AQ729" s="15">
        <v>0</v>
      </c>
      <c r="AR729" s="15">
        <v>6.2199999999999998E-2</v>
      </c>
      <c r="AS729" s="15">
        <v>0.85899999999999999</v>
      </c>
      <c r="AT729" s="15">
        <v>0.94699999999999995</v>
      </c>
      <c r="AU729" s="15">
        <v>0.115</v>
      </c>
      <c r="AV729" s="15">
        <v>0.184</v>
      </c>
      <c r="AW729" s="15">
        <v>188.32499999999999</v>
      </c>
      <c r="AX729" s="15">
        <v>3</v>
      </c>
      <c r="AY729" s="16" t="s">
        <v>24</v>
      </c>
    </row>
    <row r="730" spans="32:51" x14ac:dyDescent="0.35">
      <c r="AF730" s="17" t="s">
        <v>2181</v>
      </c>
      <c r="AG730" s="18" t="s">
        <v>894</v>
      </c>
      <c r="AH730" s="18" t="s">
        <v>2182</v>
      </c>
      <c r="AI730" s="18" t="s">
        <v>2183</v>
      </c>
      <c r="AJ730" s="18">
        <v>27</v>
      </c>
      <c r="AK730" s="18">
        <v>182306</v>
      </c>
      <c r="AL730" s="18" t="b">
        <v>0</v>
      </c>
      <c r="AM730" s="18">
        <v>0.625</v>
      </c>
      <c r="AN730" s="18">
        <v>0.77600000000000002</v>
      </c>
      <c r="AO730" s="18">
        <v>9</v>
      </c>
      <c r="AP730" s="18">
        <v>-7.3540000000000001</v>
      </c>
      <c r="AQ730" s="18">
        <v>1</v>
      </c>
      <c r="AR730" s="18">
        <v>3.5400000000000001E-2</v>
      </c>
      <c r="AS730" s="18">
        <v>2.9899999999999999E-2</v>
      </c>
      <c r="AT730" s="18">
        <v>0</v>
      </c>
      <c r="AU730" s="18">
        <v>0.23</v>
      </c>
      <c r="AV730" s="18">
        <v>0.61699999999999999</v>
      </c>
      <c r="AW730" s="18">
        <v>88.001999999999995</v>
      </c>
      <c r="AX730" s="18">
        <v>4</v>
      </c>
      <c r="AY730" s="19" t="s">
        <v>24</v>
      </c>
    </row>
    <row r="731" spans="32:51" x14ac:dyDescent="0.35">
      <c r="AF731" s="14" t="s">
        <v>2184</v>
      </c>
      <c r="AG731" s="15" t="s">
        <v>2185</v>
      </c>
      <c r="AH731" s="15" t="s">
        <v>2186</v>
      </c>
      <c r="AI731" s="15" t="s">
        <v>2187</v>
      </c>
      <c r="AJ731" s="15">
        <v>41</v>
      </c>
      <c r="AK731" s="15">
        <v>219640</v>
      </c>
      <c r="AL731" s="15" t="b">
        <v>0</v>
      </c>
      <c r="AM731" s="15">
        <v>0.59399999999999997</v>
      </c>
      <c r="AN731" s="15">
        <v>0.74399999999999999</v>
      </c>
      <c r="AO731" s="15">
        <v>6</v>
      </c>
      <c r="AP731" s="15">
        <v>-10.096</v>
      </c>
      <c r="AQ731" s="15">
        <v>0</v>
      </c>
      <c r="AR731" s="15">
        <v>3.04E-2</v>
      </c>
      <c r="AS731" s="15">
        <v>0.64800000000000002</v>
      </c>
      <c r="AT731" s="15">
        <v>3.0500000000000002E-3</v>
      </c>
      <c r="AU731" s="15">
        <v>0.26100000000000001</v>
      </c>
      <c r="AV731" s="15">
        <v>0.77800000000000002</v>
      </c>
      <c r="AW731" s="15">
        <v>102.34399999999999</v>
      </c>
      <c r="AX731" s="15">
        <v>4</v>
      </c>
      <c r="AY731" s="16" t="s">
        <v>24</v>
      </c>
    </row>
    <row r="732" spans="32:51" x14ac:dyDescent="0.35">
      <c r="AF732" s="17" t="s">
        <v>2188</v>
      </c>
      <c r="AG732" s="18" t="s">
        <v>894</v>
      </c>
      <c r="AH732" s="18" t="s">
        <v>2189</v>
      </c>
      <c r="AI732" s="18" t="s">
        <v>2190</v>
      </c>
      <c r="AJ732" s="18">
        <v>28</v>
      </c>
      <c r="AK732" s="18">
        <v>361693</v>
      </c>
      <c r="AL732" s="18" t="b">
        <v>0</v>
      </c>
      <c r="AM732" s="18">
        <v>0.41399999999999998</v>
      </c>
      <c r="AN732" s="18">
        <v>0.42</v>
      </c>
      <c r="AO732" s="18">
        <v>10</v>
      </c>
      <c r="AP732" s="18">
        <v>-5.6470000000000002</v>
      </c>
      <c r="AQ732" s="18">
        <v>1</v>
      </c>
      <c r="AR732" s="18">
        <v>3.0099999999999998E-2</v>
      </c>
      <c r="AS732" s="18">
        <v>0.30299999999999999</v>
      </c>
      <c r="AT732" s="32" t="s">
        <v>2191</v>
      </c>
      <c r="AU732" s="18">
        <v>0.19400000000000001</v>
      </c>
      <c r="AV732" s="18">
        <v>0.376</v>
      </c>
      <c r="AW732" s="18">
        <v>97.135999999999996</v>
      </c>
      <c r="AX732" s="18">
        <v>4</v>
      </c>
      <c r="AY732" s="19" t="s">
        <v>24</v>
      </c>
    </row>
    <row r="733" spans="32:51" x14ac:dyDescent="0.35">
      <c r="AF733" s="14" t="s">
        <v>2192</v>
      </c>
      <c r="AG733" s="15" t="s">
        <v>50</v>
      </c>
      <c r="AH733" s="15" t="s">
        <v>1614</v>
      </c>
      <c r="AI733" s="15" t="s">
        <v>444</v>
      </c>
      <c r="AJ733" s="15">
        <v>57</v>
      </c>
      <c r="AK733" s="15">
        <v>218240</v>
      </c>
      <c r="AL733" s="15" t="b">
        <v>0</v>
      </c>
      <c r="AM733" s="15">
        <v>0.61499999999999999</v>
      </c>
      <c r="AN733" s="15">
        <v>0.81200000000000006</v>
      </c>
      <c r="AO733" s="15">
        <v>7</v>
      </c>
      <c r="AP733" s="15">
        <v>-6.5730000000000004</v>
      </c>
      <c r="AQ733" s="15">
        <v>1</v>
      </c>
      <c r="AR733" s="15">
        <v>4.58E-2</v>
      </c>
      <c r="AS733" s="15">
        <v>0.184</v>
      </c>
      <c r="AT733" s="15">
        <v>0</v>
      </c>
      <c r="AU733" s="15">
        <v>0.32800000000000001</v>
      </c>
      <c r="AV733" s="15">
        <v>0.74</v>
      </c>
      <c r="AW733" s="15">
        <v>98.953999999999994</v>
      </c>
      <c r="AX733" s="15">
        <v>4</v>
      </c>
      <c r="AY733" s="16" t="s">
        <v>24</v>
      </c>
    </row>
    <row r="734" spans="32:51" x14ac:dyDescent="0.35">
      <c r="AF734" s="17" t="s">
        <v>2193</v>
      </c>
      <c r="AG734" s="18" t="s">
        <v>1002</v>
      </c>
      <c r="AH734" s="18" t="s">
        <v>2194</v>
      </c>
      <c r="AI734" s="18" t="s">
        <v>2195</v>
      </c>
      <c r="AJ734" s="18">
        <v>51</v>
      </c>
      <c r="AK734" s="18">
        <v>233626</v>
      </c>
      <c r="AL734" s="18" t="b">
        <v>0</v>
      </c>
      <c r="AM734" s="18">
        <v>0.38100000000000001</v>
      </c>
      <c r="AN734" s="18">
        <v>0.33400000000000002</v>
      </c>
      <c r="AO734" s="18">
        <v>7</v>
      </c>
      <c r="AP734" s="18">
        <v>-11.36</v>
      </c>
      <c r="AQ734" s="18">
        <v>1</v>
      </c>
      <c r="AR734" s="18">
        <v>2.7099999999999999E-2</v>
      </c>
      <c r="AS734" s="18">
        <v>0.20200000000000001</v>
      </c>
      <c r="AT734" s="18">
        <v>2.03E-4</v>
      </c>
      <c r="AU734" s="18">
        <v>0.41099999999999998</v>
      </c>
      <c r="AV734" s="18">
        <v>0.17100000000000001</v>
      </c>
      <c r="AW734" s="18">
        <v>102.63200000000001</v>
      </c>
      <c r="AX734" s="18">
        <v>4</v>
      </c>
      <c r="AY734" s="19" t="s">
        <v>24</v>
      </c>
    </row>
    <row r="735" spans="32:51" x14ac:dyDescent="0.35">
      <c r="AF735" s="14" t="s">
        <v>2196</v>
      </c>
      <c r="AG735" s="15" t="s">
        <v>1786</v>
      </c>
      <c r="AH735" s="15" t="s">
        <v>1787</v>
      </c>
      <c r="AI735" s="15" t="s">
        <v>2197</v>
      </c>
      <c r="AJ735" s="15">
        <v>27</v>
      </c>
      <c r="AK735" s="15">
        <v>174124</v>
      </c>
      <c r="AL735" s="15" t="b">
        <v>0</v>
      </c>
      <c r="AM735" s="15">
        <v>0.46600000000000003</v>
      </c>
      <c r="AN735" s="15">
        <v>0.14000000000000001</v>
      </c>
      <c r="AO735" s="15">
        <v>9</v>
      </c>
      <c r="AP735" s="15">
        <v>-13.118</v>
      </c>
      <c r="AQ735" s="15">
        <v>1</v>
      </c>
      <c r="AR735" s="15">
        <v>3.0099999999999998E-2</v>
      </c>
      <c r="AS735" s="15">
        <v>0.92100000000000004</v>
      </c>
      <c r="AT735" s="15">
        <v>6.5900000000000004E-3</v>
      </c>
      <c r="AU735" s="15">
        <v>0.35799999999999998</v>
      </c>
      <c r="AV735" s="15">
        <v>0.35099999999999998</v>
      </c>
      <c r="AW735" s="15">
        <v>147.328</v>
      </c>
      <c r="AX735" s="15">
        <v>3</v>
      </c>
      <c r="AY735" s="16" t="s">
        <v>24</v>
      </c>
    </row>
    <row r="736" spans="32:51" x14ac:dyDescent="0.35">
      <c r="AF736" s="17" t="s">
        <v>2198</v>
      </c>
      <c r="AG736" s="18" t="s">
        <v>1047</v>
      </c>
      <c r="AH736" s="18" t="s">
        <v>1048</v>
      </c>
      <c r="AI736" s="18" t="s">
        <v>2199</v>
      </c>
      <c r="AJ736" s="18">
        <v>27</v>
      </c>
      <c r="AK736" s="18">
        <v>250987</v>
      </c>
      <c r="AL736" s="18" t="b">
        <v>0</v>
      </c>
      <c r="AM736" s="18">
        <v>0.63600000000000001</v>
      </c>
      <c r="AN736" s="18">
        <v>0.77600000000000002</v>
      </c>
      <c r="AO736" s="18">
        <v>7</v>
      </c>
      <c r="AP736" s="18">
        <v>-4.7649999999999997</v>
      </c>
      <c r="AQ736" s="18">
        <v>1</v>
      </c>
      <c r="AR736" s="18">
        <v>3.6200000000000003E-2</v>
      </c>
      <c r="AS736" s="18">
        <v>6.62E-3</v>
      </c>
      <c r="AT736" s="32" t="s">
        <v>2200</v>
      </c>
      <c r="AU736" s="18">
        <v>7.4099999999999999E-2</v>
      </c>
      <c r="AV736" s="18">
        <v>0.40200000000000002</v>
      </c>
      <c r="AW736" s="18">
        <v>95.998999999999995</v>
      </c>
      <c r="AX736" s="18">
        <v>4</v>
      </c>
      <c r="AY736" s="19" t="s">
        <v>24</v>
      </c>
    </row>
    <row r="737" spans="32:51" x14ac:dyDescent="0.35">
      <c r="AF737" s="14" t="s">
        <v>2201</v>
      </c>
      <c r="AG737" s="15" t="s">
        <v>1628</v>
      </c>
      <c r="AH737" s="15" t="s">
        <v>2202</v>
      </c>
      <c r="AI737" s="15" t="s">
        <v>2203</v>
      </c>
      <c r="AJ737" s="15">
        <v>58</v>
      </c>
      <c r="AK737" s="15">
        <v>189282</v>
      </c>
      <c r="AL737" s="15" t="b">
        <v>0</v>
      </c>
      <c r="AM737" s="15">
        <v>0.54500000000000004</v>
      </c>
      <c r="AN737" s="15">
        <v>0.64200000000000002</v>
      </c>
      <c r="AO737" s="15">
        <v>10</v>
      </c>
      <c r="AP737" s="15">
        <v>-7.3440000000000003</v>
      </c>
      <c r="AQ737" s="15">
        <v>1</v>
      </c>
      <c r="AR737" s="15">
        <v>2.7900000000000001E-2</v>
      </c>
      <c r="AS737" s="15">
        <v>0.51700000000000002</v>
      </c>
      <c r="AT737" s="31" t="s">
        <v>1016</v>
      </c>
      <c r="AU737" s="15">
        <v>0.11600000000000001</v>
      </c>
      <c r="AV737" s="15">
        <v>0.55500000000000005</v>
      </c>
      <c r="AW737" s="15">
        <v>78.510000000000005</v>
      </c>
      <c r="AX737" s="15">
        <v>4</v>
      </c>
      <c r="AY737" s="16" t="s">
        <v>24</v>
      </c>
    </row>
    <row r="738" spans="32:51" x14ac:dyDescent="0.35">
      <c r="AF738" s="17" t="s">
        <v>2204</v>
      </c>
      <c r="AG738" s="18" t="s">
        <v>2205</v>
      </c>
      <c r="AH738" s="18" t="s">
        <v>2206</v>
      </c>
      <c r="AI738" s="18" t="s">
        <v>2207</v>
      </c>
      <c r="AJ738" s="18">
        <v>27</v>
      </c>
      <c r="AK738" s="18">
        <v>209606</v>
      </c>
      <c r="AL738" s="18" t="b">
        <v>1</v>
      </c>
      <c r="AM738" s="18">
        <v>0.53200000000000003</v>
      </c>
      <c r="AN738" s="18">
        <v>0.54</v>
      </c>
      <c r="AO738" s="18">
        <v>10</v>
      </c>
      <c r="AP738" s="18">
        <v>-6.3040000000000003</v>
      </c>
      <c r="AQ738" s="18">
        <v>1</v>
      </c>
      <c r="AR738" s="18">
        <v>3.4599999999999999E-2</v>
      </c>
      <c r="AS738" s="18">
        <v>0.72399999999999998</v>
      </c>
      <c r="AT738" s="18">
        <v>3.7599999999999998E-4</v>
      </c>
      <c r="AU738" s="18">
        <v>4.6399999999999997E-2</v>
      </c>
      <c r="AV738" s="18">
        <v>0.76500000000000001</v>
      </c>
      <c r="AW738" s="18">
        <v>169.82599999999999</v>
      </c>
      <c r="AX738" s="18">
        <v>4</v>
      </c>
      <c r="AY738" s="19" t="s">
        <v>24</v>
      </c>
    </row>
    <row r="739" spans="32:51" x14ac:dyDescent="0.35">
      <c r="AF739" s="14" t="s">
        <v>2208</v>
      </c>
      <c r="AG739" s="15" t="s">
        <v>1047</v>
      </c>
      <c r="AH739" s="15" t="s">
        <v>2209</v>
      </c>
      <c r="AI739" s="15" t="s">
        <v>2210</v>
      </c>
      <c r="AJ739" s="15">
        <v>27</v>
      </c>
      <c r="AK739" s="15">
        <v>212960</v>
      </c>
      <c r="AL739" s="15" t="b">
        <v>0</v>
      </c>
      <c r="AM739" s="15">
        <v>0.61499999999999999</v>
      </c>
      <c r="AN739" s="15">
        <v>0.312</v>
      </c>
      <c r="AO739" s="15">
        <v>2</v>
      </c>
      <c r="AP739" s="15">
        <v>-10.054</v>
      </c>
      <c r="AQ739" s="15">
        <v>1</v>
      </c>
      <c r="AR739" s="15">
        <v>3.0099999999999998E-2</v>
      </c>
      <c r="AS739" s="15">
        <v>0.72699999999999998</v>
      </c>
      <c r="AT739" s="31" t="s">
        <v>2211</v>
      </c>
      <c r="AU739" s="15">
        <v>0.25600000000000001</v>
      </c>
      <c r="AV739" s="15">
        <v>0.35399999999999998</v>
      </c>
      <c r="AW739" s="15">
        <v>135.14500000000001</v>
      </c>
      <c r="AX739" s="15">
        <v>4</v>
      </c>
      <c r="AY739" s="16" t="s">
        <v>24</v>
      </c>
    </row>
    <row r="740" spans="32:51" x14ac:dyDescent="0.35">
      <c r="AF740" s="17" t="s">
        <v>2212</v>
      </c>
      <c r="AG740" s="18" t="s">
        <v>1805</v>
      </c>
      <c r="AH740" s="18" t="s">
        <v>2213</v>
      </c>
      <c r="AI740" s="18" t="s">
        <v>2214</v>
      </c>
      <c r="AJ740" s="18">
        <v>27</v>
      </c>
      <c r="AK740" s="18">
        <v>294853</v>
      </c>
      <c r="AL740" s="18" t="b">
        <v>0</v>
      </c>
      <c r="AM740" s="18">
        <v>0.66400000000000003</v>
      </c>
      <c r="AN740" s="18">
        <v>0.45</v>
      </c>
      <c r="AO740" s="18">
        <v>1</v>
      </c>
      <c r="AP740" s="18">
        <v>-7.0069999999999997</v>
      </c>
      <c r="AQ740" s="18">
        <v>1</v>
      </c>
      <c r="AR740" s="18">
        <v>2.5700000000000001E-2</v>
      </c>
      <c r="AS740" s="18">
        <v>0.78100000000000003</v>
      </c>
      <c r="AT740" s="32" t="s">
        <v>2215</v>
      </c>
      <c r="AU740" s="18">
        <v>0.311</v>
      </c>
      <c r="AV740" s="18">
        <v>0.26</v>
      </c>
      <c r="AW740" s="18">
        <v>83.986999999999995</v>
      </c>
      <c r="AX740" s="18">
        <v>4</v>
      </c>
      <c r="AY740" s="19" t="s">
        <v>24</v>
      </c>
    </row>
    <row r="741" spans="32:51" x14ac:dyDescent="0.35">
      <c r="AF741" s="14" t="s">
        <v>2216</v>
      </c>
      <c r="AG741" s="15" t="s">
        <v>2217</v>
      </c>
      <c r="AH741" s="15" t="s">
        <v>2218</v>
      </c>
      <c r="AI741" s="15" t="s">
        <v>2219</v>
      </c>
      <c r="AJ741" s="15">
        <v>28</v>
      </c>
      <c r="AK741" s="15">
        <v>179920</v>
      </c>
      <c r="AL741" s="15" t="b">
        <v>0</v>
      </c>
      <c r="AM741" s="15">
        <v>0.46600000000000003</v>
      </c>
      <c r="AN741" s="15">
        <v>0.42099999999999999</v>
      </c>
      <c r="AO741" s="15">
        <v>7</v>
      </c>
      <c r="AP741" s="15">
        <v>-7.4279999999999999</v>
      </c>
      <c r="AQ741" s="15">
        <v>1</v>
      </c>
      <c r="AR741" s="15">
        <v>3.1800000000000002E-2</v>
      </c>
      <c r="AS741" s="15">
        <v>7.9799999999999992E-3</v>
      </c>
      <c r="AT741" s="31" t="s">
        <v>2220</v>
      </c>
      <c r="AU741" s="15">
        <v>7.17E-2</v>
      </c>
      <c r="AV741" s="15">
        <v>0.78800000000000003</v>
      </c>
      <c r="AW741" s="15">
        <v>146.791</v>
      </c>
      <c r="AX741" s="15">
        <v>4</v>
      </c>
      <c r="AY741" s="16" t="s">
        <v>24</v>
      </c>
    </row>
    <row r="742" spans="32:51" x14ac:dyDescent="0.35">
      <c r="AF742" s="17" t="s">
        <v>2221</v>
      </c>
      <c r="AG742" s="18" t="s">
        <v>1223</v>
      </c>
      <c r="AH742" s="18" t="s">
        <v>2222</v>
      </c>
      <c r="AI742" s="18" t="s">
        <v>2223</v>
      </c>
      <c r="AJ742" s="18">
        <v>27</v>
      </c>
      <c r="AK742" s="18">
        <v>330454</v>
      </c>
      <c r="AL742" s="18" t="b">
        <v>0</v>
      </c>
      <c r="AM742" s="18">
        <v>0.34200000000000003</v>
      </c>
      <c r="AN742" s="18">
        <v>0.73099999999999998</v>
      </c>
      <c r="AO742" s="18">
        <v>3</v>
      </c>
      <c r="AP742" s="18">
        <v>-6.0149999999999997</v>
      </c>
      <c r="AQ742" s="18">
        <v>1</v>
      </c>
      <c r="AR742" s="18">
        <v>5.45E-2</v>
      </c>
      <c r="AS742" s="18">
        <v>6.7500000000000004E-2</v>
      </c>
      <c r="AT742" s="32" t="s">
        <v>2224</v>
      </c>
      <c r="AU742" s="18">
        <v>0.191</v>
      </c>
      <c r="AV742" s="18">
        <v>0.66500000000000004</v>
      </c>
      <c r="AW742" s="18">
        <v>181.81</v>
      </c>
      <c r="AX742" s="18">
        <v>4</v>
      </c>
      <c r="AY742" s="19" t="s">
        <v>24</v>
      </c>
    </row>
    <row r="743" spans="32:51" x14ac:dyDescent="0.35">
      <c r="AF743" s="14" t="s">
        <v>2225</v>
      </c>
      <c r="AG743" s="15" t="s">
        <v>755</v>
      </c>
      <c r="AH743" s="15" t="s">
        <v>920</v>
      </c>
      <c r="AI743" s="15" t="s">
        <v>2226</v>
      </c>
      <c r="AJ743" s="15">
        <v>28</v>
      </c>
      <c r="AK743" s="15">
        <v>175046</v>
      </c>
      <c r="AL743" s="15" t="b">
        <v>0</v>
      </c>
      <c r="AM743" s="15">
        <v>0.58299999999999996</v>
      </c>
      <c r="AN743" s="15">
        <v>0.53400000000000003</v>
      </c>
      <c r="AO743" s="15">
        <v>2</v>
      </c>
      <c r="AP743" s="15">
        <v>-11.147</v>
      </c>
      <c r="AQ743" s="15">
        <v>0</v>
      </c>
      <c r="AR743" s="15">
        <v>4.1099999999999998E-2</v>
      </c>
      <c r="AS743" s="15">
        <v>0.56899999999999995</v>
      </c>
      <c r="AT743" s="15">
        <v>0</v>
      </c>
      <c r="AU743" s="15">
        <v>0.35099999999999998</v>
      </c>
      <c r="AV743" s="15">
        <v>0.94299999999999995</v>
      </c>
      <c r="AW743" s="15">
        <v>123.09399999999999</v>
      </c>
      <c r="AX743" s="15">
        <v>4</v>
      </c>
      <c r="AY743" s="16" t="s">
        <v>24</v>
      </c>
    </row>
    <row r="744" spans="32:51" x14ac:dyDescent="0.35">
      <c r="AF744" s="17" t="s">
        <v>2227</v>
      </c>
      <c r="AG744" s="18" t="s">
        <v>1632</v>
      </c>
      <c r="AH744" s="18" t="s">
        <v>2228</v>
      </c>
      <c r="AI744" s="18" t="s">
        <v>2229</v>
      </c>
      <c r="AJ744" s="18">
        <v>30</v>
      </c>
      <c r="AK744" s="18">
        <v>153653</v>
      </c>
      <c r="AL744" s="18" t="b">
        <v>0</v>
      </c>
      <c r="AM744" s="18">
        <v>0.69899999999999995</v>
      </c>
      <c r="AN744" s="18">
        <v>0.76100000000000001</v>
      </c>
      <c r="AO744" s="18">
        <v>7</v>
      </c>
      <c r="AP744" s="18">
        <v>-7.2640000000000002</v>
      </c>
      <c r="AQ744" s="18">
        <v>1</v>
      </c>
      <c r="AR744" s="18">
        <v>0.10299999999999999</v>
      </c>
      <c r="AS744" s="18">
        <v>0.80600000000000005</v>
      </c>
      <c r="AT744" s="18">
        <v>1.15E-3</v>
      </c>
      <c r="AU744" s="18">
        <v>0.58799999999999997</v>
      </c>
      <c r="AV744" s="18">
        <v>0.70599999999999996</v>
      </c>
      <c r="AW744" s="18">
        <v>115.048</v>
      </c>
      <c r="AX744" s="18">
        <v>4</v>
      </c>
      <c r="AY744" s="19" t="s">
        <v>24</v>
      </c>
    </row>
    <row r="745" spans="32:51" x14ac:dyDescent="0.35">
      <c r="AF745" s="14" t="s">
        <v>2230</v>
      </c>
      <c r="AG745" s="15" t="s">
        <v>1660</v>
      </c>
      <c r="AH745" s="15" t="s">
        <v>1661</v>
      </c>
      <c r="AI745" s="15" t="s">
        <v>2231</v>
      </c>
      <c r="AJ745" s="15">
        <v>28</v>
      </c>
      <c r="AK745" s="15">
        <v>174709</v>
      </c>
      <c r="AL745" s="15" t="b">
        <v>0</v>
      </c>
      <c r="AM745" s="15">
        <v>0.64500000000000002</v>
      </c>
      <c r="AN745" s="15">
        <v>0.626</v>
      </c>
      <c r="AO745" s="15">
        <v>7</v>
      </c>
      <c r="AP745" s="15">
        <v>-7.5510000000000002</v>
      </c>
      <c r="AQ745" s="15">
        <v>1</v>
      </c>
      <c r="AR745" s="15">
        <v>3.6400000000000002E-2</v>
      </c>
      <c r="AS745" s="15">
        <v>0.25900000000000001</v>
      </c>
      <c r="AT745" s="15">
        <v>8.8699999999999994E-3</v>
      </c>
      <c r="AU745" s="15">
        <v>0.115</v>
      </c>
      <c r="AV745" s="15">
        <v>0.307</v>
      </c>
      <c r="AW745" s="15">
        <v>118.58499999999999</v>
      </c>
      <c r="AX745" s="15">
        <v>4</v>
      </c>
      <c r="AY745" s="16" t="s">
        <v>24</v>
      </c>
    </row>
    <row r="746" spans="32:51" x14ac:dyDescent="0.35">
      <c r="AF746" s="17" t="s">
        <v>2232</v>
      </c>
      <c r="AG746" s="18" t="s">
        <v>2217</v>
      </c>
      <c r="AH746" s="18" t="s">
        <v>2233</v>
      </c>
      <c r="AI746" s="18" t="s">
        <v>2234</v>
      </c>
      <c r="AJ746" s="18">
        <v>28</v>
      </c>
      <c r="AK746" s="18">
        <v>258866</v>
      </c>
      <c r="AL746" s="18" t="b">
        <v>0</v>
      </c>
      <c r="AM746" s="18">
        <v>0.57699999999999996</v>
      </c>
      <c r="AN746" s="18">
        <v>0.45300000000000001</v>
      </c>
      <c r="AO746" s="18">
        <v>2</v>
      </c>
      <c r="AP746" s="18">
        <v>-8.77</v>
      </c>
      <c r="AQ746" s="18">
        <v>1</v>
      </c>
      <c r="AR746" s="18">
        <v>4.8899999999999999E-2</v>
      </c>
      <c r="AS746" s="18">
        <v>0.39500000000000002</v>
      </c>
      <c r="AT746" s="18">
        <v>0</v>
      </c>
      <c r="AU746" s="18">
        <v>0.17599999999999999</v>
      </c>
      <c r="AV746" s="18">
        <v>0.51</v>
      </c>
      <c r="AW746" s="18">
        <v>132.94399999999999</v>
      </c>
      <c r="AX746" s="18">
        <v>4</v>
      </c>
      <c r="AY746" s="19" t="s">
        <v>24</v>
      </c>
    </row>
    <row r="747" spans="32:51" x14ac:dyDescent="0.35">
      <c r="AF747" s="14" t="s">
        <v>2235</v>
      </c>
      <c r="AG747" s="15" t="s">
        <v>1522</v>
      </c>
      <c r="AH747" s="15" t="s">
        <v>2236</v>
      </c>
      <c r="AI747" s="15" t="s">
        <v>2237</v>
      </c>
      <c r="AJ747" s="15">
        <v>28</v>
      </c>
      <c r="AK747" s="15">
        <v>172121</v>
      </c>
      <c r="AL747" s="15" t="b">
        <v>1</v>
      </c>
      <c r="AM747" s="15">
        <v>0.52900000000000003</v>
      </c>
      <c r="AN747" s="15">
        <v>0.93600000000000005</v>
      </c>
      <c r="AO747" s="15">
        <v>5</v>
      </c>
      <c r="AP747" s="15">
        <v>-4.0609999999999999</v>
      </c>
      <c r="AQ747" s="15">
        <v>0</v>
      </c>
      <c r="AR747" s="15">
        <v>7.5700000000000003E-2</v>
      </c>
      <c r="AS747" s="15">
        <v>0.25600000000000001</v>
      </c>
      <c r="AT747" s="15">
        <v>4.5399999999999998E-4</v>
      </c>
      <c r="AU747" s="15">
        <v>0.752</v>
      </c>
      <c r="AV747" s="15">
        <v>0.84899999999999998</v>
      </c>
      <c r="AW747" s="15">
        <v>91.951999999999998</v>
      </c>
      <c r="AX747" s="15">
        <v>4</v>
      </c>
      <c r="AY747" s="16" t="s">
        <v>24</v>
      </c>
    </row>
    <row r="748" spans="32:51" x14ac:dyDescent="0.35">
      <c r="AF748" s="17" t="s">
        <v>2238</v>
      </c>
      <c r="AG748" s="18" t="s">
        <v>1073</v>
      </c>
      <c r="AH748" s="18" t="s">
        <v>1535</v>
      </c>
      <c r="AI748" s="18" t="s">
        <v>2239</v>
      </c>
      <c r="AJ748" s="18">
        <v>27</v>
      </c>
      <c r="AK748" s="18">
        <v>119946</v>
      </c>
      <c r="AL748" s="18" t="b">
        <v>1</v>
      </c>
      <c r="AM748" s="18">
        <v>0.45500000000000002</v>
      </c>
      <c r="AN748" s="18">
        <v>0.96099999999999997</v>
      </c>
      <c r="AO748" s="18">
        <v>4</v>
      </c>
      <c r="AP748" s="18">
        <v>-4.5270000000000001</v>
      </c>
      <c r="AQ748" s="18">
        <v>0</v>
      </c>
      <c r="AR748" s="18">
        <v>8.2400000000000001E-2</v>
      </c>
      <c r="AS748" s="32" t="s">
        <v>2220</v>
      </c>
      <c r="AT748" s="18">
        <v>1.3100000000000001E-2</v>
      </c>
      <c r="AU748" s="18">
        <v>0.35699999999999998</v>
      </c>
      <c r="AV748" s="18">
        <v>0.41699999999999998</v>
      </c>
      <c r="AW748" s="18">
        <v>95.069000000000003</v>
      </c>
      <c r="AX748" s="18">
        <v>4</v>
      </c>
      <c r="AY748" s="19" t="s">
        <v>24</v>
      </c>
    </row>
    <row r="749" spans="32:51" x14ac:dyDescent="0.35">
      <c r="AF749" s="14" t="s">
        <v>2240</v>
      </c>
      <c r="AG749" s="15" t="s">
        <v>1073</v>
      </c>
      <c r="AH749" s="15" t="s">
        <v>1535</v>
      </c>
      <c r="AI749" s="15" t="s">
        <v>2241</v>
      </c>
      <c r="AJ749" s="15">
        <v>27</v>
      </c>
      <c r="AK749" s="15">
        <v>159640</v>
      </c>
      <c r="AL749" s="15" t="b">
        <v>1</v>
      </c>
      <c r="AM749" s="15">
        <v>0.45500000000000002</v>
      </c>
      <c r="AN749" s="15">
        <v>0.93799999999999994</v>
      </c>
      <c r="AO749" s="15">
        <v>7</v>
      </c>
      <c r="AP749" s="15">
        <v>-4.3159999999999998</v>
      </c>
      <c r="AQ749" s="15">
        <v>1</v>
      </c>
      <c r="AR749" s="15">
        <v>7.5600000000000001E-2</v>
      </c>
      <c r="AS749" s="15">
        <v>2.2000000000000001E-3</v>
      </c>
      <c r="AT749" s="31" t="s">
        <v>2242</v>
      </c>
      <c r="AU749" s="15">
        <v>0.14199999999999999</v>
      </c>
      <c r="AV749" s="15">
        <v>0.55200000000000005</v>
      </c>
      <c r="AW749" s="15">
        <v>143.887</v>
      </c>
      <c r="AX749" s="15">
        <v>4</v>
      </c>
      <c r="AY749" s="16" t="s">
        <v>24</v>
      </c>
    </row>
    <row r="750" spans="32:51" x14ac:dyDescent="0.35">
      <c r="AF750" s="17" t="s">
        <v>2243</v>
      </c>
      <c r="AG750" s="18" t="s">
        <v>2244</v>
      </c>
      <c r="AH750" s="18" t="s">
        <v>1665</v>
      </c>
      <c r="AI750" s="18" t="s">
        <v>2245</v>
      </c>
      <c r="AJ750" s="18">
        <v>27</v>
      </c>
      <c r="AK750" s="18">
        <v>244821</v>
      </c>
      <c r="AL750" s="18" t="b">
        <v>0</v>
      </c>
      <c r="AM750" s="18">
        <v>0.66200000000000003</v>
      </c>
      <c r="AN750" s="18">
        <v>0.26800000000000002</v>
      </c>
      <c r="AO750" s="18">
        <v>10</v>
      </c>
      <c r="AP750" s="18">
        <v>-7.3940000000000001</v>
      </c>
      <c r="AQ750" s="18">
        <v>1</v>
      </c>
      <c r="AR750" s="18">
        <v>3.5799999999999998E-2</v>
      </c>
      <c r="AS750" s="18">
        <v>0.85799999999999998</v>
      </c>
      <c r="AT750" s="18">
        <v>0</v>
      </c>
      <c r="AU750" s="18">
        <v>0.11</v>
      </c>
      <c r="AV750" s="18">
        <v>0.39400000000000002</v>
      </c>
      <c r="AW750" s="18">
        <v>111.59399999999999</v>
      </c>
      <c r="AX750" s="18">
        <v>4</v>
      </c>
      <c r="AY750" s="19" t="s">
        <v>24</v>
      </c>
    </row>
    <row r="751" spans="32:51" x14ac:dyDescent="0.35">
      <c r="AF751" s="14" t="s">
        <v>2246</v>
      </c>
      <c r="AG751" s="15" t="s">
        <v>755</v>
      </c>
      <c r="AH751" s="15" t="s">
        <v>1513</v>
      </c>
      <c r="AI751" s="15" t="s">
        <v>2247</v>
      </c>
      <c r="AJ751" s="15">
        <v>28</v>
      </c>
      <c r="AK751" s="15">
        <v>182204</v>
      </c>
      <c r="AL751" s="15" t="b">
        <v>1</v>
      </c>
      <c r="AM751" s="15">
        <v>0.48599999999999999</v>
      </c>
      <c r="AN751" s="15">
        <v>0.42299999999999999</v>
      </c>
      <c r="AO751" s="15">
        <v>9</v>
      </c>
      <c r="AP751" s="15">
        <v>-11.702999999999999</v>
      </c>
      <c r="AQ751" s="15">
        <v>0</v>
      </c>
      <c r="AR751" s="15">
        <v>4.2599999999999999E-2</v>
      </c>
      <c r="AS751" s="15">
        <v>0.78400000000000003</v>
      </c>
      <c r="AT751" s="15">
        <v>0</v>
      </c>
      <c r="AU751" s="15">
        <v>0.32</v>
      </c>
      <c r="AV751" s="15">
        <v>0.75</v>
      </c>
      <c r="AW751" s="15">
        <v>127.551</v>
      </c>
      <c r="AX751" s="15">
        <v>4</v>
      </c>
      <c r="AY751" s="16" t="s">
        <v>24</v>
      </c>
    </row>
    <row r="752" spans="32:51" x14ac:dyDescent="0.35">
      <c r="AF752" s="17" t="s">
        <v>2248</v>
      </c>
      <c r="AG752" s="18" t="s">
        <v>1073</v>
      </c>
      <c r="AH752" s="18" t="s">
        <v>1953</v>
      </c>
      <c r="AI752" s="18" t="s">
        <v>98</v>
      </c>
      <c r="AJ752" s="18">
        <v>27</v>
      </c>
      <c r="AK752" s="18">
        <v>245386</v>
      </c>
      <c r="AL752" s="18" t="b">
        <v>0</v>
      </c>
      <c r="AM752" s="18">
        <v>0.28499999999999998</v>
      </c>
      <c r="AN752" s="18">
        <v>0.93799999999999994</v>
      </c>
      <c r="AO752" s="18">
        <v>4</v>
      </c>
      <c r="AP752" s="18">
        <v>-5.4139999999999997</v>
      </c>
      <c r="AQ752" s="18">
        <v>1</v>
      </c>
      <c r="AR752" s="18">
        <v>7.9500000000000001E-2</v>
      </c>
      <c r="AS752" s="18">
        <v>1.4499999999999999E-3</v>
      </c>
      <c r="AT752" s="18">
        <v>2.7300000000000002E-4</v>
      </c>
      <c r="AU752" s="18">
        <v>0.38700000000000001</v>
      </c>
      <c r="AV752" s="18">
        <v>0.28599999999999998</v>
      </c>
      <c r="AW752" s="18">
        <v>159.017</v>
      </c>
      <c r="AX752" s="18">
        <v>4</v>
      </c>
      <c r="AY752" s="19" t="s">
        <v>24</v>
      </c>
    </row>
    <row r="753" spans="32:51" x14ac:dyDescent="0.35">
      <c r="AF753" s="14" t="s">
        <v>2249</v>
      </c>
      <c r="AG753" s="15" t="s">
        <v>1297</v>
      </c>
      <c r="AH753" s="15" t="s">
        <v>2250</v>
      </c>
      <c r="AI753" s="15" t="s">
        <v>2251</v>
      </c>
      <c r="AJ753" s="15">
        <v>65</v>
      </c>
      <c r="AK753" s="15">
        <v>235240</v>
      </c>
      <c r="AL753" s="15" t="b">
        <v>0</v>
      </c>
      <c r="AM753" s="15">
        <v>0.67300000000000004</v>
      </c>
      <c r="AN753" s="15">
        <v>0.85</v>
      </c>
      <c r="AO753" s="15">
        <v>2</v>
      </c>
      <c r="AP753" s="15">
        <v>-5.0209999999999999</v>
      </c>
      <c r="AQ753" s="15">
        <v>1</v>
      </c>
      <c r="AR753" s="15">
        <v>3.3700000000000001E-2</v>
      </c>
      <c r="AS753" s="15">
        <v>3.4500000000000003E-2</v>
      </c>
      <c r="AT753" s="31" t="s">
        <v>2252</v>
      </c>
      <c r="AU753" s="15">
        <v>9.4299999999999995E-2</v>
      </c>
      <c r="AV753" s="15">
        <v>0.79300000000000004</v>
      </c>
      <c r="AW753" s="15">
        <v>100.008</v>
      </c>
      <c r="AX753" s="15">
        <v>4</v>
      </c>
      <c r="AY753" s="16" t="s">
        <v>24</v>
      </c>
    </row>
    <row r="754" spans="32:51" x14ac:dyDescent="0.35">
      <c r="AF754" s="17" t="s">
        <v>2253</v>
      </c>
      <c r="AG754" s="18" t="s">
        <v>21</v>
      </c>
      <c r="AH754" s="18" t="s">
        <v>2254</v>
      </c>
      <c r="AI754" s="18" t="s">
        <v>2254</v>
      </c>
      <c r="AJ754" s="18">
        <v>49</v>
      </c>
      <c r="AK754" s="18">
        <v>290000</v>
      </c>
      <c r="AL754" s="18" t="b">
        <v>0</v>
      </c>
      <c r="AM754" s="18">
        <v>0.753</v>
      </c>
      <c r="AN754" s="18">
        <v>0.57399999999999995</v>
      </c>
      <c r="AO754" s="18">
        <v>3</v>
      </c>
      <c r="AP754" s="18">
        <v>-4.57</v>
      </c>
      <c r="AQ754" s="18">
        <v>1</v>
      </c>
      <c r="AR754" s="18">
        <v>4.8300000000000003E-2</v>
      </c>
      <c r="AS754" s="18">
        <v>5.1200000000000002E-2</v>
      </c>
      <c r="AT754" s="32" t="s">
        <v>2255</v>
      </c>
      <c r="AU754" s="18">
        <v>0.14099999999999999</v>
      </c>
      <c r="AV754" s="18">
        <v>0.52700000000000002</v>
      </c>
      <c r="AW754" s="18">
        <v>89.024000000000001</v>
      </c>
      <c r="AX754" s="18">
        <v>4</v>
      </c>
      <c r="AY754" s="19" t="s">
        <v>24</v>
      </c>
    </row>
    <row r="755" spans="32:51" x14ac:dyDescent="0.35">
      <c r="AF755" s="14" t="s">
        <v>2256</v>
      </c>
      <c r="AG755" s="15" t="s">
        <v>2185</v>
      </c>
      <c r="AH755" s="15" t="s">
        <v>2257</v>
      </c>
      <c r="AI755" s="15" t="s">
        <v>2257</v>
      </c>
      <c r="AJ755" s="15">
        <v>52</v>
      </c>
      <c r="AK755" s="15">
        <v>445533</v>
      </c>
      <c r="AL755" s="15" t="b">
        <v>0</v>
      </c>
      <c r="AM755" s="15">
        <v>0.63900000000000001</v>
      </c>
      <c r="AN755" s="15">
        <v>0.496</v>
      </c>
      <c r="AO755" s="15">
        <v>1</v>
      </c>
      <c r="AP755" s="15">
        <v>-6.8440000000000003</v>
      </c>
      <c r="AQ755" s="15">
        <v>0</v>
      </c>
      <c r="AR755" s="15">
        <v>3.7499999999999999E-2</v>
      </c>
      <c r="AS755" s="15">
        <v>0.71299999999999997</v>
      </c>
      <c r="AT755" s="15">
        <v>0.254</v>
      </c>
      <c r="AU755" s="15">
        <v>5.45E-2</v>
      </c>
      <c r="AV755" s="15">
        <v>0.46700000000000003</v>
      </c>
      <c r="AW755" s="15">
        <v>140.39400000000001</v>
      </c>
      <c r="AX755" s="15">
        <v>3</v>
      </c>
      <c r="AY755" s="16" t="s">
        <v>24</v>
      </c>
    </row>
    <row r="756" spans="32:51" x14ac:dyDescent="0.35">
      <c r="AF756" s="17" t="s">
        <v>2258</v>
      </c>
      <c r="AG756" s="18" t="s">
        <v>2259</v>
      </c>
      <c r="AH756" s="18" t="s">
        <v>2260</v>
      </c>
      <c r="AI756" s="18" t="s">
        <v>2260</v>
      </c>
      <c r="AJ756" s="18">
        <v>39</v>
      </c>
      <c r="AK756" s="18">
        <v>193876</v>
      </c>
      <c r="AL756" s="18" t="b">
        <v>0</v>
      </c>
      <c r="AM756" s="18">
        <v>0.748</v>
      </c>
      <c r="AN756" s="18">
        <v>0.42799999999999999</v>
      </c>
      <c r="AO756" s="18">
        <v>6</v>
      </c>
      <c r="AP756" s="18">
        <v>-7.0190000000000001</v>
      </c>
      <c r="AQ756" s="18">
        <v>1</v>
      </c>
      <c r="AR756" s="18">
        <v>3.1399999999999997E-2</v>
      </c>
      <c r="AS756" s="18">
        <v>0.54200000000000004</v>
      </c>
      <c r="AT756" s="18">
        <v>0</v>
      </c>
      <c r="AU756" s="18">
        <v>9.9400000000000002E-2</v>
      </c>
      <c r="AV756" s="18">
        <v>0.56499999999999995</v>
      </c>
      <c r="AW756" s="18">
        <v>115.06699999999999</v>
      </c>
      <c r="AX756" s="18">
        <v>4</v>
      </c>
      <c r="AY756" s="19" t="s">
        <v>24</v>
      </c>
    </row>
    <row r="757" spans="32:51" x14ac:dyDescent="0.35">
      <c r="AF757" s="14" t="s">
        <v>2261</v>
      </c>
      <c r="AG757" s="15" t="s">
        <v>278</v>
      </c>
      <c r="AH757" s="15" t="s">
        <v>2262</v>
      </c>
      <c r="AI757" s="15" t="s">
        <v>2263</v>
      </c>
      <c r="AJ757" s="15">
        <v>38</v>
      </c>
      <c r="AK757" s="15">
        <v>221826</v>
      </c>
      <c r="AL757" s="15" t="b">
        <v>0</v>
      </c>
      <c r="AM757" s="15">
        <v>0.45800000000000002</v>
      </c>
      <c r="AN757" s="15">
        <v>0.81499999999999995</v>
      </c>
      <c r="AO757" s="15">
        <v>1</v>
      </c>
      <c r="AP757" s="15">
        <v>-7.16</v>
      </c>
      <c r="AQ757" s="15">
        <v>0</v>
      </c>
      <c r="AR757" s="15">
        <v>5.1499999999999997E-2</v>
      </c>
      <c r="AS757" s="15">
        <v>3.7399999999999998E-3</v>
      </c>
      <c r="AT757" s="31" t="s">
        <v>429</v>
      </c>
      <c r="AU757" s="15">
        <v>0.115</v>
      </c>
      <c r="AV757" s="15">
        <v>0.36199999999999999</v>
      </c>
      <c r="AW757" s="15">
        <v>118.226</v>
      </c>
      <c r="AX757" s="15">
        <v>4</v>
      </c>
      <c r="AY757" s="16" t="s">
        <v>24</v>
      </c>
    </row>
    <row r="758" spans="32:51" x14ac:dyDescent="0.35">
      <c r="AF758" s="17" t="s">
        <v>2264</v>
      </c>
      <c r="AG758" s="18" t="s">
        <v>184</v>
      </c>
      <c r="AH758" s="18" t="s">
        <v>185</v>
      </c>
      <c r="AI758" s="18" t="s">
        <v>2265</v>
      </c>
      <c r="AJ758" s="18">
        <v>45</v>
      </c>
      <c r="AK758" s="18">
        <v>318439</v>
      </c>
      <c r="AL758" s="18" t="b">
        <v>0</v>
      </c>
      <c r="AM758" s="18">
        <v>0.48299999999999998</v>
      </c>
      <c r="AN758" s="18">
        <v>0.80600000000000005</v>
      </c>
      <c r="AO758" s="18">
        <v>7</v>
      </c>
      <c r="AP758" s="18">
        <v>-5.1109999999999998</v>
      </c>
      <c r="AQ758" s="18">
        <v>0</v>
      </c>
      <c r="AR758" s="18">
        <v>3.2099999999999997E-2</v>
      </c>
      <c r="AS758" s="18">
        <v>8.8099999999999998E-2</v>
      </c>
      <c r="AT758" s="18">
        <v>8.9499999999999996E-4</v>
      </c>
      <c r="AU758" s="18">
        <v>9.9099999999999994E-2</v>
      </c>
      <c r="AV758" s="18">
        <v>0.19</v>
      </c>
      <c r="AW758" s="18">
        <v>147.04900000000001</v>
      </c>
      <c r="AX758" s="18">
        <v>4</v>
      </c>
      <c r="AY758" s="19" t="s">
        <v>24</v>
      </c>
    </row>
    <row r="759" spans="32:51" x14ac:dyDescent="0.35">
      <c r="AF759" s="14" t="s">
        <v>2266</v>
      </c>
      <c r="AG759" s="15" t="s">
        <v>21</v>
      </c>
      <c r="AH759" s="15" t="s">
        <v>2267</v>
      </c>
      <c r="AI759" s="15" t="s">
        <v>2267</v>
      </c>
      <c r="AJ759" s="15">
        <v>41</v>
      </c>
      <c r="AK759" s="15">
        <v>239933</v>
      </c>
      <c r="AL759" s="15" t="b">
        <v>0</v>
      </c>
      <c r="AM759" s="15">
        <v>0.64</v>
      </c>
      <c r="AN759" s="15">
        <v>0.54700000000000004</v>
      </c>
      <c r="AO759" s="15">
        <v>4</v>
      </c>
      <c r="AP759" s="15">
        <v>-4.1289999999999996</v>
      </c>
      <c r="AQ759" s="15">
        <v>1</v>
      </c>
      <c r="AR759" s="15">
        <v>3.7999999999999999E-2</v>
      </c>
      <c r="AS759" s="15">
        <v>6.7600000000000004E-3</v>
      </c>
      <c r="AT759" s="31" t="s">
        <v>2268</v>
      </c>
      <c r="AU759" s="15">
        <v>5.8500000000000003E-2</v>
      </c>
      <c r="AV759" s="15">
        <v>0.95</v>
      </c>
      <c r="AW759" s="15">
        <v>159.99199999999999</v>
      </c>
      <c r="AX759" s="15">
        <v>4</v>
      </c>
      <c r="AY759" s="16" t="s">
        <v>24</v>
      </c>
    </row>
    <row r="760" spans="32:51" x14ac:dyDescent="0.35">
      <c r="AF760" s="17" t="s">
        <v>2269</v>
      </c>
      <c r="AG760" s="18" t="s">
        <v>2270</v>
      </c>
      <c r="AH760" s="18" t="s">
        <v>2271</v>
      </c>
      <c r="AI760" s="18" t="s">
        <v>2271</v>
      </c>
      <c r="AJ760" s="18">
        <v>49</v>
      </c>
      <c r="AK760" s="18">
        <v>194782</v>
      </c>
      <c r="AL760" s="18" t="b">
        <v>0</v>
      </c>
      <c r="AM760" s="18">
        <v>0.48299999999999998</v>
      </c>
      <c r="AN760" s="18">
        <v>0.14299999999999999</v>
      </c>
      <c r="AO760" s="18">
        <v>1</v>
      </c>
      <c r="AP760" s="18">
        <v>-11.535</v>
      </c>
      <c r="AQ760" s="18">
        <v>1</v>
      </c>
      <c r="AR760" s="18">
        <v>3.5000000000000003E-2</v>
      </c>
      <c r="AS760" s="18">
        <v>0.95799999999999996</v>
      </c>
      <c r="AT760" s="18">
        <v>0</v>
      </c>
      <c r="AU760" s="18">
        <v>0.11899999999999999</v>
      </c>
      <c r="AV760" s="18">
        <v>0.34200000000000003</v>
      </c>
      <c r="AW760" s="18">
        <v>104.932</v>
      </c>
      <c r="AX760" s="18">
        <v>3</v>
      </c>
      <c r="AY760" s="19" t="s">
        <v>24</v>
      </c>
    </row>
    <row r="761" spans="32:51" x14ac:dyDescent="0.35">
      <c r="AF761" s="14" t="s">
        <v>2272</v>
      </c>
      <c r="AG761" s="15" t="s">
        <v>1319</v>
      </c>
      <c r="AH761" s="15" t="s">
        <v>2273</v>
      </c>
      <c r="AI761" s="15" t="s">
        <v>2274</v>
      </c>
      <c r="AJ761" s="15">
        <v>28</v>
      </c>
      <c r="AK761" s="15">
        <v>163200</v>
      </c>
      <c r="AL761" s="15" t="b">
        <v>0</v>
      </c>
      <c r="AM761" s="15">
        <v>0.51200000000000001</v>
      </c>
      <c r="AN761" s="15">
        <v>0.67100000000000004</v>
      </c>
      <c r="AO761" s="15">
        <v>1</v>
      </c>
      <c r="AP761" s="15">
        <v>-7.7380000000000004</v>
      </c>
      <c r="AQ761" s="15">
        <v>1</v>
      </c>
      <c r="AR761" s="15">
        <v>2.8299999999999999E-2</v>
      </c>
      <c r="AS761" s="15">
        <v>3.1399999999999997E-2</v>
      </c>
      <c r="AT761" s="15">
        <v>0.161</v>
      </c>
      <c r="AU761" s="15">
        <v>7.4899999999999994E-2</v>
      </c>
      <c r="AV761" s="15">
        <v>0.39700000000000002</v>
      </c>
      <c r="AW761" s="15">
        <v>82.341999999999999</v>
      </c>
      <c r="AX761" s="15">
        <v>4</v>
      </c>
      <c r="AY761" s="16" t="s">
        <v>24</v>
      </c>
    </row>
    <row r="762" spans="32:51" x14ac:dyDescent="0.35">
      <c r="AF762" s="17" t="s">
        <v>2275</v>
      </c>
      <c r="AG762" s="18" t="s">
        <v>1148</v>
      </c>
      <c r="AH762" s="18" t="s">
        <v>2276</v>
      </c>
      <c r="AI762" s="18" t="s">
        <v>2277</v>
      </c>
      <c r="AJ762" s="18">
        <v>51</v>
      </c>
      <c r="AK762" s="18">
        <v>186503</v>
      </c>
      <c r="AL762" s="18" t="b">
        <v>0</v>
      </c>
      <c r="AM762" s="18">
        <v>0.81699999999999995</v>
      </c>
      <c r="AN762" s="18">
        <v>0.30499999999999999</v>
      </c>
      <c r="AO762" s="18">
        <v>6</v>
      </c>
      <c r="AP762" s="18">
        <v>-7.73</v>
      </c>
      <c r="AQ762" s="18">
        <v>1</v>
      </c>
      <c r="AR762" s="18">
        <v>4.5100000000000001E-2</v>
      </c>
      <c r="AS762" s="18">
        <v>0.874</v>
      </c>
      <c r="AT762" s="18">
        <v>0</v>
      </c>
      <c r="AU762" s="18">
        <v>0.115</v>
      </c>
      <c r="AV762" s="18">
        <v>0.52</v>
      </c>
      <c r="AW762" s="18">
        <v>148.017</v>
      </c>
      <c r="AX762" s="18">
        <v>3</v>
      </c>
      <c r="AY762" s="19" t="s">
        <v>24</v>
      </c>
    </row>
    <row r="763" spans="32:51" x14ac:dyDescent="0.35">
      <c r="AF763" s="14" t="s">
        <v>2278</v>
      </c>
      <c r="AG763" s="15" t="s">
        <v>2279</v>
      </c>
      <c r="AH763" s="15" t="s">
        <v>2280</v>
      </c>
      <c r="AI763" s="15" t="s">
        <v>2281</v>
      </c>
      <c r="AJ763" s="15">
        <v>35</v>
      </c>
      <c r="AK763" s="15">
        <v>256760</v>
      </c>
      <c r="AL763" s="15" t="b">
        <v>0</v>
      </c>
      <c r="AM763" s="15">
        <v>0.505</v>
      </c>
      <c r="AN763" s="15">
        <v>0.83499999999999996</v>
      </c>
      <c r="AO763" s="15">
        <v>5</v>
      </c>
      <c r="AP763" s="15">
        <v>-4.3010000000000002</v>
      </c>
      <c r="AQ763" s="15">
        <v>1</v>
      </c>
      <c r="AR763" s="15">
        <v>2.9600000000000001E-2</v>
      </c>
      <c r="AS763" s="15">
        <v>0.46</v>
      </c>
      <c r="AT763" s="15">
        <v>3.5199999999999999E-4</v>
      </c>
      <c r="AU763" s="15">
        <v>0.16500000000000001</v>
      </c>
      <c r="AV763" s="15">
        <v>0.48399999999999999</v>
      </c>
      <c r="AW763" s="15">
        <v>144.17099999999999</v>
      </c>
      <c r="AX763" s="15">
        <v>4</v>
      </c>
      <c r="AY763" s="16" t="s">
        <v>24</v>
      </c>
    </row>
    <row r="764" spans="32:51" x14ac:dyDescent="0.35">
      <c r="AF764" s="17" t="s">
        <v>2282</v>
      </c>
      <c r="AG764" s="18" t="s">
        <v>935</v>
      </c>
      <c r="AH764" s="18" t="s">
        <v>2283</v>
      </c>
      <c r="AI764" s="18" t="s">
        <v>2284</v>
      </c>
      <c r="AJ764" s="18">
        <v>54</v>
      </c>
      <c r="AK764" s="18">
        <v>172633</v>
      </c>
      <c r="AL764" s="18" t="b">
        <v>0</v>
      </c>
      <c r="AM764" s="18">
        <v>0.59099999999999997</v>
      </c>
      <c r="AN764" s="18">
        <v>0.26900000000000002</v>
      </c>
      <c r="AO764" s="18">
        <v>0</v>
      </c>
      <c r="AP764" s="18">
        <v>-8.5540000000000003</v>
      </c>
      <c r="AQ764" s="18">
        <v>1</v>
      </c>
      <c r="AR764" s="18">
        <v>3.0099999999999998E-2</v>
      </c>
      <c r="AS764" s="18">
        <v>0.91100000000000003</v>
      </c>
      <c r="AT764" s="18">
        <v>0</v>
      </c>
      <c r="AU764" s="18">
        <v>9.4500000000000001E-2</v>
      </c>
      <c r="AV764" s="18">
        <v>0.246</v>
      </c>
      <c r="AW764" s="18">
        <v>124.441</v>
      </c>
      <c r="AX764" s="18">
        <v>4</v>
      </c>
      <c r="AY764" s="19" t="s">
        <v>24</v>
      </c>
    </row>
    <row r="765" spans="32:51" x14ac:dyDescent="0.35">
      <c r="AF765" s="14" t="s">
        <v>2285</v>
      </c>
      <c r="AG765" s="15" t="s">
        <v>215</v>
      </c>
      <c r="AH765" s="15" t="s">
        <v>1448</v>
      </c>
      <c r="AI765" s="15" t="s">
        <v>2286</v>
      </c>
      <c r="AJ765" s="15">
        <v>48</v>
      </c>
      <c r="AK765" s="15">
        <v>167186</v>
      </c>
      <c r="AL765" s="15" t="b">
        <v>0</v>
      </c>
      <c r="AM765" s="15">
        <v>0.47399999999999998</v>
      </c>
      <c r="AN765" s="15">
        <v>6.9900000000000004E-2</v>
      </c>
      <c r="AO765" s="15">
        <v>0</v>
      </c>
      <c r="AP765" s="15">
        <v>-27.372</v>
      </c>
      <c r="AQ765" s="15">
        <v>1</v>
      </c>
      <c r="AR765" s="15">
        <v>3.7999999999999999E-2</v>
      </c>
      <c r="AS765" s="15">
        <v>0.99199999999999999</v>
      </c>
      <c r="AT765" s="15">
        <v>0.89800000000000002</v>
      </c>
      <c r="AU765" s="15">
        <v>0.11600000000000001</v>
      </c>
      <c r="AV765" s="15">
        <v>0.24299999999999999</v>
      </c>
      <c r="AW765" s="15">
        <v>114.60599999999999</v>
      </c>
      <c r="AX765" s="15">
        <v>4</v>
      </c>
      <c r="AY765" s="16" t="s">
        <v>24</v>
      </c>
    </row>
    <row r="766" spans="32:51" x14ac:dyDescent="0.35">
      <c r="AF766" s="17" t="s">
        <v>2287</v>
      </c>
      <c r="AG766" s="18" t="s">
        <v>637</v>
      </c>
      <c r="AH766" s="18" t="s">
        <v>2288</v>
      </c>
      <c r="AI766" s="18" t="s">
        <v>2289</v>
      </c>
      <c r="AJ766" s="18">
        <v>60</v>
      </c>
      <c r="AK766" s="18">
        <v>255510</v>
      </c>
      <c r="AL766" s="18" t="b">
        <v>0</v>
      </c>
      <c r="AM766" s="18">
        <v>0.42699999999999999</v>
      </c>
      <c r="AN766" s="18">
        <v>0.22900000000000001</v>
      </c>
      <c r="AO766" s="18">
        <v>4</v>
      </c>
      <c r="AP766" s="18">
        <v>-11.564</v>
      </c>
      <c r="AQ766" s="18">
        <v>1</v>
      </c>
      <c r="AR766" s="18">
        <v>3.6400000000000002E-2</v>
      </c>
      <c r="AS766" s="18">
        <v>0.93500000000000005</v>
      </c>
      <c r="AT766" s="32" t="s">
        <v>2290</v>
      </c>
      <c r="AU766" s="18">
        <v>9.5799999999999996E-2</v>
      </c>
      <c r="AV766" s="18">
        <v>0.222</v>
      </c>
      <c r="AW766" s="18">
        <v>125.19499999999999</v>
      </c>
      <c r="AX766" s="18">
        <v>5</v>
      </c>
      <c r="AY766" s="19" t="s">
        <v>24</v>
      </c>
    </row>
    <row r="767" spans="32:51" x14ac:dyDescent="0.35">
      <c r="AF767" s="14" t="s">
        <v>2291</v>
      </c>
      <c r="AG767" s="15" t="s">
        <v>2292</v>
      </c>
      <c r="AH767" s="15" t="s">
        <v>2293</v>
      </c>
      <c r="AI767" s="15" t="s">
        <v>2294</v>
      </c>
      <c r="AJ767" s="15">
        <v>57</v>
      </c>
      <c r="AK767" s="15">
        <v>181000</v>
      </c>
      <c r="AL767" s="15" t="b">
        <v>0</v>
      </c>
      <c r="AM767" s="15">
        <v>0.56299999999999994</v>
      </c>
      <c r="AN767" s="15">
        <v>0.54200000000000004</v>
      </c>
      <c r="AO767" s="15">
        <v>9</v>
      </c>
      <c r="AP767" s="15">
        <v>-10.862</v>
      </c>
      <c r="AQ767" s="15">
        <v>1</v>
      </c>
      <c r="AR767" s="15">
        <v>9.6199999999999994E-2</v>
      </c>
      <c r="AS767" s="15">
        <v>0.70599999999999996</v>
      </c>
      <c r="AT767" s="31" t="s">
        <v>2295</v>
      </c>
      <c r="AU767" s="15">
        <v>0.35499999999999998</v>
      </c>
      <c r="AV767" s="15">
        <v>0.78500000000000003</v>
      </c>
      <c r="AW767" s="15">
        <v>133.285</v>
      </c>
      <c r="AX767" s="15">
        <v>4</v>
      </c>
      <c r="AY767" s="16" t="s">
        <v>24</v>
      </c>
    </row>
    <row r="768" spans="32:51" x14ac:dyDescent="0.35">
      <c r="AF768" s="17" t="s">
        <v>2296</v>
      </c>
      <c r="AG768" s="18" t="s">
        <v>258</v>
      </c>
      <c r="AH768" s="18" t="s">
        <v>2297</v>
      </c>
      <c r="AI768" s="18" t="s">
        <v>2297</v>
      </c>
      <c r="AJ768" s="18">
        <v>45</v>
      </c>
      <c r="AK768" s="18">
        <v>276386</v>
      </c>
      <c r="AL768" s="18" t="b">
        <v>0</v>
      </c>
      <c r="AM768" s="18">
        <v>0.35399999999999998</v>
      </c>
      <c r="AN768" s="18">
        <v>0.17499999999999999</v>
      </c>
      <c r="AO768" s="18">
        <v>0</v>
      </c>
      <c r="AP768" s="18">
        <v>-9.7789999999999999</v>
      </c>
      <c r="AQ768" s="18">
        <v>1</v>
      </c>
      <c r="AR768" s="18">
        <v>3.8800000000000001E-2</v>
      </c>
      <c r="AS768" s="18">
        <v>0.78100000000000003</v>
      </c>
      <c r="AT768" s="32" t="s">
        <v>2298</v>
      </c>
      <c r="AU768" s="18">
        <v>0.153</v>
      </c>
      <c r="AV768" s="18">
        <v>0.32300000000000001</v>
      </c>
      <c r="AW768" s="18">
        <v>111.089</v>
      </c>
      <c r="AX768" s="18">
        <v>4</v>
      </c>
      <c r="AY768" s="19" t="s">
        <v>24</v>
      </c>
    </row>
    <row r="769" spans="32:51" x14ac:dyDescent="0.35">
      <c r="AF769" s="14" t="s">
        <v>2299</v>
      </c>
      <c r="AG769" s="15" t="s">
        <v>521</v>
      </c>
      <c r="AH769" s="15" t="s">
        <v>2300</v>
      </c>
      <c r="AI769" s="15" t="s">
        <v>2300</v>
      </c>
      <c r="AJ769" s="15">
        <v>34</v>
      </c>
      <c r="AK769" s="15">
        <v>196487</v>
      </c>
      <c r="AL769" s="15" t="b">
        <v>0</v>
      </c>
      <c r="AM769" s="15">
        <v>0.51400000000000001</v>
      </c>
      <c r="AN769" s="15">
        <v>0.23899999999999999</v>
      </c>
      <c r="AO769" s="15">
        <v>2</v>
      </c>
      <c r="AP769" s="15">
        <v>-14.957000000000001</v>
      </c>
      <c r="AQ769" s="15">
        <v>0</v>
      </c>
      <c r="AR769" s="15">
        <v>0.10100000000000001</v>
      </c>
      <c r="AS769" s="15">
        <v>0.98199999999999998</v>
      </c>
      <c r="AT769" s="15">
        <v>0.95399999999999996</v>
      </c>
      <c r="AU769" s="15">
        <v>0.106</v>
      </c>
      <c r="AV769" s="15">
        <v>0.33800000000000002</v>
      </c>
      <c r="AW769" s="15">
        <v>119.998</v>
      </c>
      <c r="AX769" s="15">
        <v>4</v>
      </c>
      <c r="AY769" s="16" t="s">
        <v>24</v>
      </c>
    </row>
    <row r="770" spans="32:51" x14ac:dyDescent="0.35">
      <c r="AF770" s="17" t="s">
        <v>2301</v>
      </c>
      <c r="AG770" s="18" t="s">
        <v>2302</v>
      </c>
      <c r="AH770" s="18" t="s">
        <v>2303</v>
      </c>
      <c r="AI770" s="18" t="s">
        <v>2304</v>
      </c>
      <c r="AJ770" s="18">
        <v>40</v>
      </c>
      <c r="AK770" s="18">
        <v>269826</v>
      </c>
      <c r="AL770" s="18" t="b">
        <v>0</v>
      </c>
      <c r="AM770" s="18">
        <v>0.28499999999999998</v>
      </c>
      <c r="AN770" s="18">
        <v>0.30499999999999999</v>
      </c>
      <c r="AO770" s="18">
        <v>7</v>
      </c>
      <c r="AP770" s="18">
        <v>-10.523</v>
      </c>
      <c r="AQ770" s="18">
        <v>1</v>
      </c>
      <c r="AR770" s="18">
        <v>2.8500000000000001E-2</v>
      </c>
      <c r="AS770" s="18">
        <v>0.26</v>
      </c>
      <c r="AT770" s="18">
        <v>1.9199999999999998E-2</v>
      </c>
      <c r="AU770" s="18">
        <v>0.19500000000000001</v>
      </c>
      <c r="AV770" s="18">
        <v>4.19E-2</v>
      </c>
      <c r="AW770" s="18">
        <v>133.51300000000001</v>
      </c>
      <c r="AX770" s="18">
        <v>4</v>
      </c>
      <c r="AY770" s="19" t="s">
        <v>24</v>
      </c>
    </row>
    <row r="771" spans="32:51" x14ac:dyDescent="0.35">
      <c r="AF771" s="14" t="s">
        <v>2305</v>
      </c>
      <c r="AG771" s="15" t="s">
        <v>26</v>
      </c>
      <c r="AH771" s="15" t="s">
        <v>2306</v>
      </c>
      <c r="AI771" s="15" t="s">
        <v>2306</v>
      </c>
      <c r="AJ771" s="15">
        <v>46</v>
      </c>
      <c r="AK771" s="15">
        <v>183337</v>
      </c>
      <c r="AL771" s="15" t="b">
        <v>0</v>
      </c>
      <c r="AM771" s="15">
        <v>0.80200000000000005</v>
      </c>
      <c r="AN771" s="15">
        <v>0.183</v>
      </c>
      <c r="AO771" s="15">
        <v>8</v>
      </c>
      <c r="AP771" s="15">
        <v>-17.100000000000001</v>
      </c>
      <c r="AQ771" s="15">
        <v>1</v>
      </c>
      <c r="AR771" s="15">
        <v>0.40300000000000002</v>
      </c>
      <c r="AS771" s="15">
        <v>0.80900000000000005</v>
      </c>
      <c r="AT771" s="15">
        <v>0</v>
      </c>
      <c r="AU771" s="15">
        <v>0.109</v>
      </c>
      <c r="AV771" s="15">
        <v>0.66400000000000003</v>
      </c>
      <c r="AW771" s="15">
        <v>91.078000000000003</v>
      </c>
      <c r="AX771" s="15">
        <v>4</v>
      </c>
      <c r="AY771" s="16" t="s">
        <v>24</v>
      </c>
    </row>
    <row r="772" spans="32:51" x14ac:dyDescent="0.35">
      <c r="AF772" s="17" t="s">
        <v>2307</v>
      </c>
      <c r="AG772" s="18" t="s">
        <v>2308</v>
      </c>
      <c r="AH772" s="18" t="s">
        <v>2309</v>
      </c>
      <c r="AI772" s="18" t="s">
        <v>2310</v>
      </c>
      <c r="AJ772" s="18">
        <v>42</v>
      </c>
      <c r="AK772" s="18">
        <v>217898</v>
      </c>
      <c r="AL772" s="18" t="b">
        <v>0</v>
      </c>
      <c r="AM772" s="18">
        <v>0.61399999999999999</v>
      </c>
      <c r="AN772" s="18">
        <v>0.51700000000000002</v>
      </c>
      <c r="AO772" s="18">
        <v>2</v>
      </c>
      <c r="AP772" s="18">
        <v>-6.2050000000000001</v>
      </c>
      <c r="AQ772" s="18">
        <v>1</v>
      </c>
      <c r="AR772" s="18">
        <v>3.0200000000000001E-2</v>
      </c>
      <c r="AS772" s="18">
        <v>0.747</v>
      </c>
      <c r="AT772" s="18">
        <v>0</v>
      </c>
      <c r="AU772" s="18">
        <v>0.13400000000000001</v>
      </c>
      <c r="AV772" s="18">
        <v>0.42399999999999999</v>
      </c>
      <c r="AW772" s="18">
        <v>133.86799999999999</v>
      </c>
      <c r="AX772" s="18">
        <v>4</v>
      </c>
      <c r="AY772" s="19" t="s">
        <v>24</v>
      </c>
    </row>
    <row r="773" spans="32:51" x14ac:dyDescent="0.35">
      <c r="AF773" s="14" t="s">
        <v>2311</v>
      </c>
      <c r="AG773" s="15" t="s">
        <v>2312</v>
      </c>
      <c r="AH773" s="15" t="s">
        <v>2313</v>
      </c>
      <c r="AI773" s="15" t="s">
        <v>2314</v>
      </c>
      <c r="AJ773" s="15">
        <v>36</v>
      </c>
      <c r="AK773" s="15">
        <v>221070</v>
      </c>
      <c r="AL773" s="15" t="b">
        <v>0</v>
      </c>
      <c r="AM773" s="15">
        <v>0.63</v>
      </c>
      <c r="AN773" s="15">
        <v>0.30099999999999999</v>
      </c>
      <c r="AO773" s="15">
        <v>1</v>
      </c>
      <c r="AP773" s="15">
        <v>-6.952</v>
      </c>
      <c r="AQ773" s="15">
        <v>1</v>
      </c>
      <c r="AR773" s="15">
        <v>2.8799999999999999E-2</v>
      </c>
      <c r="AS773" s="15">
        <v>0.877</v>
      </c>
      <c r="AT773" s="15">
        <v>0</v>
      </c>
      <c r="AU773" s="15">
        <v>0.12</v>
      </c>
      <c r="AV773" s="15">
        <v>0.39500000000000002</v>
      </c>
      <c r="AW773" s="15">
        <v>104.959</v>
      </c>
      <c r="AX773" s="15">
        <v>4</v>
      </c>
      <c r="AY773" s="16" t="s">
        <v>24</v>
      </c>
    </row>
    <row r="774" spans="32:51" x14ac:dyDescent="0.35">
      <c r="AF774" s="17" t="s">
        <v>2315</v>
      </c>
      <c r="AG774" s="18" t="s">
        <v>50</v>
      </c>
      <c r="AH774" s="18" t="s">
        <v>2316</v>
      </c>
      <c r="AI774" s="18" t="s">
        <v>2317</v>
      </c>
      <c r="AJ774" s="18">
        <v>16</v>
      </c>
      <c r="AK774" s="18">
        <v>240640</v>
      </c>
      <c r="AL774" s="18" t="b">
        <v>0</v>
      </c>
      <c r="AM774" s="18">
        <v>0.54300000000000004</v>
      </c>
      <c r="AN774" s="18">
        <v>0.32900000000000001</v>
      </c>
      <c r="AO774" s="18">
        <v>4</v>
      </c>
      <c r="AP774" s="18">
        <v>-9.4600000000000009</v>
      </c>
      <c r="AQ774" s="18">
        <v>1</v>
      </c>
      <c r="AR774" s="18">
        <v>4.4900000000000002E-2</v>
      </c>
      <c r="AS774" s="18">
        <v>0.69</v>
      </c>
      <c r="AT774" s="18">
        <v>0</v>
      </c>
      <c r="AU774" s="18">
        <v>0.112</v>
      </c>
      <c r="AV774" s="18">
        <v>0.14099999999999999</v>
      </c>
      <c r="AW774" s="18">
        <v>136.54900000000001</v>
      </c>
      <c r="AX774" s="18">
        <v>3</v>
      </c>
      <c r="AY774" s="19" t="s">
        <v>24</v>
      </c>
    </row>
    <row r="775" spans="32:51" x14ac:dyDescent="0.35">
      <c r="AF775" s="14" t="s">
        <v>2318</v>
      </c>
      <c r="AG775" s="15" t="s">
        <v>408</v>
      </c>
      <c r="AH775" s="15" t="s">
        <v>2319</v>
      </c>
      <c r="AI775" s="15" t="s">
        <v>2319</v>
      </c>
      <c r="AJ775" s="15">
        <v>46</v>
      </c>
      <c r="AK775" s="15">
        <v>229519</v>
      </c>
      <c r="AL775" s="15" t="b">
        <v>0</v>
      </c>
      <c r="AM775" s="15">
        <v>0.39700000000000002</v>
      </c>
      <c r="AN775" s="15">
        <v>0.312</v>
      </c>
      <c r="AO775" s="15">
        <v>0</v>
      </c>
      <c r="AP775" s="15">
        <v>-10.504</v>
      </c>
      <c r="AQ775" s="15">
        <v>1</v>
      </c>
      <c r="AR775" s="15">
        <v>3.0700000000000002E-2</v>
      </c>
      <c r="AS775" s="15">
        <v>0.77200000000000002</v>
      </c>
      <c r="AT775" s="15">
        <v>0</v>
      </c>
      <c r="AU775" s="15">
        <v>0.11700000000000001</v>
      </c>
      <c r="AV775" s="15">
        <v>0.14099999999999999</v>
      </c>
      <c r="AW775" s="15">
        <v>179.60499999999999</v>
      </c>
      <c r="AX775" s="15">
        <v>4</v>
      </c>
      <c r="AY775" s="16" t="s">
        <v>24</v>
      </c>
    </row>
    <row r="776" spans="32:51" x14ac:dyDescent="0.35">
      <c r="AF776" s="17" t="s">
        <v>2320</v>
      </c>
      <c r="AG776" s="18" t="s">
        <v>2154</v>
      </c>
      <c r="AH776" s="18" t="s">
        <v>2321</v>
      </c>
      <c r="AI776" s="18" t="s">
        <v>2322</v>
      </c>
      <c r="AJ776" s="18">
        <v>26</v>
      </c>
      <c r="AK776" s="18">
        <v>140547</v>
      </c>
      <c r="AL776" s="18" t="b">
        <v>0</v>
      </c>
      <c r="AM776" s="18">
        <v>0.68600000000000005</v>
      </c>
      <c r="AN776" s="18">
        <v>0.34699999999999998</v>
      </c>
      <c r="AO776" s="18">
        <v>0</v>
      </c>
      <c r="AP776" s="18">
        <v>-6.0750000000000002</v>
      </c>
      <c r="AQ776" s="18">
        <v>1</v>
      </c>
      <c r="AR776" s="18">
        <v>3.4099999999999998E-2</v>
      </c>
      <c r="AS776" s="18">
        <v>0.72499999999999998</v>
      </c>
      <c r="AT776" s="18">
        <v>0</v>
      </c>
      <c r="AU776" s="18">
        <v>0.41099999999999998</v>
      </c>
      <c r="AV776" s="18">
        <v>0.53900000000000003</v>
      </c>
      <c r="AW776" s="18">
        <v>145.83699999999999</v>
      </c>
      <c r="AX776" s="18">
        <v>4</v>
      </c>
      <c r="AY776" s="19" t="s">
        <v>24</v>
      </c>
    </row>
    <row r="777" spans="32:51" x14ac:dyDescent="0.35">
      <c r="AF777" s="14" t="s">
        <v>2323</v>
      </c>
      <c r="AG777" s="15" t="s">
        <v>2175</v>
      </c>
      <c r="AH777" s="15" t="s">
        <v>2176</v>
      </c>
      <c r="AI777" s="15" t="s">
        <v>2324</v>
      </c>
      <c r="AJ777" s="15">
        <v>52</v>
      </c>
      <c r="AK777" s="15">
        <v>317133</v>
      </c>
      <c r="AL777" s="15" t="b">
        <v>0</v>
      </c>
      <c r="AM777" s="15">
        <v>0.65400000000000003</v>
      </c>
      <c r="AN777" s="15">
        <v>0.316</v>
      </c>
      <c r="AO777" s="15">
        <v>0</v>
      </c>
      <c r="AP777" s="15">
        <v>-18.692</v>
      </c>
      <c r="AQ777" s="15">
        <v>0</v>
      </c>
      <c r="AR777" s="15">
        <v>4.1000000000000002E-2</v>
      </c>
      <c r="AS777" s="15">
        <v>0.78600000000000003</v>
      </c>
      <c r="AT777" s="15">
        <v>5.6300000000000003E-2</v>
      </c>
      <c r="AU777" s="15">
        <v>0.13100000000000001</v>
      </c>
      <c r="AV777" s="15">
        <v>0.69699999999999995</v>
      </c>
      <c r="AW777" s="15">
        <v>94.484999999999999</v>
      </c>
      <c r="AX777" s="15">
        <v>4</v>
      </c>
      <c r="AY777" s="16" t="s">
        <v>24</v>
      </c>
    </row>
    <row r="778" spans="32:51" x14ac:dyDescent="0.35">
      <c r="AF778" s="17" t="s">
        <v>2325</v>
      </c>
      <c r="AG778" s="18" t="s">
        <v>347</v>
      </c>
      <c r="AH778" s="18" t="s">
        <v>2326</v>
      </c>
      <c r="AI778" s="18" t="s">
        <v>2327</v>
      </c>
      <c r="AJ778" s="18">
        <v>26</v>
      </c>
      <c r="AK778" s="18">
        <v>317146</v>
      </c>
      <c r="AL778" s="18" t="b">
        <v>0</v>
      </c>
      <c r="AM778" s="18">
        <v>0.747</v>
      </c>
      <c r="AN778" s="18">
        <v>0.29399999999999998</v>
      </c>
      <c r="AO778" s="18">
        <v>2</v>
      </c>
      <c r="AP778" s="18">
        <v>-10.272</v>
      </c>
      <c r="AQ778" s="18">
        <v>1</v>
      </c>
      <c r="AR778" s="18">
        <v>3.6600000000000001E-2</v>
      </c>
      <c r="AS778" s="18">
        <v>0.95599999999999996</v>
      </c>
      <c r="AT778" s="32" t="s">
        <v>724</v>
      </c>
      <c r="AU778" s="18">
        <v>0.104</v>
      </c>
      <c r="AV778" s="18">
        <v>0.41199999999999998</v>
      </c>
      <c r="AW778" s="18">
        <v>119.94799999999999</v>
      </c>
      <c r="AX778" s="18">
        <v>4</v>
      </c>
      <c r="AY778" s="19" t="s">
        <v>24</v>
      </c>
    </row>
    <row r="779" spans="32:51" x14ac:dyDescent="0.35">
      <c r="AF779" s="14" t="s">
        <v>2328</v>
      </c>
      <c r="AG779" s="15" t="s">
        <v>278</v>
      </c>
      <c r="AH779" s="15" t="s">
        <v>448</v>
      </c>
      <c r="AI779" s="15" t="s">
        <v>2329</v>
      </c>
      <c r="AJ779" s="15">
        <v>50</v>
      </c>
      <c r="AK779" s="15">
        <v>245160</v>
      </c>
      <c r="AL779" s="15" t="b">
        <v>0</v>
      </c>
      <c r="AM779" s="15">
        <v>0.27700000000000002</v>
      </c>
      <c r="AN779" s="15">
        <v>0.29099999999999998</v>
      </c>
      <c r="AO779" s="15">
        <v>11</v>
      </c>
      <c r="AP779" s="15">
        <v>-9.8510000000000009</v>
      </c>
      <c r="AQ779" s="15">
        <v>0</v>
      </c>
      <c r="AR779" s="15">
        <v>3.0599999999999999E-2</v>
      </c>
      <c r="AS779" s="15">
        <v>0.90100000000000002</v>
      </c>
      <c r="AT779" s="31" t="s">
        <v>2330</v>
      </c>
      <c r="AU779" s="15">
        <v>0.10299999999999999</v>
      </c>
      <c r="AV779" s="15">
        <v>0.17499999999999999</v>
      </c>
      <c r="AW779" s="15">
        <v>75.119</v>
      </c>
      <c r="AX779" s="15">
        <v>3</v>
      </c>
      <c r="AY779" s="16" t="s">
        <v>24</v>
      </c>
    </row>
    <row r="780" spans="32:51" x14ac:dyDescent="0.35">
      <c r="AF780" s="17" t="s">
        <v>2331</v>
      </c>
      <c r="AG780" s="18" t="s">
        <v>747</v>
      </c>
      <c r="AH780" s="18" t="s">
        <v>747</v>
      </c>
      <c r="AI780" s="18" t="s">
        <v>2332</v>
      </c>
      <c r="AJ780" s="18">
        <v>60</v>
      </c>
      <c r="AK780" s="18">
        <v>251440</v>
      </c>
      <c r="AL780" s="18" t="b">
        <v>0</v>
      </c>
      <c r="AM780" s="18">
        <v>0.54</v>
      </c>
      <c r="AN780" s="18">
        <v>6.7400000000000002E-2</v>
      </c>
      <c r="AO780" s="18">
        <v>9</v>
      </c>
      <c r="AP780" s="18">
        <v>-13.778</v>
      </c>
      <c r="AQ780" s="18">
        <v>1</v>
      </c>
      <c r="AR780" s="18">
        <v>3.6799999999999999E-2</v>
      </c>
      <c r="AS780" s="18">
        <v>0.88800000000000001</v>
      </c>
      <c r="AT780" s="18">
        <v>3.8200000000000002E-4</v>
      </c>
      <c r="AU780" s="18">
        <v>0.109</v>
      </c>
      <c r="AV780" s="18">
        <v>0.12</v>
      </c>
      <c r="AW780" s="18">
        <v>141.988</v>
      </c>
      <c r="AX780" s="18">
        <v>3</v>
      </c>
      <c r="AY780" s="19" t="s">
        <v>24</v>
      </c>
    </row>
    <row r="781" spans="32:51" x14ac:dyDescent="0.35">
      <c r="AF781" s="14" t="s">
        <v>2333</v>
      </c>
      <c r="AG781" s="15" t="s">
        <v>595</v>
      </c>
      <c r="AH781" s="15" t="s">
        <v>2334</v>
      </c>
      <c r="AI781" s="15" t="s">
        <v>2335</v>
      </c>
      <c r="AJ781" s="15">
        <v>50</v>
      </c>
      <c r="AK781" s="15">
        <v>186143</v>
      </c>
      <c r="AL781" s="15" t="b">
        <v>0</v>
      </c>
      <c r="AM781" s="15">
        <v>0.44400000000000001</v>
      </c>
      <c r="AN781" s="15">
        <v>0.44</v>
      </c>
      <c r="AO781" s="15">
        <v>8</v>
      </c>
      <c r="AP781" s="15">
        <v>-11.076000000000001</v>
      </c>
      <c r="AQ781" s="15">
        <v>1</v>
      </c>
      <c r="AR781" s="15">
        <v>3.9100000000000003E-2</v>
      </c>
      <c r="AS781" s="15">
        <v>0.74099999999999999</v>
      </c>
      <c r="AT781" s="31" t="s">
        <v>2336</v>
      </c>
      <c r="AU781" s="15">
        <v>0.10199999999999999</v>
      </c>
      <c r="AV781" s="15">
        <v>0.33900000000000002</v>
      </c>
      <c r="AW781" s="15">
        <v>76.959000000000003</v>
      </c>
      <c r="AX781" s="15">
        <v>1</v>
      </c>
      <c r="AY781" s="16" t="s">
        <v>24</v>
      </c>
    </row>
    <row r="782" spans="32:51" x14ac:dyDescent="0.35">
      <c r="AF782" s="17" t="s">
        <v>2337</v>
      </c>
      <c r="AG782" s="18" t="s">
        <v>204</v>
      </c>
      <c r="AH782" s="18" t="s">
        <v>1873</v>
      </c>
      <c r="AI782" s="18" t="s">
        <v>2338</v>
      </c>
      <c r="AJ782" s="18">
        <v>61</v>
      </c>
      <c r="AK782" s="18">
        <v>207493</v>
      </c>
      <c r="AL782" s="18" t="b">
        <v>0</v>
      </c>
      <c r="AM782" s="18">
        <v>0.67600000000000005</v>
      </c>
      <c r="AN782" s="18">
        <v>0.76200000000000001</v>
      </c>
      <c r="AO782" s="18">
        <v>1</v>
      </c>
      <c r="AP782" s="18">
        <v>-4.1719999999999997</v>
      </c>
      <c r="AQ782" s="18">
        <v>1</v>
      </c>
      <c r="AR782" s="18">
        <v>3.5099999999999999E-2</v>
      </c>
      <c r="AS782" s="18">
        <v>0.46100000000000002</v>
      </c>
      <c r="AT782" s="18">
        <v>0</v>
      </c>
      <c r="AU782" s="18">
        <v>5.74E-2</v>
      </c>
      <c r="AV782" s="18">
        <v>0.81</v>
      </c>
      <c r="AW782" s="18">
        <v>119.003</v>
      </c>
      <c r="AX782" s="18">
        <v>4</v>
      </c>
      <c r="AY782" s="19" t="s">
        <v>24</v>
      </c>
    </row>
    <row r="783" spans="32:51" x14ac:dyDescent="0.35">
      <c r="AF783" s="14" t="s">
        <v>2339</v>
      </c>
      <c r="AG783" s="15" t="s">
        <v>2340</v>
      </c>
      <c r="AH783" s="15" t="s">
        <v>2321</v>
      </c>
      <c r="AI783" s="15" t="s">
        <v>2341</v>
      </c>
      <c r="AJ783" s="15">
        <v>26</v>
      </c>
      <c r="AK783" s="15">
        <v>148812</v>
      </c>
      <c r="AL783" s="15" t="b">
        <v>0</v>
      </c>
      <c r="AM783" s="15">
        <v>0.66400000000000003</v>
      </c>
      <c r="AN783" s="15">
        <v>0.27400000000000002</v>
      </c>
      <c r="AO783" s="15">
        <v>10</v>
      </c>
      <c r="AP783" s="15">
        <v>-11.005000000000001</v>
      </c>
      <c r="AQ783" s="15">
        <v>0</v>
      </c>
      <c r="AR783" s="15">
        <v>4.2500000000000003E-2</v>
      </c>
      <c r="AS783" s="15">
        <v>0.89900000000000002</v>
      </c>
      <c r="AT783" s="15">
        <v>0</v>
      </c>
      <c r="AU783" s="15">
        <v>0.35399999999999998</v>
      </c>
      <c r="AV783" s="15">
        <v>0.39200000000000002</v>
      </c>
      <c r="AW783" s="15">
        <v>75.010000000000005</v>
      </c>
      <c r="AX783" s="15">
        <v>4</v>
      </c>
      <c r="AY783" s="16" t="s">
        <v>24</v>
      </c>
    </row>
    <row r="784" spans="32:51" x14ac:dyDescent="0.35">
      <c r="AF784" s="17" t="s">
        <v>2342</v>
      </c>
      <c r="AG784" s="18" t="s">
        <v>2343</v>
      </c>
      <c r="AH784" s="18" t="s">
        <v>2344</v>
      </c>
      <c r="AI784" s="18" t="s">
        <v>2345</v>
      </c>
      <c r="AJ784" s="18">
        <v>27</v>
      </c>
      <c r="AK784" s="18">
        <v>199093</v>
      </c>
      <c r="AL784" s="18" t="b">
        <v>0</v>
      </c>
      <c r="AM784" s="18">
        <v>0.71699999999999997</v>
      </c>
      <c r="AN784" s="18">
        <v>0.436</v>
      </c>
      <c r="AO784" s="18">
        <v>7</v>
      </c>
      <c r="AP784" s="18">
        <v>-8.5310000000000006</v>
      </c>
      <c r="AQ784" s="18">
        <v>1</v>
      </c>
      <c r="AR784" s="18">
        <v>5.6000000000000001E-2</v>
      </c>
      <c r="AS784" s="18">
        <v>5.6899999999999999E-2</v>
      </c>
      <c r="AT784" s="18">
        <v>0</v>
      </c>
      <c r="AU784" s="18">
        <v>0.11</v>
      </c>
      <c r="AV784" s="18">
        <v>0.31900000000000001</v>
      </c>
      <c r="AW784" s="18">
        <v>128.11199999999999</v>
      </c>
      <c r="AX784" s="18">
        <v>4</v>
      </c>
      <c r="AY784" s="19" t="s">
        <v>24</v>
      </c>
    </row>
    <row r="785" spans="32:51" x14ac:dyDescent="0.35">
      <c r="AF785" s="14" t="s">
        <v>2346</v>
      </c>
      <c r="AG785" s="15" t="s">
        <v>864</v>
      </c>
      <c r="AH785" s="15" t="s">
        <v>2347</v>
      </c>
      <c r="AI785" s="15" t="s">
        <v>2347</v>
      </c>
      <c r="AJ785" s="15">
        <v>28</v>
      </c>
      <c r="AK785" s="15">
        <v>191973</v>
      </c>
      <c r="AL785" s="15" t="b">
        <v>0</v>
      </c>
      <c r="AM785" s="15">
        <v>0.51700000000000002</v>
      </c>
      <c r="AN785" s="15">
        <v>0.57799999999999996</v>
      </c>
      <c r="AO785" s="15">
        <v>11</v>
      </c>
      <c r="AP785" s="15">
        <v>-7.37</v>
      </c>
      <c r="AQ785" s="15">
        <v>1</v>
      </c>
      <c r="AR785" s="15">
        <v>2.93E-2</v>
      </c>
      <c r="AS785" s="15">
        <v>0.36699999999999999</v>
      </c>
      <c r="AT785" s="31" t="s">
        <v>2348</v>
      </c>
      <c r="AU785" s="15">
        <v>0.17599999999999999</v>
      </c>
      <c r="AV785" s="15">
        <v>0.39800000000000002</v>
      </c>
      <c r="AW785" s="15">
        <v>138.178</v>
      </c>
      <c r="AX785" s="15">
        <v>4</v>
      </c>
      <c r="AY785" s="16" t="s">
        <v>24</v>
      </c>
    </row>
    <row r="786" spans="32:51" x14ac:dyDescent="0.35">
      <c r="AF786" s="17" t="s">
        <v>2349</v>
      </c>
      <c r="AG786" s="18" t="s">
        <v>271</v>
      </c>
      <c r="AH786" s="18" t="s">
        <v>2350</v>
      </c>
      <c r="AI786" s="18" t="s">
        <v>2351</v>
      </c>
      <c r="AJ786" s="18">
        <v>55</v>
      </c>
      <c r="AK786" s="18">
        <v>230773</v>
      </c>
      <c r="AL786" s="18" t="b">
        <v>0</v>
      </c>
      <c r="AM786" s="18">
        <v>0.59499999999999997</v>
      </c>
      <c r="AN786" s="18">
        <v>0.38400000000000001</v>
      </c>
      <c r="AO786" s="18">
        <v>2</v>
      </c>
      <c r="AP786" s="18">
        <v>-12.114000000000001</v>
      </c>
      <c r="AQ786" s="18">
        <v>1</v>
      </c>
      <c r="AR786" s="18">
        <v>3.0499999999999999E-2</v>
      </c>
      <c r="AS786" s="18">
        <v>0.68200000000000005</v>
      </c>
      <c r="AT786" s="32" t="s">
        <v>2352</v>
      </c>
      <c r="AU786" s="18">
        <v>7.9600000000000004E-2</v>
      </c>
      <c r="AV786" s="18">
        <v>0.69099999999999995</v>
      </c>
      <c r="AW786" s="18">
        <v>90.725999999999999</v>
      </c>
      <c r="AX786" s="18">
        <v>4</v>
      </c>
      <c r="AY786" s="19" t="s">
        <v>24</v>
      </c>
    </row>
    <row r="787" spans="32:51" x14ac:dyDescent="0.35">
      <c r="AF787" s="14" t="s">
        <v>2353</v>
      </c>
      <c r="AG787" s="15" t="s">
        <v>149</v>
      </c>
      <c r="AH787" s="15" t="s">
        <v>285</v>
      </c>
      <c r="AI787" s="15" t="s">
        <v>2354</v>
      </c>
      <c r="AJ787" s="15">
        <v>45</v>
      </c>
      <c r="AK787" s="15">
        <v>270466</v>
      </c>
      <c r="AL787" s="15" t="b">
        <v>0</v>
      </c>
      <c r="AM787" s="15">
        <v>0.33700000000000002</v>
      </c>
      <c r="AN787" s="15">
        <v>0.60499999999999998</v>
      </c>
      <c r="AO787" s="15">
        <v>7</v>
      </c>
      <c r="AP787" s="15">
        <v>-7.84</v>
      </c>
      <c r="AQ787" s="15">
        <v>1</v>
      </c>
      <c r="AR787" s="15">
        <v>2.7699999999999999E-2</v>
      </c>
      <c r="AS787" s="15">
        <v>0.86199999999999999</v>
      </c>
      <c r="AT787" s="15">
        <v>3.0999999999999999E-3</v>
      </c>
      <c r="AU787" s="15">
        <v>0.94399999999999995</v>
      </c>
      <c r="AV787" s="15">
        <v>0.42399999999999999</v>
      </c>
      <c r="AW787" s="15">
        <v>59.326999999999998</v>
      </c>
      <c r="AX787" s="15">
        <v>4</v>
      </c>
      <c r="AY787" s="16" t="s">
        <v>24</v>
      </c>
    </row>
    <row r="788" spans="32:51" x14ac:dyDescent="0.35">
      <c r="AF788" s="17" t="s">
        <v>2355</v>
      </c>
      <c r="AG788" s="18" t="s">
        <v>2356</v>
      </c>
      <c r="AH788" s="18" t="s">
        <v>2357</v>
      </c>
      <c r="AI788" s="18" t="s">
        <v>2358</v>
      </c>
      <c r="AJ788" s="18">
        <v>26</v>
      </c>
      <c r="AK788" s="18">
        <v>279781</v>
      </c>
      <c r="AL788" s="18" t="b">
        <v>0</v>
      </c>
      <c r="AM788" s="18">
        <v>0.746</v>
      </c>
      <c r="AN788" s="18">
        <v>0.42099999999999999</v>
      </c>
      <c r="AO788" s="18">
        <v>2</v>
      </c>
      <c r="AP788" s="18">
        <v>-7.944</v>
      </c>
      <c r="AQ788" s="18">
        <v>1</v>
      </c>
      <c r="AR788" s="18">
        <v>7.5600000000000001E-2</v>
      </c>
      <c r="AS788" s="18">
        <v>0.40899999999999997</v>
      </c>
      <c r="AT788" s="18">
        <v>0</v>
      </c>
      <c r="AU788" s="18">
        <v>0.113</v>
      </c>
      <c r="AV788" s="18">
        <v>0.54500000000000004</v>
      </c>
      <c r="AW788" s="18">
        <v>97.152000000000001</v>
      </c>
      <c r="AX788" s="18">
        <v>4</v>
      </c>
      <c r="AY788" s="19" t="s">
        <v>24</v>
      </c>
    </row>
    <row r="789" spans="32:51" x14ac:dyDescent="0.35">
      <c r="AF789" s="14" t="s">
        <v>2359</v>
      </c>
      <c r="AG789" s="15" t="s">
        <v>2041</v>
      </c>
      <c r="AH789" s="15" t="s">
        <v>2360</v>
      </c>
      <c r="AI789" s="15" t="s">
        <v>2361</v>
      </c>
      <c r="AJ789" s="15">
        <v>28</v>
      </c>
      <c r="AK789" s="15">
        <v>219853</v>
      </c>
      <c r="AL789" s="15" t="b">
        <v>0</v>
      </c>
      <c r="AM789" s="15">
        <v>0.71</v>
      </c>
      <c r="AN789" s="15">
        <v>0.78200000000000003</v>
      </c>
      <c r="AO789" s="15">
        <v>2</v>
      </c>
      <c r="AP789" s="15">
        <v>-6.2759999999999998</v>
      </c>
      <c r="AQ789" s="15">
        <v>1</v>
      </c>
      <c r="AR789" s="15">
        <v>8.3500000000000005E-2</v>
      </c>
      <c r="AS789" s="15">
        <v>6.8400000000000002E-2</v>
      </c>
      <c r="AT789" s="31" t="s">
        <v>2362</v>
      </c>
      <c r="AU789" s="15">
        <v>8.4500000000000006E-2</v>
      </c>
      <c r="AV789" s="15">
        <v>0.52300000000000002</v>
      </c>
      <c r="AW789" s="15">
        <v>123.04</v>
      </c>
      <c r="AX789" s="15">
        <v>4</v>
      </c>
      <c r="AY789" s="16" t="s">
        <v>24</v>
      </c>
    </row>
    <row r="790" spans="32:51" x14ac:dyDescent="0.35">
      <c r="AF790" s="17" t="s">
        <v>2363</v>
      </c>
      <c r="AG790" s="18" t="s">
        <v>149</v>
      </c>
      <c r="AH790" s="18" t="s">
        <v>285</v>
      </c>
      <c r="AI790" s="18" t="s">
        <v>2364</v>
      </c>
      <c r="AJ790" s="18">
        <v>48</v>
      </c>
      <c r="AK790" s="18">
        <v>199880</v>
      </c>
      <c r="AL790" s="18" t="b">
        <v>0</v>
      </c>
      <c r="AM790" s="18">
        <v>0.58499999999999996</v>
      </c>
      <c r="AN790" s="18">
        <v>0.441</v>
      </c>
      <c r="AO790" s="18">
        <v>7</v>
      </c>
      <c r="AP790" s="18">
        <v>-9.2710000000000008</v>
      </c>
      <c r="AQ790" s="18">
        <v>0</v>
      </c>
      <c r="AR790" s="18">
        <v>3.1099999999999999E-2</v>
      </c>
      <c r="AS790" s="18">
        <v>0.501</v>
      </c>
      <c r="AT790" s="18">
        <v>0.53400000000000003</v>
      </c>
      <c r="AU790" s="18">
        <v>9.6699999999999994E-2</v>
      </c>
      <c r="AV790" s="18">
        <v>5.91E-2</v>
      </c>
      <c r="AW790" s="18">
        <v>114.09099999999999</v>
      </c>
      <c r="AX790" s="18">
        <v>4</v>
      </c>
      <c r="AY790" s="19" t="s">
        <v>24</v>
      </c>
    </row>
    <row r="791" spans="32:51" x14ac:dyDescent="0.35">
      <c r="AF791" s="14" t="s">
        <v>2365</v>
      </c>
      <c r="AG791" s="15" t="s">
        <v>2366</v>
      </c>
      <c r="AH791" s="15" t="s">
        <v>2367</v>
      </c>
      <c r="AI791" s="15" t="s">
        <v>2368</v>
      </c>
      <c r="AJ791" s="15">
        <v>27</v>
      </c>
      <c r="AK791" s="15">
        <v>89760</v>
      </c>
      <c r="AL791" s="15" t="b">
        <v>0</v>
      </c>
      <c r="AM791" s="15">
        <v>0.67300000000000004</v>
      </c>
      <c r="AN791" s="15">
        <v>0.63700000000000001</v>
      </c>
      <c r="AO791" s="15">
        <v>3</v>
      </c>
      <c r="AP791" s="15">
        <v>-7.5460000000000003</v>
      </c>
      <c r="AQ791" s="15">
        <v>1</v>
      </c>
      <c r="AR791" s="15">
        <v>2.81E-2</v>
      </c>
      <c r="AS791" s="15">
        <v>0.29499999999999998</v>
      </c>
      <c r="AT791" s="15">
        <v>3.8299999999999999E-4</v>
      </c>
      <c r="AU791" s="15">
        <v>0.184</v>
      </c>
      <c r="AV791" s="15">
        <v>0.54100000000000004</v>
      </c>
      <c r="AW791" s="15">
        <v>105.04300000000001</v>
      </c>
      <c r="AX791" s="15">
        <v>4</v>
      </c>
      <c r="AY791" s="16" t="s">
        <v>24</v>
      </c>
    </row>
    <row r="792" spans="32:51" x14ac:dyDescent="0.35">
      <c r="AF792" s="17" t="s">
        <v>2369</v>
      </c>
      <c r="AG792" s="18" t="s">
        <v>1073</v>
      </c>
      <c r="AH792" s="18" t="s">
        <v>1535</v>
      </c>
      <c r="AI792" s="18" t="s">
        <v>2370</v>
      </c>
      <c r="AJ792" s="18">
        <v>27</v>
      </c>
      <c r="AK792" s="18">
        <v>212893</v>
      </c>
      <c r="AL792" s="18" t="b">
        <v>0</v>
      </c>
      <c r="AM792" s="18">
        <v>0.49099999999999999</v>
      </c>
      <c r="AN792" s="18">
        <v>0.91300000000000003</v>
      </c>
      <c r="AO792" s="18">
        <v>0</v>
      </c>
      <c r="AP792" s="18">
        <v>-4.5259999999999998</v>
      </c>
      <c r="AQ792" s="18">
        <v>1</v>
      </c>
      <c r="AR792" s="18">
        <v>5.67E-2</v>
      </c>
      <c r="AS792" s="32" t="s">
        <v>2371</v>
      </c>
      <c r="AT792" s="32" t="s">
        <v>586</v>
      </c>
      <c r="AU792" s="18">
        <v>0.32700000000000001</v>
      </c>
      <c r="AV792" s="18">
        <v>0.59</v>
      </c>
      <c r="AW792" s="18">
        <v>89.986999999999995</v>
      </c>
      <c r="AX792" s="18">
        <v>4</v>
      </c>
      <c r="AY792" s="19" t="s">
        <v>24</v>
      </c>
    </row>
    <row r="793" spans="32:51" x14ac:dyDescent="0.35">
      <c r="AF793" s="14" t="s">
        <v>2372</v>
      </c>
      <c r="AG793" s="15" t="s">
        <v>1929</v>
      </c>
      <c r="AH793" s="15" t="s">
        <v>1930</v>
      </c>
      <c r="AI793" s="15" t="s">
        <v>2373</v>
      </c>
      <c r="AJ793" s="15">
        <v>26</v>
      </c>
      <c r="AK793" s="15">
        <v>236293</v>
      </c>
      <c r="AL793" s="15" t="b">
        <v>0</v>
      </c>
      <c r="AM793" s="15">
        <v>0.64300000000000002</v>
      </c>
      <c r="AN793" s="15">
        <v>0.40699999999999997</v>
      </c>
      <c r="AO793" s="15">
        <v>0</v>
      </c>
      <c r="AP793" s="15">
        <v>-6.0860000000000003</v>
      </c>
      <c r="AQ793" s="15">
        <v>1</v>
      </c>
      <c r="AR793" s="15">
        <v>3.5499999999999997E-2</v>
      </c>
      <c r="AS793" s="15">
        <v>0.41399999999999998</v>
      </c>
      <c r="AT793" s="15">
        <v>3.8499999999999998E-4</v>
      </c>
      <c r="AU793" s="15">
        <v>0.11600000000000001</v>
      </c>
      <c r="AV793" s="15">
        <v>0.33200000000000002</v>
      </c>
      <c r="AW793" s="15">
        <v>132.44900000000001</v>
      </c>
      <c r="AX793" s="15">
        <v>3</v>
      </c>
      <c r="AY793" s="16" t="s">
        <v>24</v>
      </c>
    </row>
    <row r="794" spans="32:51" x14ac:dyDescent="0.35">
      <c r="AF794" s="17" t="s">
        <v>2374</v>
      </c>
      <c r="AG794" s="18" t="s">
        <v>1660</v>
      </c>
      <c r="AH794" s="18" t="s">
        <v>2375</v>
      </c>
      <c r="AI794" s="18" t="s">
        <v>2376</v>
      </c>
      <c r="AJ794" s="18">
        <v>28</v>
      </c>
      <c r="AK794" s="18">
        <v>73066</v>
      </c>
      <c r="AL794" s="18" t="b">
        <v>1</v>
      </c>
      <c r="AM794" s="18">
        <v>0.495</v>
      </c>
      <c r="AN794" s="18">
        <v>0.53100000000000003</v>
      </c>
      <c r="AO794" s="18">
        <v>0</v>
      </c>
      <c r="AP794" s="18">
        <v>-6.3719999999999999</v>
      </c>
      <c r="AQ794" s="18">
        <v>1</v>
      </c>
      <c r="AR794" s="18">
        <v>5.8200000000000002E-2</v>
      </c>
      <c r="AS794" s="18">
        <v>0.69599999999999995</v>
      </c>
      <c r="AT794" s="18">
        <v>0</v>
      </c>
      <c r="AU794" s="18">
        <v>0.16500000000000001</v>
      </c>
      <c r="AV794" s="18">
        <v>0.82699999999999996</v>
      </c>
      <c r="AW794" s="18">
        <v>155.227</v>
      </c>
      <c r="AX794" s="18">
        <v>4</v>
      </c>
      <c r="AY794" s="19" t="s">
        <v>24</v>
      </c>
    </row>
    <row r="795" spans="32:51" x14ac:dyDescent="0.35">
      <c r="AF795" s="14" t="s">
        <v>2377</v>
      </c>
      <c r="AG795" s="15" t="s">
        <v>1510</v>
      </c>
      <c r="AH795" s="15" t="s">
        <v>2378</v>
      </c>
      <c r="AI795" s="15" t="s">
        <v>2379</v>
      </c>
      <c r="AJ795" s="15">
        <v>28</v>
      </c>
      <c r="AK795" s="15">
        <v>185250</v>
      </c>
      <c r="AL795" s="15" t="b">
        <v>0</v>
      </c>
      <c r="AM795" s="15">
        <v>0.58199999999999996</v>
      </c>
      <c r="AN795" s="15">
        <v>0.54100000000000004</v>
      </c>
      <c r="AO795" s="15">
        <v>8</v>
      </c>
      <c r="AP795" s="15">
        <v>-5.4989999999999997</v>
      </c>
      <c r="AQ795" s="15">
        <v>1</v>
      </c>
      <c r="AR795" s="15">
        <v>5.8999999999999997E-2</v>
      </c>
      <c r="AS795" s="15">
        <v>0.32400000000000001</v>
      </c>
      <c r="AT795" s="15">
        <v>0</v>
      </c>
      <c r="AU795" s="15">
        <v>6.4600000000000005E-2</v>
      </c>
      <c r="AV795" s="15">
        <v>0.56200000000000006</v>
      </c>
      <c r="AW795" s="15">
        <v>154.87100000000001</v>
      </c>
      <c r="AX795" s="15">
        <v>4</v>
      </c>
      <c r="AY795" s="16" t="s">
        <v>24</v>
      </c>
    </row>
    <row r="796" spans="32:51" x14ac:dyDescent="0.35">
      <c r="AF796" s="17" t="s">
        <v>2380</v>
      </c>
      <c r="AG796" s="18" t="s">
        <v>1660</v>
      </c>
      <c r="AH796" s="18" t="s">
        <v>2375</v>
      </c>
      <c r="AI796" s="18" t="s">
        <v>2381</v>
      </c>
      <c r="AJ796" s="18">
        <v>28</v>
      </c>
      <c r="AK796" s="18">
        <v>122600</v>
      </c>
      <c r="AL796" s="18" t="b">
        <v>1</v>
      </c>
      <c r="AM796" s="18">
        <v>0.46300000000000002</v>
      </c>
      <c r="AN796" s="18">
        <v>0.65600000000000003</v>
      </c>
      <c r="AO796" s="18">
        <v>0</v>
      </c>
      <c r="AP796" s="18">
        <v>-3.0779999999999998</v>
      </c>
      <c r="AQ796" s="18">
        <v>1</v>
      </c>
      <c r="AR796" s="18">
        <v>4.6800000000000001E-2</v>
      </c>
      <c r="AS796" s="18">
        <v>8.4500000000000006E-2</v>
      </c>
      <c r="AT796" s="18">
        <v>2.2399999999999998E-3</v>
      </c>
      <c r="AU796" s="18">
        <v>0.16</v>
      </c>
      <c r="AV796" s="18">
        <v>0.79800000000000004</v>
      </c>
      <c r="AW796" s="18">
        <v>176.90700000000001</v>
      </c>
      <c r="AX796" s="18">
        <v>4</v>
      </c>
      <c r="AY796" s="19" t="s">
        <v>24</v>
      </c>
    </row>
    <row r="797" spans="32:51" x14ac:dyDescent="0.35">
      <c r="AF797" s="14" t="s">
        <v>2382</v>
      </c>
      <c r="AG797" s="15" t="s">
        <v>2383</v>
      </c>
      <c r="AH797" s="15" t="s">
        <v>2384</v>
      </c>
      <c r="AI797" s="15" t="s">
        <v>2385</v>
      </c>
      <c r="AJ797" s="15">
        <v>29</v>
      </c>
      <c r="AK797" s="15">
        <v>91893</v>
      </c>
      <c r="AL797" s="15" t="b">
        <v>0</v>
      </c>
      <c r="AM797" s="15">
        <v>0.5</v>
      </c>
      <c r="AN797" s="15">
        <v>0.76400000000000001</v>
      </c>
      <c r="AO797" s="15">
        <v>4</v>
      </c>
      <c r="AP797" s="15">
        <v>-7.8339999999999996</v>
      </c>
      <c r="AQ797" s="15">
        <v>1</v>
      </c>
      <c r="AR797" s="15">
        <v>6.2600000000000003E-2</v>
      </c>
      <c r="AS797" s="15">
        <v>0.16800000000000001</v>
      </c>
      <c r="AT797" s="15">
        <v>0</v>
      </c>
      <c r="AU797" s="15">
        <v>0.22600000000000001</v>
      </c>
      <c r="AV797" s="15">
        <v>0.96599999999999997</v>
      </c>
      <c r="AW797" s="15">
        <v>126.899</v>
      </c>
      <c r="AX797" s="15">
        <v>4</v>
      </c>
      <c r="AY797" s="16" t="s">
        <v>24</v>
      </c>
    </row>
    <row r="798" spans="32:51" x14ac:dyDescent="0.35">
      <c r="AF798" s="17" t="s">
        <v>2386</v>
      </c>
      <c r="AG798" s="18" t="s">
        <v>2387</v>
      </c>
      <c r="AH798" s="18" t="s">
        <v>1665</v>
      </c>
      <c r="AI798" s="18" t="s">
        <v>2388</v>
      </c>
      <c r="AJ798" s="18">
        <v>27</v>
      </c>
      <c r="AK798" s="18">
        <v>175336</v>
      </c>
      <c r="AL798" s="18" t="b">
        <v>0</v>
      </c>
      <c r="AM798" s="18">
        <v>0.70899999999999996</v>
      </c>
      <c r="AN798" s="18">
        <v>0.156</v>
      </c>
      <c r="AO798" s="18">
        <v>3</v>
      </c>
      <c r="AP798" s="18">
        <v>-17.423999999999999</v>
      </c>
      <c r="AQ798" s="18">
        <v>1</v>
      </c>
      <c r="AR798" s="18">
        <v>3.5700000000000003E-2</v>
      </c>
      <c r="AS798" s="18">
        <v>0.92400000000000004</v>
      </c>
      <c r="AT798" s="32" t="s">
        <v>2389</v>
      </c>
      <c r="AU798" s="18">
        <v>8.9499999999999996E-2</v>
      </c>
      <c r="AV798" s="18">
        <v>0.188</v>
      </c>
      <c r="AW798" s="18">
        <v>109.79900000000001</v>
      </c>
      <c r="AX798" s="18">
        <v>4</v>
      </c>
      <c r="AY798" s="19" t="s">
        <v>24</v>
      </c>
    </row>
    <row r="799" spans="32:51" x14ac:dyDescent="0.35">
      <c r="AF799" s="14" t="s">
        <v>2390</v>
      </c>
      <c r="AG799" s="15" t="s">
        <v>755</v>
      </c>
      <c r="AH799" s="15" t="s">
        <v>2391</v>
      </c>
      <c r="AI799" s="15" t="s">
        <v>2392</v>
      </c>
      <c r="AJ799" s="15">
        <v>28</v>
      </c>
      <c r="AK799" s="15">
        <v>214099</v>
      </c>
      <c r="AL799" s="15" t="b">
        <v>1</v>
      </c>
      <c r="AM799" s="15">
        <v>0.434</v>
      </c>
      <c r="AN799" s="15">
        <v>0.83199999999999996</v>
      </c>
      <c r="AO799" s="15">
        <v>0</v>
      </c>
      <c r="AP799" s="15">
        <v>-9.5129999999999999</v>
      </c>
      <c r="AQ799" s="15">
        <v>1</v>
      </c>
      <c r="AR799" s="15">
        <v>7.1599999999999997E-2</v>
      </c>
      <c r="AS799" s="15">
        <v>0.34799999999999998</v>
      </c>
      <c r="AT799" s="31" t="s">
        <v>2393</v>
      </c>
      <c r="AU799" s="15">
        <v>0.158</v>
      </c>
      <c r="AV799" s="15">
        <v>0.59099999999999997</v>
      </c>
      <c r="AW799" s="15">
        <v>93.674000000000007</v>
      </c>
      <c r="AX799" s="15">
        <v>4</v>
      </c>
      <c r="AY799" s="16" t="s">
        <v>24</v>
      </c>
    </row>
    <row r="800" spans="32:51" x14ac:dyDescent="0.35">
      <c r="AF800" s="17" t="s">
        <v>2394</v>
      </c>
      <c r="AG800" s="18" t="s">
        <v>1073</v>
      </c>
      <c r="AH800" s="18" t="s">
        <v>2241</v>
      </c>
      <c r="AI800" s="18" t="s">
        <v>2241</v>
      </c>
      <c r="AJ800" s="18">
        <v>27</v>
      </c>
      <c r="AK800" s="18">
        <v>159019</v>
      </c>
      <c r="AL800" s="18" t="b">
        <v>1</v>
      </c>
      <c r="AM800" s="18">
        <v>0.42399999999999999</v>
      </c>
      <c r="AN800" s="18">
        <v>0.94199999999999995</v>
      </c>
      <c r="AO800" s="18">
        <v>7</v>
      </c>
      <c r="AP800" s="18">
        <v>-3.3380000000000001</v>
      </c>
      <c r="AQ800" s="18">
        <v>1</v>
      </c>
      <c r="AR800" s="18">
        <v>0.11799999999999999</v>
      </c>
      <c r="AS800" s="18">
        <v>2.5000000000000001E-3</v>
      </c>
      <c r="AT800" s="32" t="s">
        <v>246</v>
      </c>
      <c r="AU800" s="18">
        <v>0.23</v>
      </c>
      <c r="AV800" s="18">
        <v>0.44700000000000001</v>
      </c>
      <c r="AW800" s="18">
        <v>143.67099999999999</v>
      </c>
      <c r="AX800" s="18">
        <v>4</v>
      </c>
      <c r="AY800" s="19" t="s">
        <v>24</v>
      </c>
    </row>
    <row r="801" spans="32:51" x14ac:dyDescent="0.35">
      <c r="AF801" s="14" t="s">
        <v>2395</v>
      </c>
      <c r="AG801" s="15" t="s">
        <v>140</v>
      </c>
      <c r="AH801" s="15" t="s">
        <v>1540</v>
      </c>
      <c r="AI801" s="15" t="s">
        <v>145</v>
      </c>
      <c r="AJ801" s="15">
        <v>60</v>
      </c>
      <c r="AK801" s="15">
        <v>206267</v>
      </c>
      <c r="AL801" s="15" t="b">
        <v>0</v>
      </c>
      <c r="AM801" s="15">
        <v>0.60599999999999998</v>
      </c>
      <c r="AN801" s="15">
        <v>0.32600000000000001</v>
      </c>
      <c r="AO801" s="15">
        <v>10</v>
      </c>
      <c r="AP801" s="15">
        <v>-10.031000000000001</v>
      </c>
      <c r="AQ801" s="15">
        <v>1</v>
      </c>
      <c r="AR801" s="15">
        <v>2.9399999999999999E-2</v>
      </c>
      <c r="AS801" s="15">
        <v>0.84099999999999997</v>
      </c>
      <c r="AT801" s="15">
        <v>0</v>
      </c>
      <c r="AU801" s="15">
        <v>0.13900000000000001</v>
      </c>
      <c r="AV801" s="15">
        <v>0.41399999999999998</v>
      </c>
      <c r="AW801" s="15">
        <v>91.626000000000005</v>
      </c>
      <c r="AX801" s="15">
        <v>4</v>
      </c>
      <c r="AY801" s="16" t="s">
        <v>24</v>
      </c>
    </row>
    <row r="802" spans="32:51" x14ac:dyDescent="0.35">
      <c r="AF802" s="17" t="s">
        <v>2396</v>
      </c>
      <c r="AG802" s="18" t="s">
        <v>1230</v>
      </c>
      <c r="AH802" s="18" t="s">
        <v>1386</v>
      </c>
      <c r="AI802" s="18" t="s">
        <v>2397</v>
      </c>
      <c r="AJ802" s="18">
        <v>28</v>
      </c>
      <c r="AK802" s="18">
        <v>233306</v>
      </c>
      <c r="AL802" s="18" t="b">
        <v>0</v>
      </c>
      <c r="AM802" s="18">
        <v>0.48799999999999999</v>
      </c>
      <c r="AN802" s="18">
        <v>0.627</v>
      </c>
      <c r="AO802" s="18">
        <v>0</v>
      </c>
      <c r="AP802" s="18">
        <v>-5.867</v>
      </c>
      <c r="AQ802" s="18">
        <v>1</v>
      </c>
      <c r="AR802" s="18">
        <v>5.3400000000000003E-2</v>
      </c>
      <c r="AS802" s="18">
        <v>0.41599999999999998</v>
      </c>
      <c r="AT802" s="18">
        <v>0</v>
      </c>
      <c r="AU802" s="18">
        <v>0.10299999999999999</v>
      </c>
      <c r="AV802" s="18">
        <v>0.75700000000000001</v>
      </c>
      <c r="AW802" s="18">
        <v>118.434</v>
      </c>
      <c r="AX802" s="18">
        <v>4</v>
      </c>
      <c r="AY802" s="19" t="s">
        <v>24</v>
      </c>
    </row>
    <row r="803" spans="32:51" x14ac:dyDescent="0.35">
      <c r="AF803" s="14" t="s">
        <v>2398</v>
      </c>
      <c r="AG803" s="15" t="s">
        <v>21</v>
      </c>
      <c r="AH803" s="15" t="s">
        <v>2399</v>
      </c>
      <c r="AI803" s="15" t="s">
        <v>2400</v>
      </c>
      <c r="AJ803" s="15">
        <v>48</v>
      </c>
      <c r="AK803" s="15">
        <v>241466</v>
      </c>
      <c r="AL803" s="15" t="b">
        <v>0</v>
      </c>
      <c r="AM803" s="15">
        <v>0.78200000000000003</v>
      </c>
      <c r="AN803" s="15">
        <v>0.68400000000000005</v>
      </c>
      <c r="AO803" s="15">
        <v>1</v>
      </c>
      <c r="AP803" s="15">
        <v>-5.774</v>
      </c>
      <c r="AQ803" s="15">
        <v>1</v>
      </c>
      <c r="AR803" s="15">
        <v>3.9800000000000002E-2</v>
      </c>
      <c r="AS803" s="15">
        <v>2.1000000000000001E-2</v>
      </c>
      <c r="AT803" s="15">
        <v>0</v>
      </c>
      <c r="AU803" s="15">
        <v>0.125</v>
      </c>
      <c r="AV803" s="15">
        <v>0.85799999999999998</v>
      </c>
      <c r="AW803" s="15">
        <v>108.17100000000001</v>
      </c>
      <c r="AX803" s="15">
        <v>4</v>
      </c>
      <c r="AY803" s="16" t="s">
        <v>24</v>
      </c>
    </row>
    <row r="804" spans="32:51" x14ac:dyDescent="0.35">
      <c r="AF804" s="17" t="s">
        <v>2401</v>
      </c>
      <c r="AG804" s="18" t="s">
        <v>2402</v>
      </c>
      <c r="AH804" s="18" t="s">
        <v>2403</v>
      </c>
      <c r="AI804" s="18" t="s">
        <v>2404</v>
      </c>
      <c r="AJ804" s="18">
        <v>43</v>
      </c>
      <c r="AK804" s="18">
        <v>188712</v>
      </c>
      <c r="AL804" s="18" t="b">
        <v>0</v>
      </c>
      <c r="AM804" s="18">
        <v>0.66400000000000003</v>
      </c>
      <c r="AN804" s="18">
        <v>0.26300000000000001</v>
      </c>
      <c r="AO804" s="18">
        <v>9</v>
      </c>
      <c r="AP804" s="18">
        <v>-7.9880000000000004</v>
      </c>
      <c r="AQ804" s="18">
        <v>1</v>
      </c>
      <c r="AR804" s="18">
        <v>2.7400000000000001E-2</v>
      </c>
      <c r="AS804" s="18">
        <v>0.81399999999999995</v>
      </c>
      <c r="AT804" s="18">
        <v>0</v>
      </c>
      <c r="AU804" s="18">
        <v>8.1699999999999995E-2</v>
      </c>
      <c r="AV804" s="18">
        <v>0.371</v>
      </c>
      <c r="AW804" s="18">
        <v>96.213999999999999</v>
      </c>
      <c r="AX804" s="18">
        <v>4</v>
      </c>
      <c r="AY804" s="19" t="s">
        <v>24</v>
      </c>
    </row>
    <row r="805" spans="32:51" x14ac:dyDescent="0.35">
      <c r="AF805" s="14" t="s">
        <v>2405</v>
      </c>
      <c r="AG805" s="15" t="s">
        <v>2406</v>
      </c>
      <c r="AH805" s="15" t="s">
        <v>2407</v>
      </c>
      <c r="AI805" s="15" t="s">
        <v>2408</v>
      </c>
      <c r="AJ805" s="15">
        <v>54</v>
      </c>
      <c r="AK805" s="15">
        <v>233488</v>
      </c>
      <c r="AL805" s="15" t="b">
        <v>0</v>
      </c>
      <c r="AM805" s="15">
        <v>0.60099999999999998</v>
      </c>
      <c r="AN805" s="15">
        <v>0.372</v>
      </c>
      <c r="AO805" s="15">
        <v>3</v>
      </c>
      <c r="AP805" s="15">
        <v>-6.1479999999999997</v>
      </c>
      <c r="AQ805" s="15">
        <v>1</v>
      </c>
      <c r="AR805" s="15">
        <v>2.92E-2</v>
      </c>
      <c r="AS805" s="15">
        <v>0.83499999999999996</v>
      </c>
      <c r="AT805" s="15">
        <v>0</v>
      </c>
      <c r="AU805" s="15">
        <v>0.129</v>
      </c>
      <c r="AV805" s="15">
        <v>0.44400000000000001</v>
      </c>
      <c r="AW805" s="15">
        <v>146.08600000000001</v>
      </c>
      <c r="AX805" s="15">
        <v>4</v>
      </c>
      <c r="AY805" s="16" t="s">
        <v>24</v>
      </c>
    </row>
    <row r="806" spans="32:51" x14ac:dyDescent="0.35">
      <c r="AF806" s="17" t="s">
        <v>2409</v>
      </c>
      <c r="AG806" s="18" t="s">
        <v>278</v>
      </c>
      <c r="AH806" s="18" t="s">
        <v>344</v>
      </c>
      <c r="AI806" s="18" t="s">
        <v>419</v>
      </c>
      <c r="AJ806" s="18">
        <v>49</v>
      </c>
      <c r="AK806" s="18">
        <v>245653</v>
      </c>
      <c r="AL806" s="18" t="b">
        <v>0</v>
      </c>
      <c r="AM806" s="18">
        <v>0.65200000000000002</v>
      </c>
      <c r="AN806" s="18">
        <v>0.58599999999999997</v>
      </c>
      <c r="AO806" s="18">
        <v>1</v>
      </c>
      <c r="AP806" s="18">
        <v>-8.2810000000000006</v>
      </c>
      <c r="AQ806" s="18">
        <v>1</v>
      </c>
      <c r="AR806" s="18">
        <v>4.02E-2</v>
      </c>
      <c r="AS806" s="18">
        <v>0.46899999999999997</v>
      </c>
      <c r="AT806" s="18">
        <v>0</v>
      </c>
      <c r="AU806" s="18">
        <v>8.4599999999999995E-2</v>
      </c>
      <c r="AV806" s="18">
        <v>0.55400000000000005</v>
      </c>
      <c r="AW806" s="18">
        <v>144.03100000000001</v>
      </c>
      <c r="AX806" s="18">
        <v>4</v>
      </c>
      <c r="AY806" s="19" t="s">
        <v>24</v>
      </c>
    </row>
    <row r="807" spans="32:51" x14ac:dyDescent="0.35">
      <c r="AF807" s="14" t="s">
        <v>2410</v>
      </c>
      <c r="AG807" s="15" t="s">
        <v>1687</v>
      </c>
      <c r="AH807" s="15" t="s">
        <v>2411</v>
      </c>
      <c r="AI807" s="15" t="s">
        <v>2412</v>
      </c>
      <c r="AJ807" s="15">
        <v>45</v>
      </c>
      <c r="AK807" s="15">
        <v>198386</v>
      </c>
      <c r="AL807" s="15" t="b">
        <v>0</v>
      </c>
      <c r="AM807" s="15">
        <v>0.47</v>
      </c>
      <c r="AN807" s="15">
        <v>0.29199999999999998</v>
      </c>
      <c r="AO807" s="15">
        <v>6</v>
      </c>
      <c r="AP807" s="15">
        <v>-9.8989999999999991</v>
      </c>
      <c r="AQ807" s="15">
        <v>0</v>
      </c>
      <c r="AR807" s="15">
        <v>2.8400000000000002E-2</v>
      </c>
      <c r="AS807" s="15">
        <v>0.90400000000000003</v>
      </c>
      <c r="AT807" s="15">
        <v>1.0399999999999999E-4</v>
      </c>
      <c r="AU807" s="15">
        <v>8.8900000000000007E-2</v>
      </c>
      <c r="AV807" s="15">
        <v>0.16800000000000001</v>
      </c>
      <c r="AW807" s="15">
        <v>66.108999999999995</v>
      </c>
      <c r="AX807" s="15">
        <v>4</v>
      </c>
      <c r="AY807" s="16" t="s">
        <v>24</v>
      </c>
    </row>
    <row r="808" spans="32:51" x14ac:dyDescent="0.35">
      <c r="AF808" s="17" t="s">
        <v>2413</v>
      </c>
      <c r="AG808" s="18" t="s">
        <v>2414</v>
      </c>
      <c r="AH808" s="18" t="s">
        <v>2415</v>
      </c>
      <c r="AI808" s="18" t="s">
        <v>2415</v>
      </c>
      <c r="AJ808" s="18">
        <v>27</v>
      </c>
      <c r="AK808" s="18">
        <v>319533</v>
      </c>
      <c r="AL808" s="18" t="b">
        <v>0</v>
      </c>
      <c r="AM808" s="18">
        <v>0.67300000000000004</v>
      </c>
      <c r="AN808" s="18">
        <v>0.65800000000000003</v>
      </c>
      <c r="AO808" s="18">
        <v>10</v>
      </c>
      <c r="AP808" s="18">
        <v>-8.8640000000000008</v>
      </c>
      <c r="AQ808" s="18">
        <v>0</v>
      </c>
      <c r="AR808" s="18">
        <v>3.4299999999999997E-2</v>
      </c>
      <c r="AS808" s="18">
        <v>0.17599999999999999</v>
      </c>
      <c r="AT808" s="32" t="s">
        <v>2416</v>
      </c>
      <c r="AU808" s="18">
        <v>0.08</v>
      </c>
      <c r="AV808" s="18">
        <v>0.86299999999999999</v>
      </c>
      <c r="AW808" s="18">
        <v>97.989000000000004</v>
      </c>
      <c r="AX808" s="18">
        <v>4</v>
      </c>
      <c r="AY808" s="19" t="s">
        <v>24</v>
      </c>
    </row>
    <row r="809" spans="32:51" x14ac:dyDescent="0.35">
      <c r="AF809" s="14" t="s">
        <v>2417</v>
      </c>
      <c r="AG809" s="15" t="s">
        <v>418</v>
      </c>
      <c r="AH809" s="15" t="s">
        <v>2418</v>
      </c>
      <c r="AI809" s="15" t="s">
        <v>2418</v>
      </c>
      <c r="AJ809" s="15">
        <v>52</v>
      </c>
      <c r="AK809" s="15">
        <v>219066</v>
      </c>
      <c r="AL809" s="15" t="b">
        <v>0</v>
      </c>
      <c r="AM809" s="15">
        <v>0.65500000000000003</v>
      </c>
      <c r="AN809" s="15">
        <v>0.58699999999999997</v>
      </c>
      <c r="AO809" s="15">
        <v>1</v>
      </c>
      <c r="AP809" s="15">
        <v>-8.7360000000000007</v>
      </c>
      <c r="AQ809" s="15">
        <v>1</v>
      </c>
      <c r="AR809" s="15">
        <v>4.4999999999999998E-2</v>
      </c>
      <c r="AS809" s="15">
        <v>0.26</v>
      </c>
      <c r="AT809" s="31" t="s">
        <v>2419</v>
      </c>
      <c r="AU809" s="15">
        <v>9.5299999999999996E-2</v>
      </c>
      <c r="AV809" s="15">
        <v>0.52100000000000002</v>
      </c>
      <c r="AW809" s="15">
        <v>91.494</v>
      </c>
      <c r="AX809" s="15">
        <v>4</v>
      </c>
      <c r="AY809" s="16" t="s">
        <v>24</v>
      </c>
    </row>
    <row r="810" spans="32:51" x14ac:dyDescent="0.35">
      <c r="AF810" s="17" t="s">
        <v>2420</v>
      </c>
      <c r="AG810" s="18" t="s">
        <v>2421</v>
      </c>
      <c r="AH810" s="18" t="s">
        <v>2422</v>
      </c>
      <c r="AI810" s="18" t="s">
        <v>2423</v>
      </c>
      <c r="AJ810" s="18">
        <v>41</v>
      </c>
      <c r="AK810" s="18">
        <v>139612</v>
      </c>
      <c r="AL810" s="18" t="b">
        <v>0</v>
      </c>
      <c r="AM810" s="18">
        <v>0.28699999999999998</v>
      </c>
      <c r="AN810" s="18">
        <v>0.245</v>
      </c>
      <c r="AO810" s="18">
        <v>11</v>
      </c>
      <c r="AP810" s="18">
        <v>-20.673999999999999</v>
      </c>
      <c r="AQ810" s="18">
        <v>0</v>
      </c>
      <c r="AR810" s="18">
        <v>4.9299999999999997E-2</v>
      </c>
      <c r="AS810" s="18">
        <v>0.91500000000000004</v>
      </c>
      <c r="AT810" s="18">
        <v>0.83599999999999997</v>
      </c>
      <c r="AU810" s="18">
        <v>0.112</v>
      </c>
      <c r="AV810" s="18">
        <v>0.624</v>
      </c>
      <c r="AW810" s="18">
        <v>84.055999999999997</v>
      </c>
      <c r="AX810" s="18">
        <v>4</v>
      </c>
      <c r="AY810" s="19" t="s">
        <v>24</v>
      </c>
    </row>
    <row r="811" spans="32:51" x14ac:dyDescent="0.35">
      <c r="AF811" s="14" t="s">
        <v>2424</v>
      </c>
      <c r="AG811" s="15" t="s">
        <v>813</v>
      </c>
      <c r="AH811" s="15" t="s">
        <v>2425</v>
      </c>
      <c r="AI811" s="15" t="s">
        <v>2426</v>
      </c>
      <c r="AJ811" s="15">
        <v>51</v>
      </c>
      <c r="AK811" s="15">
        <v>178615</v>
      </c>
      <c r="AL811" s="15" t="b">
        <v>0</v>
      </c>
      <c r="AM811" s="15">
        <v>0.45600000000000002</v>
      </c>
      <c r="AN811" s="15">
        <v>0.13400000000000001</v>
      </c>
      <c r="AO811" s="15">
        <v>4</v>
      </c>
      <c r="AP811" s="15">
        <v>-11.247999999999999</v>
      </c>
      <c r="AQ811" s="15">
        <v>1</v>
      </c>
      <c r="AR811" s="15">
        <v>3.6400000000000002E-2</v>
      </c>
      <c r="AS811" s="15">
        <v>0.97599999999999998</v>
      </c>
      <c r="AT811" s="31" t="s">
        <v>2427</v>
      </c>
      <c r="AU811" s="15">
        <v>0.107</v>
      </c>
      <c r="AV811" s="15">
        <v>0.316</v>
      </c>
      <c r="AW811" s="15">
        <v>127.976</v>
      </c>
      <c r="AX811" s="15">
        <v>3</v>
      </c>
      <c r="AY811" s="16" t="s">
        <v>24</v>
      </c>
    </row>
    <row r="812" spans="32:51" x14ac:dyDescent="0.35">
      <c r="AF812" s="17" t="s">
        <v>2428</v>
      </c>
      <c r="AG812" s="18" t="s">
        <v>34</v>
      </c>
      <c r="AH812" s="18" t="s">
        <v>2429</v>
      </c>
      <c r="AI812" s="18" t="s">
        <v>2429</v>
      </c>
      <c r="AJ812" s="18">
        <v>48</v>
      </c>
      <c r="AK812" s="18">
        <v>119423</v>
      </c>
      <c r="AL812" s="18" t="b">
        <v>0</v>
      </c>
      <c r="AM812" s="18">
        <v>0.67600000000000005</v>
      </c>
      <c r="AN812" s="18">
        <v>0.11799999999999999</v>
      </c>
      <c r="AO812" s="18">
        <v>7</v>
      </c>
      <c r="AP812" s="18">
        <v>-11.443</v>
      </c>
      <c r="AQ812" s="18">
        <v>1</v>
      </c>
      <c r="AR812" s="18">
        <v>3.2000000000000001E-2</v>
      </c>
      <c r="AS812" s="18">
        <v>0.93500000000000005</v>
      </c>
      <c r="AT812" s="18">
        <v>0</v>
      </c>
      <c r="AU812" s="18">
        <v>0.29199999999999998</v>
      </c>
      <c r="AV812" s="18">
        <v>0.51700000000000002</v>
      </c>
      <c r="AW812" s="18">
        <v>103.94799999999999</v>
      </c>
      <c r="AX812" s="18">
        <v>4</v>
      </c>
      <c r="AY812" s="19" t="s">
        <v>24</v>
      </c>
    </row>
    <row r="813" spans="32:51" x14ac:dyDescent="0.35">
      <c r="AF813" s="14" t="s">
        <v>2430</v>
      </c>
      <c r="AG813" s="15" t="s">
        <v>352</v>
      </c>
      <c r="AH813" s="15" t="s">
        <v>2431</v>
      </c>
      <c r="AI813" s="15" t="s">
        <v>2432</v>
      </c>
      <c r="AJ813" s="15">
        <v>52</v>
      </c>
      <c r="AK813" s="15">
        <v>201885</v>
      </c>
      <c r="AL813" s="15" t="b">
        <v>0</v>
      </c>
      <c r="AM813" s="15">
        <v>0.57999999999999996</v>
      </c>
      <c r="AN813" s="15">
        <v>0.188</v>
      </c>
      <c r="AO813" s="15">
        <v>9</v>
      </c>
      <c r="AP813" s="15">
        <v>-9.34</v>
      </c>
      <c r="AQ813" s="15">
        <v>1</v>
      </c>
      <c r="AR813" s="15">
        <v>5.11E-2</v>
      </c>
      <c r="AS813" s="15">
        <v>0.93500000000000005</v>
      </c>
      <c r="AT813" s="15">
        <v>0</v>
      </c>
      <c r="AU813" s="15">
        <v>0.26400000000000001</v>
      </c>
      <c r="AV813" s="15">
        <v>0.43099999999999999</v>
      </c>
      <c r="AW813" s="15">
        <v>121.648</v>
      </c>
      <c r="AX813" s="15">
        <v>4</v>
      </c>
      <c r="AY813" s="16" t="s">
        <v>24</v>
      </c>
    </row>
    <row r="814" spans="32:51" x14ac:dyDescent="0.35">
      <c r="AF814" s="17" t="s">
        <v>2433</v>
      </c>
      <c r="AG814" s="18" t="s">
        <v>2312</v>
      </c>
      <c r="AH814" s="18" t="s">
        <v>2434</v>
      </c>
      <c r="AI814" s="18" t="s">
        <v>2435</v>
      </c>
      <c r="AJ814" s="18">
        <v>39</v>
      </c>
      <c r="AK814" s="18">
        <v>219653</v>
      </c>
      <c r="AL814" s="18" t="b">
        <v>0</v>
      </c>
      <c r="AM814" s="18">
        <v>0.80900000000000005</v>
      </c>
      <c r="AN814" s="18">
        <v>0.55500000000000005</v>
      </c>
      <c r="AO814" s="18">
        <v>0</v>
      </c>
      <c r="AP814" s="18">
        <v>-5.6890000000000001</v>
      </c>
      <c r="AQ814" s="18">
        <v>1</v>
      </c>
      <c r="AR814" s="18">
        <v>6.1699999999999998E-2</v>
      </c>
      <c r="AS814" s="18">
        <v>0.48099999999999998</v>
      </c>
      <c r="AT814" s="32" t="s">
        <v>2436</v>
      </c>
      <c r="AU814" s="18">
        <v>0.13300000000000001</v>
      </c>
      <c r="AV814" s="18">
        <v>0.47299999999999998</v>
      </c>
      <c r="AW814" s="18">
        <v>104.08499999999999</v>
      </c>
      <c r="AX814" s="18">
        <v>4</v>
      </c>
      <c r="AY814" s="19" t="s">
        <v>24</v>
      </c>
    </row>
    <row r="815" spans="32:51" x14ac:dyDescent="0.35">
      <c r="AF815" s="14" t="s">
        <v>2437</v>
      </c>
      <c r="AG815" s="15" t="s">
        <v>2438</v>
      </c>
      <c r="AH815" s="15" t="s">
        <v>2439</v>
      </c>
      <c r="AI815" s="15" t="s">
        <v>2440</v>
      </c>
      <c r="AJ815" s="15">
        <v>27</v>
      </c>
      <c r="AK815" s="15">
        <v>279386</v>
      </c>
      <c r="AL815" s="15" t="b">
        <v>0</v>
      </c>
      <c r="AM815" s="15">
        <v>0.42199999999999999</v>
      </c>
      <c r="AN815" s="15">
        <v>0.248</v>
      </c>
      <c r="AO815" s="15">
        <v>8</v>
      </c>
      <c r="AP815" s="15">
        <v>-8.2449999999999992</v>
      </c>
      <c r="AQ815" s="15">
        <v>1</v>
      </c>
      <c r="AR815" s="15">
        <v>0.03</v>
      </c>
      <c r="AS815" s="15">
        <v>0.95</v>
      </c>
      <c r="AT815" s="31" t="s">
        <v>2441</v>
      </c>
      <c r="AU815" s="15">
        <v>0.32500000000000001</v>
      </c>
      <c r="AV815" s="15">
        <v>0.219</v>
      </c>
      <c r="AW815" s="15">
        <v>134.042</v>
      </c>
      <c r="AX815" s="15">
        <v>4</v>
      </c>
      <c r="AY815" s="16" t="s">
        <v>24</v>
      </c>
    </row>
    <row r="816" spans="32:51" x14ac:dyDescent="0.35">
      <c r="AF816" s="17" t="s">
        <v>2442</v>
      </c>
      <c r="AG816" s="18" t="s">
        <v>39</v>
      </c>
      <c r="AH816" s="18" t="s">
        <v>2443</v>
      </c>
      <c r="AI816" s="18" t="s">
        <v>2443</v>
      </c>
      <c r="AJ816" s="18">
        <v>41</v>
      </c>
      <c r="AK816" s="18">
        <v>222400</v>
      </c>
      <c r="AL816" s="18" t="b">
        <v>0</v>
      </c>
      <c r="AM816" s="18">
        <v>0.49</v>
      </c>
      <c r="AN816" s="18">
        <v>0.45600000000000002</v>
      </c>
      <c r="AO816" s="18">
        <v>8</v>
      </c>
      <c r="AP816" s="18">
        <v>-9.7669999999999995</v>
      </c>
      <c r="AQ816" s="18">
        <v>1</v>
      </c>
      <c r="AR816" s="18">
        <v>4.4699999999999997E-2</v>
      </c>
      <c r="AS816" s="18">
        <v>1.5599999999999999E-2</v>
      </c>
      <c r="AT816" s="18">
        <v>0</v>
      </c>
      <c r="AU816" s="18">
        <v>8.2500000000000004E-2</v>
      </c>
      <c r="AV816" s="18">
        <v>0.40500000000000003</v>
      </c>
      <c r="AW816" s="18">
        <v>154.80500000000001</v>
      </c>
      <c r="AX816" s="18">
        <v>4</v>
      </c>
      <c r="AY816" s="19" t="s">
        <v>24</v>
      </c>
    </row>
    <row r="817" spans="32:51" x14ac:dyDescent="0.35">
      <c r="AF817" s="14" t="s">
        <v>2444</v>
      </c>
      <c r="AG817" s="15" t="s">
        <v>240</v>
      </c>
      <c r="AH817" s="15" t="s">
        <v>2445</v>
      </c>
      <c r="AI817" s="15" t="s">
        <v>2446</v>
      </c>
      <c r="AJ817" s="15">
        <v>43</v>
      </c>
      <c r="AK817" s="15">
        <v>200227</v>
      </c>
      <c r="AL817" s="15" t="b">
        <v>0</v>
      </c>
      <c r="AM817" s="15">
        <v>0.60499999999999998</v>
      </c>
      <c r="AN817" s="15">
        <v>0.39600000000000002</v>
      </c>
      <c r="AO817" s="15">
        <v>1</v>
      </c>
      <c r="AP817" s="15">
        <v>-7.5860000000000003</v>
      </c>
      <c r="AQ817" s="15">
        <v>1</v>
      </c>
      <c r="AR817" s="15">
        <v>6.6699999999999995E-2</v>
      </c>
      <c r="AS817" s="15">
        <v>0.38700000000000001</v>
      </c>
      <c r="AT817" s="15">
        <v>0</v>
      </c>
      <c r="AU817" s="15">
        <v>5.5599999999999997E-2</v>
      </c>
      <c r="AV817" s="15">
        <v>0.32500000000000001</v>
      </c>
      <c r="AW817" s="15">
        <v>132.08000000000001</v>
      </c>
      <c r="AX817" s="15">
        <v>4</v>
      </c>
      <c r="AY817" s="16" t="s">
        <v>24</v>
      </c>
    </row>
    <row r="818" spans="32:51" x14ac:dyDescent="0.35">
      <c r="AF818" s="17" t="s">
        <v>2447</v>
      </c>
      <c r="AG818" s="18" t="s">
        <v>2448</v>
      </c>
      <c r="AH818" s="18" t="s">
        <v>2449</v>
      </c>
      <c r="AI818" s="18" t="s">
        <v>2450</v>
      </c>
      <c r="AJ818" s="18">
        <v>45</v>
      </c>
      <c r="AK818" s="18">
        <v>145753</v>
      </c>
      <c r="AL818" s="18" t="b">
        <v>0</v>
      </c>
      <c r="AM818" s="18">
        <v>0.46300000000000002</v>
      </c>
      <c r="AN818" s="18">
        <v>0.156</v>
      </c>
      <c r="AO818" s="18">
        <v>6</v>
      </c>
      <c r="AP818" s="18">
        <v>-13.416</v>
      </c>
      <c r="AQ818" s="18">
        <v>1</v>
      </c>
      <c r="AR818" s="18">
        <v>0.189</v>
      </c>
      <c r="AS818" s="18">
        <v>0.89</v>
      </c>
      <c r="AT818" s="18">
        <v>0</v>
      </c>
      <c r="AU818" s="18">
        <v>0.115</v>
      </c>
      <c r="AV818" s="18">
        <v>0.47799999999999998</v>
      </c>
      <c r="AW818" s="18">
        <v>180.191</v>
      </c>
      <c r="AX818" s="18">
        <v>4</v>
      </c>
      <c r="AY818" s="19" t="s">
        <v>24</v>
      </c>
    </row>
    <row r="819" spans="32:51" x14ac:dyDescent="0.35">
      <c r="AF819" s="14" t="s">
        <v>2451</v>
      </c>
      <c r="AG819" s="15" t="s">
        <v>2452</v>
      </c>
      <c r="AH819" s="15" t="s">
        <v>2453</v>
      </c>
      <c r="AI819" s="15" t="s">
        <v>2454</v>
      </c>
      <c r="AJ819" s="15">
        <v>27</v>
      </c>
      <c r="AK819" s="15">
        <v>245600</v>
      </c>
      <c r="AL819" s="15" t="b">
        <v>0</v>
      </c>
      <c r="AM819" s="15">
        <v>0.53200000000000003</v>
      </c>
      <c r="AN819" s="15">
        <v>0.92800000000000005</v>
      </c>
      <c r="AO819" s="15">
        <v>9</v>
      </c>
      <c r="AP819" s="15">
        <v>-1.9630000000000001</v>
      </c>
      <c r="AQ819" s="15">
        <v>0</v>
      </c>
      <c r="AR819" s="15">
        <v>3.9699999999999999E-2</v>
      </c>
      <c r="AS819" s="15">
        <v>0.108</v>
      </c>
      <c r="AT819" s="15">
        <v>2.9100000000000001E-2</v>
      </c>
      <c r="AU819" s="15">
        <v>0.20100000000000001</v>
      </c>
      <c r="AV819" s="15">
        <v>0.80800000000000005</v>
      </c>
      <c r="AW819" s="15">
        <v>113.92700000000001</v>
      </c>
      <c r="AX819" s="15">
        <v>3</v>
      </c>
      <c r="AY819" s="16" t="s">
        <v>24</v>
      </c>
    </row>
    <row r="820" spans="32:51" x14ac:dyDescent="0.35">
      <c r="AF820" s="17" t="s">
        <v>2455</v>
      </c>
      <c r="AG820" s="18" t="s">
        <v>2456</v>
      </c>
      <c r="AH820" s="18" t="s">
        <v>2457</v>
      </c>
      <c r="AI820" s="18" t="s">
        <v>2458</v>
      </c>
      <c r="AJ820" s="18">
        <v>41</v>
      </c>
      <c r="AK820" s="18">
        <v>150346</v>
      </c>
      <c r="AL820" s="18" t="b">
        <v>0</v>
      </c>
      <c r="AM820" s="18">
        <v>0.38700000000000001</v>
      </c>
      <c r="AN820" s="18">
        <v>0.41</v>
      </c>
      <c r="AO820" s="18">
        <v>11</v>
      </c>
      <c r="AP820" s="18">
        <v>-8.1240000000000006</v>
      </c>
      <c r="AQ820" s="18">
        <v>0</v>
      </c>
      <c r="AR820" s="18">
        <v>3.1E-2</v>
      </c>
      <c r="AS820" s="18">
        <v>0.60799999999999998</v>
      </c>
      <c r="AT820" s="18">
        <v>5.8900000000000003E-3</v>
      </c>
      <c r="AU820" s="18">
        <v>0.10199999999999999</v>
      </c>
      <c r="AV820" s="18">
        <v>0.14899999999999999</v>
      </c>
      <c r="AW820" s="18">
        <v>117.39100000000001</v>
      </c>
      <c r="AX820" s="18">
        <v>4</v>
      </c>
      <c r="AY820" s="19" t="s">
        <v>24</v>
      </c>
    </row>
    <row r="821" spans="32:51" x14ac:dyDescent="0.35">
      <c r="AF821" s="14" t="s">
        <v>2459</v>
      </c>
      <c r="AG821" s="15" t="s">
        <v>2460</v>
      </c>
      <c r="AH821" s="15" t="s">
        <v>2461</v>
      </c>
      <c r="AI821" s="15" t="s">
        <v>2462</v>
      </c>
      <c r="AJ821" s="15">
        <v>33</v>
      </c>
      <c r="AK821" s="15">
        <v>214860</v>
      </c>
      <c r="AL821" s="15" t="b">
        <v>0</v>
      </c>
      <c r="AM821" s="15">
        <v>0.75800000000000001</v>
      </c>
      <c r="AN821" s="15">
        <v>0.20599999999999999</v>
      </c>
      <c r="AO821" s="15">
        <v>9</v>
      </c>
      <c r="AP821" s="15">
        <v>-14.68</v>
      </c>
      <c r="AQ821" s="15">
        <v>1</v>
      </c>
      <c r="AR821" s="15">
        <v>7.2900000000000006E-2</v>
      </c>
      <c r="AS821" s="15">
        <v>0.628</v>
      </c>
      <c r="AT821" s="15">
        <v>0</v>
      </c>
      <c r="AU821" s="15">
        <v>0.14799999999999999</v>
      </c>
      <c r="AV821" s="15">
        <v>0.25</v>
      </c>
      <c r="AW821" s="15">
        <v>124.873</v>
      </c>
      <c r="AX821" s="15">
        <v>4</v>
      </c>
      <c r="AY821" s="16" t="s">
        <v>24</v>
      </c>
    </row>
    <row r="822" spans="32:51" x14ac:dyDescent="0.35">
      <c r="AF822" s="17" t="s">
        <v>2463</v>
      </c>
      <c r="AG822" s="18" t="s">
        <v>339</v>
      </c>
      <c r="AH822" s="18" t="s">
        <v>92</v>
      </c>
      <c r="AI822" s="18" t="s">
        <v>1965</v>
      </c>
      <c r="AJ822" s="18">
        <v>47</v>
      </c>
      <c r="AK822" s="18">
        <v>257390</v>
      </c>
      <c r="AL822" s="18" t="b">
        <v>0</v>
      </c>
      <c r="AM822" s="18">
        <v>0.63100000000000001</v>
      </c>
      <c r="AN822" s="18">
        <v>0.28999999999999998</v>
      </c>
      <c r="AO822" s="18">
        <v>1</v>
      </c>
      <c r="AP822" s="18">
        <v>-9.1590000000000007</v>
      </c>
      <c r="AQ822" s="18">
        <v>1</v>
      </c>
      <c r="AR822" s="18">
        <v>2.7900000000000001E-2</v>
      </c>
      <c r="AS822" s="18">
        <v>0.85699999999999998</v>
      </c>
      <c r="AT822" s="18">
        <v>0</v>
      </c>
      <c r="AU822" s="18">
        <v>0.18099999999999999</v>
      </c>
      <c r="AV822" s="18">
        <v>0.39800000000000002</v>
      </c>
      <c r="AW822" s="18">
        <v>96.593000000000004</v>
      </c>
      <c r="AX822" s="18">
        <v>3</v>
      </c>
      <c r="AY822" s="19" t="s">
        <v>24</v>
      </c>
    </row>
    <row r="823" spans="32:51" x14ac:dyDescent="0.35">
      <c r="AF823" s="14" t="s">
        <v>2464</v>
      </c>
      <c r="AG823" s="15" t="s">
        <v>352</v>
      </c>
      <c r="AH823" s="15" t="s">
        <v>2465</v>
      </c>
      <c r="AI823" s="15" t="s">
        <v>2466</v>
      </c>
      <c r="AJ823" s="15">
        <v>48</v>
      </c>
      <c r="AK823" s="15">
        <v>202928</v>
      </c>
      <c r="AL823" s="15" t="b">
        <v>0</v>
      </c>
      <c r="AM823" s="15">
        <v>0.54500000000000004</v>
      </c>
      <c r="AN823" s="15">
        <v>0.16900000000000001</v>
      </c>
      <c r="AO823" s="15">
        <v>6</v>
      </c>
      <c r="AP823" s="15">
        <v>-10.145</v>
      </c>
      <c r="AQ823" s="15">
        <v>1</v>
      </c>
      <c r="AR823" s="15">
        <v>4.5699999999999998E-2</v>
      </c>
      <c r="AS823" s="15">
        <v>0.95299999999999996</v>
      </c>
      <c r="AT823" s="15">
        <v>0</v>
      </c>
      <c r="AU823" s="15">
        <v>0.152</v>
      </c>
      <c r="AV823" s="15">
        <v>0.29099999999999998</v>
      </c>
      <c r="AW823" s="15">
        <v>138.19900000000001</v>
      </c>
      <c r="AX823" s="15">
        <v>4</v>
      </c>
      <c r="AY823" s="16" t="s">
        <v>24</v>
      </c>
    </row>
    <row r="824" spans="32:51" x14ac:dyDescent="0.35">
      <c r="AF824" s="17" t="s">
        <v>2467</v>
      </c>
      <c r="AG824" s="18" t="s">
        <v>1297</v>
      </c>
      <c r="AH824" s="18" t="s">
        <v>2468</v>
      </c>
      <c r="AI824" s="18">
        <v>3636</v>
      </c>
      <c r="AJ824" s="18">
        <v>44</v>
      </c>
      <c r="AK824" s="18">
        <v>251720</v>
      </c>
      <c r="AL824" s="18" t="b">
        <v>0</v>
      </c>
      <c r="AM824" s="18">
        <v>0.57899999999999996</v>
      </c>
      <c r="AN824" s="18">
        <v>0.61199999999999999</v>
      </c>
      <c r="AO824" s="18">
        <v>10</v>
      </c>
      <c r="AP824" s="18">
        <v>-5.0880000000000001</v>
      </c>
      <c r="AQ824" s="18">
        <v>1</v>
      </c>
      <c r="AR824" s="18">
        <v>2.6599999999999999E-2</v>
      </c>
      <c r="AS824" s="18">
        <v>0.70199999999999996</v>
      </c>
      <c r="AT824" s="18">
        <v>1.9499999999999999E-3</v>
      </c>
      <c r="AU824" s="18">
        <v>0.254</v>
      </c>
      <c r="AV824" s="18">
        <v>0.623</v>
      </c>
      <c r="AW824" s="18">
        <v>155.92099999999999</v>
      </c>
      <c r="AX824" s="18">
        <v>4</v>
      </c>
      <c r="AY824" s="19" t="s">
        <v>24</v>
      </c>
    </row>
    <row r="825" spans="32:51" x14ac:dyDescent="0.35">
      <c r="AF825" s="14" t="s">
        <v>2469</v>
      </c>
      <c r="AG825" s="15" t="s">
        <v>1297</v>
      </c>
      <c r="AH825" s="15" t="s">
        <v>2250</v>
      </c>
      <c r="AI825" s="15" t="s">
        <v>2470</v>
      </c>
      <c r="AJ825" s="15">
        <v>64</v>
      </c>
      <c r="AK825" s="15">
        <v>246306</v>
      </c>
      <c r="AL825" s="15" t="b">
        <v>0</v>
      </c>
      <c r="AM825" s="15">
        <v>0.52400000000000002</v>
      </c>
      <c r="AN825" s="15">
        <v>0.68700000000000006</v>
      </c>
      <c r="AO825" s="15">
        <v>7</v>
      </c>
      <c r="AP825" s="15">
        <v>-4.0389999999999997</v>
      </c>
      <c r="AQ825" s="15">
        <v>1</v>
      </c>
      <c r="AR825" s="15">
        <v>2.6700000000000002E-2</v>
      </c>
      <c r="AS825" s="15">
        <v>1.3500000000000001E-3</v>
      </c>
      <c r="AT825" s="15">
        <v>0</v>
      </c>
      <c r="AU825" s="15">
        <v>0.16900000000000001</v>
      </c>
      <c r="AV825" s="15">
        <v>0.61899999999999999</v>
      </c>
      <c r="AW825" s="15">
        <v>99.918999999999997</v>
      </c>
      <c r="AX825" s="15">
        <v>4</v>
      </c>
      <c r="AY825" s="16" t="s">
        <v>24</v>
      </c>
    </row>
    <row r="826" spans="32:51" x14ac:dyDescent="0.35">
      <c r="AF826" s="17" t="s">
        <v>2471</v>
      </c>
      <c r="AG826" s="18" t="s">
        <v>339</v>
      </c>
      <c r="AH826" s="18" t="s">
        <v>97</v>
      </c>
      <c r="AI826" s="18" t="s">
        <v>2472</v>
      </c>
      <c r="AJ826" s="18">
        <v>49</v>
      </c>
      <c r="AK826" s="18">
        <v>280652</v>
      </c>
      <c r="AL826" s="18" t="b">
        <v>0</v>
      </c>
      <c r="AM826" s="18">
        <v>0.747</v>
      </c>
      <c r="AN826" s="18">
        <v>9.2600000000000002E-2</v>
      </c>
      <c r="AO826" s="18">
        <v>8</v>
      </c>
      <c r="AP826" s="18">
        <v>-11.531000000000001</v>
      </c>
      <c r="AQ826" s="18">
        <v>1</v>
      </c>
      <c r="AR826" s="18">
        <v>3.0800000000000001E-2</v>
      </c>
      <c r="AS826" s="18">
        <v>0.92100000000000004</v>
      </c>
      <c r="AT826" s="18">
        <v>0</v>
      </c>
      <c r="AU826" s="18">
        <v>0.112</v>
      </c>
      <c r="AV826" s="18">
        <v>0.32800000000000001</v>
      </c>
      <c r="AW826" s="18">
        <v>77.94</v>
      </c>
      <c r="AX826" s="18">
        <v>4</v>
      </c>
      <c r="AY826" s="19" t="s">
        <v>24</v>
      </c>
    </row>
    <row r="827" spans="32:51" x14ac:dyDescent="0.35">
      <c r="AF827" s="14" t="s">
        <v>2473</v>
      </c>
      <c r="AG827" s="15" t="s">
        <v>1319</v>
      </c>
      <c r="AH827" s="15" t="s">
        <v>2474</v>
      </c>
      <c r="AI827" s="15" t="s">
        <v>2474</v>
      </c>
      <c r="AJ827" s="15">
        <v>49</v>
      </c>
      <c r="AK827" s="15">
        <v>204333</v>
      </c>
      <c r="AL827" s="15" t="b">
        <v>0</v>
      </c>
      <c r="AM827" s="15">
        <v>0.42199999999999999</v>
      </c>
      <c r="AN827" s="15">
        <v>0.11899999999999999</v>
      </c>
      <c r="AO827" s="15">
        <v>8</v>
      </c>
      <c r="AP827" s="15">
        <v>-15.182</v>
      </c>
      <c r="AQ827" s="15">
        <v>1</v>
      </c>
      <c r="AR827" s="15">
        <v>3.5400000000000001E-2</v>
      </c>
      <c r="AS827" s="15">
        <v>0.55500000000000005</v>
      </c>
      <c r="AT827" s="15">
        <v>0</v>
      </c>
      <c r="AU827" s="15">
        <v>9.5899999999999999E-2</v>
      </c>
      <c r="AV827" s="15">
        <v>0.40500000000000003</v>
      </c>
      <c r="AW827" s="15">
        <v>179.84399999999999</v>
      </c>
      <c r="AX827" s="15">
        <v>3</v>
      </c>
      <c r="AY827" s="16" t="s">
        <v>24</v>
      </c>
    </row>
    <row r="828" spans="32:51" x14ac:dyDescent="0.35">
      <c r="AF828" s="17" t="s">
        <v>2475</v>
      </c>
      <c r="AG828" s="18" t="s">
        <v>408</v>
      </c>
      <c r="AH828" s="18" t="s">
        <v>2476</v>
      </c>
      <c r="AI828" s="18" t="s">
        <v>2476</v>
      </c>
      <c r="AJ828" s="18">
        <v>45</v>
      </c>
      <c r="AK828" s="18">
        <v>186373</v>
      </c>
      <c r="AL828" s="18" t="b">
        <v>0</v>
      </c>
      <c r="AM828" s="18">
        <v>0.53900000000000003</v>
      </c>
      <c r="AN828" s="18">
        <v>0.35599999999999998</v>
      </c>
      <c r="AO828" s="18">
        <v>7</v>
      </c>
      <c r="AP828" s="18">
        <v>-9.7490000000000006</v>
      </c>
      <c r="AQ828" s="18">
        <v>1</v>
      </c>
      <c r="AR828" s="18">
        <v>3.2099999999999997E-2</v>
      </c>
      <c r="AS828" s="18">
        <v>0.76400000000000001</v>
      </c>
      <c r="AT828" s="18">
        <v>1.5399999999999999E-3</v>
      </c>
      <c r="AU828" s="18">
        <v>0.127</v>
      </c>
      <c r="AV828" s="18">
        <v>0.48899999999999999</v>
      </c>
      <c r="AW828" s="18">
        <v>73.703000000000003</v>
      </c>
      <c r="AX828" s="18">
        <v>4</v>
      </c>
      <c r="AY828" s="19" t="s">
        <v>24</v>
      </c>
    </row>
    <row r="829" spans="32:51" x14ac:dyDescent="0.35">
      <c r="AF829" s="14" t="s">
        <v>2477</v>
      </c>
      <c r="AG829" s="15" t="s">
        <v>2478</v>
      </c>
      <c r="AH829" s="15" t="s">
        <v>2479</v>
      </c>
      <c r="AI829" s="15" t="s">
        <v>2479</v>
      </c>
      <c r="AJ829" s="15">
        <v>26</v>
      </c>
      <c r="AK829" s="15">
        <v>169315</v>
      </c>
      <c r="AL829" s="15" t="b">
        <v>0</v>
      </c>
      <c r="AM829" s="15">
        <v>0.73699999999999999</v>
      </c>
      <c r="AN829" s="15">
        <v>0.23799999999999999</v>
      </c>
      <c r="AO829" s="15">
        <v>0</v>
      </c>
      <c r="AP829" s="15">
        <v>-9.0519999999999996</v>
      </c>
      <c r="AQ829" s="15">
        <v>1</v>
      </c>
      <c r="AR829" s="15">
        <v>3.4000000000000002E-2</v>
      </c>
      <c r="AS829" s="15">
        <v>0.89100000000000001</v>
      </c>
      <c r="AT829" s="15">
        <v>3.3600000000000001E-3</v>
      </c>
      <c r="AU829" s="15">
        <v>9.5899999999999999E-2</v>
      </c>
      <c r="AV829" s="15">
        <v>0.23400000000000001</v>
      </c>
      <c r="AW829" s="15">
        <v>119.08499999999999</v>
      </c>
      <c r="AX829" s="15">
        <v>4</v>
      </c>
      <c r="AY829" s="16" t="s">
        <v>24</v>
      </c>
    </row>
    <row r="830" spans="32:51" x14ac:dyDescent="0.35">
      <c r="AF830" s="17" t="s">
        <v>2480</v>
      </c>
      <c r="AG830" s="18" t="s">
        <v>696</v>
      </c>
      <c r="AH830" s="18" t="s">
        <v>2481</v>
      </c>
      <c r="AI830" s="18" t="s">
        <v>2482</v>
      </c>
      <c r="AJ830" s="18">
        <v>47</v>
      </c>
      <c r="AK830" s="18">
        <v>251164</v>
      </c>
      <c r="AL830" s="18" t="b">
        <v>0</v>
      </c>
      <c r="AM830" s="18">
        <v>0.64200000000000002</v>
      </c>
      <c r="AN830" s="18">
        <v>0.15</v>
      </c>
      <c r="AO830" s="18">
        <v>0</v>
      </c>
      <c r="AP830" s="18">
        <v>-11.316000000000001</v>
      </c>
      <c r="AQ830" s="18">
        <v>1</v>
      </c>
      <c r="AR830" s="18">
        <v>3.5099999999999999E-2</v>
      </c>
      <c r="AS830" s="18">
        <v>0.83199999999999996</v>
      </c>
      <c r="AT830" s="18">
        <v>0</v>
      </c>
      <c r="AU830" s="18">
        <v>0.126</v>
      </c>
      <c r="AV830" s="18">
        <v>0.27</v>
      </c>
      <c r="AW830" s="18">
        <v>104.97799999999999</v>
      </c>
      <c r="AX830" s="18">
        <v>4</v>
      </c>
      <c r="AY830" s="19" t="s">
        <v>24</v>
      </c>
    </row>
    <row r="831" spans="32:51" x14ac:dyDescent="0.35">
      <c r="AF831" s="14" t="s">
        <v>2483</v>
      </c>
      <c r="AG831" s="15" t="s">
        <v>1202</v>
      </c>
      <c r="AH831" s="15" t="s">
        <v>2484</v>
      </c>
      <c r="AI831" s="15" t="s">
        <v>2485</v>
      </c>
      <c r="AJ831" s="15">
        <v>27</v>
      </c>
      <c r="AK831" s="15">
        <v>322140</v>
      </c>
      <c r="AL831" s="15" t="b">
        <v>0</v>
      </c>
      <c r="AM831" s="15">
        <v>0.73099999999999998</v>
      </c>
      <c r="AN831" s="15">
        <v>0.48499999999999999</v>
      </c>
      <c r="AO831" s="15">
        <v>7</v>
      </c>
      <c r="AP831" s="15">
        <v>-10.113</v>
      </c>
      <c r="AQ831" s="15">
        <v>1</v>
      </c>
      <c r="AR831" s="15">
        <v>3.8699999999999998E-2</v>
      </c>
      <c r="AS831" s="15">
        <v>0.28399999999999997</v>
      </c>
      <c r="AT831" s="15">
        <v>4.64E-3</v>
      </c>
      <c r="AU831" s="15">
        <v>0.14699999999999999</v>
      </c>
      <c r="AV831" s="15">
        <v>0.46300000000000002</v>
      </c>
      <c r="AW831" s="15">
        <v>106.05200000000001</v>
      </c>
      <c r="AX831" s="15">
        <v>4</v>
      </c>
      <c r="AY831" s="16" t="s">
        <v>24</v>
      </c>
    </row>
    <row r="832" spans="32:51" x14ac:dyDescent="0.35">
      <c r="AF832" s="17" t="s">
        <v>2486</v>
      </c>
      <c r="AG832" s="18" t="s">
        <v>1489</v>
      </c>
      <c r="AH832" s="18" t="s">
        <v>2487</v>
      </c>
      <c r="AI832" s="18" t="s">
        <v>2488</v>
      </c>
      <c r="AJ832" s="18">
        <v>26</v>
      </c>
      <c r="AK832" s="18">
        <v>260853</v>
      </c>
      <c r="AL832" s="18" t="b">
        <v>0</v>
      </c>
      <c r="AM832" s="18">
        <v>0.58699999999999997</v>
      </c>
      <c r="AN832" s="18">
        <v>0.311</v>
      </c>
      <c r="AO832" s="18">
        <v>4</v>
      </c>
      <c r="AP832" s="18">
        <v>-8.9870000000000001</v>
      </c>
      <c r="AQ832" s="18">
        <v>1</v>
      </c>
      <c r="AR832" s="18">
        <v>3.0700000000000002E-2</v>
      </c>
      <c r="AS832" s="18">
        <v>0.81699999999999995</v>
      </c>
      <c r="AT832" s="18">
        <v>0</v>
      </c>
      <c r="AU832" s="18">
        <v>8.6300000000000002E-2</v>
      </c>
      <c r="AV832" s="18">
        <v>0.374</v>
      </c>
      <c r="AW832" s="18">
        <v>113.68300000000001</v>
      </c>
      <c r="AX832" s="18">
        <v>4</v>
      </c>
      <c r="AY832" s="19" t="s">
        <v>24</v>
      </c>
    </row>
    <row r="833" spans="32:51" x14ac:dyDescent="0.35">
      <c r="AF833" s="14" t="s">
        <v>2489</v>
      </c>
      <c r="AG833" s="15" t="s">
        <v>408</v>
      </c>
      <c r="AH833" s="15" t="s">
        <v>460</v>
      </c>
      <c r="AI833" s="15" t="s">
        <v>2490</v>
      </c>
      <c r="AJ833" s="15">
        <v>48</v>
      </c>
      <c r="AK833" s="15">
        <v>306853</v>
      </c>
      <c r="AL833" s="15" t="b">
        <v>0</v>
      </c>
      <c r="AM833" s="15">
        <v>0.27700000000000002</v>
      </c>
      <c r="AN833" s="15">
        <v>0.19800000000000001</v>
      </c>
      <c r="AO833" s="15">
        <v>7</v>
      </c>
      <c r="AP833" s="15">
        <v>-11.923</v>
      </c>
      <c r="AQ833" s="15">
        <v>1</v>
      </c>
      <c r="AR833" s="15">
        <v>3.0599999999999999E-2</v>
      </c>
      <c r="AS833" s="15">
        <v>0.498</v>
      </c>
      <c r="AT833" s="15">
        <v>6.2300000000000003E-3</v>
      </c>
      <c r="AU833" s="15">
        <v>9.8400000000000001E-2</v>
      </c>
      <c r="AV833" s="15">
        <v>0.13400000000000001</v>
      </c>
      <c r="AW833" s="15">
        <v>149.93700000000001</v>
      </c>
      <c r="AX833" s="15">
        <v>3</v>
      </c>
      <c r="AY833" s="16" t="s">
        <v>24</v>
      </c>
    </row>
    <row r="834" spans="32:51" x14ac:dyDescent="0.35">
      <c r="AF834" s="17" t="s">
        <v>2491</v>
      </c>
      <c r="AG834" s="18" t="s">
        <v>2492</v>
      </c>
      <c r="AH834" s="18" t="s">
        <v>2493</v>
      </c>
      <c r="AI834" s="18" t="s">
        <v>2494</v>
      </c>
      <c r="AJ834" s="18">
        <v>59</v>
      </c>
      <c r="AK834" s="18">
        <v>162040</v>
      </c>
      <c r="AL834" s="18" t="b">
        <v>0</v>
      </c>
      <c r="AM834" s="18">
        <v>0.67600000000000005</v>
      </c>
      <c r="AN834" s="18">
        <v>0.33400000000000002</v>
      </c>
      <c r="AO834" s="18">
        <v>5</v>
      </c>
      <c r="AP834" s="18">
        <v>-10.571999999999999</v>
      </c>
      <c r="AQ834" s="18">
        <v>1</v>
      </c>
      <c r="AR834" s="18">
        <v>5.0799999999999998E-2</v>
      </c>
      <c r="AS834" s="18">
        <v>0.86199999999999999</v>
      </c>
      <c r="AT834" s="18">
        <v>0</v>
      </c>
      <c r="AU834" s="18">
        <v>0.32</v>
      </c>
      <c r="AV834" s="18">
        <v>0.86699999999999999</v>
      </c>
      <c r="AW834" s="18">
        <v>158</v>
      </c>
      <c r="AX834" s="18">
        <v>4</v>
      </c>
      <c r="AY834" s="19" t="s">
        <v>24</v>
      </c>
    </row>
    <row r="835" spans="32:51" x14ac:dyDescent="0.35">
      <c r="AF835" s="14" t="s">
        <v>2495</v>
      </c>
      <c r="AG835" s="15" t="s">
        <v>2496</v>
      </c>
      <c r="AH835" s="15" t="s">
        <v>2497</v>
      </c>
      <c r="AI835" s="15" t="s">
        <v>2498</v>
      </c>
      <c r="AJ835" s="15">
        <v>26</v>
      </c>
      <c r="AK835" s="15">
        <v>199866</v>
      </c>
      <c r="AL835" s="15" t="b">
        <v>0</v>
      </c>
      <c r="AM835" s="15">
        <v>0.67300000000000004</v>
      </c>
      <c r="AN835" s="15">
        <v>0.42399999999999999</v>
      </c>
      <c r="AO835" s="15">
        <v>8</v>
      </c>
      <c r="AP835" s="15">
        <v>-11.49</v>
      </c>
      <c r="AQ835" s="15">
        <v>1</v>
      </c>
      <c r="AR835" s="15">
        <v>3.0499999999999999E-2</v>
      </c>
      <c r="AS835" s="15">
        <v>0.3</v>
      </c>
      <c r="AT835" s="15">
        <v>0</v>
      </c>
      <c r="AU835" s="15">
        <v>0.22900000000000001</v>
      </c>
      <c r="AV835" s="15">
        <v>0.70899999999999996</v>
      </c>
      <c r="AW835" s="15">
        <v>115.038</v>
      </c>
      <c r="AX835" s="15">
        <v>4</v>
      </c>
      <c r="AY835" s="16" t="s">
        <v>24</v>
      </c>
    </row>
    <row r="836" spans="32:51" x14ac:dyDescent="0.35">
      <c r="AF836" s="17" t="s">
        <v>2499</v>
      </c>
      <c r="AG836" s="18" t="s">
        <v>1480</v>
      </c>
      <c r="AH836" s="18" t="s">
        <v>2500</v>
      </c>
      <c r="AI836" s="18" t="s">
        <v>2501</v>
      </c>
      <c r="AJ836" s="18">
        <v>53</v>
      </c>
      <c r="AK836" s="18">
        <v>251453</v>
      </c>
      <c r="AL836" s="18" t="b">
        <v>0</v>
      </c>
      <c r="AM836" s="18">
        <v>0.60199999999999998</v>
      </c>
      <c r="AN836" s="18">
        <v>0.52</v>
      </c>
      <c r="AO836" s="18">
        <v>3</v>
      </c>
      <c r="AP836" s="18">
        <v>-10.831</v>
      </c>
      <c r="AQ836" s="18">
        <v>1</v>
      </c>
      <c r="AR836" s="18">
        <v>2.8000000000000001E-2</v>
      </c>
      <c r="AS836" s="18">
        <v>0.73199999999999998</v>
      </c>
      <c r="AT836" s="18">
        <v>0.221</v>
      </c>
      <c r="AU836" s="18">
        <v>9.8199999999999996E-2</v>
      </c>
      <c r="AV836" s="18">
        <v>0.52300000000000002</v>
      </c>
      <c r="AW836" s="18">
        <v>151.91200000000001</v>
      </c>
      <c r="AX836" s="18">
        <v>4</v>
      </c>
      <c r="AY836" s="19" t="s">
        <v>24</v>
      </c>
    </row>
    <row r="837" spans="32:51" x14ac:dyDescent="0.35">
      <c r="AF837" s="14" t="s">
        <v>2502</v>
      </c>
      <c r="AG837" s="15" t="s">
        <v>2340</v>
      </c>
      <c r="AH837" s="15" t="s">
        <v>1665</v>
      </c>
      <c r="AI837" s="15" t="s">
        <v>2503</v>
      </c>
      <c r="AJ837" s="15">
        <v>26</v>
      </c>
      <c r="AK837" s="15">
        <v>149783</v>
      </c>
      <c r="AL837" s="15" t="b">
        <v>0</v>
      </c>
      <c r="AM837" s="15">
        <v>0.58199999999999996</v>
      </c>
      <c r="AN837" s="15">
        <v>0.18099999999999999</v>
      </c>
      <c r="AO837" s="15">
        <v>10</v>
      </c>
      <c r="AP837" s="15">
        <v>-11.294</v>
      </c>
      <c r="AQ837" s="15">
        <v>0</v>
      </c>
      <c r="AR837" s="15">
        <v>3.8600000000000002E-2</v>
      </c>
      <c r="AS837" s="15">
        <v>0.82099999999999995</v>
      </c>
      <c r="AT837" s="15">
        <v>0</v>
      </c>
      <c r="AU837" s="15">
        <v>0.23699999999999999</v>
      </c>
      <c r="AV837" s="15">
        <v>0.17199999999999999</v>
      </c>
      <c r="AW837" s="15">
        <v>133.43100000000001</v>
      </c>
      <c r="AX837" s="15">
        <v>4</v>
      </c>
      <c r="AY837" s="16" t="s">
        <v>24</v>
      </c>
    </row>
    <row r="838" spans="32:51" x14ac:dyDescent="0.35">
      <c r="AF838" s="17" t="s">
        <v>2504</v>
      </c>
      <c r="AG838" s="18" t="s">
        <v>2505</v>
      </c>
      <c r="AH838" s="18" t="s">
        <v>2506</v>
      </c>
      <c r="AI838" s="18" t="s">
        <v>2507</v>
      </c>
      <c r="AJ838" s="18">
        <v>26</v>
      </c>
      <c r="AK838" s="18">
        <v>210901</v>
      </c>
      <c r="AL838" s="18" t="b">
        <v>0</v>
      </c>
      <c r="AM838" s="18">
        <v>0.48899999999999999</v>
      </c>
      <c r="AN838" s="18">
        <v>0.124</v>
      </c>
      <c r="AO838" s="18">
        <v>9</v>
      </c>
      <c r="AP838" s="18">
        <v>-10.145</v>
      </c>
      <c r="AQ838" s="18">
        <v>1</v>
      </c>
      <c r="AR838" s="18">
        <v>4.36E-2</v>
      </c>
      <c r="AS838" s="18">
        <v>0.95199999999999996</v>
      </c>
      <c r="AT838" s="18">
        <v>0</v>
      </c>
      <c r="AU838" s="18">
        <v>0.24299999999999999</v>
      </c>
      <c r="AV838" s="18">
        <v>0.25700000000000001</v>
      </c>
      <c r="AW838" s="18">
        <v>91.385999999999996</v>
      </c>
      <c r="AX838" s="18">
        <v>4</v>
      </c>
      <c r="AY838" s="19" t="s">
        <v>24</v>
      </c>
    </row>
    <row r="839" spans="32:51" x14ac:dyDescent="0.35">
      <c r="AF839" s="14" t="s">
        <v>2508</v>
      </c>
      <c r="AG839" s="15" t="s">
        <v>1489</v>
      </c>
      <c r="AH839" s="15" t="s">
        <v>2487</v>
      </c>
      <c r="AI839" s="15" t="s">
        <v>2509</v>
      </c>
      <c r="AJ839" s="15">
        <v>26</v>
      </c>
      <c r="AK839" s="15">
        <v>306092</v>
      </c>
      <c r="AL839" s="15" t="b">
        <v>0</v>
      </c>
      <c r="AM839" s="15">
        <v>0.69599999999999995</v>
      </c>
      <c r="AN839" s="15">
        <v>0.379</v>
      </c>
      <c r="AO839" s="15">
        <v>0</v>
      </c>
      <c r="AP839" s="15">
        <v>-9.7240000000000002</v>
      </c>
      <c r="AQ839" s="15">
        <v>1</v>
      </c>
      <c r="AR839" s="15">
        <v>2.8400000000000002E-2</v>
      </c>
      <c r="AS839" s="15">
        <v>0.77200000000000002</v>
      </c>
      <c r="AT839" s="31" t="s">
        <v>1533</v>
      </c>
      <c r="AU839" s="15">
        <v>0.10100000000000001</v>
      </c>
      <c r="AV839" s="15">
        <v>0.35899999999999999</v>
      </c>
      <c r="AW839" s="15">
        <v>112.967</v>
      </c>
      <c r="AX839" s="15">
        <v>4</v>
      </c>
      <c r="AY839" s="16" t="s">
        <v>24</v>
      </c>
    </row>
    <row r="840" spans="32:51" x14ac:dyDescent="0.35">
      <c r="AF840" s="17" t="s">
        <v>2510</v>
      </c>
      <c r="AG840" s="18" t="s">
        <v>50</v>
      </c>
      <c r="AH840" s="18" t="s">
        <v>64</v>
      </c>
      <c r="AI840" s="18" t="s">
        <v>2511</v>
      </c>
      <c r="AJ840" s="18">
        <v>48</v>
      </c>
      <c r="AK840" s="18">
        <v>235080</v>
      </c>
      <c r="AL840" s="18" t="b">
        <v>0</v>
      </c>
      <c r="AM840" s="18">
        <v>0.65</v>
      </c>
      <c r="AN840" s="18">
        <v>0.628</v>
      </c>
      <c r="AO840" s="18">
        <v>7</v>
      </c>
      <c r="AP840" s="18">
        <v>-7.16</v>
      </c>
      <c r="AQ840" s="18">
        <v>1</v>
      </c>
      <c r="AR840" s="18">
        <v>2.3199999999999998E-2</v>
      </c>
      <c r="AS840" s="18">
        <v>4.8300000000000003E-2</v>
      </c>
      <c r="AT840" s="18">
        <v>0</v>
      </c>
      <c r="AU840" s="18">
        <v>0.11899999999999999</v>
      </c>
      <c r="AV840" s="18">
        <v>0.7</v>
      </c>
      <c r="AW840" s="18">
        <v>84.141000000000005</v>
      </c>
      <c r="AX840" s="18">
        <v>4</v>
      </c>
      <c r="AY840" s="19" t="s">
        <v>24</v>
      </c>
    </row>
    <row r="841" spans="32:51" x14ac:dyDescent="0.35">
      <c r="AF841" s="14" t="s">
        <v>2512</v>
      </c>
      <c r="AG841" s="15" t="s">
        <v>135</v>
      </c>
      <c r="AH841" s="15" t="s">
        <v>450</v>
      </c>
      <c r="AI841" s="15" t="s">
        <v>2065</v>
      </c>
      <c r="AJ841" s="15">
        <v>61</v>
      </c>
      <c r="AK841" s="15">
        <v>214560</v>
      </c>
      <c r="AL841" s="15" t="b">
        <v>0</v>
      </c>
      <c r="AM841" s="15">
        <v>0.501</v>
      </c>
      <c r="AN841" s="15">
        <v>0.68400000000000005</v>
      </c>
      <c r="AO841" s="15">
        <v>2</v>
      </c>
      <c r="AP841" s="15">
        <v>-5.3680000000000003</v>
      </c>
      <c r="AQ841" s="15">
        <v>1</v>
      </c>
      <c r="AR841" s="15">
        <v>3.0200000000000001E-2</v>
      </c>
      <c r="AS841" s="15">
        <v>0.48499999999999999</v>
      </c>
      <c r="AT841" s="15">
        <v>0</v>
      </c>
      <c r="AU841" s="15">
        <v>8.3000000000000004E-2</v>
      </c>
      <c r="AV841" s="15">
        <v>0.36899999999999999</v>
      </c>
      <c r="AW841" s="15">
        <v>80.039000000000001</v>
      </c>
      <c r="AX841" s="15">
        <v>4</v>
      </c>
      <c r="AY841" s="16" t="s">
        <v>24</v>
      </c>
    </row>
    <row r="842" spans="32:51" x14ac:dyDescent="0.35">
      <c r="AF842" s="17" t="s">
        <v>2513</v>
      </c>
      <c r="AG842" s="18" t="s">
        <v>755</v>
      </c>
      <c r="AH842" s="18" t="s">
        <v>2514</v>
      </c>
      <c r="AI842" s="18" t="s">
        <v>2515</v>
      </c>
      <c r="AJ842" s="18">
        <v>27</v>
      </c>
      <c r="AK842" s="18">
        <v>70506</v>
      </c>
      <c r="AL842" s="18" t="b">
        <v>1</v>
      </c>
      <c r="AM842" s="18">
        <v>0.38900000000000001</v>
      </c>
      <c r="AN842" s="18">
        <v>0.49399999999999999</v>
      </c>
      <c r="AO842" s="18">
        <v>9</v>
      </c>
      <c r="AP842" s="18">
        <v>-10.78</v>
      </c>
      <c r="AQ842" s="18">
        <v>1</v>
      </c>
      <c r="AR842" s="18">
        <v>0.13100000000000001</v>
      </c>
      <c r="AS842" s="18">
        <v>0.186</v>
      </c>
      <c r="AT842" s="18">
        <v>1.3799999999999999E-4</v>
      </c>
      <c r="AU842" s="18">
        <v>5.57E-2</v>
      </c>
      <c r="AV842" s="18">
        <v>0.90900000000000003</v>
      </c>
      <c r="AW842" s="18">
        <v>86.872</v>
      </c>
      <c r="AX842" s="18">
        <v>4</v>
      </c>
      <c r="AY842" s="19" t="s">
        <v>24</v>
      </c>
    </row>
    <row r="843" spans="32:51" x14ac:dyDescent="0.35">
      <c r="AF843" s="14" t="s">
        <v>2516</v>
      </c>
      <c r="AG843" s="15" t="s">
        <v>1805</v>
      </c>
      <c r="AH843" s="15" t="s">
        <v>1806</v>
      </c>
      <c r="AI843" s="15" t="s">
        <v>2517</v>
      </c>
      <c r="AJ843" s="15">
        <v>26</v>
      </c>
      <c r="AK843" s="15">
        <v>188040</v>
      </c>
      <c r="AL843" s="15" t="b">
        <v>0</v>
      </c>
      <c r="AM843" s="15">
        <v>0.72099999999999997</v>
      </c>
      <c r="AN843" s="15">
        <v>0.44600000000000001</v>
      </c>
      <c r="AO843" s="15">
        <v>8</v>
      </c>
      <c r="AP843" s="15">
        <v>-10.053000000000001</v>
      </c>
      <c r="AQ843" s="15">
        <v>1</v>
      </c>
      <c r="AR843" s="15">
        <v>3.0499999999999999E-2</v>
      </c>
      <c r="AS843" s="15">
        <v>0.79700000000000004</v>
      </c>
      <c r="AT843" s="31" t="s">
        <v>2518</v>
      </c>
      <c r="AU843" s="15">
        <v>0.13600000000000001</v>
      </c>
      <c r="AV843" s="15">
        <v>0.54200000000000004</v>
      </c>
      <c r="AW843" s="15">
        <v>118.001</v>
      </c>
      <c r="AX843" s="15">
        <v>4</v>
      </c>
      <c r="AY843" s="16" t="s">
        <v>24</v>
      </c>
    </row>
    <row r="844" spans="32:51" x14ac:dyDescent="0.35">
      <c r="AF844" s="17" t="s">
        <v>2519</v>
      </c>
      <c r="AG844" s="18" t="s">
        <v>149</v>
      </c>
      <c r="AH844" s="18" t="s">
        <v>285</v>
      </c>
      <c r="AI844" s="18" t="s">
        <v>2520</v>
      </c>
      <c r="AJ844" s="18">
        <v>50</v>
      </c>
      <c r="AK844" s="18">
        <v>135320</v>
      </c>
      <c r="AL844" s="18" t="b">
        <v>0</v>
      </c>
      <c r="AM844" s="18">
        <v>0.46700000000000003</v>
      </c>
      <c r="AN844" s="18">
        <v>0.85499999999999998</v>
      </c>
      <c r="AO844" s="18">
        <v>4</v>
      </c>
      <c r="AP844" s="18">
        <v>-5.375</v>
      </c>
      <c r="AQ844" s="18">
        <v>1</v>
      </c>
      <c r="AR844" s="18">
        <v>5.1499999999999997E-2</v>
      </c>
      <c r="AS844" s="18">
        <v>0.17399999999999999</v>
      </c>
      <c r="AT844" s="32" t="s">
        <v>2521</v>
      </c>
      <c r="AU844" s="18">
        <v>0.11</v>
      </c>
      <c r="AV844" s="18">
        <v>0.56499999999999995</v>
      </c>
      <c r="AW844" s="18">
        <v>135.81299999999999</v>
      </c>
      <c r="AX844" s="18">
        <v>4</v>
      </c>
      <c r="AY844" s="19" t="s">
        <v>24</v>
      </c>
    </row>
    <row r="845" spans="32:51" x14ac:dyDescent="0.35">
      <c r="AF845" s="14" t="s">
        <v>2522</v>
      </c>
      <c r="AG845" s="15" t="s">
        <v>2523</v>
      </c>
      <c r="AH845" s="15" t="s">
        <v>2524</v>
      </c>
      <c r="AI845" s="15" t="s">
        <v>2525</v>
      </c>
      <c r="AJ845" s="15">
        <v>26</v>
      </c>
      <c r="AK845" s="15">
        <v>111641</v>
      </c>
      <c r="AL845" s="15" t="b">
        <v>1</v>
      </c>
      <c r="AM845" s="15">
        <v>0.37</v>
      </c>
      <c r="AN845" s="15">
        <v>0.70299999999999996</v>
      </c>
      <c r="AO845" s="15">
        <v>7</v>
      </c>
      <c r="AP845" s="15">
        <v>-6.7649999999999997</v>
      </c>
      <c r="AQ845" s="15">
        <v>1</v>
      </c>
      <c r="AR845" s="15">
        <v>7.5499999999999998E-2</v>
      </c>
      <c r="AS845" s="15">
        <v>0.36599999999999999</v>
      </c>
      <c r="AT845" s="15">
        <v>0</v>
      </c>
      <c r="AU845" s="15">
        <v>0.39400000000000002</v>
      </c>
      <c r="AV845" s="15">
        <v>0.48199999999999998</v>
      </c>
      <c r="AW845" s="15">
        <v>143.84800000000001</v>
      </c>
      <c r="AX845" s="15">
        <v>4</v>
      </c>
      <c r="AY845" s="16" t="s">
        <v>24</v>
      </c>
    </row>
    <row r="846" spans="32:51" x14ac:dyDescent="0.35">
      <c r="AF846" s="17" t="s">
        <v>2526</v>
      </c>
      <c r="AG846" s="18" t="s">
        <v>1660</v>
      </c>
      <c r="AH846" s="18" t="s">
        <v>2527</v>
      </c>
      <c r="AI846" s="18" t="s">
        <v>2528</v>
      </c>
      <c r="AJ846" s="18">
        <v>27</v>
      </c>
      <c r="AK846" s="18">
        <v>163385</v>
      </c>
      <c r="AL846" s="18" t="b">
        <v>0</v>
      </c>
      <c r="AM846" s="18">
        <v>0.33600000000000002</v>
      </c>
      <c r="AN846" s="18">
        <v>0.76100000000000001</v>
      </c>
      <c r="AO846" s="18">
        <v>9</v>
      </c>
      <c r="AP846" s="18">
        <v>-6.3120000000000003</v>
      </c>
      <c r="AQ846" s="18">
        <v>1</v>
      </c>
      <c r="AR846" s="18">
        <v>3.9899999999999998E-2</v>
      </c>
      <c r="AS846" s="18">
        <v>5.4600000000000004E-4</v>
      </c>
      <c r="AT846" s="18">
        <v>2.8400000000000001E-3</v>
      </c>
      <c r="AU846" s="18">
        <v>0.113</v>
      </c>
      <c r="AV846" s="18">
        <v>0.501</v>
      </c>
      <c r="AW846" s="18">
        <v>127.065</v>
      </c>
      <c r="AX846" s="18">
        <v>4</v>
      </c>
      <c r="AY846" s="19" t="s">
        <v>24</v>
      </c>
    </row>
    <row r="847" spans="32:51" x14ac:dyDescent="0.35">
      <c r="AF847" s="14" t="s">
        <v>2529</v>
      </c>
      <c r="AG847" s="15" t="s">
        <v>1073</v>
      </c>
      <c r="AH847" s="15" t="s">
        <v>1535</v>
      </c>
      <c r="AI847" s="15" t="s">
        <v>2530</v>
      </c>
      <c r="AJ847" s="15">
        <v>26</v>
      </c>
      <c r="AK847" s="15">
        <v>240866</v>
      </c>
      <c r="AL847" s="15" t="b">
        <v>0</v>
      </c>
      <c r="AM847" s="15">
        <v>0.52400000000000002</v>
      </c>
      <c r="AN847" s="15">
        <v>0.57799999999999996</v>
      </c>
      <c r="AO847" s="15">
        <v>7</v>
      </c>
      <c r="AP847" s="15">
        <v>-5.9740000000000002</v>
      </c>
      <c r="AQ847" s="15">
        <v>1</v>
      </c>
      <c r="AR847" s="15">
        <v>2.6700000000000002E-2</v>
      </c>
      <c r="AS847" s="15">
        <v>9.7099999999999997E-4</v>
      </c>
      <c r="AT847" s="31" t="s">
        <v>2531</v>
      </c>
      <c r="AU847" s="15">
        <v>0.32600000000000001</v>
      </c>
      <c r="AV847" s="15">
        <v>0.28999999999999998</v>
      </c>
      <c r="AW847" s="15">
        <v>75.031999999999996</v>
      </c>
      <c r="AX847" s="15">
        <v>4</v>
      </c>
      <c r="AY847" s="16" t="s">
        <v>24</v>
      </c>
    </row>
    <row r="848" spans="32:51" x14ac:dyDescent="0.35">
      <c r="AF848" s="17" t="s">
        <v>2532</v>
      </c>
      <c r="AG848" s="18" t="s">
        <v>1073</v>
      </c>
      <c r="AH848" s="18" t="s">
        <v>2533</v>
      </c>
      <c r="AI848" s="18" t="s">
        <v>2534</v>
      </c>
      <c r="AJ848" s="18">
        <v>26</v>
      </c>
      <c r="AK848" s="18">
        <v>88626</v>
      </c>
      <c r="AL848" s="18" t="b">
        <v>0</v>
      </c>
      <c r="AM848" s="18">
        <v>0.54800000000000004</v>
      </c>
      <c r="AN848" s="18">
        <v>0.66600000000000004</v>
      </c>
      <c r="AO848" s="18">
        <v>4</v>
      </c>
      <c r="AP848" s="18">
        <v>-2.2770000000000001</v>
      </c>
      <c r="AQ848" s="18">
        <v>1</v>
      </c>
      <c r="AR848" s="18">
        <v>3.5999999999999997E-2</v>
      </c>
      <c r="AS848" s="18">
        <v>0.28100000000000003</v>
      </c>
      <c r="AT848" s="18">
        <v>0</v>
      </c>
      <c r="AU848" s="18">
        <v>0.23100000000000001</v>
      </c>
      <c r="AV848" s="18">
        <v>0.58199999999999996</v>
      </c>
      <c r="AW848" s="18">
        <v>98.805999999999997</v>
      </c>
      <c r="AX848" s="18">
        <v>4</v>
      </c>
      <c r="AY848" s="19" t="s">
        <v>24</v>
      </c>
    </row>
    <row r="849" spans="32:51" x14ac:dyDescent="0.35">
      <c r="AF849" s="14" t="s">
        <v>2535</v>
      </c>
      <c r="AG849" s="15" t="s">
        <v>765</v>
      </c>
      <c r="AH849" s="15" t="s">
        <v>2536</v>
      </c>
      <c r="AI849" s="15" t="s">
        <v>2537</v>
      </c>
      <c r="AJ849" s="15">
        <v>49</v>
      </c>
      <c r="AK849" s="15">
        <v>228960</v>
      </c>
      <c r="AL849" s="15" t="b">
        <v>0</v>
      </c>
      <c r="AM849" s="15">
        <v>0.45900000000000002</v>
      </c>
      <c r="AN849" s="15">
        <v>0.82299999999999995</v>
      </c>
      <c r="AO849" s="15">
        <v>4</v>
      </c>
      <c r="AP849" s="15">
        <v>-6.4809999999999999</v>
      </c>
      <c r="AQ849" s="15">
        <v>1</v>
      </c>
      <c r="AR849" s="15">
        <v>3.6999999999999998E-2</v>
      </c>
      <c r="AS849" s="15">
        <v>3.32E-3</v>
      </c>
      <c r="AT849" s="31" t="s">
        <v>2538</v>
      </c>
      <c r="AU849" s="15">
        <v>0.189</v>
      </c>
      <c r="AV849" s="15">
        <v>0.55000000000000004</v>
      </c>
      <c r="AW849" s="15">
        <v>152.06200000000001</v>
      </c>
      <c r="AX849" s="15">
        <v>4</v>
      </c>
      <c r="AY849" s="16" t="s">
        <v>24</v>
      </c>
    </row>
    <row r="850" spans="32:51" x14ac:dyDescent="0.35">
      <c r="AF850" s="17" t="s">
        <v>2539</v>
      </c>
      <c r="AG850" s="18" t="s">
        <v>755</v>
      </c>
      <c r="AH850" s="18" t="s">
        <v>920</v>
      </c>
      <c r="AI850" s="18" t="s">
        <v>2540</v>
      </c>
      <c r="AJ850" s="18">
        <v>27</v>
      </c>
      <c r="AK850" s="18">
        <v>207151</v>
      </c>
      <c r="AL850" s="18" t="b">
        <v>1</v>
      </c>
      <c r="AM850" s="18">
        <v>0.316</v>
      </c>
      <c r="AN850" s="18">
        <v>0.879</v>
      </c>
      <c r="AO850" s="18">
        <v>7</v>
      </c>
      <c r="AP850" s="18">
        <v>-9.4139999999999997</v>
      </c>
      <c r="AQ850" s="18">
        <v>0</v>
      </c>
      <c r="AR850" s="18">
        <v>0.113</v>
      </c>
      <c r="AS850" s="18">
        <v>0.82699999999999996</v>
      </c>
      <c r="AT850" s="18">
        <v>2.3900000000000002E-3</v>
      </c>
      <c r="AU850" s="18">
        <v>0.27800000000000002</v>
      </c>
      <c r="AV850" s="18">
        <v>0.64700000000000002</v>
      </c>
      <c r="AW850" s="18">
        <v>88.614000000000004</v>
      </c>
      <c r="AX850" s="18">
        <v>4</v>
      </c>
      <c r="AY850" s="19" t="s">
        <v>24</v>
      </c>
    </row>
    <row r="851" spans="32:51" x14ac:dyDescent="0.35">
      <c r="AF851" s="14" t="s">
        <v>2541</v>
      </c>
      <c r="AG851" s="15" t="s">
        <v>1801</v>
      </c>
      <c r="AH851" s="15" t="s">
        <v>2542</v>
      </c>
      <c r="AI851" s="15" t="s">
        <v>2543</v>
      </c>
      <c r="AJ851" s="15">
        <v>27</v>
      </c>
      <c r="AK851" s="15">
        <v>162293</v>
      </c>
      <c r="AL851" s="15" t="b">
        <v>1</v>
      </c>
      <c r="AM851" s="15">
        <v>0.74099999999999999</v>
      </c>
      <c r="AN851" s="15">
        <v>0.66</v>
      </c>
      <c r="AO851" s="15">
        <v>2</v>
      </c>
      <c r="AP851" s="15">
        <v>-5.1159999999999997</v>
      </c>
      <c r="AQ851" s="15">
        <v>1</v>
      </c>
      <c r="AR851" s="15">
        <v>4.0800000000000003E-2</v>
      </c>
      <c r="AS851" s="15">
        <v>0.52100000000000002</v>
      </c>
      <c r="AT851" s="31" t="s">
        <v>2544</v>
      </c>
      <c r="AU851" s="15">
        <v>9.4100000000000003E-2</v>
      </c>
      <c r="AV851" s="15">
        <v>0.85599999999999998</v>
      </c>
      <c r="AW851" s="15">
        <v>81.061000000000007</v>
      </c>
      <c r="AX851" s="15">
        <v>4</v>
      </c>
      <c r="AY851" s="16" t="s">
        <v>24</v>
      </c>
    </row>
    <row r="852" spans="32:51" x14ac:dyDescent="0.35">
      <c r="AF852" s="17" t="s">
        <v>2545</v>
      </c>
      <c r="AG852" s="18" t="s">
        <v>769</v>
      </c>
      <c r="AH852" s="18" t="s">
        <v>2546</v>
      </c>
      <c r="AI852" s="18" t="s">
        <v>2547</v>
      </c>
      <c r="AJ852" s="18">
        <v>26</v>
      </c>
      <c r="AK852" s="18">
        <v>158906</v>
      </c>
      <c r="AL852" s="18" t="b">
        <v>0</v>
      </c>
      <c r="AM852" s="18">
        <v>0.47399999999999998</v>
      </c>
      <c r="AN852" s="18">
        <v>0.84299999999999997</v>
      </c>
      <c r="AO852" s="18">
        <v>5</v>
      </c>
      <c r="AP852" s="18">
        <v>-4.4530000000000003</v>
      </c>
      <c r="AQ852" s="18">
        <v>0</v>
      </c>
      <c r="AR852" s="18">
        <v>0.20899999999999999</v>
      </c>
      <c r="AS852" s="18">
        <v>2.0500000000000001E-2</v>
      </c>
      <c r="AT852" s="32" t="s">
        <v>2548</v>
      </c>
      <c r="AU852" s="18">
        <v>6.3600000000000004E-2</v>
      </c>
      <c r="AV852" s="18">
        <v>0.90100000000000002</v>
      </c>
      <c r="AW852" s="18">
        <v>131.99199999999999</v>
      </c>
      <c r="AX852" s="18">
        <v>4</v>
      </c>
      <c r="AY852" s="19" t="s">
        <v>24</v>
      </c>
    </row>
    <row r="853" spans="32:51" x14ac:dyDescent="0.35">
      <c r="AF853" s="14" t="s">
        <v>2549</v>
      </c>
      <c r="AG853" s="15" t="s">
        <v>21</v>
      </c>
      <c r="AH853" s="15" t="s">
        <v>1262</v>
      </c>
      <c r="AI853" s="15" t="s">
        <v>2550</v>
      </c>
      <c r="AJ853" s="15">
        <v>47</v>
      </c>
      <c r="AK853" s="15">
        <v>182000</v>
      </c>
      <c r="AL853" s="15" t="b">
        <v>0</v>
      </c>
      <c r="AM853" s="15">
        <v>0.629</v>
      </c>
      <c r="AN853" s="15">
        <v>0.441</v>
      </c>
      <c r="AO853" s="15">
        <v>9</v>
      </c>
      <c r="AP853" s="15">
        <v>-4.6139999999999999</v>
      </c>
      <c r="AQ853" s="15">
        <v>1</v>
      </c>
      <c r="AR853" s="15">
        <v>0.126</v>
      </c>
      <c r="AS853" s="15">
        <v>3.39E-2</v>
      </c>
      <c r="AT853" s="15">
        <v>0</v>
      </c>
      <c r="AU853" s="15">
        <v>0.23400000000000001</v>
      </c>
      <c r="AV853" s="15">
        <v>0.78200000000000003</v>
      </c>
      <c r="AW853" s="15">
        <v>78.177000000000007</v>
      </c>
      <c r="AX853" s="15">
        <v>4</v>
      </c>
      <c r="AY853" s="16" t="s">
        <v>24</v>
      </c>
    </row>
    <row r="854" spans="32:51" x14ac:dyDescent="0.35">
      <c r="AF854" s="17" t="s">
        <v>2551</v>
      </c>
      <c r="AG854" s="18" t="s">
        <v>2552</v>
      </c>
      <c r="AH854" s="18" t="s">
        <v>2553</v>
      </c>
      <c r="AI854" s="18" t="s">
        <v>2554</v>
      </c>
      <c r="AJ854" s="18">
        <v>33</v>
      </c>
      <c r="AK854" s="18">
        <v>578064</v>
      </c>
      <c r="AL854" s="18" t="b">
        <v>0</v>
      </c>
      <c r="AM854" s="18">
        <v>0.68500000000000005</v>
      </c>
      <c r="AN854" s="18">
        <v>0.48299999999999998</v>
      </c>
      <c r="AO854" s="18">
        <v>7</v>
      </c>
      <c r="AP854" s="18">
        <v>-9.0820000000000007</v>
      </c>
      <c r="AQ854" s="18">
        <v>1</v>
      </c>
      <c r="AR854" s="18">
        <v>2.53E-2</v>
      </c>
      <c r="AS854" s="18">
        <v>7.7200000000000005E-2</v>
      </c>
      <c r="AT854" s="32" t="s">
        <v>2555</v>
      </c>
      <c r="AU854" s="18">
        <v>0.113</v>
      </c>
      <c r="AV854" s="18">
        <v>0.33100000000000002</v>
      </c>
      <c r="AW854" s="18">
        <v>93.031999999999996</v>
      </c>
      <c r="AX854" s="18">
        <v>4</v>
      </c>
      <c r="AY854" s="19" t="s">
        <v>24</v>
      </c>
    </row>
    <row r="855" spans="32:51" x14ac:dyDescent="0.35">
      <c r="AF855" s="14" t="s">
        <v>2556</v>
      </c>
      <c r="AG855" s="15" t="s">
        <v>2557</v>
      </c>
      <c r="AH855" s="15" t="s">
        <v>2558</v>
      </c>
      <c r="AI855" s="15" t="s">
        <v>2558</v>
      </c>
      <c r="AJ855" s="15">
        <v>57</v>
      </c>
      <c r="AK855" s="15">
        <v>247683</v>
      </c>
      <c r="AL855" s="15" t="b">
        <v>0</v>
      </c>
      <c r="AM855" s="15">
        <v>0.627</v>
      </c>
      <c r="AN855" s="15">
        <v>0.246</v>
      </c>
      <c r="AO855" s="15">
        <v>1</v>
      </c>
      <c r="AP855" s="15">
        <v>-11.41</v>
      </c>
      <c r="AQ855" s="15">
        <v>1</v>
      </c>
      <c r="AR855" s="15">
        <v>3.4200000000000001E-2</v>
      </c>
      <c r="AS855" s="15">
        <v>0.78800000000000003</v>
      </c>
      <c r="AT855" s="15">
        <v>0</v>
      </c>
      <c r="AU855" s="15">
        <v>0.11799999999999999</v>
      </c>
      <c r="AV855" s="15">
        <v>0.52</v>
      </c>
      <c r="AW855" s="15">
        <v>141.303</v>
      </c>
      <c r="AX855" s="15">
        <v>4</v>
      </c>
      <c r="AY855" s="16" t="s">
        <v>24</v>
      </c>
    </row>
    <row r="856" spans="32:51" x14ac:dyDescent="0.35">
      <c r="AF856" s="17" t="s">
        <v>2559</v>
      </c>
      <c r="AG856" s="18" t="s">
        <v>278</v>
      </c>
      <c r="AH856" s="18" t="s">
        <v>344</v>
      </c>
      <c r="AI856" s="18" t="s">
        <v>2262</v>
      </c>
      <c r="AJ856" s="18">
        <v>44</v>
      </c>
      <c r="AK856" s="18">
        <v>197546</v>
      </c>
      <c r="AL856" s="18" t="b">
        <v>0</v>
      </c>
      <c r="AM856" s="18">
        <v>0.59199999999999997</v>
      </c>
      <c r="AN856" s="18">
        <v>0.68600000000000005</v>
      </c>
      <c r="AO856" s="18">
        <v>9</v>
      </c>
      <c r="AP856" s="18">
        <v>-6.9039999999999999</v>
      </c>
      <c r="AQ856" s="18">
        <v>1</v>
      </c>
      <c r="AR856" s="18">
        <v>3.8899999999999997E-2</v>
      </c>
      <c r="AS856" s="18">
        <v>0.17799999999999999</v>
      </c>
      <c r="AT856" s="18">
        <v>0</v>
      </c>
      <c r="AU856" s="18">
        <v>0.111</v>
      </c>
      <c r="AV856" s="18">
        <v>0.39700000000000002</v>
      </c>
      <c r="AW856" s="18">
        <v>101.015</v>
      </c>
      <c r="AX856" s="18">
        <v>4</v>
      </c>
      <c r="AY856" s="19" t="s">
        <v>24</v>
      </c>
    </row>
    <row r="857" spans="32:51" x14ac:dyDescent="0.35">
      <c r="AF857" s="14" t="s">
        <v>2560</v>
      </c>
      <c r="AG857" s="15" t="s">
        <v>2561</v>
      </c>
      <c r="AH857" s="15" t="s">
        <v>2562</v>
      </c>
      <c r="AI857" s="15" t="s">
        <v>2562</v>
      </c>
      <c r="AJ857" s="15">
        <v>58</v>
      </c>
      <c r="AK857" s="15">
        <v>163913</v>
      </c>
      <c r="AL857" s="15" t="b">
        <v>0</v>
      </c>
      <c r="AM857" s="15">
        <v>0.66300000000000003</v>
      </c>
      <c r="AN857" s="15">
        <v>0.17799999999999999</v>
      </c>
      <c r="AO857" s="15">
        <v>9</v>
      </c>
      <c r="AP857" s="15">
        <v>-12.252000000000001</v>
      </c>
      <c r="AQ857" s="15">
        <v>1</v>
      </c>
      <c r="AR857" s="15">
        <v>5.3199999999999997E-2</v>
      </c>
      <c r="AS857" s="15">
        <v>0.67600000000000005</v>
      </c>
      <c r="AT857" s="15">
        <v>0</v>
      </c>
      <c r="AU857" s="15">
        <v>0.27900000000000003</v>
      </c>
      <c r="AV857" s="15">
        <v>0.54100000000000004</v>
      </c>
      <c r="AW857" s="15">
        <v>82.372</v>
      </c>
      <c r="AX857" s="15">
        <v>4</v>
      </c>
      <c r="AY857" s="16" t="s">
        <v>24</v>
      </c>
    </row>
    <row r="858" spans="32:51" x14ac:dyDescent="0.35">
      <c r="AF858" s="17" t="s">
        <v>2563</v>
      </c>
      <c r="AG858" s="18" t="s">
        <v>1019</v>
      </c>
      <c r="AH858" s="18" t="s">
        <v>855</v>
      </c>
      <c r="AI858" s="18" t="s">
        <v>855</v>
      </c>
      <c r="AJ858" s="18">
        <v>48</v>
      </c>
      <c r="AK858" s="18">
        <v>197195</v>
      </c>
      <c r="AL858" s="18" t="b">
        <v>0</v>
      </c>
      <c r="AM858" s="18">
        <v>0.53</v>
      </c>
      <c r="AN858" s="18">
        <v>7.7600000000000002E-2</v>
      </c>
      <c r="AO858" s="18">
        <v>6</v>
      </c>
      <c r="AP858" s="18">
        <v>-15.478</v>
      </c>
      <c r="AQ858" s="18">
        <v>1</v>
      </c>
      <c r="AR858" s="18">
        <v>4.6199999999999998E-2</v>
      </c>
      <c r="AS858" s="18">
        <v>0.93700000000000006</v>
      </c>
      <c r="AT858" s="18">
        <v>0</v>
      </c>
      <c r="AU858" s="18">
        <v>0.122</v>
      </c>
      <c r="AV858" s="18">
        <v>0.28199999999999997</v>
      </c>
      <c r="AW858" s="18">
        <v>179.911</v>
      </c>
      <c r="AX858" s="18">
        <v>1</v>
      </c>
      <c r="AY858" s="19" t="s">
        <v>24</v>
      </c>
    </row>
    <row r="859" spans="32:51" x14ac:dyDescent="0.35">
      <c r="AF859" s="14" t="s">
        <v>2564</v>
      </c>
      <c r="AG859" s="15" t="s">
        <v>221</v>
      </c>
      <c r="AH859" s="15" t="s">
        <v>2565</v>
      </c>
      <c r="AI859" s="15" t="s">
        <v>2566</v>
      </c>
      <c r="AJ859" s="15">
        <v>39</v>
      </c>
      <c r="AK859" s="15">
        <v>210226</v>
      </c>
      <c r="AL859" s="15" t="b">
        <v>0</v>
      </c>
      <c r="AM859" s="15">
        <v>0.53700000000000003</v>
      </c>
      <c r="AN859" s="15">
        <v>0.67400000000000004</v>
      </c>
      <c r="AO859" s="15">
        <v>11</v>
      </c>
      <c r="AP859" s="15">
        <v>-5.32</v>
      </c>
      <c r="AQ859" s="15">
        <v>1</v>
      </c>
      <c r="AR859" s="15">
        <v>2.8400000000000002E-2</v>
      </c>
      <c r="AS859" s="15">
        <v>0.42599999999999999</v>
      </c>
      <c r="AT859" s="15">
        <v>0</v>
      </c>
      <c r="AU859" s="15">
        <v>0.128</v>
      </c>
      <c r="AV859" s="15">
        <v>0.32900000000000001</v>
      </c>
      <c r="AW859" s="15">
        <v>92.049000000000007</v>
      </c>
      <c r="AX859" s="15">
        <v>4</v>
      </c>
      <c r="AY859" s="16" t="s">
        <v>24</v>
      </c>
    </row>
    <row r="860" spans="32:51" x14ac:dyDescent="0.35">
      <c r="AF860" s="17" t="s">
        <v>2567</v>
      </c>
      <c r="AG860" s="18" t="s">
        <v>2568</v>
      </c>
      <c r="AH860" s="18" t="s">
        <v>2569</v>
      </c>
      <c r="AI860" s="18" t="s">
        <v>2569</v>
      </c>
      <c r="AJ860" s="18">
        <v>45</v>
      </c>
      <c r="AK860" s="18">
        <v>209669</v>
      </c>
      <c r="AL860" s="18" t="b">
        <v>0</v>
      </c>
      <c r="AM860" s="18">
        <v>0.69899999999999995</v>
      </c>
      <c r="AN860" s="18">
        <v>0.189</v>
      </c>
      <c r="AO860" s="18">
        <v>1</v>
      </c>
      <c r="AP860" s="18">
        <v>-11.420999999999999</v>
      </c>
      <c r="AQ860" s="18">
        <v>1</v>
      </c>
      <c r="AR860" s="18">
        <v>4.6899999999999997E-2</v>
      </c>
      <c r="AS860" s="18">
        <v>0.94399999999999995</v>
      </c>
      <c r="AT860" s="18">
        <v>0</v>
      </c>
      <c r="AU860" s="18">
        <v>0.10299999999999999</v>
      </c>
      <c r="AV860" s="18">
        <v>0.32800000000000001</v>
      </c>
      <c r="AW860" s="18">
        <v>129.79400000000001</v>
      </c>
      <c r="AX860" s="18">
        <v>4</v>
      </c>
      <c r="AY860" s="19" t="s">
        <v>24</v>
      </c>
    </row>
    <row r="861" spans="32:51" x14ac:dyDescent="0.35">
      <c r="AF861" s="14" t="s">
        <v>2570</v>
      </c>
      <c r="AG861" s="15" t="s">
        <v>60</v>
      </c>
      <c r="AH861" s="15" t="s">
        <v>2571</v>
      </c>
      <c r="AI861" s="15" t="s">
        <v>2571</v>
      </c>
      <c r="AJ861" s="15">
        <v>49</v>
      </c>
      <c r="AK861" s="15">
        <v>206451</v>
      </c>
      <c r="AL861" s="15" t="b">
        <v>0</v>
      </c>
      <c r="AM861" s="15">
        <v>0.68300000000000005</v>
      </c>
      <c r="AN861" s="15">
        <v>0.45900000000000002</v>
      </c>
      <c r="AO861" s="15">
        <v>11</v>
      </c>
      <c r="AP861" s="15">
        <v>-8.8480000000000008</v>
      </c>
      <c r="AQ861" s="15">
        <v>1</v>
      </c>
      <c r="AR861" s="15">
        <v>0.11899999999999999</v>
      </c>
      <c r="AS861" s="15">
        <v>0.25700000000000001</v>
      </c>
      <c r="AT861" s="15">
        <v>1.02E-4</v>
      </c>
      <c r="AU861" s="15">
        <v>7.5899999999999995E-2</v>
      </c>
      <c r="AV861" s="15">
        <v>0.28699999999999998</v>
      </c>
      <c r="AW861" s="15">
        <v>93.082999999999998</v>
      </c>
      <c r="AX861" s="15">
        <v>4</v>
      </c>
      <c r="AY861" s="16" t="s">
        <v>24</v>
      </c>
    </row>
    <row r="862" spans="32:51" x14ac:dyDescent="0.35">
      <c r="AF862" s="17" t="s">
        <v>2572</v>
      </c>
      <c r="AG862" s="18" t="s">
        <v>1723</v>
      </c>
      <c r="AH862" s="18" t="s">
        <v>1020</v>
      </c>
      <c r="AI862" s="18" t="s">
        <v>2573</v>
      </c>
      <c r="AJ862" s="18">
        <v>44</v>
      </c>
      <c r="AK862" s="18">
        <v>252567</v>
      </c>
      <c r="AL862" s="18" t="b">
        <v>0</v>
      </c>
      <c r="AM862" s="18">
        <v>0.375</v>
      </c>
      <c r="AN862" s="18">
        <v>0.29799999999999999</v>
      </c>
      <c r="AO862" s="18">
        <v>1</v>
      </c>
      <c r="AP862" s="18">
        <v>-11.928000000000001</v>
      </c>
      <c r="AQ862" s="18">
        <v>1</v>
      </c>
      <c r="AR862" s="18">
        <v>3.95E-2</v>
      </c>
      <c r="AS862" s="18">
        <v>0.82199999999999995</v>
      </c>
      <c r="AT862" s="18">
        <v>0</v>
      </c>
      <c r="AU862" s="18">
        <v>0.13700000000000001</v>
      </c>
      <c r="AV862" s="18">
        <v>0.42499999999999999</v>
      </c>
      <c r="AW862" s="18">
        <v>174.03</v>
      </c>
      <c r="AX862" s="18">
        <v>4</v>
      </c>
      <c r="AY862" s="19" t="s">
        <v>24</v>
      </c>
    </row>
    <row r="863" spans="32:51" x14ac:dyDescent="0.35">
      <c r="AF863" s="14" t="s">
        <v>2574</v>
      </c>
      <c r="AG863" s="15" t="s">
        <v>517</v>
      </c>
      <c r="AH863" s="15" t="s">
        <v>2575</v>
      </c>
      <c r="AI863" s="15" t="s">
        <v>2575</v>
      </c>
      <c r="AJ863" s="15">
        <v>44</v>
      </c>
      <c r="AK863" s="15">
        <v>216841</v>
      </c>
      <c r="AL863" s="15" t="b">
        <v>0</v>
      </c>
      <c r="AM863" s="15">
        <v>0.42099999999999999</v>
      </c>
      <c r="AN863" s="15">
        <v>0.107</v>
      </c>
      <c r="AO863" s="15">
        <v>6</v>
      </c>
      <c r="AP863" s="15">
        <v>-15.191000000000001</v>
      </c>
      <c r="AQ863" s="15">
        <v>1</v>
      </c>
      <c r="AR863" s="15">
        <v>3.3500000000000002E-2</v>
      </c>
      <c r="AS863" s="15">
        <v>0.94799999999999995</v>
      </c>
      <c r="AT863" s="15">
        <v>0</v>
      </c>
      <c r="AU863" s="15">
        <v>8.8099999999999998E-2</v>
      </c>
      <c r="AV863" s="15">
        <v>0.11799999999999999</v>
      </c>
      <c r="AW863" s="15">
        <v>104.218</v>
      </c>
      <c r="AX863" s="15">
        <v>4</v>
      </c>
      <c r="AY863" s="16" t="s">
        <v>24</v>
      </c>
    </row>
    <row r="864" spans="32:51" x14ac:dyDescent="0.35">
      <c r="AF864" s="17" t="s">
        <v>2576</v>
      </c>
      <c r="AG864" s="18" t="s">
        <v>2577</v>
      </c>
      <c r="AH864" s="18" t="s">
        <v>223</v>
      </c>
      <c r="AI864" s="18" t="s">
        <v>223</v>
      </c>
      <c r="AJ864" s="18">
        <v>51</v>
      </c>
      <c r="AK864" s="18">
        <v>254306</v>
      </c>
      <c r="AL864" s="18" t="b">
        <v>0</v>
      </c>
      <c r="AM864" s="18">
        <v>0.51600000000000001</v>
      </c>
      <c r="AN864" s="18">
        <v>0.311</v>
      </c>
      <c r="AO864" s="18">
        <v>1</v>
      </c>
      <c r="AP864" s="18">
        <v>-13.521000000000001</v>
      </c>
      <c r="AQ864" s="18">
        <v>1</v>
      </c>
      <c r="AR864" s="18">
        <v>3.0599999999999999E-2</v>
      </c>
      <c r="AS864" s="18">
        <v>0.93600000000000005</v>
      </c>
      <c r="AT864" s="18">
        <v>2.81E-4</v>
      </c>
      <c r="AU864" s="18">
        <v>0.107</v>
      </c>
      <c r="AV864" s="18">
        <v>0.55800000000000005</v>
      </c>
      <c r="AW864" s="18">
        <v>129.958</v>
      </c>
      <c r="AX864" s="18">
        <v>4</v>
      </c>
      <c r="AY864" s="19" t="s">
        <v>24</v>
      </c>
    </row>
    <row r="865" spans="32:51" x14ac:dyDescent="0.35">
      <c r="AF865" s="14" t="s">
        <v>2578</v>
      </c>
      <c r="AG865" s="15" t="s">
        <v>2579</v>
      </c>
      <c r="AH865" s="15" t="s">
        <v>2580</v>
      </c>
      <c r="AI865" s="15" t="s">
        <v>2581</v>
      </c>
      <c r="AJ865" s="15">
        <v>41</v>
      </c>
      <c r="AK865" s="15">
        <v>59823</v>
      </c>
      <c r="AL865" s="15" t="b">
        <v>0</v>
      </c>
      <c r="AM865" s="15">
        <v>0.70899999999999996</v>
      </c>
      <c r="AN865" s="15">
        <v>0.11899999999999999</v>
      </c>
      <c r="AO865" s="15">
        <v>11</v>
      </c>
      <c r="AP865" s="15">
        <v>-20.329999999999998</v>
      </c>
      <c r="AQ865" s="15">
        <v>0</v>
      </c>
      <c r="AR865" s="15">
        <v>4.5900000000000003E-2</v>
      </c>
      <c r="AS865" s="15">
        <v>0.90200000000000002</v>
      </c>
      <c r="AT865" s="15">
        <v>0.436</v>
      </c>
      <c r="AU865" s="15">
        <v>0.109</v>
      </c>
      <c r="AV865" s="15">
        <v>0.33600000000000002</v>
      </c>
      <c r="AW865" s="15">
        <v>135.22300000000001</v>
      </c>
      <c r="AX865" s="15">
        <v>4</v>
      </c>
      <c r="AY865" s="16" t="s">
        <v>24</v>
      </c>
    </row>
    <row r="866" spans="32:51" x14ac:dyDescent="0.35">
      <c r="AF866" s="17" t="s">
        <v>2582</v>
      </c>
      <c r="AG866" s="18" t="s">
        <v>1110</v>
      </c>
      <c r="AH866" s="18" t="s">
        <v>2583</v>
      </c>
      <c r="AI866" s="18" t="s">
        <v>2584</v>
      </c>
      <c r="AJ866" s="18">
        <v>58</v>
      </c>
      <c r="AK866" s="18">
        <v>186660</v>
      </c>
      <c r="AL866" s="18" t="b">
        <v>0</v>
      </c>
      <c r="AM866" s="18">
        <v>0.56999999999999995</v>
      </c>
      <c r="AN866" s="18">
        <v>0.27100000000000002</v>
      </c>
      <c r="AO866" s="18">
        <v>0</v>
      </c>
      <c r="AP866" s="18">
        <v>-11.334</v>
      </c>
      <c r="AQ866" s="18">
        <v>1</v>
      </c>
      <c r="AR866" s="18">
        <v>3.04E-2</v>
      </c>
      <c r="AS866" s="18">
        <v>0.82</v>
      </c>
      <c r="AT866" s="32" t="s">
        <v>1312</v>
      </c>
      <c r="AU866" s="18">
        <v>0.108</v>
      </c>
      <c r="AV866" s="18">
        <v>0.27300000000000002</v>
      </c>
      <c r="AW866" s="18">
        <v>125.86199999999999</v>
      </c>
      <c r="AX866" s="18">
        <v>4</v>
      </c>
      <c r="AY866" s="19" t="s">
        <v>24</v>
      </c>
    </row>
    <row r="867" spans="32:51" x14ac:dyDescent="0.35">
      <c r="AF867" s="14" t="s">
        <v>2585</v>
      </c>
      <c r="AG867" s="15" t="s">
        <v>2586</v>
      </c>
      <c r="AH867" s="15" t="s">
        <v>2587</v>
      </c>
      <c r="AI867" s="15" t="s">
        <v>2587</v>
      </c>
      <c r="AJ867" s="15">
        <v>54</v>
      </c>
      <c r="AK867" s="15">
        <v>151618</v>
      </c>
      <c r="AL867" s="15" t="b">
        <v>0</v>
      </c>
      <c r="AM867" s="15">
        <v>0.40400000000000003</v>
      </c>
      <c r="AN867" s="15">
        <v>0.16700000000000001</v>
      </c>
      <c r="AO867" s="15">
        <v>9</v>
      </c>
      <c r="AP867" s="15">
        <v>-12.462999999999999</v>
      </c>
      <c r="AQ867" s="15">
        <v>0</v>
      </c>
      <c r="AR867" s="15">
        <v>6.0400000000000002E-2</v>
      </c>
      <c r="AS867" s="15">
        <v>0.89100000000000001</v>
      </c>
      <c r="AT867" s="15">
        <v>0</v>
      </c>
      <c r="AU867" s="15">
        <v>0.10299999999999999</v>
      </c>
      <c r="AV867" s="15">
        <v>0.29799999999999999</v>
      </c>
      <c r="AW867" s="15">
        <v>202.99600000000001</v>
      </c>
      <c r="AX867" s="15">
        <v>4</v>
      </c>
      <c r="AY867" s="16" t="s">
        <v>24</v>
      </c>
    </row>
    <row r="868" spans="32:51" x14ac:dyDescent="0.35">
      <c r="AF868" s="17" t="s">
        <v>2588</v>
      </c>
      <c r="AG868" s="18" t="s">
        <v>1987</v>
      </c>
      <c r="AH868" s="18" t="s">
        <v>2589</v>
      </c>
      <c r="AI868" s="18" t="s">
        <v>2590</v>
      </c>
      <c r="AJ868" s="18">
        <v>41</v>
      </c>
      <c r="AK868" s="18">
        <v>227413</v>
      </c>
      <c r="AL868" s="18" t="b">
        <v>0</v>
      </c>
      <c r="AM868" s="18">
        <v>0.55900000000000005</v>
      </c>
      <c r="AN868" s="18">
        <v>0.24099999999999999</v>
      </c>
      <c r="AO868" s="18">
        <v>3</v>
      </c>
      <c r="AP868" s="18">
        <v>-10.688000000000001</v>
      </c>
      <c r="AQ868" s="18">
        <v>1</v>
      </c>
      <c r="AR868" s="18">
        <v>2.8899999999999999E-2</v>
      </c>
      <c r="AS868" s="18">
        <v>0.96299999999999997</v>
      </c>
      <c r="AT868" s="32" t="s">
        <v>2591</v>
      </c>
      <c r="AU868" s="18">
        <v>0.187</v>
      </c>
      <c r="AV868" s="18">
        <v>0.14199999999999999</v>
      </c>
      <c r="AW868" s="18">
        <v>118.916</v>
      </c>
      <c r="AX868" s="18">
        <v>4</v>
      </c>
      <c r="AY868" s="19" t="s">
        <v>24</v>
      </c>
    </row>
    <row r="869" spans="32:51" x14ac:dyDescent="0.35">
      <c r="AF869" s="14" t="s">
        <v>2592</v>
      </c>
      <c r="AG869" s="15" t="s">
        <v>2593</v>
      </c>
      <c r="AH869" s="15" t="s">
        <v>2155</v>
      </c>
      <c r="AI869" s="15" t="s">
        <v>2594</v>
      </c>
      <c r="AJ869" s="15">
        <v>46</v>
      </c>
      <c r="AK869" s="15">
        <v>118878</v>
      </c>
      <c r="AL869" s="15" t="b">
        <v>0</v>
      </c>
      <c r="AM869" s="15">
        <v>0.76800000000000002</v>
      </c>
      <c r="AN869" s="15">
        <v>0.33100000000000002</v>
      </c>
      <c r="AO869" s="15">
        <v>6</v>
      </c>
      <c r="AP869" s="15">
        <v>-6.6870000000000003</v>
      </c>
      <c r="AQ869" s="15">
        <v>1</v>
      </c>
      <c r="AR869" s="15">
        <v>2.92E-2</v>
      </c>
      <c r="AS869" s="15">
        <v>0.57599999999999996</v>
      </c>
      <c r="AT869" s="15">
        <v>0</v>
      </c>
      <c r="AU869" s="15">
        <v>0.216</v>
      </c>
      <c r="AV869" s="15">
        <v>0.66300000000000003</v>
      </c>
      <c r="AW869" s="15">
        <v>107.044</v>
      </c>
      <c r="AX869" s="15">
        <v>4</v>
      </c>
      <c r="AY869" s="16" t="s">
        <v>24</v>
      </c>
    </row>
    <row r="870" spans="32:51" x14ac:dyDescent="0.35">
      <c r="AF870" s="17" t="s">
        <v>2595</v>
      </c>
      <c r="AG870" s="18" t="s">
        <v>1133</v>
      </c>
      <c r="AH870" s="18" t="s">
        <v>1134</v>
      </c>
      <c r="AI870" s="18" t="s">
        <v>2596</v>
      </c>
      <c r="AJ870" s="18">
        <v>26</v>
      </c>
      <c r="AK870" s="18">
        <v>253600</v>
      </c>
      <c r="AL870" s="18" t="b">
        <v>0</v>
      </c>
      <c r="AM870" s="18">
        <v>0.59199999999999997</v>
      </c>
      <c r="AN870" s="18">
        <v>0.77300000000000002</v>
      </c>
      <c r="AO870" s="18">
        <v>7</v>
      </c>
      <c r="AP870" s="18">
        <v>-7.093</v>
      </c>
      <c r="AQ870" s="18">
        <v>1</v>
      </c>
      <c r="AR870" s="18">
        <v>2.81E-2</v>
      </c>
      <c r="AS870" s="18">
        <v>0.223</v>
      </c>
      <c r="AT870" s="18">
        <v>5.6999999999999998E-4</v>
      </c>
      <c r="AU870" s="18">
        <v>0.11600000000000001</v>
      </c>
      <c r="AV870" s="18">
        <v>0.72899999999999998</v>
      </c>
      <c r="AW870" s="18">
        <v>121.09699999999999</v>
      </c>
      <c r="AX870" s="18">
        <v>4</v>
      </c>
      <c r="AY870" s="19" t="s">
        <v>24</v>
      </c>
    </row>
    <row r="871" spans="32:51" x14ac:dyDescent="0.35">
      <c r="AF871" s="14" t="s">
        <v>2597</v>
      </c>
      <c r="AG871" s="15" t="s">
        <v>129</v>
      </c>
      <c r="AH871" s="15" t="s">
        <v>2598</v>
      </c>
      <c r="AI871" s="15" t="s">
        <v>2598</v>
      </c>
      <c r="AJ871" s="15">
        <v>56</v>
      </c>
      <c r="AK871" s="15">
        <v>259558</v>
      </c>
      <c r="AL871" s="15" t="b">
        <v>0</v>
      </c>
      <c r="AM871" s="15">
        <v>0.35399999999999998</v>
      </c>
      <c r="AN871" s="15">
        <v>0.20599999999999999</v>
      </c>
      <c r="AO871" s="15">
        <v>0</v>
      </c>
      <c r="AP871" s="15">
        <v>-11.798999999999999</v>
      </c>
      <c r="AQ871" s="15">
        <v>1</v>
      </c>
      <c r="AR871" s="15">
        <v>3.6499999999999998E-2</v>
      </c>
      <c r="AS871" s="15">
        <v>0.77900000000000003</v>
      </c>
      <c r="AT871" s="15">
        <v>2.1000000000000001E-4</v>
      </c>
      <c r="AU871" s="15">
        <v>9.5899999999999999E-2</v>
      </c>
      <c r="AV871" s="15">
        <v>0.20200000000000001</v>
      </c>
      <c r="AW871" s="15">
        <v>139.05600000000001</v>
      </c>
      <c r="AX871" s="15">
        <v>4</v>
      </c>
      <c r="AY871" s="16" t="s">
        <v>24</v>
      </c>
    </row>
    <row r="872" spans="32:51" x14ac:dyDescent="0.35">
      <c r="AF872" s="17" t="s">
        <v>2599</v>
      </c>
      <c r="AG872" s="18" t="s">
        <v>991</v>
      </c>
      <c r="AH872" s="18" t="s">
        <v>2600</v>
      </c>
      <c r="AI872" s="18" t="s">
        <v>2601</v>
      </c>
      <c r="AJ872" s="18">
        <v>27</v>
      </c>
      <c r="AK872" s="18">
        <v>278613</v>
      </c>
      <c r="AL872" s="18" t="b">
        <v>0</v>
      </c>
      <c r="AM872" s="18">
        <v>0.495</v>
      </c>
      <c r="AN872" s="18">
        <v>0.86499999999999999</v>
      </c>
      <c r="AO872" s="18">
        <v>7</v>
      </c>
      <c r="AP872" s="18">
        <v>-3.21</v>
      </c>
      <c r="AQ872" s="18">
        <v>1</v>
      </c>
      <c r="AR872" s="18">
        <v>4.1399999999999999E-2</v>
      </c>
      <c r="AS872" s="18">
        <v>7.9100000000000004E-4</v>
      </c>
      <c r="AT872" s="32" t="s">
        <v>2602</v>
      </c>
      <c r="AU872" s="18">
        <v>0.247</v>
      </c>
      <c r="AV872" s="18">
        <v>0.88100000000000001</v>
      </c>
      <c r="AW872" s="18">
        <v>156.92400000000001</v>
      </c>
      <c r="AX872" s="18">
        <v>4</v>
      </c>
      <c r="AY872" s="19" t="s">
        <v>24</v>
      </c>
    </row>
    <row r="873" spans="32:51" x14ac:dyDescent="0.35">
      <c r="AF873" s="14" t="s">
        <v>2603</v>
      </c>
      <c r="AG873" s="15" t="s">
        <v>696</v>
      </c>
      <c r="AH873" s="15" t="s">
        <v>1466</v>
      </c>
      <c r="AI873" s="15" t="s">
        <v>2604</v>
      </c>
      <c r="AJ873" s="15">
        <v>46</v>
      </c>
      <c r="AK873" s="15">
        <v>257706</v>
      </c>
      <c r="AL873" s="15" t="b">
        <v>0</v>
      </c>
      <c r="AM873" s="15">
        <v>0.35599999999999998</v>
      </c>
      <c r="AN873" s="15">
        <v>0.193</v>
      </c>
      <c r="AO873" s="15">
        <v>11</v>
      </c>
      <c r="AP873" s="15">
        <v>-10.476000000000001</v>
      </c>
      <c r="AQ873" s="15">
        <v>1</v>
      </c>
      <c r="AR873" s="15">
        <v>3.1099999999999999E-2</v>
      </c>
      <c r="AS873" s="15">
        <v>0.14000000000000001</v>
      </c>
      <c r="AT873" s="31" t="s">
        <v>2605</v>
      </c>
      <c r="AU873" s="15">
        <v>0.11600000000000001</v>
      </c>
      <c r="AV873" s="15">
        <v>0.14000000000000001</v>
      </c>
      <c r="AW873" s="15">
        <v>145.428</v>
      </c>
      <c r="AX873" s="15">
        <v>4</v>
      </c>
      <c r="AY873" s="16" t="s">
        <v>24</v>
      </c>
    </row>
    <row r="874" spans="32:51" x14ac:dyDescent="0.35">
      <c r="AF874" s="17" t="s">
        <v>2606</v>
      </c>
      <c r="AG874" s="18" t="s">
        <v>894</v>
      </c>
      <c r="AH874" s="18" t="s">
        <v>1912</v>
      </c>
      <c r="AI874" s="18" t="s">
        <v>2607</v>
      </c>
      <c r="AJ874" s="18">
        <v>26</v>
      </c>
      <c r="AK874" s="18">
        <v>177613</v>
      </c>
      <c r="AL874" s="18" t="b">
        <v>0</v>
      </c>
      <c r="AM874" s="18">
        <v>0.41699999999999998</v>
      </c>
      <c r="AN874" s="18">
        <v>0.26400000000000001</v>
      </c>
      <c r="AO874" s="18">
        <v>7</v>
      </c>
      <c r="AP874" s="18">
        <v>-10.353</v>
      </c>
      <c r="AQ874" s="18">
        <v>1</v>
      </c>
      <c r="AR874" s="18">
        <v>3.2800000000000003E-2</v>
      </c>
      <c r="AS874" s="18">
        <v>0.27900000000000003</v>
      </c>
      <c r="AT874" s="18">
        <v>0</v>
      </c>
      <c r="AU874" s="18">
        <v>9.6600000000000005E-2</v>
      </c>
      <c r="AV874" s="18">
        <v>0.501</v>
      </c>
      <c r="AW874" s="18">
        <v>86.328000000000003</v>
      </c>
      <c r="AX874" s="18">
        <v>4</v>
      </c>
      <c r="AY874" s="19" t="s">
        <v>24</v>
      </c>
    </row>
    <row r="875" spans="32:51" x14ac:dyDescent="0.35">
      <c r="AF875" s="14" t="s">
        <v>2608</v>
      </c>
      <c r="AG875" s="15" t="s">
        <v>2609</v>
      </c>
      <c r="AH875" s="15" t="s">
        <v>2610</v>
      </c>
      <c r="AI875" s="15" t="s">
        <v>2610</v>
      </c>
      <c r="AJ875" s="15">
        <v>27</v>
      </c>
      <c r="AK875" s="15">
        <v>177666</v>
      </c>
      <c r="AL875" s="15" t="b">
        <v>0</v>
      </c>
      <c r="AM875" s="15">
        <v>0.73099999999999998</v>
      </c>
      <c r="AN875" s="15">
        <v>0.86799999999999999</v>
      </c>
      <c r="AO875" s="15">
        <v>9</v>
      </c>
      <c r="AP875" s="15">
        <v>-6.2169999999999996</v>
      </c>
      <c r="AQ875" s="15">
        <v>1</v>
      </c>
      <c r="AR875" s="15">
        <v>2.7099999999999999E-2</v>
      </c>
      <c r="AS875" s="15">
        <v>0.111</v>
      </c>
      <c r="AT875" s="15">
        <v>0</v>
      </c>
      <c r="AU875" s="15">
        <v>0.25800000000000001</v>
      </c>
      <c r="AV875" s="15">
        <v>0.97499999999999998</v>
      </c>
      <c r="AW875" s="15">
        <v>111.154</v>
      </c>
      <c r="AX875" s="15">
        <v>4</v>
      </c>
      <c r="AY875" s="16" t="s">
        <v>24</v>
      </c>
    </row>
    <row r="876" spans="32:51" x14ac:dyDescent="0.35">
      <c r="AF876" s="17" t="s">
        <v>2611</v>
      </c>
      <c r="AG876" s="18" t="s">
        <v>2612</v>
      </c>
      <c r="AH876" s="18" t="s">
        <v>736</v>
      </c>
      <c r="AI876" s="18" t="s">
        <v>723</v>
      </c>
      <c r="AJ876" s="18">
        <v>52</v>
      </c>
      <c r="AK876" s="18">
        <v>294736</v>
      </c>
      <c r="AL876" s="18" t="b">
        <v>0</v>
      </c>
      <c r="AM876" s="18">
        <v>0.42099999999999999</v>
      </c>
      <c r="AN876" s="18">
        <v>0.441</v>
      </c>
      <c r="AO876" s="18">
        <v>3</v>
      </c>
      <c r="AP876" s="18">
        <v>-8.0120000000000005</v>
      </c>
      <c r="AQ876" s="18">
        <v>1</v>
      </c>
      <c r="AR876" s="18">
        <v>2.7099999999999999E-2</v>
      </c>
      <c r="AS876" s="18">
        <v>0.41299999999999998</v>
      </c>
      <c r="AT876" s="32" t="s">
        <v>2613</v>
      </c>
      <c r="AU876" s="18">
        <v>0.11799999999999999</v>
      </c>
      <c r="AV876" s="18">
        <v>9.9199999999999997E-2</v>
      </c>
      <c r="AW876" s="18">
        <v>138.07</v>
      </c>
      <c r="AX876" s="18">
        <v>4</v>
      </c>
      <c r="AY876" s="19" t="s">
        <v>24</v>
      </c>
    </row>
    <row r="877" spans="32:51" x14ac:dyDescent="0.35">
      <c r="AF877" s="14" t="s">
        <v>2614</v>
      </c>
      <c r="AG877" s="15" t="s">
        <v>1047</v>
      </c>
      <c r="AH877" s="15" t="s">
        <v>1048</v>
      </c>
      <c r="AI877" s="15" t="s">
        <v>2615</v>
      </c>
      <c r="AJ877" s="15">
        <v>26</v>
      </c>
      <c r="AK877" s="15">
        <v>258271</v>
      </c>
      <c r="AL877" s="15" t="b">
        <v>0</v>
      </c>
      <c r="AM877" s="15">
        <v>0.6</v>
      </c>
      <c r="AN877" s="15">
        <v>0.65</v>
      </c>
      <c r="AO877" s="15">
        <v>11</v>
      </c>
      <c r="AP877" s="15">
        <v>-5.1269999999999998</v>
      </c>
      <c r="AQ877" s="15">
        <v>1</v>
      </c>
      <c r="AR877" s="15">
        <v>2.8199999999999999E-2</v>
      </c>
      <c r="AS877" s="15">
        <v>9.2099999999999994E-3</v>
      </c>
      <c r="AT877" s="15">
        <v>4.6899999999999997E-2</v>
      </c>
      <c r="AU877" s="15">
        <v>7.8100000000000003E-2</v>
      </c>
      <c r="AV877" s="15">
        <v>0.49</v>
      </c>
      <c r="AW877" s="15">
        <v>139.97499999999999</v>
      </c>
      <c r="AX877" s="15">
        <v>3</v>
      </c>
      <c r="AY877" s="16" t="s">
        <v>24</v>
      </c>
    </row>
    <row r="878" spans="32:51" x14ac:dyDescent="0.35">
      <c r="AF878" s="17" t="s">
        <v>2616</v>
      </c>
      <c r="AG878" s="18" t="s">
        <v>2312</v>
      </c>
      <c r="AH878" s="18" t="s">
        <v>2617</v>
      </c>
      <c r="AI878" s="18" t="s">
        <v>2618</v>
      </c>
      <c r="AJ878" s="18">
        <v>55</v>
      </c>
      <c r="AK878" s="18">
        <v>203070</v>
      </c>
      <c r="AL878" s="18" t="b">
        <v>0</v>
      </c>
      <c r="AM878" s="18">
        <v>0.501</v>
      </c>
      <c r="AN878" s="18">
        <v>0.71599999999999997</v>
      </c>
      <c r="AO878" s="18">
        <v>10</v>
      </c>
      <c r="AP878" s="18">
        <v>-4.6609999999999996</v>
      </c>
      <c r="AQ878" s="18">
        <v>1</v>
      </c>
      <c r="AR878" s="18">
        <v>4.1099999999999998E-2</v>
      </c>
      <c r="AS878" s="18">
        <v>0.189</v>
      </c>
      <c r="AT878" s="18">
        <v>0</v>
      </c>
      <c r="AU878" s="18">
        <v>6.0600000000000001E-2</v>
      </c>
      <c r="AV878" s="18">
        <v>0.36299999999999999</v>
      </c>
      <c r="AW878" s="18">
        <v>70.918999999999997</v>
      </c>
      <c r="AX878" s="18">
        <v>4</v>
      </c>
      <c r="AY878" s="19" t="s">
        <v>24</v>
      </c>
    </row>
    <row r="879" spans="32:51" x14ac:dyDescent="0.35">
      <c r="AF879" s="14" t="s">
        <v>2619</v>
      </c>
      <c r="AG879" s="15" t="s">
        <v>2343</v>
      </c>
      <c r="AH879" s="15" t="s">
        <v>2344</v>
      </c>
      <c r="AI879" s="15" t="s">
        <v>2344</v>
      </c>
      <c r="AJ879" s="15">
        <v>26</v>
      </c>
      <c r="AK879" s="15">
        <v>200720</v>
      </c>
      <c r="AL879" s="15" t="b">
        <v>0</v>
      </c>
      <c r="AM879" s="15">
        <v>0.71699999999999997</v>
      </c>
      <c r="AN879" s="15">
        <v>0.55400000000000005</v>
      </c>
      <c r="AO879" s="15">
        <v>7</v>
      </c>
      <c r="AP879" s="15">
        <v>-5.3890000000000002</v>
      </c>
      <c r="AQ879" s="15">
        <v>1</v>
      </c>
      <c r="AR879" s="15">
        <v>4.3999999999999997E-2</v>
      </c>
      <c r="AS879" s="15">
        <v>5.9200000000000003E-2</v>
      </c>
      <c r="AT879" s="15">
        <v>0</v>
      </c>
      <c r="AU879" s="15">
        <v>0.11</v>
      </c>
      <c r="AV879" s="15">
        <v>0.32400000000000001</v>
      </c>
      <c r="AW879" s="15">
        <v>128.03899999999999</v>
      </c>
      <c r="AX879" s="15">
        <v>4</v>
      </c>
      <c r="AY879" s="16" t="s">
        <v>24</v>
      </c>
    </row>
    <row r="880" spans="32:51" x14ac:dyDescent="0.35">
      <c r="AF880" s="17" t="s">
        <v>2620</v>
      </c>
      <c r="AG880" s="18" t="s">
        <v>149</v>
      </c>
      <c r="AH880" s="18" t="s">
        <v>2621</v>
      </c>
      <c r="AI880" s="18" t="s">
        <v>2622</v>
      </c>
      <c r="AJ880" s="18">
        <v>51</v>
      </c>
      <c r="AK880" s="18">
        <v>286950</v>
      </c>
      <c r="AL880" s="18" t="b">
        <v>0</v>
      </c>
      <c r="AM880" s="18">
        <v>0.57799999999999996</v>
      </c>
      <c r="AN880" s="18">
        <v>0.74199999999999999</v>
      </c>
      <c r="AO880" s="18">
        <v>7</v>
      </c>
      <c r="AP880" s="18">
        <v>-5.4939999999999998</v>
      </c>
      <c r="AQ880" s="18">
        <v>1</v>
      </c>
      <c r="AR880" s="18">
        <v>2.5999999999999999E-2</v>
      </c>
      <c r="AS880" s="18">
        <v>5.11E-3</v>
      </c>
      <c r="AT880" s="32" t="s">
        <v>2623</v>
      </c>
      <c r="AU880" s="18">
        <v>0.11700000000000001</v>
      </c>
      <c r="AV880" s="18">
        <v>0.2</v>
      </c>
      <c r="AW880" s="18">
        <v>107.02800000000001</v>
      </c>
      <c r="AX880" s="18">
        <v>4</v>
      </c>
      <c r="AY880" s="19" t="s">
        <v>24</v>
      </c>
    </row>
    <row r="881" spans="32:51" x14ac:dyDescent="0.35">
      <c r="AF881" s="14" t="s">
        <v>2624</v>
      </c>
      <c r="AG881" s="15" t="s">
        <v>2625</v>
      </c>
      <c r="AH881" s="15" t="s">
        <v>2626</v>
      </c>
      <c r="AI881" s="15" t="s">
        <v>2627</v>
      </c>
      <c r="AJ881" s="15">
        <v>51</v>
      </c>
      <c r="AK881" s="15">
        <v>212373</v>
      </c>
      <c r="AL881" s="15" t="b">
        <v>0</v>
      </c>
      <c r="AM881" s="15">
        <v>0.63600000000000001</v>
      </c>
      <c r="AN881" s="15">
        <v>0.73499999999999999</v>
      </c>
      <c r="AO881" s="15">
        <v>6</v>
      </c>
      <c r="AP881" s="15">
        <v>-5.1619999999999999</v>
      </c>
      <c r="AQ881" s="15">
        <v>1</v>
      </c>
      <c r="AR881" s="15">
        <v>3.1800000000000002E-2</v>
      </c>
      <c r="AS881" s="15">
        <v>3.5999999999999997E-2</v>
      </c>
      <c r="AT881" s="31" t="s">
        <v>2628</v>
      </c>
      <c r="AU881" s="15">
        <v>9.1499999999999998E-2</v>
      </c>
      <c r="AV881" s="15">
        <v>0.53700000000000003</v>
      </c>
      <c r="AW881" s="15">
        <v>120.96899999999999</v>
      </c>
      <c r="AX881" s="15">
        <v>4</v>
      </c>
      <c r="AY881" s="16" t="s">
        <v>24</v>
      </c>
    </row>
    <row r="882" spans="32:51" x14ac:dyDescent="0.35">
      <c r="AF882" s="17" t="s">
        <v>2629</v>
      </c>
      <c r="AG882" s="18" t="s">
        <v>521</v>
      </c>
      <c r="AH882" s="18" t="s">
        <v>2630</v>
      </c>
      <c r="AI882" s="18" t="s">
        <v>875</v>
      </c>
      <c r="AJ882" s="18">
        <v>49</v>
      </c>
      <c r="AK882" s="18">
        <v>138748</v>
      </c>
      <c r="AL882" s="18" t="b">
        <v>0</v>
      </c>
      <c r="AM882" s="18">
        <v>0.51600000000000001</v>
      </c>
      <c r="AN882" s="18">
        <v>0.14399999999999999</v>
      </c>
      <c r="AO882" s="18">
        <v>2</v>
      </c>
      <c r="AP882" s="18">
        <v>-18.858000000000001</v>
      </c>
      <c r="AQ882" s="18">
        <v>1</v>
      </c>
      <c r="AR882" s="18">
        <v>5.0999999999999997E-2</v>
      </c>
      <c r="AS882" s="18">
        <v>0.99199999999999999</v>
      </c>
      <c r="AT882" s="18">
        <v>0.95199999999999996</v>
      </c>
      <c r="AU882" s="18">
        <v>0.115</v>
      </c>
      <c r="AV882" s="18">
        <v>0.433</v>
      </c>
      <c r="AW882" s="18">
        <v>134.68799999999999</v>
      </c>
      <c r="AX882" s="18">
        <v>4</v>
      </c>
      <c r="AY882" s="19" t="s">
        <v>24</v>
      </c>
    </row>
    <row r="883" spans="32:51" x14ac:dyDescent="0.35">
      <c r="AF883" s="14" t="s">
        <v>2631</v>
      </c>
      <c r="AG883" s="15" t="s">
        <v>149</v>
      </c>
      <c r="AH883" s="15" t="s">
        <v>285</v>
      </c>
      <c r="AI883" s="15" t="s">
        <v>2632</v>
      </c>
      <c r="AJ883" s="15">
        <v>47</v>
      </c>
      <c r="AK883" s="15">
        <v>217400</v>
      </c>
      <c r="AL883" s="15" t="b">
        <v>0</v>
      </c>
      <c r="AM883" s="15">
        <v>0.379</v>
      </c>
      <c r="AN883" s="15">
        <v>0.53</v>
      </c>
      <c r="AO883" s="15">
        <v>7</v>
      </c>
      <c r="AP883" s="15">
        <v>-7.2290000000000001</v>
      </c>
      <c r="AQ883" s="15">
        <v>1</v>
      </c>
      <c r="AR883" s="15">
        <v>3.5499999999999997E-2</v>
      </c>
      <c r="AS883" s="15">
        <v>0.46800000000000003</v>
      </c>
      <c r="AT883" s="15">
        <v>2.1599999999999999E-4</v>
      </c>
      <c r="AU883" s="15">
        <v>8.1799999999999998E-2</v>
      </c>
      <c r="AV883" s="15">
        <v>0.57699999999999996</v>
      </c>
      <c r="AW883" s="15">
        <v>62.06</v>
      </c>
      <c r="AX883" s="15">
        <v>4</v>
      </c>
      <c r="AY883" s="16" t="s">
        <v>24</v>
      </c>
    </row>
    <row r="884" spans="32:51" x14ac:dyDescent="0.35">
      <c r="AF884" s="17" t="s">
        <v>2633</v>
      </c>
      <c r="AG884" s="18" t="s">
        <v>1496</v>
      </c>
      <c r="AH884" s="18" t="s">
        <v>1496</v>
      </c>
      <c r="AI884" s="18" t="s">
        <v>2634</v>
      </c>
      <c r="AJ884" s="18">
        <v>58</v>
      </c>
      <c r="AK884" s="18">
        <v>170000</v>
      </c>
      <c r="AL884" s="18" t="b">
        <v>0</v>
      </c>
      <c r="AM884" s="18">
        <v>0.82099999999999995</v>
      </c>
      <c r="AN884" s="18">
        <v>0.376</v>
      </c>
      <c r="AO884" s="18">
        <v>0</v>
      </c>
      <c r="AP884" s="18">
        <v>-13.622</v>
      </c>
      <c r="AQ884" s="18">
        <v>1</v>
      </c>
      <c r="AR884" s="18">
        <v>4.87E-2</v>
      </c>
      <c r="AS884" s="18">
        <v>0.66900000000000004</v>
      </c>
      <c r="AT884" s="32" t="s">
        <v>2635</v>
      </c>
      <c r="AU884" s="18">
        <v>0.106</v>
      </c>
      <c r="AV884" s="18">
        <v>0.82399999999999995</v>
      </c>
      <c r="AW884" s="18">
        <v>119.039</v>
      </c>
      <c r="AX884" s="18">
        <v>4</v>
      </c>
      <c r="AY884" s="19" t="s">
        <v>24</v>
      </c>
    </row>
    <row r="885" spans="32:51" x14ac:dyDescent="0.35">
      <c r="AF885" s="14" t="s">
        <v>2636</v>
      </c>
      <c r="AG885" s="15" t="s">
        <v>2041</v>
      </c>
      <c r="AH885" s="15" t="s">
        <v>2360</v>
      </c>
      <c r="AI885" s="15" t="s">
        <v>2637</v>
      </c>
      <c r="AJ885" s="15">
        <v>27</v>
      </c>
      <c r="AK885" s="15">
        <v>382474</v>
      </c>
      <c r="AL885" s="15" t="b">
        <v>0</v>
      </c>
      <c r="AM885" s="15">
        <v>0.371</v>
      </c>
      <c r="AN885" s="15">
        <v>0.51</v>
      </c>
      <c r="AO885" s="15">
        <v>0</v>
      </c>
      <c r="AP885" s="15">
        <v>-8.9420000000000002</v>
      </c>
      <c r="AQ885" s="15">
        <v>1</v>
      </c>
      <c r="AR885" s="15">
        <v>4.6800000000000001E-2</v>
      </c>
      <c r="AS885" s="15">
        <v>0.29599999999999999</v>
      </c>
      <c r="AT885" s="31" t="s">
        <v>2638</v>
      </c>
      <c r="AU885" s="15">
        <v>9.5200000000000007E-2</v>
      </c>
      <c r="AV885" s="15">
        <v>0.14699999999999999</v>
      </c>
      <c r="AW885" s="15">
        <v>113.32</v>
      </c>
      <c r="AX885" s="15">
        <v>4</v>
      </c>
      <c r="AY885" s="16" t="s">
        <v>24</v>
      </c>
    </row>
    <row r="886" spans="32:51" x14ac:dyDescent="0.35">
      <c r="AF886" s="17" t="s">
        <v>2639</v>
      </c>
      <c r="AG886" s="18" t="s">
        <v>1660</v>
      </c>
      <c r="AH886" s="18" t="s">
        <v>2640</v>
      </c>
      <c r="AI886" s="18" t="s">
        <v>2641</v>
      </c>
      <c r="AJ886" s="18">
        <v>58</v>
      </c>
      <c r="AK886" s="18">
        <v>157600</v>
      </c>
      <c r="AL886" s="18" t="b">
        <v>0</v>
      </c>
      <c r="AM886" s="18">
        <v>0.50700000000000001</v>
      </c>
      <c r="AN886" s="18">
        <v>0.39900000000000002</v>
      </c>
      <c r="AO886" s="18">
        <v>9</v>
      </c>
      <c r="AP886" s="18">
        <v>-10.917</v>
      </c>
      <c r="AQ886" s="18">
        <v>0</v>
      </c>
      <c r="AR886" s="18">
        <v>3.5799999999999998E-2</v>
      </c>
      <c r="AS886" s="18">
        <v>0.871</v>
      </c>
      <c r="AT886" s="18">
        <v>3.77E-4</v>
      </c>
      <c r="AU886" s="18">
        <v>0.113</v>
      </c>
      <c r="AV886" s="18">
        <v>0.22500000000000001</v>
      </c>
      <c r="AW886" s="18">
        <v>115.58799999999999</v>
      </c>
      <c r="AX886" s="18">
        <v>4</v>
      </c>
      <c r="AY886" s="19" t="s">
        <v>24</v>
      </c>
    </row>
    <row r="887" spans="32:51" x14ac:dyDescent="0.35">
      <c r="AF887" s="14" t="s">
        <v>2642</v>
      </c>
      <c r="AG887" s="15" t="s">
        <v>1223</v>
      </c>
      <c r="AH887" s="15" t="s">
        <v>2222</v>
      </c>
      <c r="AI887" s="15" t="s">
        <v>2643</v>
      </c>
      <c r="AJ887" s="15">
        <v>26</v>
      </c>
      <c r="AK887" s="15">
        <v>221598</v>
      </c>
      <c r="AL887" s="15" t="b">
        <v>0</v>
      </c>
      <c r="AM887" s="15">
        <v>0.45200000000000001</v>
      </c>
      <c r="AN887" s="15">
        <v>0.79700000000000004</v>
      </c>
      <c r="AO887" s="15">
        <v>4</v>
      </c>
      <c r="AP887" s="15">
        <v>-5.2290000000000001</v>
      </c>
      <c r="AQ887" s="15">
        <v>1</v>
      </c>
      <c r="AR887" s="15">
        <v>3.2500000000000001E-2</v>
      </c>
      <c r="AS887" s="15">
        <v>0.28000000000000003</v>
      </c>
      <c r="AT887" s="15">
        <v>0.24399999999999999</v>
      </c>
      <c r="AU887" s="15">
        <v>0.13600000000000001</v>
      </c>
      <c r="AV887" s="15">
        <v>0.64200000000000002</v>
      </c>
      <c r="AW887" s="15">
        <v>114.18</v>
      </c>
      <c r="AX887" s="15">
        <v>4</v>
      </c>
      <c r="AY887" s="16" t="s">
        <v>24</v>
      </c>
    </row>
    <row r="888" spans="32:51" x14ac:dyDescent="0.35">
      <c r="AF888" s="17" t="s">
        <v>2644</v>
      </c>
      <c r="AG888" s="18" t="s">
        <v>2041</v>
      </c>
      <c r="AH888" s="18" t="s">
        <v>2645</v>
      </c>
      <c r="AI888" s="18" t="s">
        <v>2646</v>
      </c>
      <c r="AJ888" s="18">
        <v>27</v>
      </c>
      <c r="AK888" s="18">
        <v>173546</v>
      </c>
      <c r="AL888" s="18" t="b">
        <v>0</v>
      </c>
      <c r="AM888" s="18">
        <v>0.45600000000000002</v>
      </c>
      <c r="AN888" s="18">
        <v>0.28499999999999998</v>
      </c>
      <c r="AO888" s="18">
        <v>8</v>
      </c>
      <c r="AP888" s="18">
        <v>-8.7680000000000007</v>
      </c>
      <c r="AQ888" s="18">
        <v>1</v>
      </c>
      <c r="AR888" s="18">
        <v>5.0099999999999999E-2</v>
      </c>
      <c r="AS888" s="18">
        <v>0.76900000000000002</v>
      </c>
      <c r="AT888" s="18">
        <v>0</v>
      </c>
      <c r="AU888" s="18">
        <v>0.125</v>
      </c>
      <c r="AV888" s="18">
        <v>0.28199999999999997</v>
      </c>
      <c r="AW888" s="18">
        <v>129.262</v>
      </c>
      <c r="AX888" s="18">
        <v>4</v>
      </c>
      <c r="AY888" s="19" t="s">
        <v>24</v>
      </c>
    </row>
    <row r="889" spans="32:51" x14ac:dyDescent="0.35">
      <c r="AF889" s="14" t="s">
        <v>2647</v>
      </c>
      <c r="AG889" s="15" t="s">
        <v>2648</v>
      </c>
      <c r="AH889" s="15" t="s">
        <v>2649</v>
      </c>
      <c r="AI889" s="15" t="s">
        <v>2650</v>
      </c>
      <c r="AJ889" s="15">
        <v>26</v>
      </c>
      <c r="AK889" s="15">
        <v>149610</v>
      </c>
      <c r="AL889" s="15" t="b">
        <v>0</v>
      </c>
      <c r="AM889" s="15">
        <v>0.35099999999999998</v>
      </c>
      <c r="AN889" s="15">
        <v>0.109</v>
      </c>
      <c r="AO889" s="15">
        <v>7</v>
      </c>
      <c r="AP889" s="15">
        <v>-11.997</v>
      </c>
      <c r="AQ889" s="15">
        <v>0</v>
      </c>
      <c r="AR889" s="15">
        <v>4.3499999999999997E-2</v>
      </c>
      <c r="AS889" s="15">
        <v>0.879</v>
      </c>
      <c r="AT889" s="15">
        <v>0</v>
      </c>
      <c r="AU889" s="15">
        <v>0.158</v>
      </c>
      <c r="AV889" s="15">
        <v>0.64</v>
      </c>
      <c r="AW889" s="15">
        <v>76.850999999999999</v>
      </c>
      <c r="AX889" s="15">
        <v>4</v>
      </c>
      <c r="AY889" s="16" t="s">
        <v>24</v>
      </c>
    </row>
    <row r="890" spans="32:51" x14ac:dyDescent="0.35">
      <c r="AF890" s="17" t="s">
        <v>2651</v>
      </c>
      <c r="AG890" s="18" t="s">
        <v>278</v>
      </c>
      <c r="AH890" s="18" t="s">
        <v>2652</v>
      </c>
      <c r="AI890" s="18" t="s">
        <v>2329</v>
      </c>
      <c r="AJ890" s="18">
        <v>27</v>
      </c>
      <c r="AK890" s="18">
        <v>245160</v>
      </c>
      <c r="AL890" s="18" t="b">
        <v>0</v>
      </c>
      <c r="AM890" s="18">
        <v>0.29399999999999998</v>
      </c>
      <c r="AN890" s="18">
        <v>0.29399999999999998</v>
      </c>
      <c r="AO890" s="18">
        <v>11</v>
      </c>
      <c r="AP890" s="18">
        <v>-9.8480000000000008</v>
      </c>
      <c r="AQ890" s="18">
        <v>0</v>
      </c>
      <c r="AR890" s="18">
        <v>3.0099999999999998E-2</v>
      </c>
      <c r="AS890" s="18">
        <v>0.9</v>
      </c>
      <c r="AT890" s="32" t="s">
        <v>2653</v>
      </c>
      <c r="AU890" s="18">
        <v>0.10299999999999999</v>
      </c>
      <c r="AV890" s="18">
        <v>0.18</v>
      </c>
      <c r="AW890" s="18">
        <v>75.216999999999999</v>
      </c>
      <c r="AX890" s="18">
        <v>4</v>
      </c>
      <c r="AY890" s="19" t="s">
        <v>24</v>
      </c>
    </row>
    <row r="891" spans="32:51" x14ac:dyDescent="0.35">
      <c r="AF891" s="14" t="s">
        <v>2654</v>
      </c>
      <c r="AG891" s="15" t="s">
        <v>755</v>
      </c>
      <c r="AH891" s="15" t="s">
        <v>2655</v>
      </c>
      <c r="AI891" s="15" t="s">
        <v>2656</v>
      </c>
      <c r="AJ891" s="15">
        <v>27</v>
      </c>
      <c r="AK891" s="15">
        <v>163013</v>
      </c>
      <c r="AL891" s="15" t="b">
        <v>1</v>
      </c>
      <c r="AM891" s="15">
        <v>0.63800000000000001</v>
      </c>
      <c r="AN891" s="15">
        <v>0.54300000000000004</v>
      </c>
      <c r="AO891" s="15">
        <v>2</v>
      </c>
      <c r="AP891" s="15">
        <v>-9.6780000000000008</v>
      </c>
      <c r="AQ891" s="15">
        <v>1</v>
      </c>
      <c r="AR891" s="15">
        <v>4.3200000000000002E-2</v>
      </c>
      <c r="AS891" s="15">
        <v>0.63600000000000001</v>
      </c>
      <c r="AT891" s="15">
        <v>0.01</v>
      </c>
      <c r="AU891" s="15">
        <v>0.35499999999999998</v>
      </c>
      <c r="AV891" s="15">
        <v>0.92200000000000004</v>
      </c>
      <c r="AW891" s="15">
        <v>140.864</v>
      </c>
      <c r="AX891" s="15">
        <v>4</v>
      </c>
      <c r="AY891" s="16" t="s">
        <v>24</v>
      </c>
    </row>
    <row r="892" spans="32:51" x14ac:dyDescent="0.35">
      <c r="AF892" s="17" t="s">
        <v>2657</v>
      </c>
      <c r="AG892" s="18" t="s">
        <v>2658</v>
      </c>
      <c r="AH892" s="18" t="s">
        <v>2659</v>
      </c>
      <c r="AI892" s="18" t="s">
        <v>2660</v>
      </c>
      <c r="AJ892" s="18">
        <v>26</v>
      </c>
      <c r="AK892" s="18">
        <v>201866</v>
      </c>
      <c r="AL892" s="18" t="b">
        <v>0</v>
      </c>
      <c r="AM892" s="18">
        <v>0.38200000000000001</v>
      </c>
      <c r="AN892" s="18">
        <v>0.9</v>
      </c>
      <c r="AO892" s="18">
        <v>7</v>
      </c>
      <c r="AP892" s="18">
        <v>-4.9379999999999997</v>
      </c>
      <c r="AQ892" s="18">
        <v>1</v>
      </c>
      <c r="AR892" s="18">
        <v>6.8500000000000005E-2</v>
      </c>
      <c r="AS892" s="18">
        <v>1.7999999999999999E-2</v>
      </c>
      <c r="AT892" s="18">
        <v>0</v>
      </c>
      <c r="AU892" s="18">
        <v>9.11E-2</v>
      </c>
      <c r="AV892" s="18">
        <v>0.64400000000000002</v>
      </c>
      <c r="AW892" s="18">
        <v>79.965000000000003</v>
      </c>
      <c r="AX892" s="18">
        <v>4</v>
      </c>
      <c r="AY892" s="19" t="s">
        <v>24</v>
      </c>
    </row>
    <row r="893" spans="32:51" x14ac:dyDescent="0.35">
      <c r="AF893" s="14" t="s">
        <v>2661</v>
      </c>
      <c r="AG893" s="15" t="s">
        <v>1628</v>
      </c>
      <c r="AH893" s="15" t="s">
        <v>1629</v>
      </c>
      <c r="AI893" s="15" t="s">
        <v>2662</v>
      </c>
      <c r="AJ893" s="15">
        <v>58</v>
      </c>
      <c r="AK893" s="15">
        <v>207762</v>
      </c>
      <c r="AL893" s="15" t="b">
        <v>0</v>
      </c>
      <c r="AM893" s="15">
        <v>0.65100000000000002</v>
      </c>
      <c r="AN893" s="15">
        <v>0.86</v>
      </c>
      <c r="AO893" s="15">
        <v>7</v>
      </c>
      <c r="AP893" s="15">
        <v>-7.8</v>
      </c>
      <c r="AQ893" s="15">
        <v>1</v>
      </c>
      <c r="AR893" s="15">
        <v>0.13800000000000001</v>
      </c>
      <c r="AS893" s="15">
        <v>0.60899999999999999</v>
      </c>
      <c r="AT893" s="15">
        <v>6.4599999999999996E-3</v>
      </c>
      <c r="AU893" s="15">
        <v>7.3499999999999996E-2</v>
      </c>
      <c r="AV893" s="15">
        <v>0.28999999999999998</v>
      </c>
      <c r="AW893" s="15">
        <v>115</v>
      </c>
      <c r="AX893" s="15">
        <v>4</v>
      </c>
      <c r="AY893" s="16" t="s">
        <v>24</v>
      </c>
    </row>
    <row r="894" spans="32:51" x14ac:dyDescent="0.35">
      <c r="AF894" s="17" t="s">
        <v>2663</v>
      </c>
      <c r="AG894" s="18" t="s">
        <v>2217</v>
      </c>
      <c r="AH894" s="18" t="s">
        <v>2233</v>
      </c>
      <c r="AI894" s="18" t="s">
        <v>2664</v>
      </c>
      <c r="AJ894" s="18">
        <v>27</v>
      </c>
      <c r="AK894" s="18">
        <v>104200</v>
      </c>
      <c r="AL894" s="18" t="b">
        <v>0</v>
      </c>
      <c r="AM894" s="18">
        <v>0.58199999999999996</v>
      </c>
      <c r="AN894" s="18">
        <v>0.437</v>
      </c>
      <c r="AO894" s="18">
        <v>7</v>
      </c>
      <c r="AP894" s="18">
        <v>-7.0469999999999997</v>
      </c>
      <c r="AQ894" s="18">
        <v>1</v>
      </c>
      <c r="AR894" s="18">
        <v>5.2400000000000002E-2</v>
      </c>
      <c r="AS894" s="18">
        <v>0.45100000000000001</v>
      </c>
      <c r="AT894" s="18">
        <v>0</v>
      </c>
      <c r="AU894" s="18">
        <v>0.14899999999999999</v>
      </c>
      <c r="AV894" s="18">
        <v>0.92200000000000004</v>
      </c>
      <c r="AW894" s="18">
        <v>130.46700000000001</v>
      </c>
      <c r="AX894" s="18">
        <v>3</v>
      </c>
      <c r="AY894" s="19" t="s">
        <v>24</v>
      </c>
    </row>
    <row r="895" spans="32:51" x14ac:dyDescent="0.35">
      <c r="AF895" s="14" t="s">
        <v>2665</v>
      </c>
      <c r="AG895" s="15" t="s">
        <v>1062</v>
      </c>
      <c r="AH895" s="15" t="s">
        <v>1063</v>
      </c>
      <c r="AI895" s="15" t="s">
        <v>2666</v>
      </c>
      <c r="AJ895" s="15">
        <v>27</v>
      </c>
      <c r="AK895" s="15">
        <v>219219</v>
      </c>
      <c r="AL895" s="15" t="b">
        <v>0</v>
      </c>
      <c r="AM895" s="15">
        <v>0.46100000000000002</v>
      </c>
      <c r="AN895" s="15">
        <v>0.79900000000000004</v>
      </c>
      <c r="AO895" s="15">
        <v>9</v>
      </c>
      <c r="AP895" s="15">
        <v>-6.5650000000000004</v>
      </c>
      <c r="AQ895" s="15">
        <v>0</v>
      </c>
      <c r="AR895" s="15">
        <v>0.13900000000000001</v>
      </c>
      <c r="AS895" s="15">
        <v>0.74399999999999999</v>
      </c>
      <c r="AT895" s="15">
        <v>0</v>
      </c>
      <c r="AU895" s="15">
        <v>0.433</v>
      </c>
      <c r="AV895" s="15">
        <v>0.79700000000000004</v>
      </c>
      <c r="AW895" s="15">
        <v>167.255</v>
      </c>
      <c r="AX895" s="15">
        <v>4</v>
      </c>
      <c r="AY895" s="16" t="s">
        <v>24</v>
      </c>
    </row>
    <row r="896" spans="32:51" x14ac:dyDescent="0.35">
      <c r="AF896" s="17" t="s">
        <v>2667</v>
      </c>
      <c r="AG896" s="18" t="s">
        <v>2668</v>
      </c>
      <c r="AH896" s="18" t="s">
        <v>2669</v>
      </c>
      <c r="AI896" s="18" t="s">
        <v>2670</v>
      </c>
      <c r="AJ896" s="18">
        <v>26</v>
      </c>
      <c r="AK896" s="18">
        <v>73501</v>
      </c>
      <c r="AL896" s="18" t="b">
        <v>0</v>
      </c>
      <c r="AM896" s="18">
        <v>0.71199999999999997</v>
      </c>
      <c r="AN896" s="18">
        <v>0.93300000000000005</v>
      </c>
      <c r="AO896" s="18">
        <v>0</v>
      </c>
      <c r="AP896" s="18">
        <v>-2.7730000000000001</v>
      </c>
      <c r="AQ896" s="18">
        <v>1</v>
      </c>
      <c r="AR896" s="18">
        <v>5.0900000000000001E-2</v>
      </c>
      <c r="AS896" s="18">
        <v>0.32600000000000001</v>
      </c>
      <c r="AT896" s="18">
        <v>0</v>
      </c>
      <c r="AU896" s="18">
        <v>0.28599999999999998</v>
      </c>
      <c r="AV896" s="18">
        <v>0.86499999999999999</v>
      </c>
      <c r="AW896" s="18">
        <v>152.02000000000001</v>
      </c>
      <c r="AX896" s="18">
        <v>3</v>
      </c>
      <c r="AY896" s="19" t="s">
        <v>24</v>
      </c>
    </row>
    <row r="897" spans="32:51" x14ac:dyDescent="0.35">
      <c r="AF897" s="14" t="s">
        <v>2671</v>
      </c>
      <c r="AG897" s="15" t="s">
        <v>1674</v>
      </c>
      <c r="AH897" s="15" t="s">
        <v>2672</v>
      </c>
      <c r="AI897" s="15" t="s">
        <v>2673</v>
      </c>
      <c r="AJ897" s="15">
        <v>26</v>
      </c>
      <c r="AK897" s="15">
        <v>168240</v>
      </c>
      <c r="AL897" s="15" t="b">
        <v>0</v>
      </c>
      <c r="AM897" s="15">
        <v>0.44</v>
      </c>
      <c r="AN897" s="15">
        <v>0.94699999999999995</v>
      </c>
      <c r="AO897" s="15">
        <v>7</v>
      </c>
      <c r="AP897" s="15">
        <v>-3.1150000000000002</v>
      </c>
      <c r="AQ897" s="15">
        <v>1</v>
      </c>
      <c r="AR897" s="15">
        <v>6.5199999999999994E-2</v>
      </c>
      <c r="AS897" s="15">
        <v>4.7699999999999999E-2</v>
      </c>
      <c r="AT897" s="31" t="s">
        <v>607</v>
      </c>
      <c r="AU897" s="15">
        <v>4.8800000000000003E-2</v>
      </c>
      <c r="AV897" s="15">
        <v>0.89200000000000002</v>
      </c>
      <c r="AW897" s="15">
        <v>185.14699999999999</v>
      </c>
      <c r="AX897" s="15">
        <v>4</v>
      </c>
      <c r="AY897" s="16" t="s">
        <v>24</v>
      </c>
    </row>
    <row r="898" spans="32:51" x14ac:dyDescent="0.35">
      <c r="AF898" s="17" t="s">
        <v>2674</v>
      </c>
      <c r="AG898" s="18" t="s">
        <v>1674</v>
      </c>
      <c r="AH898" s="18" t="s">
        <v>1675</v>
      </c>
      <c r="AI898" s="18" t="s">
        <v>2675</v>
      </c>
      <c r="AJ898" s="18">
        <v>27</v>
      </c>
      <c r="AK898" s="18">
        <v>150439</v>
      </c>
      <c r="AL898" s="18" t="b">
        <v>1</v>
      </c>
      <c r="AM898" s="18">
        <v>0.56299999999999994</v>
      </c>
      <c r="AN898" s="18">
        <v>0.45200000000000001</v>
      </c>
      <c r="AO898" s="18">
        <v>5</v>
      </c>
      <c r="AP898" s="18">
        <v>-8.9600000000000009</v>
      </c>
      <c r="AQ898" s="18">
        <v>1</v>
      </c>
      <c r="AR898" s="18">
        <v>4.8000000000000001E-2</v>
      </c>
      <c r="AS898" s="18">
        <v>0.877</v>
      </c>
      <c r="AT898" s="32" t="s">
        <v>944</v>
      </c>
      <c r="AU898" s="18">
        <v>0.14499999999999999</v>
      </c>
      <c r="AV898" s="18">
        <v>0.58099999999999996</v>
      </c>
      <c r="AW898" s="18">
        <v>91.98</v>
      </c>
      <c r="AX898" s="18">
        <v>4</v>
      </c>
      <c r="AY898" s="19" t="s">
        <v>24</v>
      </c>
    </row>
    <row r="899" spans="32:51" x14ac:dyDescent="0.35">
      <c r="AF899" s="14" t="s">
        <v>2676</v>
      </c>
      <c r="AG899" s="15" t="s">
        <v>1522</v>
      </c>
      <c r="AH899" s="15" t="s">
        <v>2677</v>
      </c>
      <c r="AI899" s="15" t="s">
        <v>2678</v>
      </c>
      <c r="AJ899" s="15">
        <v>26</v>
      </c>
      <c r="AK899" s="15">
        <v>403911</v>
      </c>
      <c r="AL899" s="15" t="b">
        <v>1</v>
      </c>
      <c r="AM899" s="15">
        <v>0.33500000000000002</v>
      </c>
      <c r="AN899" s="15">
        <v>0.69599999999999995</v>
      </c>
      <c r="AO899" s="15">
        <v>9</v>
      </c>
      <c r="AP899" s="15">
        <v>-9.4719999999999995</v>
      </c>
      <c r="AQ899" s="15">
        <v>0</v>
      </c>
      <c r="AR899" s="15">
        <v>3.0700000000000002E-2</v>
      </c>
      <c r="AS899" s="15">
        <v>0.64200000000000002</v>
      </c>
      <c r="AT899" s="15">
        <v>0</v>
      </c>
      <c r="AU899" s="15">
        <v>0.12</v>
      </c>
      <c r="AV899" s="15">
        <v>0.40300000000000002</v>
      </c>
      <c r="AW899" s="15">
        <v>95.24</v>
      </c>
      <c r="AX899" s="15">
        <v>4</v>
      </c>
      <c r="AY899" s="16" t="s">
        <v>24</v>
      </c>
    </row>
    <row r="900" spans="32:51" x14ac:dyDescent="0.35">
      <c r="AF900" s="17" t="s">
        <v>2679</v>
      </c>
      <c r="AG900" s="18" t="s">
        <v>2680</v>
      </c>
      <c r="AH900" s="18" t="s">
        <v>2681</v>
      </c>
      <c r="AI900" s="18" t="s">
        <v>2682</v>
      </c>
      <c r="AJ900" s="18">
        <v>29</v>
      </c>
      <c r="AK900" s="18">
        <v>268906</v>
      </c>
      <c r="AL900" s="18" t="b">
        <v>0</v>
      </c>
      <c r="AM900" s="18">
        <v>0.57199999999999995</v>
      </c>
      <c r="AN900" s="18">
        <v>0.56699999999999995</v>
      </c>
      <c r="AO900" s="18">
        <v>9</v>
      </c>
      <c r="AP900" s="18">
        <v>-6.1470000000000002</v>
      </c>
      <c r="AQ900" s="18">
        <v>1</v>
      </c>
      <c r="AR900" s="18">
        <v>3.4099999999999998E-2</v>
      </c>
      <c r="AS900" s="18">
        <v>0.51700000000000002</v>
      </c>
      <c r="AT900" s="32" t="s">
        <v>2330</v>
      </c>
      <c r="AU900" s="18">
        <v>0.158</v>
      </c>
      <c r="AV900" s="18">
        <v>0.498</v>
      </c>
      <c r="AW900" s="18">
        <v>135.21700000000001</v>
      </c>
      <c r="AX900" s="18">
        <v>4</v>
      </c>
      <c r="AY900" s="19" t="s">
        <v>24</v>
      </c>
    </row>
    <row r="901" spans="32:51" x14ac:dyDescent="0.35">
      <c r="AF901" s="14" t="s">
        <v>2683</v>
      </c>
      <c r="AG901" s="15" t="s">
        <v>1073</v>
      </c>
      <c r="AH901" s="15" t="s">
        <v>1074</v>
      </c>
      <c r="AI901" s="15" t="s">
        <v>2684</v>
      </c>
      <c r="AJ901" s="15">
        <v>26</v>
      </c>
      <c r="AK901" s="15">
        <v>232815</v>
      </c>
      <c r="AL901" s="15" t="b">
        <v>0</v>
      </c>
      <c r="AM901" s="15">
        <v>0.65400000000000003</v>
      </c>
      <c r="AN901" s="15">
        <v>0.83399999999999996</v>
      </c>
      <c r="AO901" s="15">
        <v>9</v>
      </c>
      <c r="AP901" s="15">
        <v>-4.4359999999999999</v>
      </c>
      <c r="AQ901" s="15">
        <v>1</v>
      </c>
      <c r="AR901" s="15">
        <v>4.2500000000000003E-2</v>
      </c>
      <c r="AS901" s="15">
        <v>1.72E-2</v>
      </c>
      <c r="AT901" s="15">
        <v>2.2900000000000001E-4</v>
      </c>
      <c r="AU901" s="15">
        <v>8.8999999999999996E-2</v>
      </c>
      <c r="AV901" s="15">
        <v>0.90400000000000003</v>
      </c>
      <c r="AW901" s="15">
        <v>139.37700000000001</v>
      </c>
      <c r="AX901" s="15">
        <v>4</v>
      </c>
      <c r="AY901" s="16" t="s">
        <v>24</v>
      </c>
    </row>
    <row r="902" spans="32:51" x14ac:dyDescent="0.35">
      <c r="AF902" s="17" t="s">
        <v>2685</v>
      </c>
      <c r="AG902" s="18" t="s">
        <v>2686</v>
      </c>
      <c r="AH902" s="18" t="s">
        <v>2687</v>
      </c>
      <c r="AI902" s="18" t="s">
        <v>2688</v>
      </c>
      <c r="AJ902" s="18">
        <v>26</v>
      </c>
      <c r="AK902" s="18">
        <v>270920</v>
      </c>
      <c r="AL902" s="18" t="b">
        <v>0</v>
      </c>
      <c r="AM902" s="18">
        <v>0.44600000000000001</v>
      </c>
      <c r="AN902" s="18">
        <v>0.78700000000000003</v>
      </c>
      <c r="AO902" s="18">
        <v>11</v>
      </c>
      <c r="AP902" s="18">
        <v>-7.3339999999999996</v>
      </c>
      <c r="AQ902" s="18">
        <v>1</v>
      </c>
      <c r="AR902" s="18">
        <v>7.1400000000000005E-2</v>
      </c>
      <c r="AS902" s="18">
        <v>3.2800000000000003E-2</v>
      </c>
      <c r="AT902" s="18">
        <v>0</v>
      </c>
      <c r="AU902" s="18">
        <v>0.14099999999999999</v>
      </c>
      <c r="AV902" s="18">
        <v>0.58599999999999997</v>
      </c>
      <c r="AW902" s="18">
        <v>125.642</v>
      </c>
      <c r="AX902" s="18">
        <v>4</v>
      </c>
      <c r="AY902" s="19" t="s">
        <v>24</v>
      </c>
    </row>
    <row r="903" spans="32:51" x14ac:dyDescent="0.35">
      <c r="AF903" s="14" t="s">
        <v>2689</v>
      </c>
      <c r="AG903" s="15" t="s">
        <v>1019</v>
      </c>
      <c r="AH903" s="15" t="s">
        <v>1020</v>
      </c>
      <c r="AI903" s="15" t="s">
        <v>2690</v>
      </c>
      <c r="AJ903" s="15">
        <v>42</v>
      </c>
      <c r="AK903" s="15">
        <v>170712</v>
      </c>
      <c r="AL903" s="15" t="b">
        <v>0</v>
      </c>
      <c r="AM903" s="15">
        <v>0.44400000000000001</v>
      </c>
      <c r="AN903" s="15">
        <v>0.316</v>
      </c>
      <c r="AO903" s="15">
        <v>2</v>
      </c>
      <c r="AP903" s="15">
        <v>-7.7510000000000003</v>
      </c>
      <c r="AQ903" s="15">
        <v>1</v>
      </c>
      <c r="AR903" s="15">
        <v>4.2900000000000001E-2</v>
      </c>
      <c r="AS903" s="15">
        <v>0.84099999999999997</v>
      </c>
      <c r="AT903" s="15">
        <v>0</v>
      </c>
      <c r="AU903" s="15">
        <v>0.13800000000000001</v>
      </c>
      <c r="AV903" s="15">
        <v>0.57099999999999995</v>
      </c>
      <c r="AW903" s="15">
        <v>201.64</v>
      </c>
      <c r="AX903" s="15">
        <v>4</v>
      </c>
      <c r="AY903" s="16" t="s">
        <v>24</v>
      </c>
    </row>
    <row r="904" spans="32:51" x14ac:dyDescent="0.35">
      <c r="AF904" s="17" t="s">
        <v>2691</v>
      </c>
      <c r="AG904" s="18" t="s">
        <v>664</v>
      </c>
      <c r="AH904" s="18" t="s">
        <v>2692</v>
      </c>
      <c r="AI904" s="18" t="s">
        <v>2693</v>
      </c>
      <c r="AJ904" s="18">
        <v>51</v>
      </c>
      <c r="AK904" s="18">
        <v>188181</v>
      </c>
      <c r="AL904" s="18" t="b">
        <v>0</v>
      </c>
      <c r="AM904" s="18">
        <v>0.55800000000000005</v>
      </c>
      <c r="AN904" s="18">
        <v>0.20899999999999999</v>
      </c>
      <c r="AO904" s="18">
        <v>8</v>
      </c>
      <c r="AP904" s="18">
        <v>-8.9339999999999993</v>
      </c>
      <c r="AQ904" s="18">
        <v>1</v>
      </c>
      <c r="AR904" s="18">
        <v>5.1499999999999997E-2</v>
      </c>
      <c r="AS904" s="18">
        <v>0.85199999999999998</v>
      </c>
      <c r="AT904" s="18">
        <v>0</v>
      </c>
      <c r="AU904" s="18">
        <v>0.111</v>
      </c>
      <c r="AV904" s="18">
        <v>0.41</v>
      </c>
      <c r="AW904" s="18">
        <v>174.887</v>
      </c>
      <c r="AX904" s="18">
        <v>3</v>
      </c>
      <c r="AY904" s="19" t="s">
        <v>24</v>
      </c>
    </row>
    <row r="905" spans="32:51" x14ac:dyDescent="0.35">
      <c r="AF905" s="14" t="s">
        <v>2694</v>
      </c>
      <c r="AG905" s="15" t="s">
        <v>1354</v>
      </c>
      <c r="AH905" s="15" t="s">
        <v>222</v>
      </c>
      <c r="AI905" s="15" t="s">
        <v>2695</v>
      </c>
      <c r="AJ905" s="15">
        <v>53</v>
      </c>
      <c r="AK905" s="15">
        <v>141142</v>
      </c>
      <c r="AL905" s="15" t="b">
        <v>0</v>
      </c>
      <c r="AM905" s="15">
        <v>0.80700000000000005</v>
      </c>
      <c r="AN905" s="15">
        <v>0.40300000000000002</v>
      </c>
      <c r="AO905" s="15">
        <v>2</v>
      </c>
      <c r="AP905" s="15">
        <v>-8.7590000000000003</v>
      </c>
      <c r="AQ905" s="15">
        <v>0</v>
      </c>
      <c r="AR905" s="15">
        <v>3.1600000000000003E-2</v>
      </c>
      <c r="AS905" s="15">
        <v>0.90100000000000002</v>
      </c>
      <c r="AT905" s="15">
        <v>0</v>
      </c>
      <c r="AU905" s="15">
        <v>0.12</v>
      </c>
      <c r="AV905" s="15">
        <v>0.95</v>
      </c>
      <c r="AW905" s="15">
        <v>105.03700000000001</v>
      </c>
      <c r="AX905" s="15">
        <v>4</v>
      </c>
      <c r="AY905" s="16" t="s">
        <v>24</v>
      </c>
    </row>
    <row r="906" spans="32:51" x14ac:dyDescent="0.35">
      <c r="AF906" s="17" t="s">
        <v>2696</v>
      </c>
      <c r="AG906" s="18" t="s">
        <v>60</v>
      </c>
      <c r="AH906" s="18" t="s">
        <v>2697</v>
      </c>
      <c r="AI906" s="18" t="s">
        <v>2697</v>
      </c>
      <c r="AJ906" s="18">
        <v>66</v>
      </c>
      <c r="AK906" s="18">
        <v>178947</v>
      </c>
      <c r="AL906" s="18" t="b">
        <v>0</v>
      </c>
      <c r="AM906" s="18">
        <v>0.73799999999999999</v>
      </c>
      <c r="AN906" s="18">
        <v>0.39</v>
      </c>
      <c r="AO906" s="18">
        <v>8</v>
      </c>
      <c r="AP906" s="18">
        <v>-8.4369999999999994</v>
      </c>
      <c r="AQ906" s="18">
        <v>1</v>
      </c>
      <c r="AR906" s="18">
        <v>3.3399999999999999E-2</v>
      </c>
      <c r="AS906" s="18">
        <v>0.40899999999999997</v>
      </c>
      <c r="AT906" s="18">
        <v>0</v>
      </c>
      <c r="AU906" s="18">
        <v>0.107</v>
      </c>
      <c r="AV906" s="18">
        <v>0.54700000000000004</v>
      </c>
      <c r="AW906" s="18">
        <v>113.979</v>
      </c>
      <c r="AX906" s="18">
        <v>4</v>
      </c>
      <c r="AY906" s="19" t="s">
        <v>24</v>
      </c>
    </row>
    <row r="907" spans="32:51" x14ac:dyDescent="0.35">
      <c r="AF907" s="14" t="s">
        <v>2698</v>
      </c>
      <c r="AG907" s="15" t="s">
        <v>1019</v>
      </c>
      <c r="AH907" s="15" t="s">
        <v>2699</v>
      </c>
      <c r="AI907" s="15" t="s">
        <v>2699</v>
      </c>
      <c r="AJ907" s="15">
        <v>51</v>
      </c>
      <c r="AK907" s="15">
        <v>181897</v>
      </c>
      <c r="AL907" s="15" t="b">
        <v>0</v>
      </c>
      <c r="AM907" s="15">
        <v>0.56799999999999995</v>
      </c>
      <c r="AN907" s="15">
        <v>0.21299999999999999</v>
      </c>
      <c r="AO907" s="15">
        <v>2</v>
      </c>
      <c r="AP907" s="15">
        <v>-11.882</v>
      </c>
      <c r="AQ907" s="15">
        <v>1</v>
      </c>
      <c r="AR907" s="15">
        <v>3.7900000000000003E-2</v>
      </c>
      <c r="AS907" s="15">
        <v>0.95499999999999996</v>
      </c>
      <c r="AT907" s="15">
        <v>0</v>
      </c>
      <c r="AU907" s="15">
        <v>0.113</v>
      </c>
      <c r="AV907" s="15">
        <v>0.30199999999999999</v>
      </c>
      <c r="AW907" s="15">
        <v>72.932000000000002</v>
      </c>
      <c r="AX907" s="15">
        <v>4</v>
      </c>
      <c r="AY907" s="16" t="s">
        <v>24</v>
      </c>
    </row>
    <row r="908" spans="32:51" x14ac:dyDescent="0.35">
      <c r="AF908" s="17" t="s">
        <v>2700</v>
      </c>
      <c r="AG908" s="18" t="s">
        <v>942</v>
      </c>
      <c r="AH908" s="18" t="s">
        <v>2701</v>
      </c>
      <c r="AI908" s="18" t="s">
        <v>2701</v>
      </c>
      <c r="AJ908" s="18">
        <v>40</v>
      </c>
      <c r="AK908" s="18">
        <v>217777</v>
      </c>
      <c r="AL908" s="18" t="b">
        <v>0</v>
      </c>
      <c r="AM908" s="18">
        <v>0.65400000000000003</v>
      </c>
      <c r="AN908" s="18">
        <v>0.13500000000000001</v>
      </c>
      <c r="AO908" s="18">
        <v>6</v>
      </c>
      <c r="AP908" s="18">
        <v>-10.535</v>
      </c>
      <c r="AQ908" s="18">
        <v>0</v>
      </c>
      <c r="AR908" s="18">
        <v>3.3000000000000002E-2</v>
      </c>
      <c r="AS908" s="18">
        <v>0.93799999999999994</v>
      </c>
      <c r="AT908" s="18">
        <v>0</v>
      </c>
      <c r="AU908" s="18">
        <v>9.8299999999999998E-2</v>
      </c>
      <c r="AV908" s="18">
        <v>0.16</v>
      </c>
      <c r="AW908" s="18">
        <v>100.027</v>
      </c>
      <c r="AX908" s="18">
        <v>4</v>
      </c>
      <c r="AY908" s="19" t="s">
        <v>24</v>
      </c>
    </row>
    <row r="909" spans="32:51" x14ac:dyDescent="0.35">
      <c r="AF909" s="14" t="s">
        <v>2702</v>
      </c>
      <c r="AG909" s="15" t="s">
        <v>2703</v>
      </c>
      <c r="AH909" s="15" t="s">
        <v>437</v>
      </c>
      <c r="AI909" s="15" t="s">
        <v>437</v>
      </c>
      <c r="AJ909" s="15">
        <v>38</v>
      </c>
      <c r="AK909" s="15">
        <v>179236</v>
      </c>
      <c r="AL909" s="15" t="b">
        <v>0</v>
      </c>
      <c r="AM909" s="15">
        <v>0.55100000000000005</v>
      </c>
      <c r="AN909" s="15">
        <v>0.161</v>
      </c>
      <c r="AO909" s="15">
        <v>7</v>
      </c>
      <c r="AP909" s="15">
        <v>-13.903</v>
      </c>
      <c r="AQ909" s="15">
        <v>1</v>
      </c>
      <c r="AR909" s="15">
        <v>3.3099999999999997E-2</v>
      </c>
      <c r="AS909" s="15">
        <v>0.95399999999999996</v>
      </c>
      <c r="AT909" s="15">
        <v>9.2500000000000004E-4</v>
      </c>
      <c r="AU909" s="15">
        <v>0.11600000000000001</v>
      </c>
      <c r="AV909" s="15">
        <v>0.35599999999999998</v>
      </c>
      <c r="AW909" s="15">
        <v>129.786</v>
      </c>
      <c r="AX909" s="15">
        <v>4</v>
      </c>
      <c r="AY909" s="16" t="s">
        <v>24</v>
      </c>
    </row>
    <row r="910" spans="32:51" x14ac:dyDescent="0.35">
      <c r="AF910" s="17" t="s">
        <v>2704</v>
      </c>
      <c r="AG910" s="18" t="s">
        <v>225</v>
      </c>
      <c r="AH910" s="18" t="s">
        <v>226</v>
      </c>
      <c r="AI910" s="18" t="s">
        <v>2705</v>
      </c>
      <c r="AJ910" s="18">
        <v>43</v>
      </c>
      <c r="AK910" s="18">
        <v>252013</v>
      </c>
      <c r="AL910" s="18" t="b">
        <v>0</v>
      </c>
      <c r="AM910" s="18">
        <v>0.48399999999999999</v>
      </c>
      <c r="AN910" s="18">
        <v>0.29199999999999998</v>
      </c>
      <c r="AO910" s="18">
        <v>11</v>
      </c>
      <c r="AP910" s="18">
        <v>-13.097</v>
      </c>
      <c r="AQ910" s="18">
        <v>1</v>
      </c>
      <c r="AR910" s="18">
        <v>3.5000000000000003E-2</v>
      </c>
      <c r="AS910" s="18">
        <v>0.86799999999999999</v>
      </c>
      <c r="AT910" s="18">
        <v>3.7199999999999999E-4</v>
      </c>
      <c r="AU910" s="18">
        <v>9.0300000000000005E-2</v>
      </c>
      <c r="AV910" s="18">
        <v>7.7100000000000002E-2</v>
      </c>
      <c r="AW910" s="18">
        <v>95.445999999999998</v>
      </c>
      <c r="AX910" s="18">
        <v>4</v>
      </c>
      <c r="AY910" s="19" t="s">
        <v>24</v>
      </c>
    </row>
    <row r="911" spans="32:51" x14ac:dyDescent="0.35">
      <c r="AF911" s="14" t="s">
        <v>2706</v>
      </c>
      <c r="AG911" s="15" t="s">
        <v>305</v>
      </c>
      <c r="AH911" s="15" t="s">
        <v>667</v>
      </c>
      <c r="AI911" s="15" t="s">
        <v>2707</v>
      </c>
      <c r="AJ911" s="15">
        <v>44</v>
      </c>
      <c r="AK911" s="15">
        <v>211360</v>
      </c>
      <c r="AL911" s="15" t="b">
        <v>0</v>
      </c>
      <c r="AM911" s="15">
        <v>0.309</v>
      </c>
      <c r="AN911" s="15">
        <v>0.159</v>
      </c>
      <c r="AO911" s="15">
        <v>7</v>
      </c>
      <c r="AP911" s="15">
        <v>-13.101000000000001</v>
      </c>
      <c r="AQ911" s="15">
        <v>1</v>
      </c>
      <c r="AR911" s="15">
        <v>3.15E-2</v>
      </c>
      <c r="AS911" s="15">
        <v>0.91200000000000003</v>
      </c>
      <c r="AT911" s="15">
        <v>2.6400000000000002E-4</v>
      </c>
      <c r="AU911" s="15">
        <v>0.1</v>
      </c>
      <c r="AV911" s="15">
        <v>0.13900000000000001</v>
      </c>
      <c r="AW911" s="15">
        <v>87.492999999999995</v>
      </c>
      <c r="AX911" s="15">
        <v>4</v>
      </c>
      <c r="AY911" s="16" t="s">
        <v>24</v>
      </c>
    </row>
    <row r="912" spans="32:51" x14ac:dyDescent="0.35">
      <c r="AF912" s="17" t="s">
        <v>2708</v>
      </c>
      <c r="AG912" s="18" t="s">
        <v>1019</v>
      </c>
      <c r="AH912" s="18" t="s">
        <v>1020</v>
      </c>
      <c r="AI912" s="18" t="s">
        <v>2709</v>
      </c>
      <c r="AJ912" s="18">
        <v>47</v>
      </c>
      <c r="AK912" s="18">
        <v>189732</v>
      </c>
      <c r="AL912" s="18" t="b">
        <v>0</v>
      </c>
      <c r="AM912" s="18">
        <v>0.627</v>
      </c>
      <c r="AN912" s="18">
        <v>0.307</v>
      </c>
      <c r="AO912" s="18">
        <v>6</v>
      </c>
      <c r="AP912" s="18">
        <v>-6.9939999999999998</v>
      </c>
      <c r="AQ912" s="18">
        <v>1</v>
      </c>
      <c r="AR912" s="18">
        <v>3.1300000000000001E-2</v>
      </c>
      <c r="AS912" s="18">
        <v>0.74199999999999999</v>
      </c>
      <c r="AT912" s="18">
        <v>0</v>
      </c>
      <c r="AU912" s="18">
        <v>0.106</v>
      </c>
      <c r="AV912" s="18">
        <v>0.47099999999999997</v>
      </c>
      <c r="AW912" s="18">
        <v>104.669</v>
      </c>
      <c r="AX912" s="18">
        <v>4</v>
      </c>
      <c r="AY912" s="19" t="s">
        <v>24</v>
      </c>
    </row>
    <row r="913" spans="32:51" x14ac:dyDescent="0.35">
      <c r="AF913" s="14" t="s">
        <v>2710</v>
      </c>
      <c r="AG913" s="15" t="s">
        <v>1304</v>
      </c>
      <c r="AH913" s="15" t="s">
        <v>2711</v>
      </c>
      <c r="AI913" s="15" t="s">
        <v>2712</v>
      </c>
      <c r="AJ913" s="15">
        <v>27</v>
      </c>
      <c r="AK913" s="15">
        <v>209200</v>
      </c>
      <c r="AL913" s="15" t="b">
        <v>0</v>
      </c>
      <c r="AM913" s="15">
        <v>0.51200000000000001</v>
      </c>
      <c r="AN913" s="15">
        <v>0.88400000000000001</v>
      </c>
      <c r="AO913" s="15">
        <v>4</v>
      </c>
      <c r="AP913" s="15">
        <v>-4.09</v>
      </c>
      <c r="AQ913" s="15">
        <v>1</v>
      </c>
      <c r="AR913" s="15">
        <v>3.6799999999999999E-2</v>
      </c>
      <c r="AS913" s="31" t="s">
        <v>2713</v>
      </c>
      <c r="AT913" s="15">
        <v>0</v>
      </c>
      <c r="AU913" s="15">
        <v>0.123</v>
      </c>
      <c r="AV913" s="15">
        <v>0.48</v>
      </c>
      <c r="AW913" s="15">
        <v>124.003</v>
      </c>
      <c r="AX913" s="15">
        <v>4</v>
      </c>
      <c r="AY913" s="16" t="s">
        <v>24</v>
      </c>
    </row>
    <row r="914" spans="32:51" x14ac:dyDescent="0.35">
      <c r="AF914" s="17" t="s">
        <v>2714</v>
      </c>
      <c r="AG914" s="18" t="s">
        <v>1265</v>
      </c>
      <c r="AH914" s="18" t="s">
        <v>2715</v>
      </c>
      <c r="AI914" s="18" t="s">
        <v>2716</v>
      </c>
      <c r="AJ914" s="18">
        <v>52</v>
      </c>
      <c r="AK914" s="18">
        <v>260000</v>
      </c>
      <c r="AL914" s="18" t="b">
        <v>0</v>
      </c>
      <c r="AM914" s="18">
        <v>0.40899999999999997</v>
      </c>
      <c r="AN914" s="18">
        <v>0.222</v>
      </c>
      <c r="AO914" s="18">
        <v>10</v>
      </c>
      <c r="AP914" s="18">
        <v>-11.358000000000001</v>
      </c>
      <c r="AQ914" s="18">
        <v>1</v>
      </c>
      <c r="AR914" s="18">
        <v>2.81E-2</v>
      </c>
      <c r="AS914" s="18">
        <v>0.88200000000000001</v>
      </c>
      <c r="AT914" s="18">
        <v>4.2599999999999999E-3</v>
      </c>
      <c r="AU914" s="18">
        <v>0.21299999999999999</v>
      </c>
      <c r="AV914" s="18">
        <v>0.151</v>
      </c>
      <c r="AW914" s="18">
        <v>63.418999999999997</v>
      </c>
      <c r="AX914" s="18">
        <v>4</v>
      </c>
      <c r="AY914" s="19" t="s">
        <v>24</v>
      </c>
    </row>
    <row r="915" spans="32:51" x14ac:dyDescent="0.35">
      <c r="AF915" s="14" t="s">
        <v>2717</v>
      </c>
      <c r="AG915" s="15" t="s">
        <v>2421</v>
      </c>
      <c r="AH915" s="15" t="s">
        <v>2718</v>
      </c>
      <c r="AI915" s="15" t="s">
        <v>2719</v>
      </c>
      <c r="AJ915" s="15">
        <v>43</v>
      </c>
      <c r="AK915" s="15">
        <v>181819</v>
      </c>
      <c r="AL915" s="15" t="b">
        <v>0</v>
      </c>
      <c r="AM915" s="15">
        <v>0.65500000000000003</v>
      </c>
      <c r="AN915" s="15">
        <v>8.8300000000000003E-2</v>
      </c>
      <c r="AO915" s="15">
        <v>0</v>
      </c>
      <c r="AP915" s="15">
        <v>-19</v>
      </c>
      <c r="AQ915" s="15">
        <v>0</v>
      </c>
      <c r="AR915" s="15">
        <v>4.8800000000000003E-2</v>
      </c>
      <c r="AS915" s="15">
        <v>0.97099999999999997</v>
      </c>
      <c r="AT915" s="15">
        <v>0.89700000000000002</v>
      </c>
      <c r="AU915" s="15">
        <v>0.109</v>
      </c>
      <c r="AV915" s="15">
        <v>0.373</v>
      </c>
      <c r="AW915" s="15">
        <v>119.985</v>
      </c>
      <c r="AX915" s="15">
        <v>4</v>
      </c>
      <c r="AY915" s="16" t="s">
        <v>24</v>
      </c>
    </row>
    <row r="916" spans="32:51" x14ac:dyDescent="0.35">
      <c r="AF916" s="17" t="s">
        <v>2720</v>
      </c>
      <c r="AG916" s="18" t="s">
        <v>339</v>
      </c>
      <c r="AH916" s="18" t="s">
        <v>986</v>
      </c>
      <c r="AI916" s="18" t="s">
        <v>2721</v>
      </c>
      <c r="AJ916" s="18">
        <v>56</v>
      </c>
      <c r="AK916" s="18">
        <v>210186</v>
      </c>
      <c r="AL916" s="18" t="b">
        <v>0</v>
      </c>
      <c r="AM916" s="18">
        <v>0.73699999999999999</v>
      </c>
      <c r="AN916" s="18">
        <v>0.29499999999999998</v>
      </c>
      <c r="AO916" s="18">
        <v>0</v>
      </c>
      <c r="AP916" s="18">
        <v>-7.1790000000000003</v>
      </c>
      <c r="AQ916" s="18">
        <v>1</v>
      </c>
      <c r="AR916" s="18">
        <v>3.32E-2</v>
      </c>
      <c r="AS916" s="18">
        <v>0.83</v>
      </c>
      <c r="AT916" s="18">
        <v>0</v>
      </c>
      <c r="AU916" s="18">
        <v>9.8400000000000001E-2</v>
      </c>
      <c r="AV916" s="18">
        <v>0.36899999999999999</v>
      </c>
      <c r="AW916" s="18">
        <v>107.107</v>
      </c>
      <c r="AX916" s="18">
        <v>4</v>
      </c>
      <c r="AY916" s="19" t="s">
        <v>24</v>
      </c>
    </row>
    <row r="917" spans="32:51" x14ac:dyDescent="0.35">
      <c r="AF917" s="14" t="s">
        <v>2722</v>
      </c>
      <c r="AG917" s="15" t="s">
        <v>591</v>
      </c>
      <c r="AH917" s="15" t="s">
        <v>1327</v>
      </c>
      <c r="AI917" s="15" t="s">
        <v>2723</v>
      </c>
      <c r="AJ917" s="15">
        <v>48</v>
      </c>
      <c r="AK917" s="15">
        <v>267306</v>
      </c>
      <c r="AL917" s="15" t="b">
        <v>0</v>
      </c>
      <c r="AM917" s="15">
        <v>0.51200000000000001</v>
      </c>
      <c r="AN917" s="15">
        <v>0.35899999999999999</v>
      </c>
      <c r="AO917" s="15">
        <v>9</v>
      </c>
      <c r="AP917" s="15">
        <v>-11.59</v>
      </c>
      <c r="AQ917" s="15">
        <v>1</v>
      </c>
      <c r="AR917" s="15">
        <v>2.7699999999999999E-2</v>
      </c>
      <c r="AS917" s="15">
        <v>0.56699999999999995</v>
      </c>
      <c r="AT917" s="15">
        <v>2.2599999999999999E-2</v>
      </c>
      <c r="AU917" s="15">
        <v>0.13</v>
      </c>
      <c r="AV917" s="15">
        <v>0.13200000000000001</v>
      </c>
      <c r="AW917" s="15">
        <v>129.83000000000001</v>
      </c>
      <c r="AX917" s="15">
        <v>4</v>
      </c>
      <c r="AY917" s="16" t="s">
        <v>24</v>
      </c>
    </row>
    <row r="918" spans="32:51" x14ac:dyDescent="0.35">
      <c r="AF918" s="17" t="s">
        <v>2724</v>
      </c>
      <c r="AG918" s="18" t="s">
        <v>2725</v>
      </c>
      <c r="AH918" s="18" t="s">
        <v>736</v>
      </c>
      <c r="AI918" s="18" t="s">
        <v>2726</v>
      </c>
      <c r="AJ918" s="18">
        <v>43</v>
      </c>
      <c r="AK918" s="18">
        <v>244173</v>
      </c>
      <c r="AL918" s="18" t="b">
        <v>0</v>
      </c>
      <c r="AM918" s="18">
        <v>0.56399999999999995</v>
      </c>
      <c r="AN918" s="18">
        <v>0.73099999999999998</v>
      </c>
      <c r="AO918" s="18">
        <v>9</v>
      </c>
      <c r="AP918" s="18">
        <v>-7.5380000000000003</v>
      </c>
      <c r="AQ918" s="18">
        <v>1</v>
      </c>
      <c r="AR918" s="18">
        <v>2.9499999999999998E-2</v>
      </c>
      <c r="AS918" s="18">
        <v>0.51700000000000002</v>
      </c>
      <c r="AT918" s="32" t="s">
        <v>2727</v>
      </c>
      <c r="AU918" s="18">
        <v>0.105</v>
      </c>
      <c r="AV918" s="18">
        <v>0.25700000000000001</v>
      </c>
      <c r="AW918" s="18">
        <v>95.036000000000001</v>
      </c>
      <c r="AX918" s="18">
        <v>4</v>
      </c>
      <c r="AY918" s="19" t="s">
        <v>24</v>
      </c>
    </row>
    <row r="919" spans="32:51" x14ac:dyDescent="0.35">
      <c r="AF919" s="14" t="s">
        <v>2728</v>
      </c>
      <c r="AG919" s="15" t="s">
        <v>2729</v>
      </c>
      <c r="AH919" s="15" t="s">
        <v>2730</v>
      </c>
      <c r="AI919" s="15" t="s">
        <v>2730</v>
      </c>
      <c r="AJ919" s="15">
        <v>33</v>
      </c>
      <c r="AK919" s="15">
        <v>252628</v>
      </c>
      <c r="AL919" s="15" t="b">
        <v>0</v>
      </c>
      <c r="AM919" s="15">
        <v>0.46400000000000002</v>
      </c>
      <c r="AN919" s="15">
        <v>0.72</v>
      </c>
      <c r="AO919" s="15">
        <v>9</v>
      </c>
      <c r="AP919" s="15">
        <v>-7.4660000000000002</v>
      </c>
      <c r="AQ919" s="15">
        <v>0</v>
      </c>
      <c r="AR919" s="15">
        <v>5.8299999999999998E-2</v>
      </c>
      <c r="AS919" s="15">
        <v>1.66E-2</v>
      </c>
      <c r="AT919" s="15">
        <v>4.8800000000000003E-2</v>
      </c>
      <c r="AU919" s="15">
        <v>8.0299999999999996E-2</v>
      </c>
      <c r="AV919" s="15">
        <v>0.19900000000000001</v>
      </c>
      <c r="AW919" s="15">
        <v>160.05699999999999</v>
      </c>
      <c r="AX919" s="15">
        <v>4</v>
      </c>
      <c r="AY919" s="16" t="s">
        <v>24</v>
      </c>
    </row>
    <row r="920" spans="32:51" x14ac:dyDescent="0.35">
      <c r="AF920" s="17" t="s">
        <v>2731</v>
      </c>
      <c r="AG920" s="18" t="s">
        <v>2732</v>
      </c>
      <c r="AH920" s="18" t="s">
        <v>2733</v>
      </c>
      <c r="AI920" s="18" t="s">
        <v>2733</v>
      </c>
      <c r="AJ920" s="18">
        <v>25</v>
      </c>
      <c r="AK920" s="18">
        <v>282387</v>
      </c>
      <c r="AL920" s="18" t="b">
        <v>0</v>
      </c>
      <c r="AM920" s="18">
        <v>0.61399999999999999</v>
      </c>
      <c r="AN920" s="18">
        <v>0.441</v>
      </c>
      <c r="AO920" s="18">
        <v>10</v>
      </c>
      <c r="AP920" s="18">
        <v>-9.375</v>
      </c>
      <c r="AQ920" s="18">
        <v>1</v>
      </c>
      <c r="AR920" s="18">
        <v>2.9399999999999999E-2</v>
      </c>
      <c r="AS920" s="18">
        <v>0.76</v>
      </c>
      <c r="AT920" s="32" t="s">
        <v>2734</v>
      </c>
      <c r="AU920" s="18">
        <v>0.14199999999999999</v>
      </c>
      <c r="AV920" s="18">
        <v>0.14799999999999999</v>
      </c>
      <c r="AW920" s="18">
        <v>117.991</v>
      </c>
      <c r="AX920" s="18">
        <v>4</v>
      </c>
      <c r="AY920" s="19" t="s">
        <v>24</v>
      </c>
    </row>
    <row r="921" spans="32:51" x14ac:dyDescent="0.35">
      <c r="AF921" s="14" t="s">
        <v>2735</v>
      </c>
      <c r="AG921" s="15" t="s">
        <v>2736</v>
      </c>
      <c r="AH921" s="15" t="s">
        <v>2019</v>
      </c>
      <c r="AI921" s="15" t="s">
        <v>2737</v>
      </c>
      <c r="AJ921" s="15">
        <v>47</v>
      </c>
      <c r="AK921" s="15">
        <v>283266</v>
      </c>
      <c r="AL921" s="15" t="b">
        <v>0</v>
      </c>
      <c r="AM921" s="15">
        <v>0.29199999999999998</v>
      </c>
      <c r="AN921" s="15">
        <v>0.28100000000000003</v>
      </c>
      <c r="AO921" s="15">
        <v>5</v>
      </c>
      <c r="AP921" s="15">
        <v>-11.569000000000001</v>
      </c>
      <c r="AQ921" s="15">
        <v>1</v>
      </c>
      <c r="AR921" s="15">
        <v>2.8799999999999999E-2</v>
      </c>
      <c r="AS921" s="15">
        <v>0.751</v>
      </c>
      <c r="AT921" s="15">
        <v>8.0099999999999995E-4</v>
      </c>
      <c r="AU921" s="15">
        <v>0.113</v>
      </c>
      <c r="AV921" s="15">
        <v>0.16400000000000001</v>
      </c>
      <c r="AW921" s="15">
        <v>89.256</v>
      </c>
      <c r="AX921" s="15">
        <v>4</v>
      </c>
      <c r="AY921" s="16" t="s">
        <v>24</v>
      </c>
    </row>
    <row r="922" spans="32:51" x14ac:dyDescent="0.35">
      <c r="AF922" s="17" t="s">
        <v>2738</v>
      </c>
      <c r="AG922" s="18" t="s">
        <v>258</v>
      </c>
      <c r="AH922" s="18" t="s">
        <v>2739</v>
      </c>
      <c r="AI922" s="18" t="s">
        <v>2740</v>
      </c>
      <c r="AJ922" s="18">
        <v>39</v>
      </c>
      <c r="AK922" s="18">
        <v>281213</v>
      </c>
      <c r="AL922" s="18" t="b">
        <v>0</v>
      </c>
      <c r="AM922" s="18">
        <v>0.65200000000000002</v>
      </c>
      <c r="AN922" s="18">
        <v>0.26300000000000001</v>
      </c>
      <c r="AO922" s="18">
        <v>0</v>
      </c>
      <c r="AP922" s="18">
        <v>-9.8360000000000003</v>
      </c>
      <c r="AQ922" s="18">
        <v>1</v>
      </c>
      <c r="AR922" s="18">
        <v>4.4699999999999997E-2</v>
      </c>
      <c r="AS922" s="18">
        <v>0.75800000000000001</v>
      </c>
      <c r="AT922" s="32" t="s">
        <v>2741</v>
      </c>
      <c r="AU922" s="18">
        <v>0.106</v>
      </c>
      <c r="AV922" s="18">
        <v>0.192</v>
      </c>
      <c r="AW922" s="18">
        <v>119.95699999999999</v>
      </c>
      <c r="AX922" s="18">
        <v>4</v>
      </c>
      <c r="AY922" s="19" t="s">
        <v>24</v>
      </c>
    </row>
    <row r="923" spans="32:51" x14ac:dyDescent="0.35">
      <c r="AF923" s="14" t="s">
        <v>2742</v>
      </c>
      <c r="AG923" s="15" t="s">
        <v>2270</v>
      </c>
      <c r="AH923" s="15" t="s">
        <v>2743</v>
      </c>
      <c r="AI923" s="15" t="s">
        <v>2744</v>
      </c>
      <c r="AJ923" s="15">
        <v>47</v>
      </c>
      <c r="AK923" s="15">
        <v>211364</v>
      </c>
      <c r="AL923" s="15" t="b">
        <v>0</v>
      </c>
      <c r="AM923" s="15">
        <v>0.747</v>
      </c>
      <c r="AN923" s="15">
        <v>0.221</v>
      </c>
      <c r="AO923" s="15">
        <v>0</v>
      </c>
      <c r="AP923" s="15">
        <v>-10.528</v>
      </c>
      <c r="AQ923" s="15">
        <v>0</v>
      </c>
      <c r="AR923" s="15">
        <v>3.5799999999999998E-2</v>
      </c>
      <c r="AS923" s="15">
        <v>0.93</v>
      </c>
      <c r="AT923" s="15">
        <v>0</v>
      </c>
      <c r="AU923" s="15">
        <v>0.11600000000000001</v>
      </c>
      <c r="AV923" s="15">
        <v>0.36899999999999999</v>
      </c>
      <c r="AW923" s="15">
        <v>118.029</v>
      </c>
      <c r="AX923" s="15">
        <v>4</v>
      </c>
      <c r="AY923" s="16" t="s">
        <v>24</v>
      </c>
    </row>
    <row r="924" spans="32:51" x14ac:dyDescent="0.35">
      <c r="AF924" s="17" t="s">
        <v>2745</v>
      </c>
      <c r="AG924" s="18" t="s">
        <v>2746</v>
      </c>
      <c r="AH924" s="18" t="s">
        <v>2747</v>
      </c>
      <c r="AI924" s="18" t="s">
        <v>2748</v>
      </c>
      <c r="AJ924" s="18">
        <v>50</v>
      </c>
      <c r="AK924" s="18">
        <v>167266</v>
      </c>
      <c r="AL924" s="18" t="b">
        <v>0</v>
      </c>
      <c r="AM924" s="18">
        <v>0.621</v>
      </c>
      <c r="AN924" s="18">
        <v>0.51900000000000002</v>
      </c>
      <c r="AO924" s="18">
        <v>11</v>
      </c>
      <c r="AP924" s="18">
        <v>-13.327999999999999</v>
      </c>
      <c r="AQ924" s="18">
        <v>0</v>
      </c>
      <c r="AR924" s="18">
        <v>0.10199999999999999</v>
      </c>
      <c r="AS924" s="18">
        <v>0.83699999999999997</v>
      </c>
      <c r="AT924" s="18">
        <v>2.4599999999999999E-3</v>
      </c>
      <c r="AU924" s="18">
        <v>0.16200000000000001</v>
      </c>
      <c r="AV924" s="18">
        <v>0.77500000000000002</v>
      </c>
      <c r="AW924" s="18">
        <v>117.005</v>
      </c>
      <c r="AX924" s="18">
        <v>4</v>
      </c>
      <c r="AY924" s="19" t="s">
        <v>24</v>
      </c>
    </row>
    <row r="925" spans="32:51" x14ac:dyDescent="0.35">
      <c r="AF925" s="14" t="s">
        <v>2749</v>
      </c>
      <c r="AG925" s="15" t="s">
        <v>991</v>
      </c>
      <c r="AH925" s="15" t="s">
        <v>2750</v>
      </c>
      <c r="AI925" s="15" t="s">
        <v>992</v>
      </c>
      <c r="AJ925" s="15">
        <v>27</v>
      </c>
      <c r="AK925" s="15">
        <v>223333</v>
      </c>
      <c r="AL925" s="15" t="b">
        <v>0</v>
      </c>
      <c r="AM925" s="15">
        <v>0.32400000000000001</v>
      </c>
      <c r="AN925" s="15">
        <v>0.873</v>
      </c>
      <c r="AO925" s="15">
        <v>10</v>
      </c>
      <c r="AP925" s="15">
        <v>-3.67</v>
      </c>
      <c r="AQ925" s="15">
        <v>1</v>
      </c>
      <c r="AR925" s="15">
        <v>6.6400000000000001E-2</v>
      </c>
      <c r="AS925" s="15">
        <v>1.1900000000000001E-3</v>
      </c>
      <c r="AT925" s="15">
        <v>0</v>
      </c>
      <c r="AU925" s="15">
        <v>0.443</v>
      </c>
      <c r="AV925" s="15">
        <v>0.77500000000000002</v>
      </c>
      <c r="AW925" s="15">
        <v>93.058999999999997</v>
      </c>
      <c r="AX925" s="15">
        <v>4</v>
      </c>
      <c r="AY925" s="16" t="s">
        <v>24</v>
      </c>
    </row>
    <row r="926" spans="32:51" x14ac:dyDescent="0.35">
      <c r="AF926" s="17" t="s">
        <v>2751</v>
      </c>
      <c r="AG926" s="18" t="s">
        <v>2752</v>
      </c>
      <c r="AH926" s="18" t="s">
        <v>2753</v>
      </c>
      <c r="AI926" s="18" t="s">
        <v>2754</v>
      </c>
      <c r="AJ926" s="18">
        <v>47</v>
      </c>
      <c r="AK926" s="18">
        <v>178659</v>
      </c>
      <c r="AL926" s="18" t="b">
        <v>0</v>
      </c>
      <c r="AM926" s="18">
        <v>0.72299999999999998</v>
      </c>
      <c r="AN926" s="18">
        <v>0.93</v>
      </c>
      <c r="AO926" s="18">
        <v>0</v>
      </c>
      <c r="AP926" s="18">
        <v>-3.2919999999999998</v>
      </c>
      <c r="AQ926" s="18">
        <v>1</v>
      </c>
      <c r="AR926" s="18">
        <v>0.128</v>
      </c>
      <c r="AS926" s="18">
        <v>0.23899999999999999</v>
      </c>
      <c r="AT926" s="18">
        <v>0</v>
      </c>
      <c r="AU926" s="18">
        <v>0.155</v>
      </c>
      <c r="AV926" s="18">
        <v>0.69</v>
      </c>
      <c r="AW926" s="18">
        <v>124.94</v>
      </c>
      <c r="AX926" s="18">
        <v>4</v>
      </c>
      <c r="AY926" s="19" t="s">
        <v>24</v>
      </c>
    </row>
    <row r="927" spans="32:51" x14ac:dyDescent="0.35">
      <c r="AF927" s="14" t="s">
        <v>2755</v>
      </c>
      <c r="AG927" s="15" t="s">
        <v>347</v>
      </c>
      <c r="AH927" s="15" t="s">
        <v>2326</v>
      </c>
      <c r="AI927" s="15" t="s">
        <v>2360</v>
      </c>
      <c r="AJ927" s="15">
        <v>26</v>
      </c>
      <c r="AK927" s="15">
        <v>300626</v>
      </c>
      <c r="AL927" s="15" t="b">
        <v>0</v>
      </c>
      <c r="AM927" s="15">
        <v>0.755</v>
      </c>
      <c r="AN927" s="15">
        <v>0.91800000000000004</v>
      </c>
      <c r="AO927" s="15">
        <v>8</v>
      </c>
      <c r="AP927" s="15">
        <v>-3.5579999999999998</v>
      </c>
      <c r="AQ927" s="15">
        <v>1</v>
      </c>
      <c r="AR927" s="15">
        <v>3.9699999999999999E-2</v>
      </c>
      <c r="AS927" s="15">
        <v>0.35599999999999998</v>
      </c>
      <c r="AT927" s="31" t="s">
        <v>2756</v>
      </c>
      <c r="AU927" s="15">
        <v>0.31900000000000001</v>
      </c>
      <c r="AV927" s="15">
        <v>0.63400000000000001</v>
      </c>
      <c r="AW927" s="15">
        <v>111.017</v>
      </c>
      <c r="AX927" s="15">
        <v>4</v>
      </c>
      <c r="AY927" s="16" t="s">
        <v>24</v>
      </c>
    </row>
    <row r="928" spans="32:51" x14ac:dyDescent="0.35">
      <c r="AF928" s="17" t="s">
        <v>2757</v>
      </c>
      <c r="AG928" s="18" t="s">
        <v>712</v>
      </c>
      <c r="AH928" s="18" t="s">
        <v>2135</v>
      </c>
      <c r="AI928" s="18" t="s">
        <v>2758</v>
      </c>
      <c r="AJ928" s="18">
        <v>51</v>
      </c>
      <c r="AK928" s="18">
        <v>361013</v>
      </c>
      <c r="AL928" s="18" t="b">
        <v>0</v>
      </c>
      <c r="AM928" s="18">
        <v>0.502</v>
      </c>
      <c r="AN928" s="18">
        <v>0.309</v>
      </c>
      <c r="AO928" s="18">
        <v>5</v>
      </c>
      <c r="AP928" s="18">
        <v>-12.12</v>
      </c>
      <c r="AQ928" s="18">
        <v>1</v>
      </c>
      <c r="AR928" s="18">
        <v>3.0800000000000001E-2</v>
      </c>
      <c r="AS928" s="18">
        <v>0.57499999999999996</v>
      </c>
      <c r="AT928" s="18">
        <v>8.9400000000000005E-4</v>
      </c>
      <c r="AU928" s="18">
        <v>9.5299999999999996E-2</v>
      </c>
      <c r="AV928" s="18">
        <v>0.27300000000000002</v>
      </c>
      <c r="AW928" s="18">
        <v>119.236</v>
      </c>
      <c r="AX928" s="18">
        <v>4</v>
      </c>
      <c r="AY928" s="19" t="s">
        <v>24</v>
      </c>
    </row>
    <row r="929" spans="32:51" x14ac:dyDescent="0.35">
      <c r="AF929" s="14" t="s">
        <v>2759</v>
      </c>
      <c r="AG929" s="15" t="s">
        <v>2760</v>
      </c>
      <c r="AH929" s="15" t="s">
        <v>2761</v>
      </c>
      <c r="AI929" s="15" t="s">
        <v>2762</v>
      </c>
      <c r="AJ929" s="15">
        <v>26</v>
      </c>
      <c r="AK929" s="15">
        <v>133500</v>
      </c>
      <c r="AL929" s="15" t="b">
        <v>0</v>
      </c>
      <c r="AM929" s="15">
        <v>0.58599999999999997</v>
      </c>
      <c r="AN929" s="15">
        <v>0.115</v>
      </c>
      <c r="AO929" s="15">
        <v>7</v>
      </c>
      <c r="AP929" s="15">
        <v>-20.442</v>
      </c>
      <c r="AQ929" s="15">
        <v>1</v>
      </c>
      <c r="AR929" s="15">
        <v>5.6300000000000003E-2</v>
      </c>
      <c r="AS929" s="15">
        <v>0.83599999999999997</v>
      </c>
      <c r="AT929" s="15">
        <v>0.92600000000000005</v>
      </c>
      <c r="AU929" s="15">
        <v>0.11</v>
      </c>
      <c r="AV929" s="15">
        <v>0.88500000000000001</v>
      </c>
      <c r="AW929" s="15">
        <v>179.941</v>
      </c>
      <c r="AX929" s="15">
        <v>4</v>
      </c>
      <c r="AY929" s="16" t="s">
        <v>24</v>
      </c>
    </row>
    <row r="930" spans="32:51" x14ac:dyDescent="0.35">
      <c r="AF930" s="17" t="s">
        <v>2763</v>
      </c>
      <c r="AG930" s="18" t="s">
        <v>2764</v>
      </c>
      <c r="AH930" s="18" t="s">
        <v>2765</v>
      </c>
      <c r="AI930" s="18" t="s">
        <v>2766</v>
      </c>
      <c r="AJ930" s="18">
        <v>37</v>
      </c>
      <c r="AK930" s="18">
        <v>213620</v>
      </c>
      <c r="AL930" s="18" t="b">
        <v>0</v>
      </c>
      <c r="AM930" s="18">
        <v>0.67400000000000004</v>
      </c>
      <c r="AN930" s="18">
        <v>0.52</v>
      </c>
      <c r="AO930" s="18">
        <v>0</v>
      </c>
      <c r="AP930" s="18">
        <v>-10.106</v>
      </c>
      <c r="AQ930" s="18">
        <v>1</v>
      </c>
      <c r="AR930" s="18">
        <v>5.11E-2</v>
      </c>
      <c r="AS930" s="18">
        <v>0.27200000000000002</v>
      </c>
      <c r="AT930" s="32" t="s">
        <v>2767</v>
      </c>
      <c r="AU930" s="18">
        <v>0.151</v>
      </c>
      <c r="AV930" s="18">
        <v>0.42199999999999999</v>
      </c>
      <c r="AW930" s="18">
        <v>116.029</v>
      </c>
      <c r="AX930" s="18">
        <v>4</v>
      </c>
      <c r="AY930" s="19" t="s">
        <v>24</v>
      </c>
    </row>
    <row r="931" spans="32:51" x14ac:dyDescent="0.35">
      <c r="AF931" s="14" t="s">
        <v>2768</v>
      </c>
      <c r="AG931" s="15" t="s">
        <v>1924</v>
      </c>
      <c r="AH931" s="15" t="s">
        <v>2769</v>
      </c>
      <c r="AI931" s="15" t="s">
        <v>2769</v>
      </c>
      <c r="AJ931" s="15">
        <v>25</v>
      </c>
      <c r="AK931" s="15">
        <v>187908</v>
      </c>
      <c r="AL931" s="15" t="b">
        <v>0</v>
      </c>
      <c r="AM931" s="15">
        <v>0.49099999999999999</v>
      </c>
      <c r="AN931" s="15">
        <v>0.56100000000000005</v>
      </c>
      <c r="AO931" s="15">
        <v>11</v>
      </c>
      <c r="AP931" s="15">
        <v>-7.2249999999999996</v>
      </c>
      <c r="AQ931" s="15">
        <v>1</v>
      </c>
      <c r="AR931" s="15">
        <v>2.46E-2</v>
      </c>
      <c r="AS931" s="15">
        <v>0.108</v>
      </c>
      <c r="AT931" s="15">
        <v>0</v>
      </c>
      <c r="AU931" s="15">
        <v>0.13900000000000001</v>
      </c>
      <c r="AV931" s="15">
        <v>0.22</v>
      </c>
      <c r="AW931" s="15">
        <v>151.94300000000001</v>
      </c>
      <c r="AX931" s="15">
        <v>4</v>
      </c>
      <c r="AY931" s="16" t="s">
        <v>24</v>
      </c>
    </row>
    <row r="932" spans="32:51" x14ac:dyDescent="0.35">
      <c r="AF932" s="17" t="s">
        <v>2770</v>
      </c>
      <c r="AG932" s="18" t="s">
        <v>408</v>
      </c>
      <c r="AH932" s="18" t="s">
        <v>2771</v>
      </c>
      <c r="AI932" s="18" t="s">
        <v>2772</v>
      </c>
      <c r="AJ932" s="18">
        <v>45</v>
      </c>
      <c r="AK932" s="18">
        <v>236200</v>
      </c>
      <c r="AL932" s="18" t="b">
        <v>0</v>
      </c>
      <c r="AM932" s="18">
        <v>0.40500000000000003</v>
      </c>
      <c r="AN932" s="18">
        <v>0.42799999999999999</v>
      </c>
      <c r="AO932" s="18">
        <v>5</v>
      </c>
      <c r="AP932" s="18">
        <v>-9.5060000000000002</v>
      </c>
      <c r="AQ932" s="18">
        <v>1</v>
      </c>
      <c r="AR932" s="18">
        <v>2.7699999999999999E-2</v>
      </c>
      <c r="AS932" s="18">
        <v>1.8200000000000001E-2</v>
      </c>
      <c r="AT932" s="32" t="s">
        <v>2773</v>
      </c>
      <c r="AU932" s="18">
        <v>0.14000000000000001</v>
      </c>
      <c r="AV932" s="18">
        <v>0.33100000000000002</v>
      </c>
      <c r="AW932" s="18">
        <v>145.51499999999999</v>
      </c>
      <c r="AX932" s="18">
        <v>3</v>
      </c>
      <c r="AY932" s="19" t="s">
        <v>24</v>
      </c>
    </row>
    <row r="933" spans="32:51" x14ac:dyDescent="0.35">
      <c r="AF933" s="14" t="s">
        <v>2774</v>
      </c>
      <c r="AG933" s="15" t="s">
        <v>1202</v>
      </c>
      <c r="AH933" s="15" t="s">
        <v>2484</v>
      </c>
      <c r="AI933" s="15" t="s">
        <v>2775</v>
      </c>
      <c r="AJ933" s="15">
        <v>25</v>
      </c>
      <c r="AK933" s="15">
        <v>242001</v>
      </c>
      <c r="AL933" s="15" t="b">
        <v>0</v>
      </c>
      <c r="AM933" s="15">
        <v>0.66700000000000004</v>
      </c>
      <c r="AN933" s="15">
        <v>1.1900000000000001E-2</v>
      </c>
      <c r="AO933" s="15">
        <v>0</v>
      </c>
      <c r="AP933" s="15">
        <v>-16.177</v>
      </c>
      <c r="AQ933" s="15">
        <v>1</v>
      </c>
      <c r="AR933" s="15">
        <v>6.3600000000000004E-2</v>
      </c>
      <c r="AS933" s="15">
        <v>0.86699999999999999</v>
      </c>
      <c r="AT933" s="15">
        <v>0</v>
      </c>
      <c r="AU933" s="15">
        <v>0.28799999999999998</v>
      </c>
      <c r="AV933" s="15">
        <v>0.40799999999999997</v>
      </c>
      <c r="AW933" s="15">
        <v>133.27699999999999</v>
      </c>
      <c r="AX933" s="15">
        <v>4</v>
      </c>
      <c r="AY933" s="16" t="s">
        <v>24</v>
      </c>
    </row>
    <row r="934" spans="32:51" x14ac:dyDescent="0.35">
      <c r="AF934" s="17" t="s">
        <v>2776</v>
      </c>
      <c r="AG934" s="18" t="s">
        <v>2777</v>
      </c>
      <c r="AH934" s="18" t="s">
        <v>2778</v>
      </c>
      <c r="AI934" s="18" t="s">
        <v>2779</v>
      </c>
      <c r="AJ934" s="18">
        <v>26</v>
      </c>
      <c r="AK934" s="18">
        <v>246773</v>
      </c>
      <c r="AL934" s="18" t="b">
        <v>0</v>
      </c>
      <c r="AM934" s="18">
        <v>0.67500000000000004</v>
      </c>
      <c r="AN934" s="18">
        <v>0.36599999999999999</v>
      </c>
      <c r="AO934" s="18">
        <v>2</v>
      </c>
      <c r="AP934" s="18">
        <v>-13.493</v>
      </c>
      <c r="AQ934" s="18">
        <v>1</v>
      </c>
      <c r="AR934" s="18">
        <v>7.5899999999999995E-2</v>
      </c>
      <c r="AS934" s="18">
        <v>0.71899999999999997</v>
      </c>
      <c r="AT934" s="18">
        <v>1.0499999999999999E-3</v>
      </c>
      <c r="AU934" s="18">
        <v>0.191</v>
      </c>
      <c r="AV934" s="18">
        <v>0.41099999999999998</v>
      </c>
      <c r="AW934" s="18">
        <v>72.662000000000006</v>
      </c>
      <c r="AX934" s="18">
        <v>4</v>
      </c>
      <c r="AY934" s="19" t="s">
        <v>24</v>
      </c>
    </row>
    <row r="935" spans="32:51" x14ac:dyDescent="0.35">
      <c r="AF935" s="14" t="s">
        <v>2780</v>
      </c>
      <c r="AG935" s="15" t="s">
        <v>263</v>
      </c>
      <c r="AH935" s="15" t="s">
        <v>100</v>
      </c>
      <c r="AI935" s="15" t="s">
        <v>2781</v>
      </c>
      <c r="AJ935" s="15">
        <v>44</v>
      </c>
      <c r="AK935" s="15">
        <v>230186</v>
      </c>
      <c r="AL935" s="15" t="b">
        <v>0</v>
      </c>
      <c r="AM935" s="15">
        <v>0.60199999999999998</v>
      </c>
      <c r="AN935" s="15">
        <v>0.40400000000000003</v>
      </c>
      <c r="AO935" s="15">
        <v>2</v>
      </c>
      <c r="AP935" s="15">
        <v>-7.3440000000000003</v>
      </c>
      <c r="AQ935" s="15">
        <v>1</v>
      </c>
      <c r="AR935" s="15">
        <v>2.7199999999999998E-2</v>
      </c>
      <c r="AS935" s="15">
        <v>0.31</v>
      </c>
      <c r="AT935" s="15">
        <v>0</v>
      </c>
      <c r="AU935" s="15">
        <v>0.14000000000000001</v>
      </c>
      <c r="AV935" s="15">
        <v>0.24299999999999999</v>
      </c>
      <c r="AW935" s="15">
        <v>83.054000000000002</v>
      </c>
      <c r="AX935" s="15">
        <v>4</v>
      </c>
      <c r="AY935" s="16" t="s">
        <v>24</v>
      </c>
    </row>
    <row r="936" spans="32:51" x14ac:dyDescent="0.35">
      <c r="AF936" s="17" t="s">
        <v>2782</v>
      </c>
      <c r="AG936" s="18" t="s">
        <v>2041</v>
      </c>
      <c r="AH936" s="18" t="s">
        <v>2783</v>
      </c>
      <c r="AI936" s="18" t="s">
        <v>2784</v>
      </c>
      <c r="AJ936" s="18">
        <v>27</v>
      </c>
      <c r="AK936" s="18">
        <v>198136</v>
      </c>
      <c r="AL936" s="18" t="b">
        <v>0</v>
      </c>
      <c r="AM936" s="18">
        <v>0.439</v>
      </c>
      <c r="AN936" s="18">
        <v>0.53200000000000003</v>
      </c>
      <c r="AO936" s="18">
        <v>2</v>
      </c>
      <c r="AP936" s="18">
        <v>-5.0709999999999997</v>
      </c>
      <c r="AQ936" s="18">
        <v>1</v>
      </c>
      <c r="AR936" s="18">
        <v>4.7300000000000002E-2</v>
      </c>
      <c r="AS936" s="18">
        <v>0.61799999999999999</v>
      </c>
      <c r="AT936" s="18">
        <v>0</v>
      </c>
      <c r="AU936" s="18">
        <v>0.14199999999999999</v>
      </c>
      <c r="AV936" s="18">
        <v>0.437</v>
      </c>
      <c r="AW936" s="18">
        <v>129.93600000000001</v>
      </c>
      <c r="AX936" s="18">
        <v>4</v>
      </c>
      <c r="AY936" s="19" t="s">
        <v>24</v>
      </c>
    </row>
    <row r="937" spans="32:51" x14ac:dyDescent="0.35">
      <c r="AF937" s="14" t="s">
        <v>2785</v>
      </c>
      <c r="AG937" s="15" t="s">
        <v>2786</v>
      </c>
      <c r="AH937" s="15" t="s">
        <v>2787</v>
      </c>
      <c r="AI937" s="15" t="s">
        <v>2788</v>
      </c>
      <c r="AJ937" s="15">
        <v>25</v>
      </c>
      <c r="AK937" s="15">
        <v>126951</v>
      </c>
      <c r="AL937" s="15" t="b">
        <v>0</v>
      </c>
      <c r="AM937" s="15">
        <v>0.60799999999999998</v>
      </c>
      <c r="AN937" s="15">
        <v>0.15</v>
      </c>
      <c r="AO937" s="15">
        <v>11</v>
      </c>
      <c r="AP937" s="15">
        <v>-12.728999999999999</v>
      </c>
      <c r="AQ937" s="15">
        <v>1</v>
      </c>
      <c r="AR937" s="15">
        <v>3.2099999999999997E-2</v>
      </c>
      <c r="AS937" s="15">
        <v>0.86299999999999999</v>
      </c>
      <c r="AT937" s="15">
        <v>0</v>
      </c>
      <c r="AU937" s="15">
        <v>0.124</v>
      </c>
      <c r="AV937" s="15">
        <v>0.434</v>
      </c>
      <c r="AW937" s="15">
        <v>81.988</v>
      </c>
      <c r="AX937" s="15">
        <v>4</v>
      </c>
      <c r="AY937" s="16" t="s">
        <v>24</v>
      </c>
    </row>
    <row r="938" spans="32:51" x14ac:dyDescent="0.35">
      <c r="AF938" s="17" t="s">
        <v>2789</v>
      </c>
      <c r="AG938" s="18" t="s">
        <v>1924</v>
      </c>
      <c r="AH938" s="18" t="s">
        <v>1925</v>
      </c>
      <c r="AI938" s="18" t="s">
        <v>2790</v>
      </c>
      <c r="AJ938" s="18">
        <v>24</v>
      </c>
      <c r="AK938" s="18">
        <v>180000</v>
      </c>
      <c r="AL938" s="18" t="b">
        <v>0</v>
      </c>
      <c r="AM938" s="18">
        <v>0.55600000000000005</v>
      </c>
      <c r="AN938" s="18">
        <v>0.51100000000000001</v>
      </c>
      <c r="AO938" s="18">
        <v>3</v>
      </c>
      <c r="AP938" s="18">
        <v>-5.4249999999999998</v>
      </c>
      <c r="AQ938" s="18">
        <v>1</v>
      </c>
      <c r="AR938" s="18">
        <v>2.98E-2</v>
      </c>
      <c r="AS938" s="18">
        <v>0.78200000000000003</v>
      </c>
      <c r="AT938" s="32" t="s">
        <v>2791</v>
      </c>
      <c r="AU938" s="18">
        <v>9.8900000000000002E-2</v>
      </c>
      <c r="AV938" s="18">
        <v>0.53700000000000003</v>
      </c>
      <c r="AW938" s="18">
        <v>81.613</v>
      </c>
      <c r="AX938" s="18">
        <v>4</v>
      </c>
      <c r="AY938" s="19" t="s">
        <v>24</v>
      </c>
    </row>
    <row r="939" spans="32:51" x14ac:dyDescent="0.35">
      <c r="AF939" s="14" t="s">
        <v>2792</v>
      </c>
      <c r="AG939" s="15" t="s">
        <v>1660</v>
      </c>
      <c r="AH939" s="15" t="s">
        <v>2375</v>
      </c>
      <c r="AI939" s="15" t="s">
        <v>2793</v>
      </c>
      <c r="AJ939" s="15">
        <v>27</v>
      </c>
      <c r="AK939" s="15">
        <v>104306</v>
      </c>
      <c r="AL939" s="15" t="b">
        <v>1</v>
      </c>
      <c r="AM939" s="15">
        <v>0.68200000000000005</v>
      </c>
      <c r="AN939" s="15">
        <v>0.66600000000000004</v>
      </c>
      <c r="AO939" s="15">
        <v>0</v>
      </c>
      <c r="AP939" s="15">
        <v>-4.8230000000000004</v>
      </c>
      <c r="AQ939" s="15">
        <v>1</v>
      </c>
      <c r="AR939" s="15">
        <v>3.8100000000000002E-2</v>
      </c>
      <c r="AS939" s="15">
        <v>6.0199999999999997E-2</v>
      </c>
      <c r="AT939" s="31" t="s">
        <v>2794</v>
      </c>
      <c r="AU939" s="15">
        <v>0.20799999999999999</v>
      </c>
      <c r="AV939" s="15">
        <v>0.79</v>
      </c>
      <c r="AW939" s="15">
        <v>93.992000000000004</v>
      </c>
      <c r="AX939" s="15">
        <v>4</v>
      </c>
      <c r="AY939" s="16" t="s">
        <v>24</v>
      </c>
    </row>
    <row r="940" spans="32:51" x14ac:dyDescent="0.35">
      <c r="AF940" s="17" t="s">
        <v>2795</v>
      </c>
      <c r="AG940" s="18" t="s">
        <v>2796</v>
      </c>
      <c r="AH940" s="18" t="s">
        <v>2797</v>
      </c>
      <c r="AI940" s="18" t="s">
        <v>2798</v>
      </c>
      <c r="AJ940" s="18">
        <v>25</v>
      </c>
      <c r="AK940" s="18">
        <v>226786</v>
      </c>
      <c r="AL940" s="18" t="b">
        <v>0</v>
      </c>
      <c r="AM940" s="18">
        <v>0.64400000000000002</v>
      </c>
      <c r="AN940" s="18">
        <v>0.34</v>
      </c>
      <c r="AO940" s="18">
        <v>0</v>
      </c>
      <c r="AP940" s="18">
        <v>-6.7590000000000003</v>
      </c>
      <c r="AQ940" s="18">
        <v>1</v>
      </c>
      <c r="AR940" s="18">
        <v>2.7E-2</v>
      </c>
      <c r="AS940" s="18">
        <v>0.49099999999999999</v>
      </c>
      <c r="AT940" s="18">
        <v>0</v>
      </c>
      <c r="AU940" s="18">
        <v>8.2900000000000001E-2</v>
      </c>
      <c r="AV940" s="18">
        <v>0.29799999999999999</v>
      </c>
      <c r="AW940" s="18">
        <v>129.99700000000001</v>
      </c>
      <c r="AX940" s="18">
        <v>4</v>
      </c>
      <c r="AY940" s="19" t="s">
        <v>24</v>
      </c>
    </row>
    <row r="941" spans="32:51" x14ac:dyDescent="0.35">
      <c r="AF941" s="14" t="s">
        <v>2799</v>
      </c>
      <c r="AG941" s="15" t="s">
        <v>1660</v>
      </c>
      <c r="AH941" s="15" t="s">
        <v>1661</v>
      </c>
      <c r="AI941" s="15" t="s">
        <v>2800</v>
      </c>
      <c r="AJ941" s="15">
        <v>27</v>
      </c>
      <c r="AK941" s="15">
        <v>220832</v>
      </c>
      <c r="AL941" s="15" t="b">
        <v>0</v>
      </c>
      <c r="AM941" s="15">
        <v>0.55400000000000005</v>
      </c>
      <c r="AN941" s="15">
        <v>0.65500000000000003</v>
      </c>
      <c r="AO941" s="15">
        <v>11</v>
      </c>
      <c r="AP941" s="15">
        <v>-8.0739999999999998</v>
      </c>
      <c r="AQ941" s="15">
        <v>1</v>
      </c>
      <c r="AR941" s="15">
        <v>3.8800000000000001E-2</v>
      </c>
      <c r="AS941" s="15">
        <v>1.9300000000000001E-3</v>
      </c>
      <c r="AT941" s="15">
        <v>0.56000000000000005</v>
      </c>
      <c r="AU941" s="15">
        <v>0.28000000000000003</v>
      </c>
      <c r="AV941" s="15">
        <v>0.36299999999999999</v>
      </c>
      <c r="AW941" s="15">
        <v>100.423</v>
      </c>
      <c r="AX941" s="15">
        <v>4</v>
      </c>
      <c r="AY941" s="16" t="s">
        <v>24</v>
      </c>
    </row>
    <row r="942" spans="32:51" x14ac:dyDescent="0.35">
      <c r="AF942" s="17" t="s">
        <v>2801</v>
      </c>
      <c r="AG942" s="18" t="s">
        <v>755</v>
      </c>
      <c r="AH942" s="18" t="s">
        <v>2802</v>
      </c>
      <c r="AI942" s="18" t="s">
        <v>2803</v>
      </c>
      <c r="AJ942" s="18">
        <v>27</v>
      </c>
      <c r="AK942" s="18">
        <v>149214</v>
      </c>
      <c r="AL942" s="18" t="b">
        <v>1</v>
      </c>
      <c r="AM942" s="18">
        <v>0.56499999999999995</v>
      </c>
      <c r="AN942" s="18">
        <v>0.61099999999999999</v>
      </c>
      <c r="AO942" s="18">
        <v>5</v>
      </c>
      <c r="AP942" s="18">
        <v>-9.1240000000000006</v>
      </c>
      <c r="AQ942" s="18">
        <v>1</v>
      </c>
      <c r="AR942" s="18">
        <v>6.7599999999999993E-2</v>
      </c>
      <c r="AS942" s="18">
        <v>0.34499999999999997</v>
      </c>
      <c r="AT942" s="32" t="s">
        <v>2804</v>
      </c>
      <c r="AU942" s="18">
        <v>5.2699999999999997E-2</v>
      </c>
      <c r="AV942" s="18">
        <v>0.91400000000000003</v>
      </c>
      <c r="AW942" s="18">
        <v>137.28899999999999</v>
      </c>
      <c r="AX942" s="18">
        <v>4</v>
      </c>
      <c r="AY942" s="19" t="s">
        <v>24</v>
      </c>
    </row>
    <row r="943" spans="32:51" x14ac:dyDescent="0.35">
      <c r="AF943" s="14" t="s">
        <v>2805</v>
      </c>
      <c r="AG943" s="15" t="s">
        <v>2806</v>
      </c>
      <c r="AH943" s="15" t="s">
        <v>1665</v>
      </c>
      <c r="AI943" s="15" t="s">
        <v>2807</v>
      </c>
      <c r="AJ943" s="15">
        <v>25</v>
      </c>
      <c r="AK943" s="15">
        <v>141176</v>
      </c>
      <c r="AL943" s="15" t="b">
        <v>0</v>
      </c>
      <c r="AM943" s="15">
        <v>0.879</v>
      </c>
      <c r="AN943" s="15">
        <v>0.41099999999999998</v>
      </c>
      <c r="AO943" s="15">
        <v>8</v>
      </c>
      <c r="AP943" s="15">
        <v>-5.1459999999999999</v>
      </c>
      <c r="AQ943" s="15">
        <v>1</v>
      </c>
      <c r="AR943" s="15">
        <v>3.7600000000000001E-2</v>
      </c>
      <c r="AS943" s="15">
        <v>0.61</v>
      </c>
      <c r="AT943" s="15">
        <v>0</v>
      </c>
      <c r="AU943" s="15">
        <v>0.29599999999999999</v>
      </c>
      <c r="AV943" s="15">
        <v>0.60899999999999999</v>
      </c>
      <c r="AW943" s="15">
        <v>119.01300000000001</v>
      </c>
      <c r="AX943" s="15">
        <v>4</v>
      </c>
      <c r="AY943" s="16" t="s">
        <v>24</v>
      </c>
    </row>
    <row r="944" spans="32:51" x14ac:dyDescent="0.35">
      <c r="AF944" s="17" t="s">
        <v>2808</v>
      </c>
      <c r="AG944" s="18" t="s">
        <v>755</v>
      </c>
      <c r="AH944" s="18" t="s">
        <v>756</v>
      </c>
      <c r="AI944" s="18" t="s">
        <v>2809</v>
      </c>
      <c r="AJ944" s="18">
        <v>27</v>
      </c>
      <c r="AK944" s="18">
        <v>230691</v>
      </c>
      <c r="AL944" s="18" t="b">
        <v>1</v>
      </c>
      <c r="AM944" s="18">
        <v>0.42499999999999999</v>
      </c>
      <c r="AN944" s="18">
        <v>0.752</v>
      </c>
      <c r="AO944" s="18">
        <v>9</v>
      </c>
      <c r="AP944" s="18">
        <v>-4.649</v>
      </c>
      <c r="AQ944" s="18">
        <v>0</v>
      </c>
      <c r="AR944" s="18">
        <v>3.9800000000000002E-2</v>
      </c>
      <c r="AS944" s="18">
        <v>0.30499999999999999</v>
      </c>
      <c r="AT944" s="18">
        <v>0</v>
      </c>
      <c r="AU944" s="18">
        <v>0.157</v>
      </c>
      <c r="AV944" s="18">
        <v>0.84399999999999997</v>
      </c>
      <c r="AW944" s="18">
        <v>105.46599999999999</v>
      </c>
      <c r="AX944" s="18">
        <v>4</v>
      </c>
      <c r="AY944" s="19" t="s">
        <v>24</v>
      </c>
    </row>
    <row r="945" spans="32:51" x14ac:dyDescent="0.35">
      <c r="AF945" s="14" t="s">
        <v>2810</v>
      </c>
      <c r="AG945" s="15" t="s">
        <v>2811</v>
      </c>
      <c r="AH945" s="15" t="s">
        <v>2812</v>
      </c>
      <c r="AI945" s="15" t="s">
        <v>2813</v>
      </c>
      <c r="AJ945" s="15">
        <v>28</v>
      </c>
      <c r="AK945" s="15">
        <v>154106</v>
      </c>
      <c r="AL945" s="15" t="b">
        <v>0</v>
      </c>
      <c r="AM945" s="15">
        <v>0.49</v>
      </c>
      <c r="AN945" s="15">
        <v>0.19800000000000001</v>
      </c>
      <c r="AO945" s="15">
        <v>7</v>
      </c>
      <c r="AP945" s="15">
        <v>-13.404999999999999</v>
      </c>
      <c r="AQ945" s="15">
        <v>1</v>
      </c>
      <c r="AR945" s="15">
        <v>3.4099999999999998E-2</v>
      </c>
      <c r="AS945" s="15">
        <v>0.97299999999999998</v>
      </c>
      <c r="AT945" s="15">
        <v>2.12E-2</v>
      </c>
      <c r="AU945" s="15">
        <v>0.125</v>
      </c>
      <c r="AV945" s="15">
        <v>0.63600000000000001</v>
      </c>
      <c r="AW945" s="15">
        <v>106.71</v>
      </c>
      <c r="AX945" s="15">
        <v>4</v>
      </c>
      <c r="AY945" s="16" t="s">
        <v>24</v>
      </c>
    </row>
    <row r="946" spans="32:51" x14ac:dyDescent="0.35">
      <c r="AF946" s="17" t="s">
        <v>2814</v>
      </c>
      <c r="AG946" s="18" t="s">
        <v>1073</v>
      </c>
      <c r="AH946" s="18" t="s">
        <v>2062</v>
      </c>
      <c r="AI946" s="18" t="s">
        <v>2815</v>
      </c>
      <c r="AJ946" s="18">
        <v>26</v>
      </c>
      <c r="AK946" s="18">
        <v>274133</v>
      </c>
      <c r="AL946" s="18" t="b">
        <v>0</v>
      </c>
      <c r="AM946" s="18">
        <v>0.27900000000000003</v>
      </c>
      <c r="AN946" s="18">
        <v>0.498</v>
      </c>
      <c r="AO946" s="18">
        <v>4</v>
      </c>
      <c r="AP946" s="18">
        <v>-8.52</v>
      </c>
      <c r="AQ946" s="18">
        <v>1</v>
      </c>
      <c r="AR946" s="18">
        <v>3.5000000000000003E-2</v>
      </c>
      <c r="AS946" s="18">
        <v>0.217</v>
      </c>
      <c r="AT946" s="18">
        <v>0</v>
      </c>
      <c r="AU946" s="18">
        <v>0.34799999999999998</v>
      </c>
      <c r="AV946" s="18">
        <v>0.49199999999999999</v>
      </c>
      <c r="AW946" s="18">
        <v>183.874</v>
      </c>
      <c r="AX946" s="18">
        <v>4</v>
      </c>
      <c r="AY946" s="19" t="s">
        <v>24</v>
      </c>
    </row>
    <row r="947" spans="32:51" x14ac:dyDescent="0.35">
      <c r="AF947" s="14" t="s">
        <v>2816</v>
      </c>
      <c r="AG947" s="15" t="s">
        <v>2817</v>
      </c>
      <c r="AH947" s="15" t="s">
        <v>2818</v>
      </c>
      <c r="AI947" s="15" t="s">
        <v>1256</v>
      </c>
      <c r="AJ947" s="15">
        <v>25</v>
      </c>
      <c r="AK947" s="15">
        <v>209530</v>
      </c>
      <c r="AL947" s="15" t="b">
        <v>0</v>
      </c>
      <c r="AM947" s="15">
        <v>0.503</v>
      </c>
      <c r="AN947" s="15">
        <v>0.35399999999999998</v>
      </c>
      <c r="AO947" s="15">
        <v>0</v>
      </c>
      <c r="AP947" s="15">
        <v>-7.4930000000000003</v>
      </c>
      <c r="AQ947" s="15">
        <v>1</v>
      </c>
      <c r="AR947" s="15">
        <v>3.2899999999999999E-2</v>
      </c>
      <c r="AS947" s="15">
        <v>0.93799999999999994</v>
      </c>
      <c r="AT947" s="15">
        <v>0</v>
      </c>
      <c r="AU947" s="15">
        <v>9.8699999999999996E-2</v>
      </c>
      <c r="AV947" s="15">
        <v>0.372</v>
      </c>
      <c r="AW947" s="15">
        <v>72.295000000000002</v>
      </c>
      <c r="AX947" s="15">
        <v>3</v>
      </c>
      <c r="AY947" s="16" t="s">
        <v>24</v>
      </c>
    </row>
    <row r="948" spans="32:51" x14ac:dyDescent="0.35">
      <c r="AF948" s="17" t="s">
        <v>2819</v>
      </c>
      <c r="AG948" s="18" t="s">
        <v>1950</v>
      </c>
      <c r="AH948" s="18" t="s">
        <v>1950</v>
      </c>
      <c r="AI948" s="18" t="s">
        <v>2820</v>
      </c>
      <c r="AJ948" s="18">
        <v>26</v>
      </c>
      <c r="AK948" s="18">
        <v>203702</v>
      </c>
      <c r="AL948" s="18" t="b">
        <v>0</v>
      </c>
      <c r="AM948" s="18">
        <v>0.53100000000000003</v>
      </c>
      <c r="AN948" s="18">
        <v>0.28899999999999998</v>
      </c>
      <c r="AO948" s="18">
        <v>0</v>
      </c>
      <c r="AP948" s="18">
        <v>-13.246</v>
      </c>
      <c r="AQ948" s="18">
        <v>0</v>
      </c>
      <c r="AR948" s="18">
        <v>5.0500000000000003E-2</v>
      </c>
      <c r="AS948" s="18">
        <v>0.85399999999999998</v>
      </c>
      <c r="AT948" s="18">
        <v>0</v>
      </c>
      <c r="AU948" s="18">
        <v>9.1800000000000007E-2</v>
      </c>
      <c r="AV948" s="18">
        <v>0.61099999999999999</v>
      </c>
      <c r="AW948" s="18">
        <v>124.157</v>
      </c>
      <c r="AX948" s="18">
        <v>4</v>
      </c>
      <c r="AY948" s="19" t="s">
        <v>24</v>
      </c>
    </row>
    <row r="949" spans="32:51" x14ac:dyDescent="0.35">
      <c r="AF949" s="14" t="s">
        <v>2821</v>
      </c>
      <c r="AG949" s="15" t="s">
        <v>1510</v>
      </c>
      <c r="AH949" s="15" t="s">
        <v>2822</v>
      </c>
      <c r="AI949" s="15" t="s">
        <v>2823</v>
      </c>
      <c r="AJ949" s="15">
        <v>27</v>
      </c>
      <c r="AK949" s="15">
        <v>197266</v>
      </c>
      <c r="AL949" s="15" t="b">
        <v>1</v>
      </c>
      <c r="AM949" s="15">
        <v>0.308</v>
      </c>
      <c r="AN949" s="15">
        <v>0.85399999999999998</v>
      </c>
      <c r="AO949" s="15">
        <v>4</v>
      </c>
      <c r="AP949" s="15">
        <v>-8.0060000000000002</v>
      </c>
      <c r="AQ949" s="15">
        <v>1</v>
      </c>
      <c r="AR949" s="15">
        <v>4.9399999999999999E-2</v>
      </c>
      <c r="AS949" s="15">
        <v>5.9299999999999999E-2</v>
      </c>
      <c r="AT949" s="15">
        <v>7.1799999999999998E-3</v>
      </c>
      <c r="AU949" s="15">
        <v>0.90300000000000002</v>
      </c>
      <c r="AV949" s="15">
        <v>0.68899999999999995</v>
      </c>
      <c r="AW949" s="15">
        <v>193.39500000000001</v>
      </c>
      <c r="AX949" s="15">
        <v>4</v>
      </c>
      <c r="AY949" s="16" t="s">
        <v>24</v>
      </c>
    </row>
    <row r="950" spans="32:51" x14ac:dyDescent="0.35">
      <c r="AF950" s="17" t="s">
        <v>2824</v>
      </c>
      <c r="AG950" s="18" t="s">
        <v>2825</v>
      </c>
      <c r="AH950" s="18" t="s">
        <v>2826</v>
      </c>
      <c r="AI950" s="18" t="s">
        <v>2827</v>
      </c>
      <c r="AJ950" s="18">
        <v>26</v>
      </c>
      <c r="AK950" s="18">
        <v>159666</v>
      </c>
      <c r="AL950" s="18" t="b">
        <v>0</v>
      </c>
      <c r="AM950" s="18">
        <v>0.72099999999999997</v>
      </c>
      <c r="AN950" s="18">
        <v>0.78500000000000003</v>
      </c>
      <c r="AO950" s="18">
        <v>4</v>
      </c>
      <c r="AP950" s="18">
        <v>-4.4729999999999999</v>
      </c>
      <c r="AQ950" s="18">
        <v>1</v>
      </c>
      <c r="AR950" s="18">
        <v>2.92E-2</v>
      </c>
      <c r="AS950" s="18">
        <v>8.8200000000000001E-2</v>
      </c>
      <c r="AT950" s="32" t="s">
        <v>2828</v>
      </c>
      <c r="AU950" s="18">
        <v>0.104</v>
      </c>
      <c r="AV950" s="18">
        <v>0.878</v>
      </c>
      <c r="AW950" s="18">
        <v>111.99299999999999</v>
      </c>
      <c r="AX950" s="18">
        <v>4</v>
      </c>
      <c r="AY950" s="19" t="s">
        <v>24</v>
      </c>
    </row>
    <row r="951" spans="32:51" x14ac:dyDescent="0.35">
      <c r="AF951" s="14" t="s">
        <v>2829</v>
      </c>
      <c r="AG951" s="15" t="s">
        <v>2830</v>
      </c>
      <c r="AH951" s="15" t="s">
        <v>1665</v>
      </c>
      <c r="AI951" s="15" t="s">
        <v>2831</v>
      </c>
      <c r="AJ951" s="15">
        <v>25</v>
      </c>
      <c r="AK951" s="15">
        <v>142363</v>
      </c>
      <c r="AL951" s="15" t="b">
        <v>0</v>
      </c>
      <c r="AM951" s="15">
        <v>0.77300000000000002</v>
      </c>
      <c r="AN951" s="15">
        <v>0.20799999999999999</v>
      </c>
      <c r="AO951" s="15">
        <v>2</v>
      </c>
      <c r="AP951" s="15">
        <v>-9.4819999999999993</v>
      </c>
      <c r="AQ951" s="15">
        <v>0</v>
      </c>
      <c r="AR951" s="15">
        <v>4.3799999999999999E-2</v>
      </c>
      <c r="AS951" s="15">
        <v>0.95599999999999996</v>
      </c>
      <c r="AT951" s="15">
        <v>0</v>
      </c>
      <c r="AU951" s="15">
        <v>0.14899999999999999</v>
      </c>
      <c r="AV951" s="15">
        <v>0.53800000000000003</v>
      </c>
      <c r="AW951" s="15">
        <v>109.822</v>
      </c>
      <c r="AX951" s="15">
        <v>4</v>
      </c>
      <c r="AY951" s="16" t="s">
        <v>24</v>
      </c>
    </row>
    <row r="952" spans="32:51" x14ac:dyDescent="0.35">
      <c r="AF952" s="17" t="s">
        <v>2832</v>
      </c>
      <c r="AG952" s="18" t="s">
        <v>769</v>
      </c>
      <c r="AH952" s="18" t="s">
        <v>2833</v>
      </c>
      <c r="AI952" s="18" t="s">
        <v>2834</v>
      </c>
      <c r="AJ952" s="18">
        <v>25</v>
      </c>
      <c r="AK952" s="18">
        <v>152053</v>
      </c>
      <c r="AL952" s="18" t="b">
        <v>0</v>
      </c>
      <c r="AM952" s="18">
        <v>0.48399999999999999</v>
      </c>
      <c r="AN952" s="18">
        <v>0.95299999999999996</v>
      </c>
      <c r="AO952" s="18">
        <v>1</v>
      </c>
      <c r="AP952" s="18">
        <v>-3.5569999999999999</v>
      </c>
      <c r="AQ952" s="18">
        <v>1</v>
      </c>
      <c r="AR952" s="18">
        <v>9.2700000000000005E-2</v>
      </c>
      <c r="AS952" s="18">
        <v>1.65E-4</v>
      </c>
      <c r="AT952" s="18">
        <v>1.5499999999999999E-3</v>
      </c>
      <c r="AU952" s="18">
        <v>6.5799999999999997E-2</v>
      </c>
      <c r="AV952" s="18">
        <v>0.66700000000000004</v>
      </c>
      <c r="AW952" s="18">
        <v>97.429000000000002</v>
      </c>
      <c r="AX952" s="18">
        <v>4</v>
      </c>
      <c r="AY952" s="19" t="s">
        <v>24</v>
      </c>
    </row>
    <row r="953" spans="32:51" x14ac:dyDescent="0.35">
      <c r="AF953" s="14" t="s">
        <v>2835</v>
      </c>
      <c r="AG953" s="15" t="s">
        <v>192</v>
      </c>
      <c r="AH953" s="15" t="s">
        <v>2836</v>
      </c>
      <c r="AI953" s="15" t="s">
        <v>2837</v>
      </c>
      <c r="AJ953" s="15">
        <v>50</v>
      </c>
      <c r="AK953" s="15">
        <v>161000</v>
      </c>
      <c r="AL953" s="15" t="b">
        <v>1</v>
      </c>
      <c r="AM953" s="15">
        <v>0.751</v>
      </c>
      <c r="AN953" s="15">
        <v>0.28999999999999998</v>
      </c>
      <c r="AO953" s="15">
        <v>10</v>
      </c>
      <c r="AP953" s="15">
        <v>-8.17</v>
      </c>
      <c r="AQ953" s="15">
        <v>1</v>
      </c>
      <c r="AR953" s="15">
        <v>4.5600000000000002E-2</v>
      </c>
      <c r="AS953" s="15">
        <v>0.84599999999999997</v>
      </c>
      <c r="AT953" s="15">
        <v>0</v>
      </c>
      <c r="AU953" s="15">
        <v>0.113</v>
      </c>
      <c r="AV953" s="15">
        <v>0.68300000000000005</v>
      </c>
      <c r="AW953" s="15">
        <v>75.034000000000006</v>
      </c>
      <c r="AX953" s="15">
        <v>4</v>
      </c>
      <c r="AY953" s="16" t="s">
        <v>24</v>
      </c>
    </row>
    <row r="954" spans="32:51" x14ac:dyDescent="0.35">
      <c r="AF954" s="17" t="s">
        <v>2838</v>
      </c>
      <c r="AG954" s="18" t="s">
        <v>50</v>
      </c>
      <c r="AH954" s="18" t="s">
        <v>810</v>
      </c>
      <c r="AI954" s="18" t="s">
        <v>2839</v>
      </c>
      <c r="AJ954" s="18">
        <v>43</v>
      </c>
      <c r="AK954" s="18">
        <v>230746</v>
      </c>
      <c r="AL954" s="18" t="b">
        <v>0</v>
      </c>
      <c r="AM954" s="18">
        <v>0.52700000000000002</v>
      </c>
      <c r="AN954" s="18">
        <v>0.57799999999999996</v>
      </c>
      <c r="AO954" s="18">
        <v>7</v>
      </c>
      <c r="AP954" s="18">
        <v>-8.65</v>
      </c>
      <c r="AQ954" s="18">
        <v>1</v>
      </c>
      <c r="AR954" s="18">
        <v>3.27E-2</v>
      </c>
      <c r="AS954" s="18">
        <v>0.19700000000000001</v>
      </c>
      <c r="AT954" s="32" t="s">
        <v>2840</v>
      </c>
      <c r="AU954" s="18">
        <v>0.10199999999999999</v>
      </c>
      <c r="AV954" s="18">
        <v>0.40500000000000003</v>
      </c>
      <c r="AW954" s="18">
        <v>148.13399999999999</v>
      </c>
      <c r="AX954" s="18">
        <v>4</v>
      </c>
      <c r="AY954" s="19" t="s">
        <v>24</v>
      </c>
    </row>
    <row r="955" spans="32:51" x14ac:dyDescent="0.35">
      <c r="AF955" s="14" t="s">
        <v>2841</v>
      </c>
      <c r="AG955" s="15" t="s">
        <v>34</v>
      </c>
      <c r="AH955" s="15" t="s">
        <v>2379</v>
      </c>
      <c r="AI955" s="15" t="s">
        <v>2379</v>
      </c>
      <c r="AJ955" s="15">
        <v>46</v>
      </c>
      <c r="AK955" s="15">
        <v>221568</v>
      </c>
      <c r="AL955" s="15" t="b">
        <v>0</v>
      </c>
      <c r="AM955" s="15">
        <v>0.48499999999999999</v>
      </c>
      <c r="AN955" s="15">
        <v>0.126</v>
      </c>
      <c r="AO955" s="15">
        <v>6</v>
      </c>
      <c r="AP955" s="15">
        <v>-15.597</v>
      </c>
      <c r="AQ955" s="15">
        <v>1</v>
      </c>
      <c r="AR955" s="15">
        <v>5.1999999999999998E-2</v>
      </c>
      <c r="AS955" s="15">
        <v>0.71</v>
      </c>
      <c r="AT955" s="15">
        <v>0</v>
      </c>
      <c r="AU955" s="15">
        <v>0.106</v>
      </c>
      <c r="AV955" s="15">
        <v>0.34499999999999997</v>
      </c>
      <c r="AW955" s="15">
        <v>152.541</v>
      </c>
      <c r="AX955" s="15">
        <v>4</v>
      </c>
      <c r="AY955" s="16" t="s">
        <v>24</v>
      </c>
    </row>
    <row r="956" spans="32:51" x14ac:dyDescent="0.35">
      <c r="AF956" s="17" t="s">
        <v>2842</v>
      </c>
      <c r="AG956" s="18" t="s">
        <v>982</v>
      </c>
      <c r="AH956" s="18" t="s">
        <v>2843</v>
      </c>
      <c r="AI956" s="18" t="s">
        <v>2843</v>
      </c>
      <c r="AJ956" s="18">
        <v>34</v>
      </c>
      <c r="AK956" s="18">
        <v>224666</v>
      </c>
      <c r="AL956" s="18" t="b">
        <v>0</v>
      </c>
      <c r="AM956" s="18">
        <v>0.58799999999999997</v>
      </c>
      <c r="AN956" s="18">
        <v>0.29099999999999998</v>
      </c>
      <c r="AO956" s="18">
        <v>8</v>
      </c>
      <c r="AP956" s="18">
        <v>-11.464</v>
      </c>
      <c r="AQ956" s="18">
        <v>1</v>
      </c>
      <c r="AR956" s="18">
        <v>3.5200000000000002E-2</v>
      </c>
      <c r="AS956" s="18">
        <v>0.76300000000000001</v>
      </c>
      <c r="AT956" s="32" t="s">
        <v>2844</v>
      </c>
      <c r="AU956" s="18">
        <v>0.624</v>
      </c>
      <c r="AV956" s="18">
        <v>0.33600000000000002</v>
      </c>
      <c r="AW956" s="18">
        <v>101.158</v>
      </c>
      <c r="AX956" s="18">
        <v>4</v>
      </c>
      <c r="AY956" s="19" t="s">
        <v>24</v>
      </c>
    </row>
    <row r="957" spans="32:51" x14ac:dyDescent="0.35">
      <c r="AF957" s="14" t="s">
        <v>2845</v>
      </c>
      <c r="AG957" s="15" t="s">
        <v>39</v>
      </c>
      <c r="AH957" s="15" t="s">
        <v>40</v>
      </c>
      <c r="AI957" s="15" t="s">
        <v>40</v>
      </c>
      <c r="AJ957" s="15">
        <v>35</v>
      </c>
      <c r="AK957" s="15">
        <v>198853</v>
      </c>
      <c r="AL957" s="15" t="b">
        <v>0</v>
      </c>
      <c r="AM957" s="15">
        <v>0.60899999999999999</v>
      </c>
      <c r="AN957" s="15">
        <v>0.443</v>
      </c>
      <c r="AO957" s="15">
        <v>2</v>
      </c>
      <c r="AP957" s="15">
        <v>-9.6809999999999992</v>
      </c>
      <c r="AQ957" s="15">
        <v>1</v>
      </c>
      <c r="AR957" s="15">
        <v>5.4600000000000003E-2</v>
      </c>
      <c r="AS957" s="15">
        <v>0.46899999999999997</v>
      </c>
      <c r="AT957" s="15">
        <v>0</v>
      </c>
      <c r="AU957" s="15">
        <v>8.2900000000000001E-2</v>
      </c>
      <c r="AV957" s="15">
        <v>0.16600000000000001</v>
      </c>
      <c r="AW957" s="15">
        <v>119.967</v>
      </c>
      <c r="AX957" s="15">
        <v>4</v>
      </c>
      <c r="AY957" s="16" t="s">
        <v>24</v>
      </c>
    </row>
    <row r="958" spans="32:51" x14ac:dyDescent="0.35">
      <c r="AF958" s="17" t="s">
        <v>2846</v>
      </c>
      <c r="AG958" s="18" t="s">
        <v>1019</v>
      </c>
      <c r="AH958" s="18" t="s">
        <v>1020</v>
      </c>
      <c r="AI958" s="18" t="s">
        <v>2847</v>
      </c>
      <c r="AJ958" s="18">
        <v>26</v>
      </c>
      <c r="AK958" s="18">
        <v>193762</v>
      </c>
      <c r="AL958" s="18" t="b">
        <v>0</v>
      </c>
      <c r="AM958" s="18">
        <v>0.28899999999999998</v>
      </c>
      <c r="AN958" s="18">
        <v>0.432</v>
      </c>
      <c r="AO958" s="18">
        <v>1</v>
      </c>
      <c r="AP958" s="18">
        <v>-6.0910000000000002</v>
      </c>
      <c r="AQ958" s="18">
        <v>0</v>
      </c>
      <c r="AR958" s="18">
        <v>3.6999999999999998E-2</v>
      </c>
      <c r="AS958" s="18">
        <v>0.77100000000000002</v>
      </c>
      <c r="AT958" s="18">
        <v>0</v>
      </c>
      <c r="AU958" s="18">
        <v>0.215</v>
      </c>
      <c r="AV958" s="18">
        <v>0.22500000000000001</v>
      </c>
      <c r="AW958" s="18">
        <v>85.504000000000005</v>
      </c>
      <c r="AX958" s="18">
        <v>1</v>
      </c>
      <c r="AY958" s="19" t="s">
        <v>24</v>
      </c>
    </row>
    <row r="959" spans="32:51" x14ac:dyDescent="0.35">
      <c r="AF959" s="14" t="s">
        <v>2848</v>
      </c>
      <c r="AG959" s="15" t="s">
        <v>2849</v>
      </c>
      <c r="AH959" s="15" t="s">
        <v>2850</v>
      </c>
      <c r="AI959" s="15" t="s">
        <v>2850</v>
      </c>
      <c r="AJ959" s="15">
        <v>45</v>
      </c>
      <c r="AK959" s="15">
        <v>238010</v>
      </c>
      <c r="AL959" s="15" t="b">
        <v>0</v>
      </c>
      <c r="AM959" s="15">
        <v>0.57599999999999996</v>
      </c>
      <c r="AN959" s="15">
        <v>0.19600000000000001</v>
      </c>
      <c r="AO959" s="15">
        <v>7</v>
      </c>
      <c r="AP959" s="15">
        <v>-13.638999999999999</v>
      </c>
      <c r="AQ959" s="15">
        <v>1</v>
      </c>
      <c r="AR959" s="15">
        <v>3.2199999999999999E-2</v>
      </c>
      <c r="AS959" s="15">
        <v>0.86499999999999999</v>
      </c>
      <c r="AT959" s="15">
        <v>0</v>
      </c>
      <c r="AU959" s="15">
        <v>0.11700000000000001</v>
      </c>
      <c r="AV959" s="15">
        <v>0.502</v>
      </c>
      <c r="AW959" s="15">
        <v>118.075</v>
      </c>
      <c r="AX959" s="15">
        <v>4</v>
      </c>
      <c r="AY959" s="16" t="s">
        <v>24</v>
      </c>
    </row>
    <row r="960" spans="32:51" x14ac:dyDescent="0.35">
      <c r="AF960" s="17" t="s">
        <v>2851</v>
      </c>
      <c r="AG960" s="18" t="s">
        <v>221</v>
      </c>
      <c r="AH960" s="18" t="s">
        <v>2852</v>
      </c>
      <c r="AI960" s="18" t="s">
        <v>2852</v>
      </c>
      <c r="AJ960" s="18">
        <v>40</v>
      </c>
      <c r="AK960" s="18">
        <v>236100</v>
      </c>
      <c r="AL960" s="18" t="b">
        <v>0</v>
      </c>
      <c r="AM960" s="18">
        <v>0.52400000000000002</v>
      </c>
      <c r="AN960" s="18">
        <v>0.76800000000000002</v>
      </c>
      <c r="AO960" s="18">
        <v>7</v>
      </c>
      <c r="AP960" s="18">
        <v>-7.8209999999999997</v>
      </c>
      <c r="AQ960" s="18">
        <v>1</v>
      </c>
      <c r="AR960" s="18">
        <v>3.09E-2</v>
      </c>
      <c r="AS960" s="18">
        <v>8.1600000000000006E-3</v>
      </c>
      <c r="AT960" s="18">
        <v>2.1299999999999999E-2</v>
      </c>
      <c r="AU960" s="18">
        <v>6.6600000000000006E-2</v>
      </c>
      <c r="AV960" s="18">
        <v>5.62E-2</v>
      </c>
      <c r="AW960" s="18">
        <v>117.947</v>
      </c>
      <c r="AX960" s="18">
        <v>4</v>
      </c>
      <c r="AY960" s="19" t="s">
        <v>24</v>
      </c>
    </row>
    <row r="961" spans="32:51" x14ac:dyDescent="0.35">
      <c r="AF961" s="14" t="s">
        <v>2853</v>
      </c>
      <c r="AG961" s="15" t="s">
        <v>339</v>
      </c>
      <c r="AH961" s="15" t="s">
        <v>1493</v>
      </c>
      <c r="AI961" s="15" t="s">
        <v>1493</v>
      </c>
      <c r="AJ961" s="15">
        <v>51</v>
      </c>
      <c r="AK961" s="15">
        <v>248483</v>
      </c>
      <c r="AL961" s="15" t="b">
        <v>0</v>
      </c>
      <c r="AM961" s="15">
        <v>0.45600000000000002</v>
      </c>
      <c r="AN961" s="15">
        <v>0.28499999999999998</v>
      </c>
      <c r="AO961" s="15">
        <v>0</v>
      </c>
      <c r="AP961" s="15">
        <v>-7.9989999999999997</v>
      </c>
      <c r="AQ961" s="15">
        <v>1</v>
      </c>
      <c r="AR961" s="15">
        <v>2.98E-2</v>
      </c>
      <c r="AS961" s="15">
        <v>0.85599999999999998</v>
      </c>
      <c r="AT961" s="31" t="s">
        <v>2854</v>
      </c>
      <c r="AU961" s="15">
        <v>0.192</v>
      </c>
      <c r="AV961" s="15">
        <v>0.22800000000000001</v>
      </c>
      <c r="AW961" s="15">
        <v>177.56100000000001</v>
      </c>
      <c r="AX961" s="15">
        <v>3</v>
      </c>
      <c r="AY961" s="16" t="s">
        <v>24</v>
      </c>
    </row>
    <row r="962" spans="32:51" x14ac:dyDescent="0.35">
      <c r="AF962" s="17" t="s">
        <v>2855</v>
      </c>
      <c r="AG962" s="18" t="s">
        <v>2856</v>
      </c>
      <c r="AH962" s="18" t="s">
        <v>2857</v>
      </c>
      <c r="AI962" s="18" t="s">
        <v>2858</v>
      </c>
      <c r="AJ962" s="18">
        <v>47</v>
      </c>
      <c r="AK962" s="18">
        <v>72167</v>
      </c>
      <c r="AL962" s="18" t="b">
        <v>0</v>
      </c>
      <c r="AM962" s="18">
        <v>0.42599999999999999</v>
      </c>
      <c r="AN962" s="18">
        <v>8.1199999999999994E-2</v>
      </c>
      <c r="AO962" s="18">
        <v>4</v>
      </c>
      <c r="AP962" s="18">
        <v>-21.651</v>
      </c>
      <c r="AQ962" s="18">
        <v>0</v>
      </c>
      <c r="AR962" s="18">
        <v>8.43E-2</v>
      </c>
      <c r="AS962" s="18">
        <v>0.94799999999999995</v>
      </c>
      <c r="AT962" s="18">
        <v>0.88900000000000001</v>
      </c>
      <c r="AU962" s="18">
        <v>0.107</v>
      </c>
      <c r="AV962" s="18">
        <v>0.24299999999999999</v>
      </c>
      <c r="AW962" s="18">
        <v>85.203999999999994</v>
      </c>
      <c r="AX962" s="18">
        <v>5</v>
      </c>
      <c r="AY962" s="19" t="s">
        <v>24</v>
      </c>
    </row>
    <row r="963" spans="32:51" x14ac:dyDescent="0.35">
      <c r="AF963" s="14" t="s">
        <v>2859</v>
      </c>
      <c r="AG963" s="15" t="s">
        <v>2860</v>
      </c>
      <c r="AH963" s="15" t="s">
        <v>2861</v>
      </c>
      <c r="AI963" s="15" t="s">
        <v>2862</v>
      </c>
      <c r="AJ963" s="15">
        <v>46</v>
      </c>
      <c r="AK963" s="15">
        <v>202348</v>
      </c>
      <c r="AL963" s="15" t="b">
        <v>0</v>
      </c>
      <c r="AM963" s="15">
        <v>0.53100000000000003</v>
      </c>
      <c r="AN963" s="15">
        <v>0.5</v>
      </c>
      <c r="AO963" s="15">
        <v>7</v>
      </c>
      <c r="AP963" s="15">
        <v>-8.593</v>
      </c>
      <c r="AQ963" s="15">
        <v>1</v>
      </c>
      <c r="AR963" s="15">
        <v>2.8199999999999999E-2</v>
      </c>
      <c r="AS963" s="15">
        <v>0.53400000000000003</v>
      </c>
      <c r="AT963" s="15">
        <v>8.61E-4</v>
      </c>
      <c r="AU963" s="15">
        <v>0.10100000000000001</v>
      </c>
      <c r="AV963" s="15">
        <v>0.31900000000000001</v>
      </c>
      <c r="AW963" s="15">
        <v>78.075999999999993</v>
      </c>
      <c r="AX963" s="15">
        <v>4</v>
      </c>
      <c r="AY963" s="16" t="s">
        <v>24</v>
      </c>
    </row>
    <row r="964" spans="32:51" x14ac:dyDescent="0.35">
      <c r="AF964" s="17" t="s">
        <v>2863</v>
      </c>
      <c r="AG964" s="18" t="s">
        <v>339</v>
      </c>
      <c r="AH964" s="18" t="s">
        <v>736</v>
      </c>
      <c r="AI964" s="18" t="s">
        <v>2864</v>
      </c>
      <c r="AJ964" s="18">
        <v>45</v>
      </c>
      <c r="AK964" s="18">
        <v>247704</v>
      </c>
      <c r="AL964" s="18" t="b">
        <v>0</v>
      </c>
      <c r="AM964" s="18">
        <v>0.65500000000000003</v>
      </c>
      <c r="AN964" s="18">
        <v>0.502</v>
      </c>
      <c r="AO964" s="18">
        <v>8</v>
      </c>
      <c r="AP964" s="18">
        <v>-7.9619999999999997</v>
      </c>
      <c r="AQ964" s="18">
        <v>1</v>
      </c>
      <c r="AR964" s="18">
        <v>3.49E-2</v>
      </c>
      <c r="AS964" s="18">
        <v>0.57899999999999996</v>
      </c>
      <c r="AT964" s="18">
        <v>0</v>
      </c>
      <c r="AU964" s="18">
        <v>0.11700000000000001</v>
      </c>
      <c r="AV964" s="18">
        <v>0.36799999999999999</v>
      </c>
      <c r="AW964" s="18">
        <v>123.931</v>
      </c>
      <c r="AX964" s="18">
        <v>4</v>
      </c>
      <c r="AY964" s="19" t="s">
        <v>24</v>
      </c>
    </row>
    <row r="965" spans="32:51" x14ac:dyDescent="0.35">
      <c r="AF965" s="14" t="s">
        <v>2865</v>
      </c>
      <c r="AG965" s="15" t="s">
        <v>825</v>
      </c>
      <c r="AH965" s="15" t="s">
        <v>2866</v>
      </c>
      <c r="AI965" s="15" t="s">
        <v>2866</v>
      </c>
      <c r="AJ965" s="15">
        <v>55</v>
      </c>
      <c r="AK965" s="15">
        <v>166943</v>
      </c>
      <c r="AL965" s="15" t="b">
        <v>0</v>
      </c>
      <c r="AM965" s="15">
        <v>0.64100000000000001</v>
      </c>
      <c r="AN965" s="15">
        <v>0.14699999999999999</v>
      </c>
      <c r="AO965" s="15">
        <v>11</v>
      </c>
      <c r="AP965" s="15">
        <v>-14.811999999999999</v>
      </c>
      <c r="AQ965" s="15">
        <v>1</v>
      </c>
      <c r="AR965" s="15">
        <v>3.3700000000000001E-2</v>
      </c>
      <c r="AS965" s="15">
        <v>0.95399999999999996</v>
      </c>
      <c r="AT965" s="31" t="s">
        <v>2867</v>
      </c>
      <c r="AU965" s="15">
        <v>0.111</v>
      </c>
      <c r="AV965" s="15">
        <v>0.28699999999999998</v>
      </c>
      <c r="AW965" s="15">
        <v>111.913</v>
      </c>
      <c r="AX965" s="15">
        <v>4</v>
      </c>
      <c r="AY965" s="16" t="s">
        <v>24</v>
      </c>
    </row>
    <row r="966" spans="32:51" x14ac:dyDescent="0.35">
      <c r="AF966" s="17" t="s">
        <v>2868</v>
      </c>
      <c r="AG966" s="18" t="s">
        <v>2609</v>
      </c>
      <c r="AH966" s="18" t="s">
        <v>2869</v>
      </c>
      <c r="AI966" s="18" t="s">
        <v>2870</v>
      </c>
      <c r="AJ966" s="18">
        <v>26</v>
      </c>
      <c r="AK966" s="18">
        <v>326706</v>
      </c>
      <c r="AL966" s="18" t="b">
        <v>0</v>
      </c>
      <c r="AM966" s="18">
        <v>0.47399999999999998</v>
      </c>
      <c r="AN966" s="18">
        <v>0.72699999999999998</v>
      </c>
      <c r="AO966" s="18">
        <v>2</v>
      </c>
      <c r="AP966" s="18">
        <v>-5.8920000000000003</v>
      </c>
      <c r="AQ966" s="18">
        <v>1</v>
      </c>
      <c r="AR966" s="18">
        <v>3.2899999999999999E-2</v>
      </c>
      <c r="AS966" s="18">
        <v>0.123</v>
      </c>
      <c r="AT966" s="32" t="s">
        <v>2871</v>
      </c>
      <c r="AU966" s="18">
        <v>0.24399999999999999</v>
      </c>
      <c r="AV966" s="18">
        <v>0.83</v>
      </c>
      <c r="AW966" s="18">
        <v>79.632999999999996</v>
      </c>
      <c r="AX966" s="18">
        <v>4</v>
      </c>
      <c r="AY966" s="19" t="s">
        <v>24</v>
      </c>
    </row>
    <row r="967" spans="32:51" x14ac:dyDescent="0.35">
      <c r="AF967" s="14" t="s">
        <v>2872</v>
      </c>
      <c r="AG967" s="15" t="s">
        <v>2308</v>
      </c>
      <c r="AH967" s="15" t="s">
        <v>2873</v>
      </c>
      <c r="AI967" s="15" t="s">
        <v>2874</v>
      </c>
      <c r="AJ967" s="15">
        <v>48</v>
      </c>
      <c r="AK967" s="15">
        <v>233306</v>
      </c>
      <c r="AL967" s="15" t="b">
        <v>0</v>
      </c>
      <c r="AM967" s="15">
        <v>0.61699999999999999</v>
      </c>
      <c r="AN967" s="15">
        <v>0.31900000000000001</v>
      </c>
      <c r="AO967" s="15">
        <v>2</v>
      </c>
      <c r="AP967" s="15">
        <v>-8.4450000000000003</v>
      </c>
      <c r="AQ967" s="15">
        <v>1</v>
      </c>
      <c r="AR967" s="15">
        <v>2.9000000000000001E-2</v>
      </c>
      <c r="AS967" s="15">
        <v>0.60899999999999999</v>
      </c>
      <c r="AT967" s="15">
        <v>0</v>
      </c>
      <c r="AU967" s="15">
        <v>0.122</v>
      </c>
      <c r="AV967" s="15">
        <v>0.32400000000000001</v>
      </c>
      <c r="AW967" s="15">
        <v>133.821</v>
      </c>
      <c r="AX967" s="15">
        <v>4</v>
      </c>
      <c r="AY967" s="16" t="s">
        <v>24</v>
      </c>
    </row>
    <row r="968" spans="32:51" x14ac:dyDescent="0.35">
      <c r="AF968" s="17" t="s">
        <v>2875</v>
      </c>
      <c r="AG968" s="18" t="s">
        <v>2438</v>
      </c>
      <c r="AH968" s="18" t="s">
        <v>2876</v>
      </c>
      <c r="AI968" s="18" t="s">
        <v>2876</v>
      </c>
      <c r="AJ968" s="18">
        <v>26</v>
      </c>
      <c r="AK968" s="18">
        <v>273480</v>
      </c>
      <c r="AL968" s="18" t="b">
        <v>0</v>
      </c>
      <c r="AM968" s="18">
        <v>0.33300000000000002</v>
      </c>
      <c r="AN968" s="18">
        <v>0.26600000000000001</v>
      </c>
      <c r="AO968" s="18">
        <v>8</v>
      </c>
      <c r="AP968" s="18">
        <v>-6.42</v>
      </c>
      <c r="AQ968" s="18">
        <v>1</v>
      </c>
      <c r="AR968" s="18">
        <v>3.1800000000000002E-2</v>
      </c>
      <c r="AS968" s="18">
        <v>0.95099999999999996</v>
      </c>
      <c r="AT968" s="32" t="s">
        <v>2877</v>
      </c>
      <c r="AU968" s="18">
        <v>0.108</v>
      </c>
      <c r="AV968" s="18">
        <v>0.33</v>
      </c>
      <c r="AW968" s="18">
        <v>129.249</v>
      </c>
      <c r="AX968" s="18">
        <v>4</v>
      </c>
      <c r="AY968" s="19" t="s">
        <v>24</v>
      </c>
    </row>
    <row r="969" spans="32:51" x14ac:dyDescent="0.35">
      <c r="AF969" s="14" t="s">
        <v>2878</v>
      </c>
      <c r="AG969" s="15" t="s">
        <v>948</v>
      </c>
      <c r="AH969" s="15" t="s">
        <v>949</v>
      </c>
      <c r="AI969" s="15" t="s">
        <v>2879</v>
      </c>
      <c r="AJ969" s="15">
        <v>45</v>
      </c>
      <c r="AK969" s="15">
        <v>206653</v>
      </c>
      <c r="AL969" s="15" t="b">
        <v>0</v>
      </c>
      <c r="AM969" s="15">
        <v>0.54300000000000004</v>
      </c>
      <c r="AN969" s="15">
        <v>0.63800000000000001</v>
      </c>
      <c r="AO969" s="15">
        <v>7</v>
      </c>
      <c r="AP969" s="15">
        <v>-6.875</v>
      </c>
      <c r="AQ969" s="15">
        <v>1</v>
      </c>
      <c r="AR969" s="15">
        <v>2.58E-2</v>
      </c>
      <c r="AS969" s="15">
        <v>0.10299999999999999</v>
      </c>
      <c r="AT969" s="15">
        <v>2.32E-4</v>
      </c>
      <c r="AU969" s="15">
        <v>0.13200000000000001</v>
      </c>
      <c r="AV969" s="15">
        <v>0.48099999999999998</v>
      </c>
      <c r="AW969" s="15">
        <v>102.71899999999999</v>
      </c>
      <c r="AX969" s="15">
        <v>4</v>
      </c>
      <c r="AY969" s="16" t="s">
        <v>24</v>
      </c>
    </row>
    <row r="970" spans="32:51" x14ac:dyDescent="0.35">
      <c r="AF970" s="17" t="s">
        <v>2880</v>
      </c>
      <c r="AG970" s="18" t="s">
        <v>991</v>
      </c>
      <c r="AH970" s="18" t="s">
        <v>2881</v>
      </c>
      <c r="AI970" s="18" t="s">
        <v>2882</v>
      </c>
      <c r="AJ970" s="18">
        <v>27</v>
      </c>
      <c r="AK970" s="18">
        <v>263266</v>
      </c>
      <c r="AL970" s="18" t="b">
        <v>0</v>
      </c>
      <c r="AM970" s="18">
        <v>0.61499999999999999</v>
      </c>
      <c r="AN970" s="18">
        <v>0.54500000000000004</v>
      </c>
      <c r="AO970" s="18">
        <v>7</v>
      </c>
      <c r="AP970" s="18">
        <v>-12.571999999999999</v>
      </c>
      <c r="AQ970" s="18">
        <v>1</v>
      </c>
      <c r="AR970" s="18">
        <v>2.6800000000000001E-2</v>
      </c>
      <c r="AS970" s="18">
        <v>0.38300000000000001</v>
      </c>
      <c r="AT970" s="32" t="s">
        <v>2883</v>
      </c>
      <c r="AU970" s="18">
        <v>0.16</v>
      </c>
      <c r="AV970" s="18">
        <v>0.47</v>
      </c>
      <c r="AW970" s="18">
        <v>110.33499999999999</v>
      </c>
      <c r="AX970" s="18">
        <v>3</v>
      </c>
      <c r="AY970" s="19" t="s">
        <v>24</v>
      </c>
    </row>
    <row r="971" spans="32:51" x14ac:dyDescent="0.35">
      <c r="AF971" s="14" t="s">
        <v>2884</v>
      </c>
      <c r="AG971" s="15" t="s">
        <v>2885</v>
      </c>
      <c r="AH971" s="15" t="s">
        <v>2886</v>
      </c>
      <c r="AI971" s="15" t="s">
        <v>2886</v>
      </c>
      <c r="AJ971" s="15">
        <v>54</v>
      </c>
      <c r="AK971" s="15">
        <v>186109</v>
      </c>
      <c r="AL971" s="15" t="b">
        <v>0</v>
      </c>
      <c r="AM971" s="15">
        <v>0.65500000000000003</v>
      </c>
      <c r="AN971" s="15">
        <v>0.68600000000000005</v>
      </c>
      <c r="AO971" s="15">
        <v>7</v>
      </c>
      <c r="AP971" s="15">
        <v>-5.7009999999999996</v>
      </c>
      <c r="AQ971" s="15">
        <v>1</v>
      </c>
      <c r="AR971" s="15">
        <v>2.8000000000000001E-2</v>
      </c>
      <c r="AS971" s="15">
        <v>0.371</v>
      </c>
      <c r="AT971" s="31" t="s">
        <v>2887</v>
      </c>
      <c r="AU971" s="15">
        <v>0.113</v>
      </c>
      <c r="AV971" s="15">
        <v>0.54400000000000004</v>
      </c>
      <c r="AW971" s="15">
        <v>112.974</v>
      </c>
      <c r="AX971" s="15">
        <v>4</v>
      </c>
      <c r="AY971" s="16" t="s">
        <v>24</v>
      </c>
    </row>
    <row r="972" spans="32:51" x14ac:dyDescent="0.35">
      <c r="AF972" s="17" t="s">
        <v>2888</v>
      </c>
      <c r="AG972" s="18" t="s">
        <v>2421</v>
      </c>
      <c r="AH972" s="18" t="s">
        <v>2889</v>
      </c>
      <c r="AI972" s="18" t="s">
        <v>2890</v>
      </c>
      <c r="AJ972" s="18">
        <v>37</v>
      </c>
      <c r="AK972" s="18">
        <v>191506</v>
      </c>
      <c r="AL972" s="18" t="b">
        <v>0</v>
      </c>
      <c r="AM972" s="18">
        <v>0.49099999999999999</v>
      </c>
      <c r="AN972" s="18">
        <v>0.185</v>
      </c>
      <c r="AO972" s="18">
        <v>11</v>
      </c>
      <c r="AP972" s="18">
        <v>-18.994</v>
      </c>
      <c r="AQ972" s="18">
        <v>1</v>
      </c>
      <c r="AR972" s="18">
        <v>4.5199999999999997E-2</v>
      </c>
      <c r="AS972" s="18">
        <v>0.94699999999999995</v>
      </c>
      <c r="AT972" s="18">
        <v>0.92900000000000005</v>
      </c>
      <c r="AU972" s="18">
        <v>0.19500000000000001</v>
      </c>
      <c r="AV972" s="18">
        <v>0.67400000000000004</v>
      </c>
      <c r="AW972" s="18">
        <v>90.465000000000003</v>
      </c>
      <c r="AX972" s="18">
        <v>4</v>
      </c>
      <c r="AY972" s="19" t="s">
        <v>24</v>
      </c>
    </row>
    <row r="973" spans="32:51" x14ac:dyDescent="0.35">
      <c r="AF973" s="14" t="s">
        <v>2891</v>
      </c>
      <c r="AG973" s="15" t="s">
        <v>2892</v>
      </c>
      <c r="AH973" s="15" t="s">
        <v>2893</v>
      </c>
      <c r="AI973" s="15" t="s">
        <v>2894</v>
      </c>
      <c r="AJ973" s="15">
        <v>50</v>
      </c>
      <c r="AK973" s="15">
        <v>221786</v>
      </c>
      <c r="AL973" s="15" t="b">
        <v>0</v>
      </c>
      <c r="AM973" s="15">
        <v>0.21299999999999999</v>
      </c>
      <c r="AN973" s="15">
        <v>0.185</v>
      </c>
      <c r="AO973" s="15">
        <v>4</v>
      </c>
      <c r="AP973" s="15">
        <v>-10.929</v>
      </c>
      <c r="AQ973" s="15">
        <v>0</v>
      </c>
      <c r="AR973" s="15">
        <v>3.27E-2</v>
      </c>
      <c r="AS973" s="15">
        <v>0.75700000000000001</v>
      </c>
      <c r="AT973" s="31" t="s">
        <v>2895</v>
      </c>
      <c r="AU973" s="15">
        <v>0.111</v>
      </c>
      <c r="AV973" s="15">
        <v>0.182</v>
      </c>
      <c r="AW973" s="15">
        <v>72.843999999999994</v>
      </c>
      <c r="AX973" s="15">
        <v>5</v>
      </c>
      <c r="AY973" s="16" t="s">
        <v>24</v>
      </c>
    </row>
    <row r="974" spans="32:51" x14ac:dyDescent="0.35">
      <c r="AF974" s="17" t="s">
        <v>2896</v>
      </c>
      <c r="AG974" s="18" t="s">
        <v>991</v>
      </c>
      <c r="AH974" s="18" t="s">
        <v>2897</v>
      </c>
      <c r="AI974" s="18" t="s">
        <v>2898</v>
      </c>
      <c r="AJ974" s="18">
        <v>27</v>
      </c>
      <c r="AK974" s="18">
        <v>238866</v>
      </c>
      <c r="AL974" s="18" t="b">
        <v>0</v>
      </c>
      <c r="AM974" s="18">
        <v>0.34499999999999997</v>
      </c>
      <c r="AN974" s="18">
        <v>0.91900000000000004</v>
      </c>
      <c r="AO974" s="18">
        <v>2</v>
      </c>
      <c r="AP974" s="18">
        <v>-8.1539999999999999</v>
      </c>
      <c r="AQ974" s="18">
        <v>1</v>
      </c>
      <c r="AR974" s="18">
        <v>7.51E-2</v>
      </c>
      <c r="AS974" s="18">
        <v>0.189</v>
      </c>
      <c r="AT974" s="18">
        <v>0</v>
      </c>
      <c r="AU974" s="18">
        <v>0.17</v>
      </c>
      <c r="AV974" s="18">
        <v>0.40699999999999997</v>
      </c>
      <c r="AW974" s="18">
        <v>174.14699999999999</v>
      </c>
      <c r="AX974" s="18">
        <v>4</v>
      </c>
      <c r="AY974" s="19" t="s">
        <v>24</v>
      </c>
    </row>
    <row r="975" spans="32:51" x14ac:dyDescent="0.35">
      <c r="AF975" s="14" t="s">
        <v>2899</v>
      </c>
      <c r="AG975" s="15" t="s">
        <v>96</v>
      </c>
      <c r="AH975" s="15" t="s">
        <v>986</v>
      </c>
      <c r="AI975" s="15" t="s">
        <v>2127</v>
      </c>
      <c r="AJ975" s="15">
        <v>52</v>
      </c>
      <c r="AK975" s="15">
        <v>213900</v>
      </c>
      <c r="AL975" s="15" t="b">
        <v>0</v>
      </c>
      <c r="AM975" s="15">
        <v>0.64900000000000002</v>
      </c>
      <c r="AN975" s="15">
        <v>0.33600000000000002</v>
      </c>
      <c r="AO975" s="15">
        <v>7</v>
      </c>
      <c r="AP975" s="15">
        <v>-6.8230000000000004</v>
      </c>
      <c r="AQ975" s="15">
        <v>1</v>
      </c>
      <c r="AR975" s="15">
        <v>3.2199999999999999E-2</v>
      </c>
      <c r="AS975" s="15">
        <v>0.78200000000000003</v>
      </c>
      <c r="AT975" s="15">
        <v>0</v>
      </c>
      <c r="AU975" s="15">
        <v>9.4200000000000006E-2</v>
      </c>
      <c r="AV975" s="15">
        <v>0.33700000000000002</v>
      </c>
      <c r="AW975" s="15">
        <v>95.988</v>
      </c>
      <c r="AX975" s="15">
        <v>4</v>
      </c>
      <c r="AY975" s="16" t="s">
        <v>24</v>
      </c>
    </row>
    <row r="976" spans="32:51" x14ac:dyDescent="0.35">
      <c r="AF976" s="17" t="s">
        <v>2900</v>
      </c>
      <c r="AG976" s="18" t="s">
        <v>2806</v>
      </c>
      <c r="AH976" s="18" t="s">
        <v>2155</v>
      </c>
      <c r="AI976" s="18" t="s">
        <v>2901</v>
      </c>
      <c r="AJ976" s="18">
        <v>51</v>
      </c>
      <c r="AK976" s="18">
        <v>136470</v>
      </c>
      <c r="AL976" s="18" t="b">
        <v>0</v>
      </c>
      <c r="AM976" s="18">
        <v>0.39200000000000002</v>
      </c>
      <c r="AN976" s="18">
        <v>0.253</v>
      </c>
      <c r="AO976" s="18">
        <v>8</v>
      </c>
      <c r="AP976" s="18">
        <v>-6.5629999999999997</v>
      </c>
      <c r="AQ976" s="18">
        <v>0</v>
      </c>
      <c r="AR976" s="18">
        <v>3.5400000000000001E-2</v>
      </c>
      <c r="AS976" s="18">
        <v>0.746</v>
      </c>
      <c r="AT976" s="18">
        <v>0</v>
      </c>
      <c r="AU976" s="18">
        <v>0.32100000000000001</v>
      </c>
      <c r="AV976" s="18">
        <v>0.36799999999999999</v>
      </c>
      <c r="AW976" s="18">
        <v>203.571</v>
      </c>
      <c r="AX976" s="18">
        <v>4</v>
      </c>
      <c r="AY976" s="19" t="s">
        <v>24</v>
      </c>
    </row>
    <row r="977" spans="32:51" x14ac:dyDescent="0.35">
      <c r="AF977" s="14" t="s">
        <v>2902</v>
      </c>
      <c r="AG977" s="15" t="s">
        <v>1202</v>
      </c>
      <c r="AH977" s="15" t="s">
        <v>2903</v>
      </c>
      <c r="AI977" s="15" t="s">
        <v>2904</v>
      </c>
      <c r="AJ977" s="15">
        <v>25</v>
      </c>
      <c r="AK977" s="15">
        <v>372600</v>
      </c>
      <c r="AL977" s="15" t="b">
        <v>0</v>
      </c>
      <c r="AM977" s="15">
        <v>0.54200000000000004</v>
      </c>
      <c r="AN977" s="15">
        <v>3.2500000000000001E-2</v>
      </c>
      <c r="AO977" s="15">
        <v>11</v>
      </c>
      <c r="AP977" s="15">
        <v>-18.346</v>
      </c>
      <c r="AQ977" s="15">
        <v>1</v>
      </c>
      <c r="AR977" s="15">
        <v>4.5199999999999997E-2</v>
      </c>
      <c r="AS977" s="15">
        <v>0.96399999999999997</v>
      </c>
      <c r="AT977" s="15">
        <v>8.5499999999999997E-4</v>
      </c>
      <c r="AU977" s="15">
        <v>0.105</v>
      </c>
      <c r="AV977" s="15">
        <v>0.28799999999999998</v>
      </c>
      <c r="AW977" s="15">
        <v>131.935</v>
      </c>
      <c r="AX977" s="15">
        <v>4</v>
      </c>
      <c r="AY977" s="16" t="s">
        <v>24</v>
      </c>
    </row>
    <row r="978" spans="32:51" x14ac:dyDescent="0.35">
      <c r="AF978" s="17" t="s">
        <v>2905</v>
      </c>
      <c r="AG978" s="18" t="s">
        <v>1890</v>
      </c>
      <c r="AH978" s="18" t="s">
        <v>2906</v>
      </c>
      <c r="AI978" s="18" t="s">
        <v>2907</v>
      </c>
      <c r="AJ978" s="18">
        <v>26</v>
      </c>
      <c r="AK978" s="18">
        <v>260893</v>
      </c>
      <c r="AL978" s="18" t="b">
        <v>0</v>
      </c>
      <c r="AM978" s="18">
        <v>0.76200000000000001</v>
      </c>
      <c r="AN978" s="18">
        <v>0.80500000000000005</v>
      </c>
      <c r="AO978" s="18">
        <v>2</v>
      </c>
      <c r="AP978" s="18">
        <v>-4.6959999999999997</v>
      </c>
      <c r="AQ978" s="18">
        <v>0</v>
      </c>
      <c r="AR978" s="18">
        <v>3.5799999999999998E-2</v>
      </c>
      <c r="AS978" s="18">
        <v>0.28299999999999997</v>
      </c>
      <c r="AT978" s="18">
        <v>0</v>
      </c>
      <c r="AU978" s="18">
        <v>0.106</v>
      </c>
      <c r="AV978" s="18">
        <v>0.96299999999999997</v>
      </c>
      <c r="AW978" s="18">
        <v>116.14100000000001</v>
      </c>
      <c r="AX978" s="18">
        <v>4</v>
      </c>
      <c r="AY978" s="19" t="s">
        <v>24</v>
      </c>
    </row>
    <row r="979" spans="32:51" x14ac:dyDescent="0.35">
      <c r="AF979" s="14" t="s">
        <v>2908</v>
      </c>
      <c r="AG979" s="15" t="s">
        <v>1736</v>
      </c>
      <c r="AH979" s="15" t="s">
        <v>2909</v>
      </c>
      <c r="AI979" s="15" t="s">
        <v>2910</v>
      </c>
      <c r="AJ979" s="15">
        <v>26</v>
      </c>
      <c r="AK979" s="15">
        <v>235000</v>
      </c>
      <c r="AL979" s="15" t="b">
        <v>0</v>
      </c>
      <c r="AM979" s="15">
        <v>0.64400000000000002</v>
      </c>
      <c r="AN979" s="15">
        <v>0.72299999999999998</v>
      </c>
      <c r="AO979" s="15">
        <v>1</v>
      </c>
      <c r="AP979" s="15">
        <v>-4.9539999999999997</v>
      </c>
      <c r="AQ979" s="15">
        <v>1</v>
      </c>
      <c r="AR979" s="15">
        <v>2.8799999999999999E-2</v>
      </c>
      <c r="AS979" s="15">
        <v>0.16</v>
      </c>
      <c r="AT979" s="15">
        <v>0</v>
      </c>
      <c r="AU979" s="15">
        <v>0.13</v>
      </c>
      <c r="AV979" s="15">
        <v>0.625</v>
      </c>
      <c r="AW979" s="15">
        <v>105.96899999999999</v>
      </c>
      <c r="AX979" s="15">
        <v>4</v>
      </c>
      <c r="AY979" s="16" t="s">
        <v>24</v>
      </c>
    </row>
    <row r="980" spans="32:51" x14ac:dyDescent="0.35">
      <c r="AF980" s="17" t="s">
        <v>2911</v>
      </c>
      <c r="AG980" s="18" t="s">
        <v>2912</v>
      </c>
      <c r="AH980" s="18" t="s">
        <v>2913</v>
      </c>
      <c r="AI980" s="18" t="s">
        <v>2914</v>
      </c>
      <c r="AJ980" s="18">
        <v>38</v>
      </c>
      <c r="AK980" s="18">
        <v>273026</v>
      </c>
      <c r="AL980" s="18" t="b">
        <v>0</v>
      </c>
      <c r="AM980" s="18">
        <v>0.48799999999999999</v>
      </c>
      <c r="AN980" s="18">
        <v>0.29399999999999998</v>
      </c>
      <c r="AO980" s="18">
        <v>6</v>
      </c>
      <c r="AP980" s="18">
        <v>-14.717000000000001</v>
      </c>
      <c r="AQ980" s="18">
        <v>0</v>
      </c>
      <c r="AR980" s="18">
        <v>2.6100000000000002E-2</v>
      </c>
      <c r="AS980" s="18">
        <v>0.91700000000000004</v>
      </c>
      <c r="AT980" s="18">
        <v>0.84099999999999997</v>
      </c>
      <c r="AU980" s="18">
        <v>8.7599999999999997E-2</v>
      </c>
      <c r="AV980" s="18">
        <v>0.26</v>
      </c>
      <c r="AW980" s="18">
        <v>76.647000000000006</v>
      </c>
      <c r="AX980" s="18">
        <v>3</v>
      </c>
      <c r="AY980" s="19" t="s">
        <v>24</v>
      </c>
    </row>
    <row r="981" spans="32:51" x14ac:dyDescent="0.35">
      <c r="AF981" s="14" t="s">
        <v>2915</v>
      </c>
      <c r="AG981" s="15" t="s">
        <v>2777</v>
      </c>
      <c r="AH981" s="15" t="s">
        <v>2916</v>
      </c>
      <c r="AI981" s="15" t="s">
        <v>2916</v>
      </c>
      <c r="AJ981" s="15">
        <v>25</v>
      </c>
      <c r="AK981" s="15">
        <v>344514</v>
      </c>
      <c r="AL981" s="15" t="b">
        <v>0</v>
      </c>
      <c r="AM981" s="15">
        <v>0.70399999999999996</v>
      </c>
      <c r="AN981" s="15">
        <v>0.48799999999999999</v>
      </c>
      <c r="AO981" s="15">
        <v>10</v>
      </c>
      <c r="AP981" s="15">
        <v>-7.89</v>
      </c>
      <c r="AQ981" s="15">
        <v>0</v>
      </c>
      <c r="AR981" s="15">
        <v>3.9E-2</v>
      </c>
      <c r="AS981" s="15">
        <v>0.56000000000000005</v>
      </c>
      <c r="AT981" s="31" t="s">
        <v>2416</v>
      </c>
      <c r="AU981" s="15">
        <v>8.1100000000000005E-2</v>
      </c>
      <c r="AV981" s="15">
        <v>0.745</v>
      </c>
      <c r="AW981" s="15">
        <v>179.76</v>
      </c>
      <c r="AX981" s="15">
        <v>3</v>
      </c>
      <c r="AY981" s="16" t="s">
        <v>24</v>
      </c>
    </row>
    <row r="982" spans="32:51" x14ac:dyDescent="0.35">
      <c r="AF982" s="17" t="s">
        <v>2917</v>
      </c>
      <c r="AG982" s="18" t="s">
        <v>1510</v>
      </c>
      <c r="AH982" s="18" t="s">
        <v>1510</v>
      </c>
      <c r="AI982" s="18" t="s">
        <v>2918</v>
      </c>
      <c r="AJ982" s="18">
        <v>47</v>
      </c>
      <c r="AK982" s="18">
        <v>236840</v>
      </c>
      <c r="AL982" s="18" t="b">
        <v>0</v>
      </c>
      <c r="AM982" s="18">
        <v>0.36899999999999999</v>
      </c>
      <c r="AN982" s="18">
        <v>0.31900000000000001</v>
      </c>
      <c r="AO982" s="18">
        <v>2</v>
      </c>
      <c r="AP982" s="18">
        <v>-12.087999999999999</v>
      </c>
      <c r="AQ982" s="18">
        <v>1</v>
      </c>
      <c r="AR982" s="18">
        <v>2.8799999999999999E-2</v>
      </c>
      <c r="AS982" s="18">
        <v>0.752</v>
      </c>
      <c r="AT982" s="18">
        <v>8.3699999999999996E-4</v>
      </c>
      <c r="AU982" s="18">
        <v>0.154</v>
      </c>
      <c r="AV982" s="18">
        <v>0.47599999999999998</v>
      </c>
      <c r="AW982" s="18">
        <v>160.35900000000001</v>
      </c>
      <c r="AX982" s="18">
        <v>4</v>
      </c>
      <c r="AY982" s="19" t="s">
        <v>24</v>
      </c>
    </row>
    <row r="983" spans="32:51" x14ac:dyDescent="0.35">
      <c r="AF983" s="14" t="s">
        <v>2919</v>
      </c>
      <c r="AG983" s="15" t="s">
        <v>1202</v>
      </c>
      <c r="AH983" s="15" t="s">
        <v>2903</v>
      </c>
      <c r="AI983" s="15" t="s">
        <v>2920</v>
      </c>
      <c r="AJ983" s="15">
        <v>25</v>
      </c>
      <c r="AK983" s="15">
        <v>305866</v>
      </c>
      <c r="AL983" s="15" t="b">
        <v>0</v>
      </c>
      <c r="AM983" s="15">
        <v>0.56799999999999995</v>
      </c>
      <c r="AN983" s="15">
        <v>0.24</v>
      </c>
      <c r="AO983" s="15">
        <v>7</v>
      </c>
      <c r="AP983" s="15">
        <v>-13.851000000000001</v>
      </c>
      <c r="AQ983" s="15">
        <v>1</v>
      </c>
      <c r="AR983" s="15">
        <v>2.92E-2</v>
      </c>
      <c r="AS983" s="15">
        <v>0.90200000000000002</v>
      </c>
      <c r="AT983" s="15">
        <v>9.9000000000000005E-2</v>
      </c>
      <c r="AU983" s="15">
        <v>0.111</v>
      </c>
      <c r="AV983" s="15">
        <v>0.50800000000000001</v>
      </c>
      <c r="AW983" s="15">
        <v>94.933000000000007</v>
      </c>
      <c r="AX983" s="15">
        <v>4</v>
      </c>
      <c r="AY983" s="16" t="s">
        <v>24</v>
      </c>
    </row>
    <row r="984" spans="32:51" x14ac:dyDescent="0.35">
      <c r="AF984" s="17" t="s">
        <v>2921</v>
      </c>
      <c r="AG984" s="18" t="s">
        <v>2922</v>
      </c>
      <c r="AH984" s="18" t="s">
        <v>2923</v>
      </c>
      <c r="AI984" s="18" t="s">
        <v>2923</v>
      </c>
      <c r="AJ984" s="18">
        <v>26</v>
      </c>
      <c r="AK984" s="18">
        <v>216584</v>
      </c>
      <c r="AL984" s="18" t="b">
        <v>0</v>
      </c>
      <c r="AM984" s="18">
        <v>0.48299999999999998</v>
      </c>
      <c r="AN984" s="18">
        <v>0.219</v>
      </c>
      <c r="AO984" s="18">
        <v>0</v>
      </c>
      <c r="AP984" s="18">
        <v>-13.27</v>
      </c>
      <c r="AQ984" s="18">
        <v>1</v>
      </c>
      <c r="AR984" s="18">
        <v>4.82E-2</v>
      </c>
      <c r="AS984" s="18">
        <v>0.97199999999999998</v>
      </c>
      <c r="AT984" s="18">
        <v>0</v>
      </c>
      <c r="AU984" s="18">
        <v>0.11600000000000001</v>
      </c>
      <c r="AV984" s="18">
        <v>0.64100000000000001</v>
      </c>
      <c r="AW984" s="18">
        <v>149.58099999999999</v>
      </c>
      <c r="AX984" s="18">
        <v>4</v>
      </c>
      <c r="AY984" s="19" t="s">
        <v>24</v>
      </c>
    </row>
    <row r="985" spans="32:51" x14ac:dyDescent="0.35">
      <c r="AF985" s="14" t="s">
        <v>2924</v>
      </c>
      <c r="AG985" s="15" t="s">
        <v>1047</v>
      </c>
      <c r="AH985" s="15" t="s">
        <v>1048</v>
      </c>
      <c r="AI985" s="15" t="s">
        <v>2925</v>
      </c>
      <c r="AJ985" s="15">
        <v>25</v>
      </c>
      <c r="AK985" s="15">
        <v>257054</v>
      </c>
      <c r="AL985" s="15" t="b">
        <v>0</v>
      </c>
      <c r="AM985" s="15">
        <v>0.41899999999999998</v>
      </c>
      <c r="AN985" s="15">
        <v>0.85499999999999998</v>
      </c>
      <c r="AO985" s="15">
        <v>0</v>
      </c>
      <c r="AP985" s="15">
        <v>-4.782</v>
      </c>
      <c r="AQ985" s="15">
        <v>1</v>
      </c>
      <c r="AR985" s="15">
        <v>3.27E-2</v>
      </c>
      <c r="AS985" s="31" t="s">
        <v>2926</v>
      </c>
      <c r="AT985" s="15">
        <v>0</v>
      </c>
      <c r="AU985" s="15">
        <v>0.27200000000000002</v>
      </c>
      <c r="AV985" s="15">
        <v>0.26100000000000001</v>
      </c>
      <c r="AW985" s="15">
        <v>154.09800000000001</v>
      </c>
      <c r="AX985" s="15">
        <v>4</v>
      </c>
      <c r="AY985" s="16" t="s">
        <v>24</v>
      </c>
    </row>
    <row r="986" spans="32:51" x14ac:dyDescent="0.35">
      <c r="AF986" s="17" t="s">
        <v>2927</v>
      </c>
      <c r="AG986" s="18" t="s">
        <v>2928</v>
      </c>
      <c r="AH986" s="18" t="s">
        <v>2929</v>
      </c>
      <c r="AI986" s="18" t="s">
        <v>2929</v>
      </c>
      <c r="AJ986" s="18">
        <v>25</v>
      </c>
      <c r="AK986" s="18">
        <v>167999</v>
      </c>
      <c r="AL986" s="18" t="b">
        <v>0</v>
      </c>
      <c r="AM986" s="18">
        <v>0.56599999999999995</v>
      </c>
      <c r="AN986" s="18">
        <v>0.83499999999999996</v>
      </c>
      <c r="AO986" s="18">
        <v>7</v>
      </c>
      <c r="AP986" s="18">
        <v>-7.9850000000000003</v>
      </c>
      <c r="AQ986" s="18">
        <v>1</v>
      </c>
      <c r="AR986" s="18">
        <v>3.7699999999999997E-2</v>
      </c>
      <c r="AS986" s="18">
        <v>1.67E-2</v>
      </c>
      <c r="AT986" s="18">
        <v>3.2599999999999997E-2</v>
      </c>
      <c r="AU986" s="18">
        <v>0.17199999999999999</v>
      </c>
      <c r="AV986" s="18">
        <v>0.54900000000000004</v>
      </c>
      <c r="AW986" s="18">
        <v>95.009</v>
      </c>
      <c r="AX986" s="18">
        <v>4</v>
      </c>
      <c r="AY986" s="19" t="s">
        <v>24</v>
      </c>
    </row>
    <row r="987" spans="32:51" x14ac:dyDescent="0.35">
      <c r="AF987" s="14" t="s">
        <v>2930</v>
      </c>
      <c r="AG987" s="15" t="s">
        <v>1890</v>
      </c>
      <c r="AH987" s="15" t="s">
        <v>1891</v>
      </c>
      <c r="AI987" s="15" t="s">
        <v>2931</v>
      </c>
      <c r="AJ987" s="15">
        <v>26</v>
      </c>
      <c r="AK987" s="15">
        <v>220213</v>
      </c>
      <c r="AL987" s="15" t="b">
        <v>0</v>
      </c>
      <c r="AM987" s="15">
        <v>0.63300000000000001</v>
      </c>
      <c r="AN987" s="15">
        <v>0.64700000000000002</v>
      </c>
      <c r="AO987" s="15">
        <v>4</v>
      </c>
      <c r="AP987" s="15">
        <v>-6.3479999999999999</v>
      </c>
      <c r="AQ987" s="15">
        <v>0</v>
      </c>
      <c r="AR987" s="15">
        <v>3.1800000000000002E-2</v>
      </c>
      <c r="AS987" s="15">
        <v>0.13300000000000001</v>
      </c>
      <c r="AT987" s="15">
        <v>2.1000000000000001E-4</v>
      </c>
      <c r="AU987" s="15">
        <v>8.5800000000000001E-2</v>
      </c>
      <c r="AV987" s="15">
        <v>0.77500000000000002</v>
      </c>
      <c r="AW987" s="15">
        <v>150.80500000000001</v>
      </c>
      <c r="AX987" s="15">
        <v>4</v>
      </c>
      <c r="AY987" s="16" t="s">
        <v>24</v>
      </c>
    </row>
    <row r="988" spans="32:51" x14ac:dyDescent="0.35">
      <c r="AF988" s="17" t="s">
        <v>2932</v>
      </c>
      <c r="AG988" s="18" t="s">
        <v>2244</v>
      </c>
      <c r="AH988" s="18" t="s">
        <v>2321</v>
      </c>
      <c r="AI988" s="18" t="s">
        <v>2245</v>
      </c>
      <c r="AJ988" s="18">
        <v>25</v>
      </c>
      <c r="AK988" s="18">
        <v>244821</v>
      </c>
      <c r="AL988" s="18" t="b">
        <v>0</v>
      </c>
      <c r="AM988" s="18">
        <v>0.66200000000000003</v>
      </c>
      <c r="AN988" s="18">
        <v>0.26800000000000002</v>
      </c>
      <c r="AO988" s="18">
        <v>10</v>
      </c>
      <c r="AP988" s="18">
        <v>-7.3940000000000001</v>
      </c>
      <c r="AQ988" s="18">
        <v>1</v>
      </c>
      <c r="AR988" s="18">
        <v>3.5799999999999998E-2</v>
      </c>
      <c r="AS988" s="18">
        <v>0.85799999999999998</v>
      </c>
      <c r="AT988" s="18">
        <v>0</v>
      </c>
      <c r="AU988" s="18">
        <v>0.11</v>
      </c>
      <c r="AV988" s="18">
        <v>0.39400000000000002</v>
      </c>
      <c r="AW988" s="18">
        <v>111.59399999999999</v>
      </c>
      <c r="AX988" s="18">
        <v>4</v>
      </c>
      <c r="AY988" s="19" t="s">
        <v>24</v>
      </c>
    </row>
    <row r="989" spans="32:51" x14ac:dyDescent="0.35">
      <c r="AF989" s="14" t="s">
        <v>2933</v>
      </c>
      <c r="AG989" s="15" t="s">
        <v>1805</v>
      </c>
      <c r="AH989" s="15" t="s">
        <v>1806</v>
      </c>
      <c r="AI989" s="15" t="s">
        <v>2934</v>
      </c>
      <c r="AJ989" s="15">
        <v>25</v>
      </c>
      <c r="AK989" s="15">
        <v>226320</v>
      </c>
      <c r="AL989" s="15" t="b">
        <v>0</v>
      </c>
      <c r="AM989" s="15">
        <v>0.39100000000000001</v>
      </c>
      <c r="AN989" s="15">
        <v>0.32200000000000001</v>
      </c>
      <c r="AO989" s="15">
        <v>2</v>
      </c>
      <c r="AP989" s="15">
        <v>-10.845000000000001</v>
      </c>
      <c r="AQ989" s="15">
        <v>1</v>
      </c>
      <c r="AR989" s="15">
        <v>3.2199999999999999E-2</v>
      </c>
      <c r="AS989" s="15">
        <v>0.88</v>
      </c>
      <c r="AT989" s="15">
        <v>0</v>
      </c>
      <c r="AU989" s="15">
        <v>0.11799999999999999</v>
      </c>
      <c r="AV989" s="15">
        <v>0.27800000000000002</v>
      </c>
      <c r="AW989" s="15">
        <v>180.048</v>
      </c>
      <c r="AX989" s="15">
        <v>4</v>
      </c>
      <c r="AY989" s="16" t="s">
        <v>24</v>
      </c>
    </row>
    <row r="990" spans="32:51" x14ac:dyDescent="0.35">
      <c r="AF990" s="17" t="s">
        <v>2935</v>
      </c>
      <c r="AG990" s="18" t="s">
        <v>1522</v>
      </c>
      <c r="AH990" s="18" t="s">
        <v>2677</v>
      </c>
      <c r="AI990" s="18" t="s">
        <v>2936</v>
      </c>
      <c r="AJ990" s="18">
        <v>26</v>
      </c>
      <c r="AK990" s="18">
        <v>191552</v>
      </c>
      <c r="AL990" s="18" t="b">
        <v>1</v>
      </c>
      <c r="AM990" s="18">
        <v>0.44800000000000001</v>
      </c>
      <c r="AN990" s="18">
        <v>0.82099999999999995</v>
      </c>
      <c r="AO990" s="18">
        <v>7</v>
      </c>
      <c r="AP990" s="18">
        <v>-6.4050000000000002</v>
      </c>
      <c r="AQ990" s="18">
        <v>1</v>
      </c>
      <c r="AR990" s="18">
        <v>3.2800000000000003E-2</v>
      </c>
      <c r="AS990" s="18">
        <v>0.56599999999999995</v>
      </c>
      <c r="AT990" s="18">
        <v>0</v>
      </c>
      <c r="AU990" s="18">
        <v>0.33900000000000002</v>
      </c>
      <c r="AV990" s="18">
        <v>0.61799999999999999</v>
      </c>
      <c r="AW990" s="18">
        <v>104.687</v>
      </c>
      <c r="AX990" s="18">
        <v>4</v>
      </c>
      <c r="AY990" s="19" t="s">
        <v>24</v>
      </c>
    </row>
    <row r="991" spans="32:51" x14ac:dyDescent="0.35">
      <c r="AF991" s="14" t="s">
        <v>2937</v>
      </c>
      <c r="AG991" s="15" t="s">
        <v>2938</v>
      </c>
      <c r="AH991" s="15" t="s">
        <v>2939</v>
      </c>
      <c r="AI991" s="15" t="s">
        <v>2940</v>
      </c>
      <c r="AJ991" s="15">
        <v>26</v>
      </c>
      <c r="AK991" s="15">
        <v>153342</v>
      </c>
      <c r="AL991" s="15" t="b">
        <v>1</v>
      </c>
      <c r="AM991" s="15">
        <v>0.30099999999999999</v>
      </c>
      <c r="AN991" s="15">
        <v>0.55200000000000005</v>
      </c>
      <c r="AO991" s="15">
        <v>7</v>
      </c>
      <c r="AP991" s="15">
        <v>-7.19</v>
      </c>
      <c r="AQ991" s="15">
        <v>0</v>
      </c>
      <c r="AR991" s="15">
        <v>4.9500000000000002E-2</v>
      </c>
      <c r="AS991" s="15">
        <v>0.161</v>
      </c>
      <c r="AT991" s="15">
        <v>0</v>
      </c>
      <c r="AU991" s="15">
        <v>0.14299999999999999</v>
      </c>
      <c r="AV991" s="15">
        <v>0.76100000000000001</v>
      </c>
      <c r="AW991" s="15">
        <v>166.40600000000001</v>
      </c>
      <c r="AX991" s="15">
        <v>4</v>
      </c>
      <c r="AY991" s="16" t="s">
        <v>24</v>
      </c>
    </row>
    <row r="992" spans="32:51" x14ac:dyDescent="0.35">
      <c r="AF992" s="17" t="s">
        <v>2941</v>
      </c>
      <c r="AG992" s="18" t="s">
        <v>1073</v>
      </c>
      <c r="AH992" s="18" t="s">
        <v>2530</v>
      </c>
      <c r="AI992" s="18" t="s">
        <v>2530</v>
      </c>
      <c r="AJ992" s="18">
        <v>25</v>
      </c>
      <c r="AK992" s="18">
        <v>240866</v>
      </c>
      <c r="AL992" s="18" t="b">
        <v>0</v>
      </c>
      <c r="AM992" s="18">
        <v>0.52400000000000002</v>
      </c>
      <c r="AN992" s="18">
        <v>0.57799999999999996</v>
      </c>
      <c r="AO992" s="18">
        <v>7</v>
      </c>
      <c r="AP992" s="18">
        <v>-5.9740000000000002</v>
      </c>
      <c r="AQ992" s="18">
        <v>1</v>
      </c>
      <c r="AR992" s="18">
        <v>2.6700000000000002E-2</v>
      </c>
      <c r="AS992" s="18">
        <v>9.7099999999999997E-4</v>
      </c>
      <c r="AT992" s="32" t="s">
        <v>2531</v>
      </c>
      <c r="AU992" s="18">
        <v>0.32600000000000001</v>
      </c>
      <c r="AV992" s="18">
        <v>0.28999999999999998</v>
      </c>
      <c r="AW992" s="18">
        <v>75.031999999999996</v>
      </c>
      <c r="AX992" s="18">
        <v>4</v>
      </c>
      <c r="AY992" s="19" t="s">
        <v>24</v>
      </c>
    </row>
    <row r="993" spans="32:51" x14ac:dyDescent="0.35">
      <c r="AF993" s="14" t="s">
        <v>2942</v>
      </c>
      <c r="AG993" s="15" t="s">
        <v>2943</v>
      </c>
      <c r="AH993" s="15" t="s">
        <v>2944</v>
      </c>
      <c r="AI993" s="15" t="s">
        <v>2945</v>
      </c>
      <c r="AJ993" s="15">
        <v>25</v>
      </c>
      <c r="AK993" s="15">
        <v>261000</v>
      </c>
      <c r="AL993" s="15" t="b">
        <v>0</v>
      </c>
      <c r="AM993" s="15">
        <v>0.47899999999999998</v>
      </c>
      <c r="AN993" s="15">
        <v>0.28499999999999998</v>
      </c>
      <c r="AO993" s="15">
        <v>1</v>
      </c>
      <c r="AP993" s="15">
        <v>-12.619</v>
      </c>
      <c r="AQ993" s="15">
        <v>0</v>
      </c>
      <c r="AR993" s="15">
        <v>3.27E-2</v>
      </c>
      <c r="AS993" s="15">
        <v>0.94199999999999995</v>
      </c>
      <c r="AT993" s="15">
        <v>4.3700000000000003E-2</v>
      </c>
      <c r="AU993" s="15">
        <v>0.111</v>
      </c>
      <c r="AV993" s="15">
        <v>0.61799999999999999</v>
      </c>
      <c r="AW993" s="15">
        <v>104.93300000000001</v>
      </c>
      <c r="AX993" s="15">
        <v>4</v>
      </c>
      <c r="AY993" s="16" t="s">
        <v>24</v>
      </c>
    </row>
    <row r="994" spans="32:51" x14ac:dyDescent="0.35">
      <c r="AF994" s="17" t="s">
        <v>2946</v>
      </c>
      <c r="AG994" s="18" t="s">
        <v>1073</v>
      </c>
      <c r="AH994" s="18" t="s">
        <v>1535</v>
      </c>
      <c r="AI994" s="18" t="s">
        <v>2947</v>
      </c>
      <c r="AJ994" s="18">
        <v>25</v>
      </c>
      <c r="AK994" s="18">
        <v>215586</v>
      </c>
      <c r="AL994" s="18" t="b">
        <v>0</v>
      </c>
      <c r="AM994" s="18">
        <v>0.60899999999999999</v>
      </c>
      <c r="AN994" s="18">
        <v>0.69299999999999995</v>
      </c>
      <c r="AO994" s="18">
        <v>9</v>
      </c>
      <c r="AP994" s="18">
        <v>-6.3949999999999996</v>
      </c>
      <c r="AQ994" s="18">
        <v>1</v>
      </c>
      <c r="AR994" s="18">
        <v>2.7300000000000001E-2</v>
      </c>
      <c r="AS994" s="18">
        <v>3.1500000000000001E-4</v>
      </c>
      <c r="AT994" s="18">
        <v>0</v>
      </c>
      <c r="AU994" s="18">
        <v>0.3</v>
      </c>
      <c r="AV994" s="18">
        <v>0.45200000000000001</v>
      </c>
      <c r="AW994" s="18">
        <v>119.992</v>
      </c>
      <c r="AX994" s="18">
        <v>4</v>
      </c>
      <c r="AY994" s="19" t="s">
        <v>24</v>
      </c>
    </row>
    <row r="995" spans="32:51" x14ac:dyDescent="0.35">
      <c r="AF995" s="14" t="s">
        <v>2948</v>
      </c>
      <c r="AG995" s="15" t="s">
        <v>1510</v>
      </c>
      <c r="AH995" s="15" t="s">
        <v>2949</v>
      </c>
      <c r="AI995" s="15" t="s">
        <v>2950</v>
      </c>
      <c r="AJ995" s="15">
        <v>26</v>
      </c>
      <c r="AK995" s="15">
        <v>340266</v>
      </c>
      <c r="AL995" s="15" t="b">
        <v>0</v>
      </c>
      <c r="AM995" s="15">
        <v>0.60799999999999998</v>
      </c>
      <c r="AN995" s="15">
        <v>0.61</v>
      </c>
      <c r="AO995" s="15">
        <v>11</v>
      </c>
      <c r="AP995" s="15">
        <v>-13.99</v>
      </c>
      <c r="AQ995" s="15">
        <v>0</v>
      </c>
      <c r="AR995" s="15">
        <v>7.0199999999999999E-2</v>
      </c>
      <c r="AS995" s="15">
        <v>2.7799999999999998E-2</v>
      </c>
      <c r="AT995" s="15">
        <v>0.33500000000000002</v>
      </c>
      <c r="AU995" s="15">
        <v>3.6900000000000002E-2</v>
      </c>
      <c r="AV995" s="15">
        <v>0.66900000000000004</v>
      </c>
      <c r="AW995" s="15">
        <v>121.27500000000001</v>
      </c>
      <c r="AX995" s="15">
        <v>4</v>
      </c>
      <c r="AY995" s="16" t="s">
        <v>24</v>
      </c>
    </row>
    <row r="996" spans="32:51" x14ac:dyDescent="0.35">
      <c r="AF996" s="17" t="s">
        <v>2951</v>
      </c>
      <c r="AG996" s="18" t="s">
        <v>755</v>
      </c>
      <c r="AH996" s="18" t="s">
        <v>2514</v>
      </c>
      <c r="AI996" s="18" t="s">
        <v>2952</v>
      </c>
      <c r="AJ996" s="18">
        <v>26</v>
      </c>
      <c r="AK996" s="18">
        <v>140560</v>
      </c>
      <c r="AL996" s="18" t="b">
        <v>1</v>
      </c>
      <c r="AM996" s="18">
        <v>0.55500000000000005</v>
      </c>
      <c r="AN996" s="18">
        <v>0.50800000000000001</v>
      </c>
      <c r="AO996" s="18">
        <v>0</v>
      </c>
      <c r="AP996" s="18">
        <v>-12.851000000000001</v>
      </c>
      <c r="AQ996" s="18">
        <v>1</v>
      </c>
      <c r="AR996" s="18">
        <v>0.108</v>
      </c>
      <c r="AS996" s="18">
        <v>0.36099999999999999</v>
      </c>
      <c r="AT996" s="18">
        <v>9.68E-4</v>
      </c>
      <c r="AU996" s="18">
        <v>0.12</v>
      </c>
      <c r="AV996" s="18">
        <v>0.96099999999999997</v>
      </c>
      <c r="AW996" s="18">
        <v>122.03700000000001</v>
      </c>
      <c r="AX996" s="18">
        <v>4</v>
      </c>
      <c r="AY996" s="19" t="s">
        <v>24</v>
      </c>
    </row>
    <row r="997" spans="32:51" x14ac:dyDescent="0.35">
      <c r="AF997" s="14" t="s">
        <v>2953</v>
      </c>
      <c r="AG997" s="15" t="s">
        <v>755</v>
      </c>
      <c r="AH997" s="15" t="s">
        <v>756</v>
      </c>
      <c r="AI997" s="15" t="s">
        <v>2954</v>
      </c>
      <c r="AJ997" s="15">
        <v>26</v>
      </c>
      <c r="AK997" s="15">
        <v>144009</v>
      </c>
      <c r="AL997" s="15" t="b">
        <v>0</v>
      </c>
      <c r="AM997" s="15">
        <v>0.44600000000000001</v>
      </c>
      <c r="AN997" s="15">
        <v>0.621</v>
      </c>
      <c r="AO997" s="15">
        <v>10</v>
      </c>
      <c r="AP997" s="15">
        <v>-5.0650000000000004</v>
      </c>
      <c r="AQ997" s="15">
        <v>1</v>
      </c>
      <c r="AR997" s="15">
        <v>3.6999999999999998E-2</v>
      </c>
      <c r="AS997" s="15">
        <v>0.72099999999999997</v>
      </c>
      <c r="AT997" s="15">
        <v>0</v>
      </c>
      <c r="AU997" s="15">
        <v>8.8099999999999998E-2</v>
      </c>
      <c r="AV997" s="15">
        <v>0.86699999999999999</v>
      </c>
      <c r="AW997" s="15">
        <v>113.896</v>
      </c>
      <c r="AX997" s="15">
        <v>4</v>
      </c>
      <c r="AY997" s="16" t="s">
        <v>24</v>
      </c>
    </row>
    <row r="998" spans="32:51" x14ac:dyDescent="0.35">
      <c r="AF998" s="17" t="s">
        <v>2955</v>
      </c>
      <c r="AG998" s="18" t="s">
        <v>1522</v>
      </c>
      <c r="AH998" s="18" t="s">
        <v>2956</v>
      </c>
      <c r="AI998" s="18" t="s">
        <v>2957</v>
      </c>
      <c r="AJ998" s="18">
        <v>26</v>
      </c>
      <c r="AK998" s="18">
        <v>196226</v>
      </c>
      <c r="AL998" s="18" t="b">
        <v>1</v>
      </c>
      <c r="AM998" s="18">
        <v>0.63300000000000001</v>
      </c>
      <c r="AN998" s="18">
        <v>0.83199999999999996</v>
      </c>
      <c r="AO998" s="18">
        <v>0</v>
      </c>
      <c r="AP998" s="18">
        <v>-6.84</v>
      </c>
      <c r="AQ998" s="18">
        <v>1</v>
      </c>
      <c r="AR998" s="18">
        <v>8.6300000000000002E-2</v>
      </c>
      <c r="AS998" s="18">
        <v>2.7400000000000001E-2</v>
      </c>
      <c r="AT998" s="32" t="s">
        <v>2958</v>
      </c>
      <c r="AU998" s="18">
        <v>9.5699999999999993E-2</v>
      </c>
      <c r="AV998" s="18">
        <v>0.83799999999999997</v>
      </c>
      <c r="AW998" s="18">
        <v>130.91200000000001</v>
      </c>
      <c r="AX998" s="18">
        <v>4</v>
      </c>
      <c r="AY998" s="19" t="s">
        <v>24</v>
      </c>
    </row>
    <row r="999" spans="32:51" x14ac:dyDescent="0.35">
      <c r="AF999" s="14" t="s">
        <v>2959</v>
      </c>
      <c r="AG999" s="15" t="s">
        <v>626</v>
      </c>
      <c r="AH999" s="15" t="s">
        <v>2960</v>
      </c>
      <c r="AI999" s="15" t="s">
        <v>2961</v>
      </c>
      <c r="AJ999" s="15">
        <v>29</v>
      </c>
      <c r="AK999" s="15">
        <v>180920</v>
      </c>
      <c r="AL999" s="15" t="b">
        <v>0</v>
      </c>
      <c r="AM999" s="15">
        <v>0.621</v>
      </c>
      <c r="AN999" s="15">
        <v>0.29399999999999998</v>
      </c>
      <c r="AO999" s="15">
        <v>9</v>
      </c>
      <c r="AP999" s="15">
        <v>-13.468</v>
      </c>
      <c r="AQ999" s="15">
        <v>1</v>
      </c>
      <c r="AR999" s="15">
        <v>0.11</v>
      </c>
      <c r="AS999" s="15">
        <v>0.55800000000000005</v>
      </c>
      <c r="AT999" s="31" t="s">
        <v>2962</v>
      </c>
      <c r="AU999" s="15">
        <v>9.4600000000000004E-2</v>
      </c>
      <c r="AV999" s="15">
        <v>0.72799999999999998</v>
      </c>
      <c r="AW999" s="15">
        <v>78.599000000000004</v>
      </c>
      <c r="AX999" s="15">
        <v>4</v>
      </c>
      <c r="AY999" s="16" t="s">
        <v>24</v>
      </c>
    </row>
    <row r="1000" spans="32:51" x14ac:dyDescent="0.35">
      <c r="AF1000" s="17" t="s">
        <v>2963</v>
      </c>
      <c r="AG1000" s="18" t="s">
        <v>1674</v>
      </c>
      <c r="AH1000" s="18" t="s">
        <v>1675</v>
      </c>
      <c r="AI1000" s="18" t="s">
        <v>2964</v>
      </c>
      <c r="AJ1000" s="18">
        <v>26</v>
      </c>
      <c r="AK1000" s="18">
        <v>186461</v>
      </c>
      <c r="AL1000" s="18" t="b">
        <v>1</v>
      </c>
      <c r="AM1000" s="18">
        <v>0.64800000000000002</v>
      </c>
      <c r="AN1000" s="18">
        <v>0.38900000000000001</v>
      </c>
      <c r="AO1000" s="18">
        <v>4</v>
      </c>
      <c r="AP1000" s="18">
        <v>-8.2750000000000004</v>
      </c>
      <c r="AQ1000" s="18">
        <v>1</v>
      </c>
      <c r="AR1000" s="18">
        <v>9.2700000000000005E-2</v>
      </c>
      <c r="AS1000" s="18">
        <v>0.80700000000000005</v>
      </c>
      <c r="AT1000" s="32" t="s">
        <v>2965</v>
      </c>
      <c r="AU1000" s="18">
        <v>0.11</v>
      </c>
      <c r="AV1000" s="18">
        <v>0.378</v>
      </c>
      <c r="AW1000" s="18">
        <v>86.36</v>
      </c>
      <c r="AX1000" s="18">
        <v>4</v>
      </c>
      <c r="AY1000" s="19" t="s">
        <v>24</v>
      </c>
    </row>
    <row r="1001" spans="32:51" x14ac:dyDescent="0.35">
      <c r="AF1001" s="14" t="s">
        <v>2966</v>
      </c>
      <c r="AG1001" s="15" t="s">
        <v>1929</v>
      </c>
      <c r="AH1001" s="15" t="s">
        <v>2967</v>
      </c>
      <c r="AI1001" s="15" t="s">
        <v>2968</v>
      </c>
      <c r="AJ1001" s="15">
        <v>26</v>
      </c>
      <c r="AK1001" s="15">
        <v>217293</v>
      </c>
      <c r="AL1001" s="15" t="b">
        <v>0</v>
      </c>
      <c r="AM1001" s="15">
        <v>0.30299999999999999</v>
      </c>
      <c r="AN1001" s="15">
        <v>0.50600000000000001</v>
      </c>
      <c r="AO1001" s="15">
        <v>9</v>
      </c>
      <c r="AP1001" s="15">
        <v>-6.89</v>
      </c>
      <c r="AQ1001" s="15">
        <v>1</v>
      </c>
      <c r="AR1001" s="15">
        <v>3.2500000000000001E-2</v>
      </c>
      <c r="AS1001" s="15">
        <v>0.496</v>
      </c>
      <c r="AT1001" s="15">
        <v>0</v>
      </c>
      <c r="AU1001" s="15">
        <v>0.17799999999999999</v>
      </c>
      <c r="AV1001" s="15">
        <v>0.41199999999999998</v>
      </c>
      <c r="AW1001" s="15">
        <v>161.46299999999999</v>
      </c>
      <c r="AX1001" s="15">
        <v>3</v>
      </c>
      <c r="AY1001" s="16" t="s">
        <v>24</v>
      </c>
    </row>
    <row r="1002" spans="32:51" x14ac:dyDescent="0.35">
      <c r="AF1002" s="17" t="s">
        <v>2969</v>
      </c>
      <c r="AG1002" s="18" t="s">
        <v>1073</v>
      </c>
      <c r="AH1002" s="18" t="s">
        <v>2970</v>
      </c>
      <c r="AI1002" s="18" t="s">
        <v>2971</v>
      </c>
      <c r="AJ1002" s="18">
        <v>25</v>
      </c>
      <c r="AK1002" s="18">
        <v>297093</v>
      </c>
      <c r="AL1002" s="18" t="b">
        <v>1</v>
      </c>
      <c r="AM1002" s="18">
        <v>0.33500000000000002</v>
      </c>
      <c r="AN1002" s="18">
        <v>0.88100000000000001</v>
      </c>
      <c r="AO1002" s="18">
        <v>0</v>
      </c>
      <c r="AP1002" s="18">
        <v>-6.48</v>
      </c>
      <c r="AQ1002" s="18">
        <v>1</v>
      </c>
      <c r="AR1002" s="18">
        <v>9.3399999999999997E-2</v>
      </c>
      <c r="AS1002" s="18">
        <v>8.0499999999999999E-3</v>
      </c>
      <c r="AT1002" s="18">
        <v>0</v>
      </c>
      <c r="AU1002" s="18">
        <v>0.11</v>
      </c>
      <c r="AV1002" s="18">
        <v>0.17299999999999999</v>
      </c>
      <c r="AW1002" s="18">
        <v>96.9</v>
      </c>
      <c r="AX1002" s="18">
        <v>4</v>
      </c>
      <c r="AY1002" s="19" t="s">
        <v>24</v>
      </c>
    </row>
    <row r="1003" spans="32:51" x14ac:dyDescent="0.35">
      <c r="AF1003" s="14" t="s">
        <v>2972</v>
      </c>
      <c r="AG1003" s="15" t="s">
        <v>2973</v>
      </c>
      <c r="AH1003" s="15" t="s">
        <v>2974</v>
      </c>
      <c r="AI1003" s="15" t="s">
        <v>2974</v>
      </c>
      <c r="AJ1003" s="15">
        <v>64</v>
      </c>
      <c r="AK1003" s="15">
        <v>168000</v>
      </c>
      <c r="AL1003" s="15" t="b">
        <v>0</v>
      </c>
      <c r="AM1003" s="15">
        <v>0.443</v>
      </c>
      <c r="AN1003" s="15">
        <v>0.77800000000000002</v>
      </c>
      <c r="AO1003" s="15">
        <v>0</v>
      </c>
      <c r="AP1003" s="15">
        <v>-7.5640000000000001</v>
      </c>
      <c r="AQ1003" s="15">
        <v>0</v>
      </c>
      <c r="AR1003" s="15">
        <v>0.26600000000000001</v>
      </c>
      <c r="AS1003" s="15">
        <v>0.24099999999999999</v>
      </c>
      <c r="AT1003" s="15">
        <v>0</v>
      </c>
      <c r="AU1003" s="15">
        <v>0.215</v>
      </c>
      <c r="AV1003" s="15">
        <v>0.628</v>
      </c>
      <c r="AW1003" s="15">
        <v>128.25</v>
      </c>
      <c r="AX1003" s="15">
        <v>5</v>
      </c>
      <c r="AY1003" s="16" t="s">
        <v>2975</v>
      </c>
    </row>
    <row r="1004" spans="32:51" x14ac:dyDescent="0.35">
      <c r="AF1004" s="17" t="s">
        <v>2976</v>
      </c>
      <c r="AG1004" s="18" t="s">
        <v>2977</v>
      </c>
      <c r="AH1004" s="18" t="s">
        <v>2978</v>
      </c>
      <c r="AI1004" s="18" t="s">
        <v>2978</v>
      </c>
      <c r="AJ1004" s="18">
        <v>44</v>
      </c>
      <c r="AK1004" s="18">
        <v>318360</v>
      </c>
      <c r="AL1004" s="18" t="b">
        <v>0</v>
      </c>
      <c r="AM1004" s="18">
        <v>0.57999999999999996</v>
      </c>
      <c r="AN1004" s="18">
        <v>0.8</v>
      </c>
      <c r="AO1004" s="18">
        <v>6</v>
      </c>
      <c r="AP1004" s="18">
        <v>-7.5279999999999996</v>
      </c>
      <c r="AQ1004" s="18">
        <v>1</v>
      </c>
      <c r="AR1004" s="18">
        <v>0.34499999999999997</v>
      </c>
      <c r="AS1004" s="18">
        <v>0.28100000000000003</v>
      </c>
      <c r="AT1004" s="18">
        <v>0</v>
      </c>
      <c r="AU1004" s="18">
        <v>7.0800000000000002E-2</v>
      </c>
      <c r="AV1004" s="18">
        <v>0.48299999999999998</v>
      </c>
      <c r="AW1004" s="18">
        <v>81.302999999999997</v>
      </c>
      <c r="AX1004" s="18">
        <v>4</v>
      </c>
      <c r="AY1004" s="19" t="s">
        <v>2975</v>
      </c>
    </row>
    <row r="1005" spans="32:51" x14ac:dyDescent="0.35">
      <c r="AF1005" s="14" t="s">
        <v>2979</v>
      </c>
      <c r="AG1005" s="15" t="s">
        <v>2977</v>
      </c>
      <c r="AH1005" s="15" t="s">
        <v>2980</v>
      </c>
      <c r="AI1005" s="15" t="s">
        <v>2980</v>
      </c>
      <c r="AJ1005" s="15">
        <v>42</v>
      </c>
      <c r="AK1005" s="15">
        <v>171989</v>
      </c>
      <c r="AL1005" s="15" t="b">
        <v>0</v>
      </c>
      <c r="AM1005" s="15">
        <v>0.80500000000000005</v>
      </c>
      <c r="AN1005" s="15">
        <v>0.746</v>
      </c>
      <c r="AO1005" s="15">
        <v>1</v>
      </c>
      <c r="AP1005" s="15">
        <v>-5.2110000000000003</v>
      </c>
      <c r="AQ1005" s="15">
        <v>0</v>
      </c>
      <c r="AR1005" s="15">
        <v>0.185</v>
      </c>
      <c r="AS1005" s="15">
        <v>0.23799999999999999</v>
      </c>
      <c r="AT1005" s="15">
        <v>0</v>
      </c>
      <c r="AU1005" s="15">
        <v>0.215</v>
      </c>
      <c r="AV1005" s="15">
        <v>0.71699999999999997</v>
      </c>
      <c r="AW1005" s="15">
        <v>127.922</v>
      </c>
      <c r="AX1005" s="15">
        <v>4</v>
      </c>
      <c r="AY1005" s="16" t="s">
        <v>2975</v>
      </c>
    </row>
    <row r="1006" spans="32:51" x14ac:dyDescent="0.35">
      <c r="AF1006" s="17" t="s">
        <v>2981</v>
      </c>
      <c r="AG1006" s="18" t="s">
        <v>2977</v>
      </c>
      <c r="AH1006" s="18" t="s">
        <v>2982</v>
      </c>
      <c r="AI1006" s="18" t="s">
        <v>2983</v>
      </c>
      <c r="AJ1006" s="18">
        <v>46</v>
      </c>
      <c r="AK1006" s="18">
        <v>205440</v>
      </c>
      <c r="AL1006" s="18" t="b">
        <v>0</v>
      </c>
      <c r="AM1006" s="18">
        <v>0.58199999999999996</v>
      </c>
      <c r="AN1006" s="18">
        <v>0.66</v>
      </c>
      <c r="AO1006" s="18">
        <v>7</v>
      </c>
      <c r="AP1006" s="18">
        <v>-4.9880000000000004</v>
      </c>
      <c r="AQ1006" s="18">
        <v>0</v>
      </c>
      <c r="AR1006" s="18">
        <v>5.4399999999999997E-2</v>
      </c>
      <c r="AS1006" s="18">
        <v>0.39900000000000002</v>
      </c>
      <c r="AT1006" s="18">
        <v>0</v>
      </c>
      <c r="AU1006" s="18">
        <v>0.127</v>
      </c>
      <c r="AV1006" s="18">
        <v>0.48399999999999999</v>
      </c>
      <c r="AW1006" s="18">
        <v>83.789000000000001</v>
      </c>
      <c r="AX1006" s="18">
        <v>4</v>
      </c>
      <c r="AY1006" s="19" t="s">
        <v>2975</v>
      </c>
    </row>
    <row r="1007" spans="32:51" x14ac:dyDescent="0.35">
      <c r="AF1007" s="14" t="s">
        <v>2984</v>
      </c>
      <c r="AG1007" s="15" t="s">
        <v>2977</v>
      </c>
      <c r="AH1007" s="15" t="s">
        <v>2985</v>
      </c>
      <c r="AI1007" s="15" t="s">
        <v>2985</v>
      </c>
      <c r="AJ1007" s="15">
        <v>44</v>
      </c>
      <c r="AK1007" s="15">
        <v>220800</v>
      </c>
      <c r="AL1007" s="15" t="b">
        <v>0</v>
      </c>
      <c r="AM1007" s="15">
        <v>0.77600000000000002</v>
      </c>
      <c r="AN1007" s="15">
        <v>0.314</v>
      </c>
      <c r="AO1007" s="15">
        <v>2</v>
      </c>
      <c r="AP1007" s="15">
        <v>-9.5129999999999999</v>
      </c>
      <c r="AQ1007" s="15">
        <v>1</v>
      </c>
      <c r="AR1007" s="15">
        <v>3.4000000000000002E-2</v>
      </c>
      <c r="AS1007" s="15">
        <v>0.88100000000000001</v>
      </c>
      <c r="AT1007" s="15">
        <v>7.2300000000000001E-4</v>
      </c>
      <c r="AU1007" s="15">
        <v>0.13900000000000001</v>
      </c>
      <c r="AV1007" s="15">
        <v>0.47599999999999998</v>
      </c>
      <c r="AW1007" s="15">
        <v>124.05500000000001</v>
      </c>
      <c r="AX1007" s="15">
        <v>4</v>
      </c>
      <c r="AY1007" s="16" t="s">
        <v>2975</v>
      </c>
    </row>
    <row r="1008" spans="32:51" x14ac:dyDescent="0.35">
      <c r="AF1008" s="17" t="s">
        <v>2986</v>
      </c>
      <c r="AG1008" s="18" t="s">
        <v>2977</v>
      </c>
      <c r="AH1008" s="18" t="s">
        <v>2987</v>
      </c>
      <c r="AI1008" s="18" t="s">
        <v>2988</v>
      </c>
      <c r="AJ1008" s="18">
        <v>43</v>
      </c>
      <c r="AK1008" s="18">
        <v>258359</v>
      </c>
      <c r="AL1008" s="18" t="b">
        <v>0</v>
      </c>
      <c r="AM1008" s="18">
        <v>0.71099999999999997</v>
      </c>
      <c r="AN1008" s="18">
        <v>0.51500000000000001</v>
      </c>
      <c r="AO1008" s="18">
        <v>2</v>
      </c>
      <c r="AP1008" s="18">
        <v>-8.2379999999999995</v>
      </c>
      <c r="AQ1008" s="18">
        <v>0</v>
      </c>
      <c r="AR1008" s="18">
        <v>5.1400000000000001E-2</v>
      </c>
      <c r="AS1008" s="18">
        <v>0.67900000000000005</v>
      </c>
      <c r="AT1008" s="18">
        <v>3.2400000000000001E-4</v>
      </c>
      <c r="AU1008" s="18">
        <v>9.7100000000000006E-2</v>
      </c>
      <c r="AV1008" s="18">
        <v>0.67900000000000005</v>
      </c>
      <c r="AW1008" s="18">
        <v>90.91</v>
      </c>
      <c r="AX1008" s="18">
        <v>4</v>
      </c>
      <c r="AY1008" s="19" t="s">
        <v>2975</v>
      </c>
    </row>
    <row r="1009" spans="32:51" x14ac:dyDescent="0.35">
      <c r="AF1009" s="14" t="s">
        <v>2989</v>
      </c>
      <c r="AG1009" s="15" t="s">
        <v>2990</v>
      </c>
      <c r="AH1009" s="15" t="s">
        <v>2978</v>
      </c>
      <c r="AI1009" s="15" t="s">
        <v>2991</v>
      </c>
      <c r="AJ1009" s="15">
        <v>41</v>
      </c>
      <c r="AK1009" s="15">
        <v>254520</v>
      </c>
      <c r="AL1009" s="15" t="b">
        <v>0</v>
      </c>
      <c r="AM1009" s="15">
        <v>0.63700000000000001</v>
      </c>
      <c r="AN1009" s="15">
        <v>0.81799999999999995</v>
      </c>
      <c r="AO1009" s="15">
        <v>8</v>
      </c>
      <c r="AP1009" s="15">
        <v>-6.851</v>
      </c>
      <c r="AQ1009" s="15">
        <v>1</v>
      </c>
      <c r="AR1009" s="15">
        <v>0.28100000000000003</v>
      </c>
      <c r="AS1009" s="15">
        <v>0.19</v>
      </c>
      <c r="AT1009" s="15">
        <v>0</v>
      </c>
      <c r="AU1009" s="15">
        <v>0.10199999999999999</v>
      </c>
      <c r="AV1009" s="15">
        <v>0.59899999999999998</v>
      </c>
      <c r="AW1009" s="15">
        <v>90.570999999999998</v>
      </c>
      <c r="AX1009" s="15">
        <v>4</v>
      </c>
      <c r="AY1009" s="16" t="s">
        <v>2975</v>
      </c>
    </row>
    <row r="1010" spans="32:51" x14ac:dyDescent="0.35">
      <c r="AF1010" s="17" t="s">
        <v>2992</v>
      </c>
      <c r="AG1010" s="18" t="s">
        <v>2993</v>
      </c>
      <c r="AH1010" s="18" t="s">
        <v>2994</v>
      </c>
      <c r="AI1010" s="18" t="s">
        <v>2994</v>
      </c>
      <c r="AJ1010" s="18">
        <v>39</v>
      </c>
      <c r="AK1010" s="18">
        <v>261400</v>
      </c>
      <c r="AL1010" s="18" t="b">
        <v>0</v>
      </c>
      <c r="AM1010" s="18">
        <v>0.79</v>
      </c>
      <c r="AN1010" s="18">
        <v>0.81399999999999995</v>
      </c>
      <c r="AO1010" s="18">
        <v>9</v>
      </c>
      <c r="AP1010" s="18">
        <v>-6.3579999999999997</v>
      </c>
      <c r="AQ1010" s="18">
        <v>0</v>
      </c>
      <c r="AR1010" s="18">
        <v>2.6800000000000001E-2</v>
      </c>
      <c r="AS1010" s="18">
        <v>0.24299999999999999</v>
      </c>
      <c r="AT1010" s="18">
        <v>1.0200000000000001E-2</v>
      </c>
      <c r="AU1010" s="18">
        <v>0.52800000000000002</v>
      </c>
      <c r="AV1010" s="18">
        <v>0.91400000000000003</v>
      </c>
      <c r="AW1010" s="18">
        <v>124.03</v>
      </c>
      <c r="AX1010" s="18">
        <v>4</v>
      </c>
      <c r="AY1010" s="19" t="s">
        <v>2975</v>
      </c>
    </row>
    <row r="1011" spans="32:51" x14ac:dyDescent="0.35">
      <c r="AF1011" s="14" t="s">
        <v>2995</v>
      </c>
      <c r="AG1011" s="15" t="s">
        <v>2996</v>
      </c>
      <c r="AH1011" s="15" t="s">
        <v>2997</v>
      </c>
      <c r="AI1011" s="15" t="s">
        <v>2998</v>
      </c>
      <c r="AJ1011" s="15">
        <v>40</v>
      </c>
      <c r="AK1011" s="15">
        <v>244933</v>
      </c>
      <c r="AL1011" s="15" t="b">
        <v>0</v>
      </c>
      <c r="AM1011" s="15">
        <v>0.79700000000000004</v>
      </c>
      <c r="AN1011" s="15">
        <v>0.60899999999999999</v>
      </c>
      <c r="AO1011" s="15">
        <v>10</v>
      </c>
      <c r="AP1011" s="15">
        <v>-10.537000000000001</v>
      </c>
      <c r="AQ1011" s="15">
        <v>1</v>
      </c>
      <c r="AR1011" s="15">
        <v>0.13100000000000001</v>
      </c>
      <c r="AS1011" s="15">
        <v>3.7499999999999999E-3</v>
      </c>
      <c r="AT1011" s="15">
        <v>1.9099999999999999E-2</v>
      </c>
      <c r="AU1011" s="15">
        <v>0.128</v>
      </c>
      <c r="AV1011" s="15">
        <v>0.91300000000000003</v>
      </c>
      <c r="AW1011" s="15">
        <v>142.035</v>
      </c>
      <c r="AX1011" s="15">
        <v>4</v>
      </c>
      <c r="AY1011" s="16" t="s">
        <v>2975</v>
      </c>
    </row>
    <row r="1012" spans="32:51" x14ac:dyDescent="0.35">
      <c r="AF1012" s="17" t="s">
        <v>2999</v>
      </c>
      <c r="AG1012" s="18" t="s">
        <v>2977</v>
      </c>
      <c r="AH1012" s="18" t="s">
        <v>2978</v>
      </c>
      <c r="AI1012" s="18" t="s">
        <v>3000</v>
      </c>
      <c r="AJ1012" s="18">
        <v>43</v>
      </c>
      <c r="AK1012" s="18">
        <v>172440</v>
      </c>
      <c r="AL1012" s="18" t="b">
        <v>0</v>
      </c>
      <c r="AM1012" s="18">
        <v>0.50600000000000001</v>
      </c>
      <c r="AN1012" s="18">
        <v>0.876</v>
      </c>
      <c r="AO1012" s="18">
        <v>2</v>
      </c>
      <c r="AP1012" s="18">
        <v>-5.8769999999999998</v>
      </c>
      <c r="AQ1012" s="18">
        <v>0</v>
      </c>
      <c r="AR1012" s="18">
        <v>0.316</v>
      </c>
      <c r="AS1012" s="18">
        <v>0.19400000000000001</v>
      </c>
      <c r="AT1012" s="32" t="s">
        <v>3001</v>
      </c>
      <c r="AU1012" s="18">
        <v>0.35299999999999998</v>
      </c>
      <c r="AV1012" s="18">
        <v>0.67600000000000005</v>
      </c>
      <c r="AW1012" s="18">
        <v>124.218</v>
      </c>
      <c r="AX1012" s="18">
        <v>5</v>
      </c>
      <c r="AY1012" s="19" t="s">
        <v>2975</v>
      </c>
    </row>
    <row r="1013" spans="32:51" x14ac:dyDescent="0.35">
      <c r="AF1013" s="14" t="s">
        <v>3002</v>
      </c>
      <c r="AG1013" s="15" t="s">
        <v>2977</v>
      </c>
      <c r="AH1013" s="15" t="s">
        <v>2982</v>
      </c>
      <c r="AI1013" s="15" t="s">
        <v>3003</v>
      </c>
      <c r="AJ1013" s="15">
        <v>46</v>
      </c>
      <c r="AK1013" s="15">
        <v>240226</v>
      </c>
      <c r="AL1013" s="15" t="b">
        <v>0</v>
      </c>
      <c r="AM1013" s="15">
        <v>0.78800000000000003</v>
      </c>
      <c r="AN1013" s="15">
        <v>0.57399999999999995</v>
      </c>
      <c r="AO1013" s="15">
        <v>0</v>
      </c>
      <c r="AP1013" s="15">
        <v>-9.0679999999999996</v>
      </c>
      <c r="AQ1013" s="15">
        <v>1</v>
      </c>
      <c r="AR1013" s="15">
        <v>0.31900000000000001</v>
      </c>
      <c r="AS1013" s="15">
        <v>6.2600000000000003E-2</v>
      </c>
      <c r="AT1013" s="15">
        <v>0</v>
      </c>
      <c r="AU1013" s="15">
        <v>0.20300000000000001</v>
      </c>
      <c r="AV1013" s="15">
        <v>0.76400000000000001</v>
      </c>
      <c r="AW1013" s="15">
        <v>160.02699999999999</v>
      </c>
      <c r="AX1013" s="15">
        <v>4</v>
      </c>
      <c r="AY1013" s="16" t="s">
        <v>2975</v>
      </c>
    </row>
    <row r="1014" spans="32:51" x14ac:dyDescent="0.35">
      <c r="AF1014" s="17" t="s">
        <v>3004</v>
      </c>
      <c r="AG1014" s="18" t="s">
        <v>2977</v>
      </c>
      <c r="AH1014" s="18" t="s">
        <v>2978</v>
      </c>
      <c r="AI1014" s="18" t="s">
        <v>3005</v>
      </c>
      <c r="AJ1014" s="18">
        <v>39</v>
      </c>
      <c r="AK1014" s="18">
        <v>180000</v>
      </c>
      <c r="AL1014" s="18" t="b">
        <v>0</v>
      </c>
      <c r="AM1014" s="18">
        <v>0.70799999999999996</v>
      </c>
      <c r="AN1014" s="18">
        <v>0.78200000000000003</v>
      </c>
      <c r="AO1014" s="18">
        <v>9</v>
      </c>
      <c r="AP1014" s="18">
        <v>-6.4189999999999996</v>
      </c>
      <c r="AQ1014" s="18">
        <v>1</v>
      </c>
      <c r="AR1014" s="18">
        <v>0.28399999999999997</v>
      </c>
      <c r="AS1014" s="18">
        <v>5.0700000000000002E-2</v>
      </c>
      <c r="AT1014" s="18">
        <v>0</v>
      </c>
      <c r="AU1014" s="18">
        <v>0.251</v>
      </c>
      <c r="AV1014" s="18">
        <v>0.71699999999999997</v>
      </c>
      <c r="AW1014" s="18">
        <v>94.037999999999997</v>
      </c>
      <c r="AX1014" s="18">
        <v>4</v>
      </c>
      <c r="AY1014" s="19" t="s">
        <v>2975</v>
      </c>
    </row>
    <row r="1015" spans="32:51" x14ac:dyDescent="0.35">
      <c r="AF1015" s="14" t="s">
        <v>3006</v>
      </c>
      <c r="AG1015" s="15" t="s">
        <v>2977</v>
      </c>
      <c r="AH1015" s="15" t="s">
        <v>2978</v>
      </c>
      <c r="AI1015" s="15" t="s">
        <v>3007</v>
      </c>
      <c r="AJ1015" s="15">
        <v>40</v>
      </c>
      <c r="AK1015" s="15">
        <v>177240</v>
      </c>
      <c r="AL1015" s="15" t="b">
        <v>0</v>
      </c>
      <c r="AM1015" s="15">
        <v>0.61899999999999999</v>
      </c>
      <c r="AN1015" s="15">
        <v>0.78100000000000003</v>
      </c>
      <c r="AO1015" s="15">
        <v>1</v>
      </c>
      <c r="AP1015" s="15">
        <v>-6.548</v>
      </c>
      <c r="AQ1015" s="15">
        <v>1</v>
      </c>
      <c r="AR1015" s="15">
        <v>0.33300000000000002</v>
      </c>
      <c r="AS1015" s="15">
        <v>0.14799999999999999</v>
      </c>
      <c r="AT1015" s="15">
        <v>0</v>
      </c>
      <c r="AU1015" s="15">
        <v>0.183</v>
      </c>
      <c r="AV1015" s="15">
        <v>0.72799999999999998</v>
      </c>
      <c r="AW1015" s="15">
        <v>182.02600000000001</v>
      </c>
      <c r="AX1015" s="15">
        <v>4</v>
      </c>
      <c r="AY1015" s="16" t="s">
        <v>2975</v>
      </c>
    </row>
    <row r="1016" spans="32:51" x14ac:dyDescent="0.35">
      <c r="AF1016" s="17" t="s">
        <v>3008</v>
      </c>
      <c r="AG1016" s="18" t="s">
        <v>3009</v>
      </c>
      <c r="AH1016" s="18" t="s">
        <v>3010</v>
      </c>
      <c r="AI1016" s="18" t="s">
        <v>3011</v>
      </c>
      <c r="AJ1016" s="18">
        <v>38</v>
      </c>
      <c r="AK1016" s="18">
        <v>232826</v>
      </c>
      <c r="AL1016" s="18" t="b">
        <v>0</v>
      </c>
      <c r="AM1016" s="18">
        <v>0.84399999999999997</v>
      </c>
      <c r="AN1016" s="18">
        <v>0.91500000000000004</v>
      </c>
      <c r="AO1016" s="18">
        <v>0</v>
      </c>
      <c r="AP1016" s="18">
        <v>-4.0599999999999996</v>
      </c>
      <c r="AQ1016" s="18">
        <v>0</v>
      </c>
      <c r="AR1016" s="18">
        <v>0.129</v>
      </c>
      <c r="AS1016" s="18">
        <v>0.39300000000000002</v>
      </c>
      <c r="AT1016" s="18">
        <v>2.3800000000000002E-3</v>
      </c>
      <c r="AU1016" s="18">
        <v>8.4699999999999998E-2</v>
      </c>
      <c r="AV1016" s="18">
        <v>0.872</v>
      </c>
      <c r="AW1016" s="18">
        <v>145.99700000000001</v>
      </c>
      <c r="AX1016" s="18">
        <v>4</v>
      </c>
      <c r="AY1016" s="19" t="s">
        <v>2975</v>
      </c>
    </row>
    <row r="1017" spans="32:51" x14ac:dyDescent="0.35">
      <c r="AF1017" s="14" t="s">
        <v>3012</v>
      </c>
      <c r="AG1017" s="15" t="s">
        <v>2977</v>
      </c>
      <c r="AH1017" s="15" t="s">
        <v>2978</v>
      </c>
      <c r="AI1017" s="15" t="s">
        <v>3013</v>
      </c>
      <c r="AJ1017" s="15">
        <v>41</v>
      </c>
      <c r="AK1017" s="15">
        <v>279720</v>
      </c>
      <c r="AL1017" s="15" t="b">
        <v>0</v>
      </c>
      <c r="AM1017" s="15">
        <v>0.66</v>
      </c>
      <c r="AN1017" s="15">
        <v>0.72799999999999998</v>
      </c>
      <c r="AO1017" s="15">
        <v>10</v>
      </c>
      <c r="AP1017" s="15">
        <v>-6.1769999999999996</v>
      </c>
      <c r="AQ1017" s="15">
        <v>0</v>
      </c>
      <c r="AR1017" s="15">
        <v>0.33700000000000002</v>
      </c>
      <c r="AS1017" s="15">
        <v>0.17799999999999999</v>
      </c>
      <c r="AT1017" s="15">
        <v>0</v>
      </c>
      <c r="AU1017" s="15">
        <v>5.16E-2</v>
      </c>
      <c r="AV1017" s="15">
        <v>0.59399999999999997</v>
      </c>
      <c r="AW1017" s="15">
        <v>91.100999999999999</v>
      </c>
      <c r="AX1017" s="15">
        <v>4</v>
      </c>
      <c r="AY1017" s="16" t="s">
        <v>2975</v>
      </c>
    </row>
    <row r="1018" spans="32:51" x14ac:dyDescent="0.35">
      <c r="AF1018" s="17" t="s">
        <v>3014</v>
      </c>
      <c r="AG1018" s="18" t="s">
        <v>3015</v>
      </c>
      <c r="AH1018" s="18" t="s">
        <v>2987</v>
      </c>
      <c r="AI1018" s="18" t="s">
        <v>3016</v>
      </c>
      <c r="AJ1018" s="18">
        <v>42</v>
      </c>
      <c r="AK1018" s="18">
        <v>273973</v>
      </c>
      <c r="AL1018" s="18" t="b">
        <v>0</v>
      </c>
      <c r="AM1018" s="18">
        <v>0.60599999999999998</v>
      </c>
      <c r="AN1018" s="18">
        <v>0.6</v>
      </c>
      <c r="AO1018" s="18">
        <v>7</v>
      </c>
      <c r="AP1018" s="18">
        <v>-7.7850000000000001</v>
      </c>
      <c r="AQ1018" s="18">
        <v>1</v>
      </c>
      <c r="AR1018" s="18">
        <v>0.13900000000000001</v>
      </c>
      <c r="AS1018" s="18">
        <v>4.6899999999999997E-2</v>
      </c>
      <c r="AT1018" s="18">
        <v>0</v>
      </c>
      <c r="AU1018" s="18">
        <v>0.32700000000000001</v>
      </c>
      <c r="AV1018" s="18">
        <v>0.52900000000000003</v>
      </c>
      <c r="AW1018" s="18">
        <v>159.971</v>
      </c>
      <c r="AX1018" s="18">
        <v>4</v>
      </c>
      <c r="AY1018" s="19" t="s">
        <v>2975</v>
      </c>
    </row>
    <row r="1019" spans="32:51" x14ac:dyDescent="0.35">
      <c r="AF1019" s="14" t="s">
        <v>3017</v>
      </c>
      <c r="AG1019" s="15" t="s">
        <v>3018</v>
      </c>
      <c r="AH1019" s="15" t="s">
        <v>3019</v>
      </c>
      <c r="AI1019" s="15" t="s">
        <v>3020</v>
      </c>
      <c r="AJ1019" s="15">
        <v>38</v>
      </c>
      <c r="AK1019" s="15">
        <v>161342</v>
      </c>
      <c r="AL1019" s="15" t="b">
        <v>0</v>
      </c>
      <c r="AM1019" s="15">
        <v>0.67</v>
      </c>
      <c r="AN1019" s="15">
        <v>0.27300000000000002</v>
      </c>
      <c r="AO1019" s="15">
        <v>7</v>
      </c>
      <c r="AP1019" s="15">
        <v>-10.77</v>
      </c>
      <c r="AQ1019" s="15">
        <v>1</v>
      </c>
      <c r="AR1019" s="15">
        <v>3.8800000000000001E-2</v>
      </c>
      <c r="AS1019" s="15">
        <v>0.94599999999999995</v>
      </c>
      <c r="AT1019" s="15">
        <v>1.3600000000000001E-3</v>
      </c>
      <c r="AU1019" s="15">
        <v>0.17899999999999999</v>
      </c>
      <c r="AV1019" s="15">
        <v>0.443</v>
      </c>
      <c r="AW1019" s="15">
        <v>128.87</v>
      </c>
      <c r="AX1019" s="15">
        <v>4</v>
      </c>
      <c r="AY1019" s="16" t="s">
        <v>2975</v>
      </c>
    </row>
    <row r="1020" spans="32:51" x14ac:dyDescent="0.35">
      <c r="AF1020" s="17" t="s">
        <v>3021</v>
      </c>
      <c r="AG1020" s="18" t="s">
        <v>2977</v>
      </c>
      <c r="AH1020" s="18" t="s">
        <v>2978</v>
      </c>
      <c r="AI1020" s="18" t="s">
        <v>3022</v>
      </c>
      <c r="AJ1020" s="18">
        <v>38</v>
      </c>
      <c r="AK1020" s="18">
        <v>175800</v>
      </c>
      <c r="AL1020" s="18" t="b">
        <v>0</v>
      </c>
      <c r="AM1020" s="18">
        <v>0.77200000000000002</v>
      </c>
      <c r="AN1020" s="18">
        <v>0.78900000000000003</v>
      </c>
      <c r="AO1020" s="18">
        <v>4</v>
      </c>
      <c r="AP1020" s="18">
        <v>-7.1589999999999998</v>
      </c>
      <c r="AQ1020" s="18">
        <v>0</v>
      </c>
      <c r="AR1020" s="18">
        <v>0.29799999999999999</v>
      </c>
      <c r="AS1020" s="18">
        <v>0.10100000000000001</v>
      </c>
      <c r="AT1020" s="18">
        <v>0</v>
      </c>
      <c r="AU1020" s="18">
        <v>5.7500000000000002E-2</v>
      </c>
      <c r="AV1020" s="18">
        <v>0.54900000000000004</v>
      </c>
      <c r="AW1020" s="18">
        <v>84.96</v>
      </c>
      <c r="AX1020" s="18">
        <v>4</v>
      </c>
      <c r="AY1020" s="19" t="s">
        <v>2975</v>
      </c>
    </row>
    <row r="1021" spans="32:51" x14ac:dyDescent="0.35">
      <c r="AF1021" s="14" t="s">
        <v>3023</v>
      </c>
      <c r="AG1021" s="15" t="s">
        <v>3024</v>
      </c>
      <c r="AH1021" s="15" t="s">
        <v>3025</v>
      </c>
      <c r="AI1021" s="15" t="s">
        <v>3026</v>
      </c>
      <c r="AJ1021" s="15">
        <v>44</v>
      </c>
      <c r="AK1021" s="15">
        <v>271840</v>
      </c>
      <c r="AL1021" s="15" t="b">
        <v>0</v>
      </c>
      <c r="AM1021" s="15">
        <v>0.434</v>
      </c>
      <c r="AN1021" s="15">
        <v>0.877</v>
      </c>
      <c r="AO1021" s="15">
        <v>8</v>
      </c>
      <c r="AP1021" s="15">
        <v>-5.9450000000000003</v>
      </c>
      <c r="AQ1021" s="15">
        <v>0</v>
      </c>
      <c r="AR1021" s="15">
        <v>0.247</v>
      </c>
      <c r="AS1021" s="15">
        <v>0.84899999999999998</v>
      </c>
      <c r="AT1021" s="15">
        <v>0</v>
      </c>
      <c r="AU1021" s="15">
        <v>0.65300000000000002</v>
      </c>
      <c r="AV1021" s="15">
        <v>0.66200000000000003</v>
      </c>
      <c r="AW1021" s="15">
        <v>82.108999999999995</v>
      </c>
      <c r="AX1021" s="15">
        <v>4</v>
      </c>
      <c r="AY1021" s="16" t="s">
        <v>2975</v>
      </c>
    </row>
    <row r="1022" spans="32:51" x14ac:dyDescent="0.35">
      <c r="AF1022" s="17" t="s">
        <v>3027</v>
      </c>
      <c r="AG1022" s="18" t="s">
        <v>2977</v>
      </c>
      <c r="AH1022" s="18" t="s">
        <v>2978</v>
      </c>
      <c r="AI1022" s="18" t="s">
        <v>3028</v>
      </c>
      <c r="AJ1022" s="18">
        <v>37</v>
      </c>
      <c r="AK1022" s="18">
        <v>138480</v>
      </c>
      <c r="AL1022" s="18" t="b">
        <v>0</v>
      </c>
      <c r="AM1022" s="18">
        <v>0.755</v>
      </c>
      <c r="AN1022" s="18">
        <v>0.70899999999999996</v>
      </c>
      <c r="AO1022" s="18">
        <v>1</v>
      </c>
      <c r="AP1022" s="18">
        <v>-5.0659999999999998</v>
      </c>
      <c r="AQ1022" s="18">
        <v>0</v>
      </c>
      <c r="AR1022" s="18">
        <v>0.28899999999999998</v>
      </c>
      <c r="AS1022" s="18">
        <v>5.28E-2</v>
      </c>
      <c r="AT1022" s="18">
        <v>0</v>
      </c>
      <c r="AU1022" s="18">
        <v>8.2500000000000004E-2</v>
      </c>
      <c r="AV1022" s="18">
        <v>0.65700000000000003</v>
      </c>
      <c r="AW1022" s="18">
        <v>140.989</v>
      </c>
      <c r="AX1022" s="18">
        <v>4</v>
      </c>
      <c r="AY1022" s="19" t="s">
        <v>2975</v>
      </c>
    </row>
    <row r="1023" spans="32:51" x14ac:dyDescent="0.35">
      <c r="AF1023" s="14" t="s">
        <v>3029</v>
      </c>
      <c r="AG1023" s="15" t="s">
        <v>3030</v>
      </c>
      <c r="AH1023" s="15" t="s">
        <v>3031</v>
      </c>
      <c r="AI1023" s="15" t="s">
        <v>3032</v>
      </c>
      <c r="AJ1023" s="15">
        <v>36</v>
      </c>
      <c r="AK1023" s="15">
        <v>146000</v>
      </c>
      <c r="AL1023" s="15" t="b">
        <v>0</v>
      </c>
      <c r="AM1023" s="15">
        <v>0.437</v>
      </c>
      <c r="AN1023" s="15">
        <v>0.35699999999999998</v>
      </c>
      <c r="AO1023" s="15">
        <v>4</v>
      </c>
      <c r="AP1023" s="15">
        <v>-7.6</v>
      </c>
      <c r="AQ1023" s="15">
        <v>0</v>
      </c>
      <c r="AR1023" s="15">
        <v>2.9399999999999999E-2</v>
      </c>
      <c r="AS1023" s="15">
        <v>0.67600000000000005</v>
      </c>
      <c r="AT1023" s="31" t="s">
        <v>3033</v>
      </c>
      <c r="AU1023" s="15">
        <v>0.11799999999999999</v>
      </c>
      <c r="AV1023" s="15">
        <v>0.26</v>
      </c>
      <c r="AW1023" s="15">
        <v>120.08799999999999</v>
      </c>
      <c r="AX1023" s="15">
        <v>4</v>
      </c>
      <c r="AY1023" s="16" t="s">
        <v>2975</v>
      </c>
    </row>
    <row r="1024" spans="32:51" x14ac:dyDescent="0.35">
      <c r="AF1024" s="17" t="s">
        <v>3034</v>
      </c>
      <c r="AG1024" s="18" t="s">
        <v>2993</v>
      </c>
      <c r="AH1024" s="18" t="s">
        <v>3035</v>
      </c>
      <c r="AI1024" s="18" t="s">
        <v>3035</v>
      </c>
      <c r="AJ1024" s="18">
        <v>44</v>
      </c>
      <c r="AK1024" s="18">
        <v>226040</v>
      </c>
      <c r="AL1024" s="18" t="b">
        <v>0</v>
      </c>
      <c r="AM1024" s="18">
        <v>0.78900000000000003</v>
      </c>
      <c r="AN1024" s="18">
        <v>0.89900000000000002</v>
      </c>
      <c r="AO1024" s="18">
        <v>6</v>
      </c>
      <c r="AP1024" s="18">
        <v>-6.3630000000000004</v>
      </c>
      <c r="AQ1024" s="18">
        <v>1</v>
      </c>
      <c r="AR1024" s="18">
        <v>0.13800000000000001</v>
      </c>
      <c r="AS1024" s="18">
        <v>0.125</v>
      </c>
      <c r="AT1024" s="18">
        <v>0</v>
      </c>
      <c r="AU1024" s="18">
        <v>0.10299999999999999</v>
      </c>
      <c r="AV1024" s="18">
        <v>0.84699999999999998</v>
      </c>
      <c r="AW1024" s="18">
        <v>97.998999999999995</v>
      </c>
      <c r="AX1024" s="18">
        <v>4</v>
      </c>
      <c r="AY1024" s="19" t="s">
        <v>2975</v>
      </c>
    </row>
    <row r="1025" spans="32:51" x14ac:dyDescent="0.35">
      <c r="AF1025" s="14" t="s">
        <v>3036</v>
      </c>
      <c r="AG1025" s="15" t="s">
        <v>2977</v>
      </c>
      <c r="AH1025" s="15" t="s">
        <v>2982</v>
      </c>
      <c r="AI1025" s="15" t="s">
        <v>3037</v>
      </c>
      <c r="AJ1025" s="15">
        <v>41</v>
      </c>
      <c r="AK1025" s="15">
        <v>217400</v>
      </c>
      <c r="AL1025" s="15" t="b">
        <v>0</v>
      </c>
      <c r="AM1025" s="15">
        <v>0.76300000000000001</v>
      </c>
      <c r="AN1025" s="15">
        <v>0.57699999999999996</v>
      </c>
      <c r="AO1025" s="15">
        <v>10</v>
      </c>
      <c r="AP1025" s="15">
        <v>-7.085</v>
      </c>
      <c r="AQ1025" s="15">
        <v>0</v>
      </c>
      <c r="AR1025" s="15">
        <v>0.125</v>
      </c>
      <c r="AS1025" s="15">
        <v>8.7499999999999994E-2</v>
      </c>
      <c r="AT1025" s="15">
        <v>1.6299999999999999E-3</v>
      </c>
      <c r="AU1025" s="15">
        <v>0.10100000000000001</v>
      </c>
      <c r="AV1025" s="15">
        <v>0.65800000000000003</v>
      </c>
      <c r="AW1025" s="15">
        <v>90.015000000000001</v>
      </c>
      <c r="AX1025" s="15">
        <v>4</v>
      </c>
      <c r="AY1025" s="16" t="s">
        <v>2975</v>
      </c>
    </row>
    <row r="1026" spans="32:51" x14ac:dyDescent="0.35">
      <c r="AF1026" s="17" t="s">
        <v>3038</v>
      </c>
      <c r="AG1026" s="18" t="s">
        <v>3039</v>
      </c>
      <c r="AH1026" s="18" t="s">
        <v>3025</v>
      </c>
      <c r="AI1026" s="18" t="s">
        <v>3040</v>
      </c>
      <c r="AJ1026" s="18">
        <v>37</v>
      </c>
      <c r="AK1026" s="18">
        <v>188666</v>
      </c>
      <c r="AL1026" s="18" t="b">
        <v>0</v>
      </c>
      <c r="AM1026" s="18">
        <v>0.51800000000000002</v>
      </c>
      <c r="AN1026" s="18">
        <v>0.91800000000000004</v>
      </c>
      <c r="AO1026" s="18">
        <v>4</v>
      </c>
      <c r="AP1026" s="18">
        <v>-5.548</v>
      </c>
      <c r="AQ1026" s="18">
        <v>0</v>
      </c>
      <c r="AR1026" s="18">
        <v>0.27600000000000002</v>
      </c>
      <c r="AS1026" s="18">
        <v>0.32500000000000001</v>
      </c>
      <c r="AT1026" s="18">
        <v>0</v>
      </c>
      <c r="AU1026" s="18">
        <v>0.79</v>
      </c>
      <c r="AV1026" s="18">
        <v>0.62</v>
      </c>
      <c r="AW1026" s="18">
        <v>98.777000000000001</v>
      </c>
      <c r="AX1026" s="18">
        <v>4</v>
      </c>
      <c r="AY1026" s="19" t="s">
        <v>2975</v>
      </c>
    </row>
    <row r="1027" spans="32:51" x14ac:dyDescent="0.35">
      <c r="AF1027" s="14" t="s">
        <v>3041</v>
      </c>
      <c r="AG1027" s="15" t="s">
        <v>2977</v>
      </c>
      <c r="AH1027" s="15" t="s">
        <v>2987</v>
      </c>
      <c r="AI1027" s="15" t="s">
        <v>3042</v>
      </c>
      <c r="AJ1027" s="15">
        <v>48</v>
      </c>
      <c r="AK1027" s="15">
        <v>198920</v>
      </c>
      <c r="AL1027" s="15" t="b">
        <v>0</v>
      </c>
      <c r="AM1027" s="15">
        <v>0.63700000000000001</v>
      </c>
      <c r="AN1027" s="15">
        <v>0.71499999999999997</v>
      </c>
      <c r="AO1027" s="15">
        <v>0</v>
      </c>
      <c r="AP1027" s="15">
        <v>-7.032</v>
      </c>
      <c r="AQ1027" s="15">
        <v>0</v>
      </c>
      <c r="AR1027" s="15">
        <v>7.3999999999999996E-2</v>
      </c>
      <c r="AS1027" s="15">
        <v>5.1799999999999999E-2</v>
      </c>
      <c r="AT1027" s="31" t="s">
        <v>3043</v>
      </c>
      <c r="AU1027" s="15">
        <v>0.122</v>
      </c>
      <c r="AV1027" s="15">
        <v>0.34699999999999998</v>
      </c>
      <c r="AW1027" s="15">
        <v>109.85899999999999</v>
      </c>
      <c r="AX1027" s="15">
        <v>4</v>
      </c>
      <c r="AY1027" s="16" t="s">
        <v>2975</v>
      </c>
    </row>
    <row r="1028" spans="32:51" x14ac:dyDescent="0.35">
      <c r="AF1028" s="17" t="s">
        <v>3044</v>
      </c>
      <c r="AG1028" s="18" t="s">
        <v>2977</v>
      </c>
      <c r="AH1028" s="18" t="s">
        <v>2982</v>
      </c>
      <c r="AI1028" s="18" t="s">
        <v>3045</v>
      </c>
      <c r="AJ1028" s="18">
        <v>37</v>
      </c>
      <c r="AK1028" s="18">
        <v>222560</v>
      </c>
      <c r="AL1028" s="18" t="b">
        <v>0</v>
      </c>
      <c r="AM1028" s="18">
        <v>0.87</v>
      </c>
      <c r="AN1028" s="18">
        <v>0.73699999999999999</v>
      </c>
      <c r="AO1028" s="18">
        <v>11</v>
      </c>
      <c r="AP1028" s="18">
        <v>-8.3719999999999999</v>
      </c>
      <c r="AQ1028" s="18">
        <v>1</v>
      </c>
      <c r="AR1028" s="18">
        <v>0.126</v>
      </c>
      <c r="AS1028" s="18">
        <v>0.26800000000000002</v>
      </c>
      <c r="AT1028" s="18">
        <v>3.6900000000000001E-3</v>
      </c>
      <c r="AU1028" s="18">
        <v>5.04E-2</v>
      </c>
      <c r="AV1028" s="18">
        <v>0.95199999999999996</v>
      </c>
      <c r="AW1028" s="18">
        <v>136.07</v>
      </c>
      <c r="AX1028" s="18">
        <v>4</v>
      </c>
      <c r="AY1028" s="19" t="s">
        <v>2975</v>
      </c>
    </row>
    <row r="1029" spans="32:51" x14ac:dyDescent="0.35">
      <c r="AF1029" s="14" t="s">
        <v>3046</v>
      </c>
      <c r="AG1029" s="15" t="s">
        <v>3047</v>
      </c>
      <c r="AH1029" s="15" t="s">
        <v>3048</v>
      </c>
      <c r="AI1029" s="15" t="s">
        <v>3048</v>
      </c>
      <c r="AJ1029" s="15">
        <v>42</v>
      </c>
      <c r="AK1029" s="15">
        <v>226648</v>
      </c>
      <c r="AL1029" s="15" t="b">
        <v>0</v>
      </c>
      <c r="AM1029" s="15">
        <v>0.63300000000000001</v>
      </c>
      <c r="AN1029" s="15">
        <v>0.80500000000000005</v>
      </c>
      <c r="AO1029" s="15">
        <v>2</v>
      </c>
      <c r="AP1029" s="15">
        <v>-5.5229999999999997</v>
      </c>
      <c r="AQ1029" s="15">
        <v>0</v>
      </c>
      <c r="AR1029" s="15">
        <v>3.2899999999999999E-2</v>
      </c>
      <c r="AS1029" s="15">
        <v>5.2900000000000003E-2</v>
      </c>
      <c r="AT1029" s="15">
        <v>0</v>
      </c>
      <c r="AU1029" s="15">
        <v>0.14599999999999999</v>
      </c>
      <c r="AV1029" s="15">
        <v>0.92500000000000004</v>
      </c>
      <c r="AW1029" s="15">
        <v>143.02799999999999</v>
      </c>
      <c r="AX1029" s="15">
        <v>4</v>
      </c>
      <c r="AY1029" s="16" t="s">
        <v>2975</v>
      </c>
    </row>
    <row r="1030" spans="32:51" x14ac:dyDescent="0.35">
      <c r="AF1030" s="17" t="s">
        <v>3049</v>
      </c>
      <c r="AG1030" s="18" t="s">
        <v>3050</v>
      </c>
      <c r="AH1030" s="18" t="s">
        <v>2987</v>
      </c>
      <c r="AI1030" s="18" t="s">
        <v>3051</v>
      </c>
      <c r="AJ1030" s="18">
        <v>44</v>
      </c>
      <c r="AK1030" s="18">
        <v>257146</v>
      </c>
      <c r="AL1030" s="18" t="b">
        <v>0</v>
      </c>
      <c r="AM1030" s="18">
        <v>0.42799999999999999</v>
      </c>
      <c r="AN1030" s="18">
        <v>0.3</v>
      </c>
      <c r="AO1030" s="18">
        <v>11</v>
      </c>
      <c r="AP1030" s="18">
        <v>-10.214</v>
      </c>
      <c r="AQ1030" s="18">
        <v>0</v>
      </c>
      <c r="AR1030" s="18">
        <v>0.157</v>
      </c>
      <c r="AS1030" s="18">
        <v>0.63800000000000001</v>
      </c>
      <c r="AT1030" s="32" t="s">
        <v>3052</v>
      </c>
      <c r="AU1030" s="18">
        <v>9.8699999999999996E-2</v>
      </c>
      <c r="AV1030" s="18">
        <v>0.27800000000000002</v>
      </c>
      <c r="AW1030" s="18">
        <v>81.403000000000006</v>
      </c>
      <c r="AX1030" s="18">
        <v>4</v>
      </c>
      <c r="AY1030" s="19" t="s">
        <v>2975</v>
      </c>
    </row>
    <row r="1031" spans="32:51" x14ac:dyDescent="0.35">
      <c r="AF1031" s="14" t="s">
        <v>3053</v>
      </c>
      <c r="AG1031" s="15" t="s">
        <v>2977</v>
      </c>
      <c r="AH1031" s="15" t="s">
        <v>2985</v>
      </c>
      <c r="AI1031" s="15" t="s">
        <v>3054</v>
      </c>
      <c r="AJ1031" s="15">
        <v>44</v>
      </c>
      <c r="AK1031" s="15">
        <v>227640</v>
      </c>
      <c r="AL1031" s="15" t="b">
        <v>0</v>
      </c>
      <c r="AM1031" s="15">
        <v>0.83</v>
      </c>
      <c r="AN1031" s="15">
        <v>0.60399999999999998</v>
      </c>
      <c r="AO1031" s="15">
        <v>0</v>
      </c>
      <c r="AP1031" s="15">
        <v>-5.25</v>
      </c>
      <c r="AQ1031" s="15">
        <v>0</v>
      </c>
      <c r="AR1031" s="15">
        <v>3.5499999999999997E-2</v>
      </c>
      <c r="AS1031" s="15">
        <v>0.56299999999999994</v>
      </c>
      <c r="AT1031" s="15">
        <v>1.08E-3</v>
      </c>
      <c r="AU1031" s="15">
        <v>0.221</v>
      </c>
      <c r="AV1031" s="15">
        <v>0.82</v>
      </c>
      <c r="AW1031" s="15">
        <v>144.00800000000001</v>
      </c>
      <c r="AX1031" s="15">
        <v>4</v>
      </c>
      <c r="AY1031" s="16" t="s">
        <v>2975</v>
      </c>
    </row>
    <row r="1032" spans="32:51" x14ac:dyDescent="0.35">
      <c r="AF1032" s="17" t="s">
        <v>3055</v>
      </c>
      <c r="AG1032" s="18" t="s">
        <v>2977</v>
      </c>
      <c r="AH1032" s="18" t="s">
        <v>2987</v>
      </c>
      <c r="AI1032" s="18" t="s">
        <v>3056</v>
      </c>
      <c r="AJ1032" s="18">
        <v>41</v>
      </c>
      <c r="AK1032" s="18">
        <v>212826</v>
      </c>
      <c r="AL1032" s="18" t="b">
        <v>0</v>
      </c>
      <c r="AM1032" s="18">
        <v>0.81699999999999995</v>
      </c>
      <c r="AN1032" s="18">
        <v>0.61899999999999999</v>
      </c>
      <c r="AO1032" s="18">
        <v>5</v>
      </c>
      <c r="AP1032" s="18">
        <v>-6.9219999999999997</v>
      </c>
      <c r="AQ1032" s="18">
        <v>0</v>
      </c>
      <c r="AR1032" s="18">
        <v>5.4199999999999998E-2</v>
      </c>
      <c r="AS1032" s="18">
        <v>0.26300000000000001</v>
      </c>
      <c r="AT1032" s="18">
        <v>3.1700000000000001E-3</v>
      </c>
      <c r="AU1032" s="18">
        <v>8.8900000000000007E-2</v>
      </c>
      <c r="AV1032" s="18">
        <v>0.61399999999999999</v>
      </c>
      <c r="AW1032" s="18">
        <v>103.041</v>
      </c>
      <c r="AX1032" s="18">
        <v>4</v>
      </c>
      <c r="AY1032" s="19" t="s">
        <v>2975</v>
      </c>
    </row>
    <row r="1033" spans="32:51" x14ac:dyDescent="0.35">
      <c r="AF1033" s="14" t="s">
        <v>3057</v>
      </c>
      <c r="AG1033" s="15" t="s">
        <v>3047</v>
      </c>
      <c r="AH1033" s="15" t="s">
        <v>3048</v>
      </c>
      <c r="AI1033" s="15" t="s">
        <v>3058</v>
      </c>
      <c r="AJ1033" s="15">
        <v>45</v>
      </c>
      <c r="AK1033" s="15">
        <v>223600</v>
      </c>
      <c r="AL1033" s="15" t="b">
        <v>0</v>
      </c>
      <c r="AM1033" s="15">
        <v>0.52600000000000002</v>
      </c>
      <c r="AN1033" s="15">
        <v>0.71099999999999997</v>
      </c>
      <c r="AO1033" s="15">
        <v>6</v>
      </c>
      <c r="AP1033" s="15">
        <v>-4.3730000000000002</v>
      </c>
      <c r="AQ1033" s="15">
        <v>0</v>
      </c>
      <c r="AR1033" s="15">
        <v>4.65E-2</v>
      </c>
      <c r="AS1033" s="15">
        <v>0.58499999999999996</v>
      </c>
      <c r="AT1033" s="15">
        <v>0</v>
      </c>
      <c r="AU1033" s="15">
        <v>7.2800000000000004E-2</v>
      </c>
      <c r="AV1033" s="15">
        <v>0.65100000000000002</v>
      </c>
      <c r="AW1033" s="15">
        <v>176.27</v>
      </c>
      <c r="AX1033" s="15">
        <v>4</v>
      </c>
      <c r="AY1033" s="16" t="s">
        <v>2975</v>
      </c>
    </row>
    <row r="1034" spans="32:51" x14ac:dyDescent="0.35">
      <c r="AF1034" s="17" t="s">
        <v>3059</v>
      </c>
      <c r="AG1034" s="18" t="s">
        <v>2977</v>
      </c>
      <c r="AH1034" s="18" t="s">
        <v>3060</v>
      </c>
      <c r="AI1034" s="18" t="s">
        <v>3061</v>
      </c>
      <c r="AJ1034" s="18">
        <v>41</v>
      </c>
      <c r="AK1034" s="18">
        <v>244533</v>
      </c>
      <c r="AL1034" s="18" t="b">
        <v>0</v>
      </c>
      <c r="AM1034" s="18">
        <v>0.57299999999999995</v>
      </c>
      <c r="AN1034" s="18">
        <v>0.85899999999999999</v>
      </c>
      <c r="AO1034" s="18">
        <v>9</v>
      </c>
      <c r="AP1034" s="18">
        <v>-4.3460000000000001</v>
      </c>
      <c r="AQ1034" s="18">
        <v>1</v>
      </c>
      <c r="AR1034" s="18">
        <v>4.7300000000000002E-2</v>
      </c>
      <c r="AS1034" s="18">
        <v>0.108</v>
      </c>
      <c r="AT1034" s="32" t="s">
        <v>1136</v>
      </c>
      <c r="AU1034" s="18">
        <v>7.7899999999999997E-2</v>
      </c>
      <c r="AV1034" s="18">
        <v>0.52100000000000002</v>
      </c>
      <c r="AW1034" s="18">
        <v>147.90600000000001</v>
      </c>
      <c r="AX1034" s="18">
        <v>4</v>
      </c>
      <c r="AY1034" s="19" t="s">
        <v>2975</v>
      </c>
    </row>
    <row r="1035" spans="32:51" x14ac:dyDescent="0.35">
      <c r="AF1035" s="14" t="s">
        <v>3062</v>
      </c>
      <c r="AG1035" s="15" t="s">
        <v>3063</v>
      </c>
      <c r="AH1035" s="15" t="s">
        <v>3025</v>
      </c>
      <c r="AI1035" s="15" t="s">
        <v>3064</v>
      </c>
      <c r="AJ1035" s="15">
        <v>41</v>
      </c>
      <c r="AK1035" s="15">
        <v>243373</v>
      </c>
      <c r="AL1035" s="15" t="b">
        <v>0</v>
      </c>
      <c r="AM1035" s="15">
        <v>0.65100000000000002</v>
      </c>
      <c r="AN1035" s="15">
        <v>0.86099999999999999</v>
      </c>
      <c r="AO1035" s="15">
        <v>11</v>
      </c>
      <c r="AP1035" s="15">
        <v>-6.625</v>
      </c>
      <c r="AQ1035" s="15">
        <v>0</v>
      </c>
      <c r="AR1035" s="15">
        <v>0.109</v>
      </c>
      <c r="AS1035" s="15">
        <v>0.43</v>
      </c>
      <c r="AT1035" s="15">
        <v>0</v>
      </c>
      <c r="AU1035" s="15">
        <v>0.98099999999999998</v>
      </c>
      <c r="AV1035" s="15">
        <v>0.8</v>
      </c>
      <c r="AW1035" s="15">
        <v>98.474000000000004</v>
      </c>
      <c r="AX1035" s="15">
        <v>4</v>
      </c>
      <c r="AY1035" s="16" t="s">
        <v>2975</v>
      </c>
    </row>
    <row r="1036" spans="32:51" x14ac:dyDescent="0.35">
      <c r="AF1036" s="17" t="s">
        <v>3065</v>
      </c>
      <c r="AG1036" s="18" t="s">
        <v>3066</v>
      </c>
      <c r="AH1036" s="18" t="s">
        <v>3067</v>
      </c>
      <c r="AI1036" s="18" t="s">
        <v>3068</v>
      </c>
      <c r="AJ1036" s="18">
        <v>36</v>
      </c>
      <c r="AK1036" s="18">
        <v>327836</v>
      </c>
      <c r="AL1036" s="18" t="b">
        <v>0</v>
      </c>
      <c r="AM1036" s="18">
        <v>0.72099999999999997</v>
      </c>
      <c r="AN1036" s="18">
        <v>0.74099999999999999</v>
      </c>
      <c r="AO1036" s="18">
        <v>0</v>
      </c>
      <c r="AP1036" s="18">
        <v>-6.5970000000000004</v>
      </c>
      <c r="AQ1036" s="18">
        <v>1</v>
      </c>
      <c r="AR1036" s="18">
        <v>3.5400000000000001E-2</v>
      </c>
      <c r="AS1036" s="18">
        <v>0.441</v>
      </c>
      <c r="AT1036" s="18">
        <v>8.4899999999999993E-3</v>
      </c>
      <c r="AU1036" s="18">
        <v>7.7499999999999999E-2</v>
      </c>
      <c r="AV1036" s="18">
        <v>0.97699999999999998</v>
      </c>
      <c r="AW1036" s="18">
        <v>131.001</v>
      </c>
      <c r="AX1036" s="18">
        <v>4</v>
      </c>
      <c r="AY1036" s="19" t="s">
        <v>2975</v>
      </c>
    </row>
    <row r="1037" spans="32:51" x14ac:dyDescent="0.35">
      <c r="AF1037" s="14" t="s">
        <v>3069</v>
      </c>
      <c r="AG1037" s="15" t="s">
        <v>2977</v>
      </c>
      <c r="AH1037" s="15" t="s">
        <v>2985</v>
      </c>
      <c r="AI1037" s="15" t="s">
        <v>3070</v>
      </c>
      <c r="AJ1037" s="15">
        <v>41</v>
      </c>
      <c r="AK1037" s="15">
        <v>235560</v>
      </c>
      <c r="AL1037" s="15" t="b">
        <v>0</v>
      </c>
      <c r="AM1037" s="15">
        <v>0.753</v>
      </c>
      <c r="AN1037" s="15">
        <v>0.65300000000000002</v>
      </c>
      <c r="AO1037" s="15">
        <v>5</v>
      </c>
      <c r="AP1037" s="15">
        <v>-5.5110000000000001</v>
      </c>
      <c r="AQ1037" s="15">
        <v>1</v>
      </c>
      <c r="AR1037" s="15">
        <v>5.0799999999999998E-2</v>
      </c>
      <c r="AS1037" s="15">
        <v>0.76</v>
      </c>
      <c r="AT1037" s="31" t="s">
        <v>3071</v>
      </c>
      <c r="AU1037" s="15">
        <v>7.5600000000000001E-2</v>
      </c>
      <c r="AV1037" s="15">
        <v>0.70599999999999996</v>
      </c>
      <c r="AW1037" s="15">
        <v>115.80200000000001</v>
      </c>
      <c r="AX1037" s="15">
        <v>4</v>
      </c>
      <c r="AY1037" s="16" t="s">
        <v>2975</v>
      </c>
    </row>
    <row r="1038" spans="32:51" x14ac:dyDescent="0.35">
      <c r="AF1038" s="17" t="s">
        <v>3072</v>
      </c>
      <c r="AG1038" s="18" t="s">
        <v>2977</v>
      </c>
      <c r="AH1038" s="18" t="s">
        <v>3073</v>
      </c>
      <c r="AI1038" s="18" t="s">
        <v>3074</v>
      </c>
      <c r="AJ1038" s="18">
        <v>41</v>
      </c>
      <c r="AK1038" s="18">
        <v>218880</v>
      </c>
      <c r="AL1038" s="18" t="b">
        <v>0</v>
      </c>
      <c r="AM1038" s="18">
        <v>0.57099999999999995</v>
      </c>
      <c r="AN1038" s="18">
        <v>0.69</v>
      </c>
      <c r="AO1038" s="18">
        <v>8</v>
      </c>
      <c r="AP1038" s="18">
        <v>-8.18</v>
      </c>
      <c r="AQ1038" s="18">
        <v>0</v>
      </c>
      <c r="AR1038" s="18">
        <v>0.54200000000000004</v>
      </c>
      <c r="AS1038" s="18">
        <v>0.29899999999999999</v>
      </c>
      <c r="AT1038" s="18">
        <v>0</v>
      </c>
      <c r="AU1038" s="18">
        <v>0.10299999999999999</v>
      </c>
      <c r="AV1038" s="18">
        <v>0.22800000000000001</v>
      </c>
      <c r="AW1038" s="18">
        <v>155.99100000000001</v>
      </c>
      <c r="AX1038" s="18">
        <v>4</v>
      </c>
      <c r="AY1038" s="19" t="s">
        <v>2975</v>
      </c>
    </row>
    <row r="1039" spans="32:51" x14ac:dyDescent="0.35">
      <c r="AF1039" s="14" t="s">
        <v>3075</v>
      </c>
      <c r="AG1039" s="15" t="s">
        <v>3047</v>
      </c>
      <c r="AH1039" s="15" t="s">
        <v>3048</v>
      </c>
      <c r="AI1039" s="15" t="s">
        <v>3076</v>
      </c>
      <c r="AJ1039" s="15">
        <v>46</v>
      </c>
      <c r="AK1039" s="15">
        <v>284875</v>
      </c>
      <c r="AL1039" s="15" t="b">
        <v>0</v>
      </c>
      <c r="AM1039" s="15">
        <v>0.71499999999999997</v>
      </c>
      <c r="AN1039" s="15">
        <v>0.55600000000000005</v>
      </c>
      <c r="AO1039" s="15">
        <v>9</v>
      </c>
      <c r="AP1039" s="15">
        <v>-6.1020000000000003</v>
      </c>
      <c r="AQ1039" s="15">
        <v>1</v>
      </c>
      <c r="AR1039" s="15">
        <v>4.53E-2</v>
      </c>
      <c r="AS1039" s="15">
        <v>0.66700000000000004</v>
      </c>
      <c r="AT1039" s="15">
        <v>0</v>
      </c>
      <c r="AU1039" s="15">
        <v>0.13200000000000001</v>
      </c>
      <c r="AV1039" s="15">
        <v>0.90200000000000002</v>
      </c>
      <c r="AW1039" s="15">
        <v>87.972999999999999</v>
      </c>
      <c r="AX1039" s="15">
        <v>4</v>
      </c>
      <c r="AY1039" s="16" t="s">
        <v>2975</v>
      </c>
    </row>
    <row r="1040" spans="32:51" x14ac:dyDescent="0.35">
      <c r="AF1040" s="17" t="s">
        <v>3077</v>
      </c>
      <c r="AG1040" s="18" t="s">
        <v>2977</v>
      </c>
      <c r="AH1040" s="18" t="s">
        <v>2982</v>
      </c>
      <c r="AI1040" s="18" t="s">
        <v>3078</v>
      </c>
      <c r="AJ1040" s="18">
        <v>39</v>
      </c>
      <c r="AK1040" s="18">
        <v>249600</v>
      </c>
      <c r="AL1040" s="18" t="b">
        <v>0</v>
      </c>
      <c r="AM1040" s="18">
        <v>0.63400000000000001</v>
      </c>
      <c r="AN1040" s="18">
        <v>0.39300000000000002</v>
      </c>
      <c r="AO1040" s="18">
        <v>7</v>
      </c>
      <c r="AP1040" s="18">
        <v>-9.5830000000000002</v>
      </c>
      <c r="AQ1040" s="18">
        <v>1</v>
      </c>
      <c r="AR1040" s="18">
        <v>2.8299999999999999E-2</v>
      </c>
      <c r="AS1040" s="18">
        <v>0.35</v>
      </c>
      <c r="AT1040" s="18">
        <v>9.8700000000000003E-4</v>
      </c>
      <c r="AU1040" s="18">
        <v>0.151</v>
      </c>
      <c r="AV1040" s="18">
        <v>0.54</v>
      </c>
      <c r="AW1040" s="18">
        <v>87.995999999999995</v>
      </c>
      <c r="AX1040" s="18">
        <v>4</v>
      </c>
      <c r="AY1040" s="19" t="s">
        <v>2975</v>
      </c>
    </row>
    <row r="1041" spans="32:51" x14ac:dyDescent="0.35">
      <c r="AF1041" s="14" t="s">
        <v>3079</v>
      </c>
      <c r="AG1041" s="15" t="s">
        <v>2977</v>
      </c>
      <c r="AH1041" s="15" t="s">
        <v>2985</v>
      </c>
      <c r="AI1041" s="15" t="s">
        <v>3080</v>
      </c>
      <c r="AJ1041" s="15">
        <v>37</v>
      </c>
      <c r="AK1041" s="15">
        <v>248520</v>
      </c>
      <c r="AL1041" s="15" t="b">
        <v>0</v>
      </c>
      <c r="AM1041" s="15">
        <v>0.73099999999999998</v>
      </c>
      <c r="AN1041" s="15">
        <v>0.57499999999999996</v>
      </c>
      <c r="AO1041" s="15">
        <v>9</v>
      </c>
      <c r="AP1041" s="15">
        <v>-6.2519999999999998</v>
      </c>
      <c r="AQ1041" s="15">
        <v>0</v>
      </c>
      <c r="AR1041" s="15">
        <v>4.1000000000000002E-2</v>
      </c>
      <c r="AS1041" s="15">
        <v>0.70299999999999996</v>
      </c>
      <c r="AT1041" s="15">
        <v>0</v>
      </c>
      <c r="AU1041" s="15">
        <v>0.121</v>
      </c>
      <c r="AV1041" s="15">
        <v>0.70399999999999996</v>
      </c>
      <c r="AW1041" s="15">
        <v>143.98599999999999</v>
      </c>
      <c r="AX1041" s="15">
        <v>4</v>
      </c>
      <c r="AY1041" s="16" t="s">
        <v>2975</v>
      </c>
    </row>
    <row r="1042" spans="32:51" x14ac:dyDescent="0.35">
      <c r="AF1042" s="17" t="s">
        <v>3081</v>
      </c>
      <c r="AG1042" s="18" t="s">
        <v>2993</v>
      </c>
      <c r="AH1042" s="18" t="s">
        <v>3035</v>
      </c>
      <c r="AI1042" s="18" t="s">
        <v>3082</v>
      </c>
      <c r="AJ1042" s="18">
        <v>39</v>
      </c>
      <c r="AK1042" s="18">
        <v>309493</v>
      </c>
      <c r="AL1042" s="18" t="b">
        <v>0</v>
      </c>
      <c r="AM1042" s="18">
        <v>0.77600000000000002</v>
      </c>
      <c r="AN1042" s="18">
        <v>0.8</v>
      </c>
      <c r="AO1042" s="18">
        <v>8</v>
      </c>
      <c r="AP1042" s="18">
        <v>-4.7039999999999997</v>
      </c>
      <c r="AQ1042" s="18">
        <v>0</v>
      </c>
      <c r="AR1042" s="18">
        <v>4.3799999999999999E-2</v>
      </c>
      <c r="AS1042" s="18">
        <v>6.3099999999999996E-3</v>
      </c>
      <c r="AT1042" s="18">
        <v>7.3099999999999998E-2</v>
      </c>
      <c r="AU1042" s="18">
        <v>0.35</v>
      </c>
      <c r="AV1042" s="18">
        <v>0.58299999999999996</v>
      </c>
      <c r="AW1042" s="18">
        <v>143.989</v>
      </c>
      <c r="AX1042" s="18">
        <v>4</v>
      </c>
      <c r="AY1042" s="19" t="s">
        <v>2975</v>
      </c>
    </row>
    <row r="1043" spans="32:51" x14ac:dyDescent="0.35">
      <c r="AF1043" s="14" t="s">
        <v>3083</v>
      </c>
      <c r="AG1043" s="15" t="s">
        <v>2993</v>
      </c>
      <c r="AH1043" s="15" t="s">
        <v>3035</v>
      </c>
      <c r="AI1043" s="15" t="s">
        <v>3084</v>
      </c>
      <c r="AJ1043" s="15">
        <v>38</v>
      </c>
      <c r="AK1043" s="15">
        <v>269986</v>
      </c>
      <c r="AL1043" s="15" t="b">
        <v>0</v>
      </c>
      <c r="AM1043" s="15">
        <v>0.48599999999999999</v>
      </c>
      <c r="AN1043" s="15">
        <v>0.86699999999999999</v>
      </c>
      <c r="AO1043" s="15">
        <v>1</v>
      </c>
      <c r="AP1043" s="15">
        <v>-5.2370000000000001</v>
      </c>
      <c r="AQ1043" s="15">
        <v>1</v>
      </c>
      <c r="AR1043" s="15">
        <v>8.9200000000000002E-2</v>
      </c>
      <c r="AS1043" s="15">
        <v>0.129</v>
      </c>
      <c r="AT1043" s="15">
        <v>1.7600000000000001E-3</v>
      </c>
      <c r="AU1043" s="15">
        <v>7.3099999999999998E-2</v>
      </c>
      <c r="AV1043" s="15">
        <v>0.35799999999999998</v>
      </c>
      <c r="AW1043" s="15">
        <v>109.003</v>
      </c>
      <c r="AX1043" s="15">
        <v>4</v>
      </c>
      <c r="AY1043" s="16" t="s">
        <v>2975</v>
      </c>
    </row>
    <row r="1044" spans="32:51" x14ac:dyDescent="0.35">
      <c r="AF1044" s="17" t="s">
        <v>3085</v>
      </c>
      <c r="AG1044" s="18" t="s">
        <v>2977</v>
      </c>
      <c r="AH1044" s="18" t="s">
        <v>3073</v>
      </c>
      <c r="AI1044" s="18" t="s">
        <v>3086</v>
      </c>
      <c r="AJ1044" s="18">
        <v>42</v>
      </c>
      <c r="AK1044" s="18">
        <v>249960</v>
      </c>
      <c r="AL1044" s="18" t="b">
        <v>0</v>
      </c>
      <c r="AM1044" s="18">
        <v>0.77</v>
      </c>
      <c r="AN1044" s="18">
        <v>0.81899999999999995</v>
      </c>
      <c r="AO1044" s="18">
        <v>7</v>
      </c>
      <c r="AP1044" s="18">
        <v>-6.4870000000000001</v>
      </c>
      <c r="AQ1044" s="18">
        <v>1</v>
      </c>
      <c r="AR1044" s="18">
        <v>7.0300000000000001E-2</v>
      </c>
      <c r="AS1044" s="18">
        <v>1.9099999999999999E-2</v>
      </c>
      <c r="AT1044" s="18">
        <v>1.3299999999999999E-2</v>
      </c>
      <c r="AU1044" s="18">
        <v>0.377</v>
      </c>
      <c r="AV1044" s="18">
        <v>0.73199999999999998</v>
      </c>
      <c r="AW1044" s="18">
        <v>92.995999999999995</v>
      </c>
      <c r="AX1044" s="18">
        <v>4</v>
      </c>
      <c r="AY1044" s="19" t="s">
        <v>2975</v>
      </c>
    </row>
    <row r="1045" spans="32:51" x14ac:dyDescent="0.35">
      <c r="AF1045" s="14" t="s">
        <v>3087</v>
      </c>
      <c r="AG1045" s="15" t="s">
        <v>2977</v>
      </c>
      <c r="AH1045" s="15" t="s">
        <v>3073</v>
      </c>
      <c r="AI1045" s="15" t="s">
        <v>3088</v>
      </c>
      <c r="AJ1045" s="15">
        <v>37</v>
      </c>
      <c r="AK1045" s="15">
        <v>265200</v>
      </c>
      <c r="AL1045" s="15" t="b">
        <v>0</v>
      </c>
      <c r="AM1045" s="15">
        <v>0.61099999999999999</v>
      </c>
      <c r="AN1045" s="15">
        <v>0.73799999999999999</v>
      </c>
      <c r="AO1045" s="15">
        <v>4</v>
      </c>
      <c r="AP1045" s="15">
        <v>-7.3410000000000002</v>
      </c>
      <c r="AQ1045" s="15">
        <v>0</v>
      </c>
      <c r="AR1045" s="15">
        <v>4.4299999999999999E-2</v>
      </c>
      <c r="AS1045" s="15">
        <v>0.14199999999999999</v>
      </c>
      <c r="AT1045" s="15">
        <v>8.3700000000000007E-3</v>
      </c>
      <c r="AU1045" s="15">
        <v>5.7500000000000002E-2</v>
      </c>
      <c r="AV1045" s="15">
        <v>0.72499999999999998</v>
      </c>
      <c r="AW1045" s="15">
        <v>119.791</v>
      </c>
      <c r="AX1045" s="15">
        <v>4</v>
      </c>
      <c r="AY1045" s="16" t="s">
        <v>2975</v>
      </c>
    </row>
    <row r="1046" spans="32:51" x14ac:dyDescent="0.35">
      <c r="AF1046" s="17" t="s">
        <v>3089</v>
      </c>
      <c r="AG1046" s="18" t="s">
        <v>2977</v>
      </c>
      <c r="AH1046" s="18" t="s">
        <v>2985</v>
      </c>
      <c r="AI1046" s="18" t="s">
        <v>3090</v>
      </c>
      <c r="AJ1046" s="18">
        <v>37</v>
      </c>
      <c r="AK1046" s="18">
        <v>105360</v>
      </c>
      <c r="AL1046" s="18" t="b">
        <v>0</v>
      </c>
      <c r="AM1046" s="18">
        <v>0.67400000000000004</v>
      </c>
      <c r="AN1046" s="18">
        <v>0.51800000000000002</v>
      </c>
      <c r="AO1046" s="18">
        <v>0</v>
      </c>
      <c r="AP1046" s="18">
        <v>-6.6580000000000004</v>
      </c>
      <c r="AQ1046" s="18">
        <v>1</v>
      </c>
      <c r="AR1046" s="18">
        <v>8.0600000000000005E-2</v>
      </c>
      <c r="AS1046" s="18">
        <v>0.73299999999999998</v>
      </c>
      <c r="AT1046" s="32" t="s">
        <v>3091</v>
      </c>
      <c r="AU1046" s="18">
        <v>8.5000000000000006E-2</v>
      </c>
      <c r="AV1046" s="18">
        <v>0.55400000000000005</v>
      </c>
      <c r="AW1046" s="18">
        <v>133.935</v>
      </c>
      <c r="AX1046" s="18">
        <v>5</v>
      </c>
      <c r="AY1046" s="19" t="s">
        <v>2975</v>
      </c>
    </row>
    <row r="1047" spans="32:51" x14ac:dyDescent="0.35">
      <c r="AF1047" s="14" t="s">
        <v>3092</v>
      </c>
      <c r="AG1047" s="15" t="s">
        <v>2977</v>
      </c>
      <c r="AH1047" s="15" t="s">
        <v>2985</v>
      </c>
      <c r="AI1047" s="15" t="s">
        <v>3093</v>
      </c>
      <c r="AJ1047" s="15">
        <v>36</v>
      </c>
      <c r="AK1047" s="15">
        <v>171480</v>
      </c>
      <c r="AL1047" s="15" t="b">
        <v>0</v>
      </c>
      <c r="AM1047" s="15">
        <v>0.69199999999999995</v>
      </c>
      <c r="AN1047" s="15">
        <v>0.749</v>
      </c>
      <c r="AO1047" s="15">
        <v>7</v>
      </c>
      <c r="AP1047" s="15">
        <v>-4.9480000000000004</v>
      </c>
      <c r="AQ1047" s="15">
        <v>1</v>
      </c>
      <c r="AR1047" s="15">
        <v>4.2700000000000002E-2</v>
      </c>
      <c r="AS1047" s="15">
        <v>0.442</v>
      </c>
      <c r="AT1047" s="31" t="s">
        <v>3094</v>
      </c>
      <c r="AU1047" s="15">
        <v>0.13200000000000001</v>
      </c>
      <c r="AV1047" s="15">
        <v>0.7</v>
      </c>
      <c r="AW1047" s="15">
        <v>111.986</v>
      </c>
      <c r="AX1047" s="15">
        <v>4</v>
      </c>
      <c r="AY1047" s="16" t="s">
        <v>2975</v>
      </c>
    </row>
    <row r="1048" spans="32:51" x14ac:dyDescent="0.35">
      <c r="AF1048" s="17" t="s">
        <v>3095</v>
      </c>
      <c r="AG1048" s="18" t="s">
        <v>2977</v>
      </c>
      <c r="AH1048" s="18" t="s">
        <v>2985</v>
      </c>
      <c r="AI1048" s="18" t="s">
        <v>3096</v>
      </c>
      <c r="AJ1048" s="18">
        <v>36</v>
      </c>
      <c r="AK1048" s="18">
        <v>140280</v>
      </c>
      <c r="AL1048" s="18" t="b">
        <v>0</v>
      </c>
      <c r="AM1048" s="18">
        <v>0.71699999999999997</v>
      </c>
      <c r="AN1048" s="18">
        <v>0.78400000000000003</v>
      </c>
      <c r="AO1048" s="18">
        <v>6</v>
      </c>
      <c r="AP1048" s="18">
        <v>-5.1379999999999999</v>
      </c>
      <c r="AQ1048" s="18">
        <v>0</v>
      </c>
      <c r="AR1048" s="18">
        <v>3.5299999999999998E-2</v>
      </c>
      <c r="AS1048" s="18">
        <v>0.73</v>
      </c>
      <c r="AT1048" s="18">
        <v>1.26E-2</v>
      </c>
      <c r="AU1048" s="18">
        <v>8.5099999999999995E-2</v>
      </c>
      <c r="AV1048" s="18">
        <v>0.97799999999999998</v>
      </c>
      <c r="AW1048" s="18">
        <v>168.14599999999999</v>
      </c>
      <c r="AX1048" s="18">
        <v>4</v>
      </c>
      <c r="AY1048" s="19" t="s">
        <v>2975</v>
      </c>
    </row>
    <row r="1049" spans="32:51" x14ac:dyDescent="0.35">
      <c r="AF1049" s="14" t="s">
        <v>3097</v>
      </c>
      <c r="AG1049" s="15" t="s">
        <v>2977</v>
      </c>
      <c r="AH1049" s="15" t="s">
        <v>2985</v>
      </c>
      <c r="AI1049" s="15" t="s">
        <v>3098</v>
      </c>
      <c r="AJ1049" s="15">
        <v>37</v>
      </c>
      <c r="AK1049" s="15">
        <v>206760</v>
      </c>
      <c r="AL1049" s="15" t="b">
        <v>0</v>
      </c>
      <c r="AM1049" s="15">
        <v>0.81699999999999995</v>
      </c>
      <c r="AN1049" s="15">
        <v>0.77100000000000002</v>
      </c>
      <c r="AO1049" s="15">
        <v>5</v>
      </c>
      <c r="AP1049" s="15">
        <v>-5.1319999999999997</v>
      </c>
      <c r="AQ1049" s="15">
        <v>1</v>
      </c>
      <c r="AR1049" s="15">
        <v>8.6999999999999994E-2</v>
      </c>
      <c r="AS1049" s="15">
        <v>0.70399999999999996</v>
      </c>
      <c r="AT1049" s="15">
        <v>0</v>
      </c>
      <c r="AU1049" s="15">
        <v>8.8499999999999995E-2</v>
      </c>
      <c r="AV1049" s="15">
        <v>0.76</v>
      </c>
      <c r="AW1049" s="15">
        <v>111.099</v>
      </c>
      <c r="AX1049" s="15">
        <v>4</v>
      </c>
      <c r="AY1049" s="16" t="s">
        <v>2975</v>
      </c>
    </row>
    <row r="1050" spans="32:51" x14ac:dyDescent="0.35">
      <c r="AF1050" s="17" t="s">
        <v>3099</v>
      </c>
      <c r="AG1050" s="18" t="s">
        <v>3063</v>
      </c>
      <c r="AH1050" s="18" t="s">
        <v>3025</v>
      </c>
      <c r="AI1050" s="18" t="s">
        <v>3100</v>
      </c>
      <c r="AJ1050" s="18">
        <v>35</v>
      </c>
      <c r="AK1050" s="18">
        <v>238346</v>
      </c>
      <c r="AL1050" s="18" t="b">
        <v>0</v>
      </c>
      <c r="AM1050" s="18">
        <v>0.374</v>
      </c>
      <c r="AN1050" s="18">
        <v>0.93400000000000005</v>
      </c>
      <c r="AO1050" s="18">
        <v>10</v>
      </c>
      <c r="AP1050" s="18">
        <v>-5.3220000000000001</v>
      </c>
      <c r="AQ1050" s="18">
        <v>1</v>
      </c>
      <c r="AR1050" s="18">
        <v>0.32200000000000001</v>
      </c>
      <c r="AS1050" s="18">
        <v>5.8000000000000003E-2</v>
      </c>
      <c r="AT1050" s="18">
        <v>0</v>
      </c>
      <c r="AU1050" s="18">
        <v>0.80400000000000005</v>
      </c>
      <c r="AV1050" s="18">
        <v>0.38900000000000001</v>
      </c>
      <c r="AW1050" s="18">
        <v>167.661</v>
      </c>
      <c r="AX1050" s="18">
        <v>4</v>
      </c>
      <c r="AY1050" s="19" t="s">
        <v>2975</v>
      </c>
    </row>
    <row r="1051" spans="32:51" x14ac:dyDescent="0.35">
      <c r="AF1051" s="14" t="s">
        <v>3101</v>
      </c>
      <c r="AG1051" s="15" t="s">
        <v>3063</v>
      </c>
      <c r="AH1051" s="15" t="s">
        <v>3025</v>
      </c>
      <c r="AI1051" s="15" t="s">
        <v>3102</v>
      </c>
      <c r="AJ1051" s="15">
        <v>37</v>
      </c>
      <c r="AK1051" s="15">
        <v>211280</v>
      </c>
      <c r="AL1051" s="15" t="b">
        <v>0</v>
      </c>
      <c r="AM1051" s="15">
        <v>0.56899999999999995</v>
      </c>
      <c r="AN1051" s="15">
        <v>0.90700000000000003</v>
      </c>
      <c r="AO1051" s="15">
        <v>4</v>
      </c>
      <c r="AP1051" s="15">
        <v>-5.6189999999999998</v>
      </c>
      <c r="AQ1051" s="15">
        <v>0</v>
      </c>
      <c r="AR1051" s="15">
        <v>0.31</v>
      </c>
      <c r="AS1051" s="15">
        <v>0.60199999999999998</v>
      </c>
      <c r="AT1051" s="31" t="s">
        <v>3103</v>
      </c>
      <c r="AU1051" s="15">
        <v>0.86199999999999999</v>
      </c>
      <c r="AV1051" s="15">
        <v>0.56200000000000006</v>
      </c>
      <c r="AW1051" s="15">
        <v>94.346000000000004</v>
      </c>
      <c r="AX1051" s="15">
        <v>4</v>
      </c>
      <c r="AY1051" s="16" t="s">
        <v>2975</v>
      </c>
    </row>
    <row r="1052" spans="32:51" x14ac:dyDescent="0.35">
      <c r="AF1052" s="17" t="s">
        <v>3104</v>
      </c>
      <c r="AG1052" s="18" t="s">
        <v>3105</v>
      </c>
      <c r="AH1052" s="18" t="s">
        <v>3106</v>
      </c>
      <c r="AI1052" s="18" t="s">
        <v>3107</v>
      </c>
      <c r="AJ1052" s="18">
        <v>40</v>
      </c>
      <c r="AK1052" s="18">
        <v>194293</v>
      </c>
      <c r="AL1052" s="18" t="b">
        <v>0</v>
      </c>
      <c r="AM1052" s="18">
        <v>0.68899999999999995</v>
      </c>
      <c r="AN1052" s="18">
        <v>0.56399999999999995</v>
      </c>
      <c r="AO1052" s="18">
        <v>6</v>
      </c>
      <c r="AP1052" s="18">
        <v>-7.2759999999999998</v>
      </c>
      <c r="AQ1052" s="18">
        <v>1</v>
      </c>
      <c r="AR1052" s="18">
        <v>0.126</v>
      </c>
      <c r="AS1052" s="18">
        <v>0.14899999999999999</v>
      </c>
      <c r="AT1052" s="18">
        <v>0.94099999999999995</v>
      </c>
      <c r="AU1052" s="18">
        <v>9.0899999999999995E-2</v>
      </c>
      <c r="AV1052" s="18">
        <v>0.75800000000000001</v>
      </c>
      <c r="AW1052" s="18">
        <v>87.474000000000004</v>
      </c>
      <c r="AX1052" s="18">
        <v>4</v>
      </c>
      <c r="AY1052" s="19" t="s">
        <v>2975</v>
      </c>
    </row>
    <row r="1053" spans="32:51" x14ac:dyDescent="0.35">
      <c r="AF1053" s="14" t="s">
        <v>3108</v>
      </c>
      <c r="AG1053" s="15" t="s">
        <v>3109</v>
      </c>
      <c r="AH1053" s="15" t="s">
        <v>3110</v>
      </c>
      <c r="AI1053" s="15" t="s">
        <v>3111</v>
      </c>
      <c r="AJ1053" s="15">
        <v>25</v>
      </c>
      <c r="AK1053" s="15">
        <v>205597</v>
      </c>
      <c r="AL1053" s="15" t="b">
        <v>0</v>
      </c>
      <c r="AM1053" s="15">
        <v>0.35299999999999998</v>
      </c>
      <c r="AN1053" s="15">
        <v>0.54800000000000004</v>
      </c>
      <c r="AO1053" s="15">
        <v>2</v>
      </c>
      <c r="AP1053" s="15">
        <v>-5.391</v>
      </c>
      <c r="AQ1053" s="15">
        <v>0</v>
      </c>
      <c r="AR1053" s="15">
        <v>3.32E-2</v>
      </c>
      <c r="AS1053" s="15">
        <v>0.70899999999999996</v>
      </c>
      <c r="AT1053" s="15">
        <v>0</v>
      </c>
      <c r="AU1053" s="15">
        <v>0.66400000000000003</v>
      </c>
      <c r="AV1053" s="15">
        <v>0.67</v>
      </c>
      <c r="AW1053" s="15">
        <v>200.15199999999999</v>
      </c>
      <c r="AX1053" s="15">
        <v>4</v>
      </c>
      <c r="AY1053" s="16" t="s">
        <v>2975</v>
      </c>
    </row>
    <row r="1054" spans="32:51" x14ac:dyDescent="0.35">
      <c r="AF1054" s="17" t="s">
        <v>3112</v>
      </c>
      <c r="AG1054" s="18" t="s">
        <v>3113</v>
      </c>
      <c r="AH1054" s="18" t="s">
        <v>3114</v>
      </c>
      <c r="AI1054" s="18" t="s">
        <v>3115</v>
      </c>
      <c r="AJ1054" s="18">
        <v>64</v>
      </c>
      <c r="AK1054" s="18">
        <v>67720</v>
      </c>
      <c r="AL1054" s="18" t="b">
        <v>0</v>
      </c>
      <c r="AM1054" s="18">
        <v>0.77800000000000002</v>
      </c>
      <c r="AN1054" s="18">
        <v>0.39900000000000002</v>
      </c>
      <c r="AO1054" s="18">
        <v>1</v>
      </c>
      <c r="AP1054" s="18">
        <v>-8.984</v>
      </c>
      <c r="AQ1054" s="18">
        <v>1</v>
      </c>
      <c r="AR1054" s="18">
        <v>8.5800000000000001E-2</v>
      </c>
      <c r="AS1054" s="18">
        <v>7.51E-2</v>
      </c>
      <c r="AT1054" s="18">
        <v>0.83499999999999996</v>
      </c>
      <c r="AU1054" s="18">
        <v>0.10299999999999999</v>
      </c>
      <c r="AV1054" s="18">
        <v>0.32100000000000001</v>
      </c>
      <c r="AW1054" s="18">
        <v>137.30500000000001</v>
      </c>
      <c r="AX1054" s="18">
        <v>4</v>
      </c>
      <c r="AY1054" s="19" t="s">
        <v>2975</v>
      </c>
    </row>
    <row r="1055" spans="32:51" x14ac:dyDescent="0.35">
      <c r="AF1055" s="14" t="s">
        <v>3116</v>
      </c>
      <c r="AG1055" s="15" t="s">
        <v>2977</v>
      </c>
      <c r="AH1055" s="15" t="s">
        <v>3117</v>
      </c>
      <c r="AI1055" s="15" t="s">
        <v>3117</v>
      </c>
      <c r="AJ1055" s="15">
        <v>32</v>
      </c>
      <c r="AK1055" s="15">
        <v>253097</v>
      </c>
      <c r="AL1055" s="15" t="b">
        <v>0</v>
      </c>
      <c r="AM1055" s="15">
        <v>0.82399999999999995</v>
      </c>
      <c r="AN1055" s="15">
        <v>0.72</v>
      </c>
      <c r="AO1055" s="15">
        <v>6</v>
      </c>
      <c r="AP1055" s="15">
        <v>-8.1890000000000001</v>
      </c>
      <c r="AQ1055" s="15">
        <v>0</v>
      </c>
      <c r="AR1055" s="15">
        <v>0.14199999999999999</v>
      </c>
      <c r="AS1055" s="15">
        <v>0.41599999999999998</v>
      </c>
      <c r="AT1055" s="15">
        <v>0.10100000000000001</v>
      </c>
      <c r="AU1055" s="15">
        <v>0.10199999999999999</v>
      </c>
      <c r="AV1055" s="15">
        <v>0.374</v>
      </c>
      <c r="AW1055" s="15">
        <v>116.982</v>
      </c>
      <c r="AX1055" s="15">
        <v>4</v>
      </c>
      <c r="AY1055" s="16" t="s">
        <v>2975</v>
      </c>
    </row>
    <row r="1056" spans="32:51" x14ac:dyDescent="0.35">
      <c r="AF1056" s="17" t="s">
        <v>3118</v>
      </c>
      <c r="AG1056" s="18" t="s">
        <v>2993</v>
      </c>
      <c r="AH1056" s="18" t="s">
        <v>3119</v>
      </c>
      <c r="AI1056" s="18" t="s">
        <v>3119</v>
      </c>
      <c r="AJ1056" s="18">
        <v>37</v>
      </c>
      <c r="AK1056" s="18">
        <v>149720</v>
      </c>
      <c r="AL1056" s="18" t="b">
        <v>0</v>
      </c>
      <c r="AM1056" s="18">
        <v>0.72399999999999998</v>
      </c>
      <c r="AN1056" s="18">
        <v>0.83299999999999996</v>
      </c>
      <c r="AO1056" s="18">
        <v>2</v>
      </c>
      <c r="AP1056" s="18">
        <v>-6.9619999999999997</v>
      </c>
      <c r="AQ1056" s="18">
        <v>1</v>
      </c>
      <c r="AR1056" s="18">
        <v>7.0499999999999993E-2</v>
      </c>
      <c r="AS1056" s="18">
        <v>0.28899999999999998</v>
      </c>
      <c r="AT1056" s="18">
        <v>2.42E-4</v>
      </c>
      <c r="AU1056" s="18">
        <v>9.9099999999999994E-2</v>
      </c>
      <c r="AV1056" s="18">
        <v>0.875</v>
      </c>
      <c r="AW1056" s="18">
        <v>144.999</v>
      </c>
      <c r="AX1056" s="18">
        <v>4</v>
      </c>
      <c r="AY1056" s="19" t="s">
        <v>2975</v>
      </c>
    </row>
    <row r="1057" spans="32:51" x14ac:dyDescent="0.35">
      <c r="AF1057" s="14" t="s">
        <v>3120</v>
      </c>
      <c r="AG1057" s="15" t="s">
        <v>2993</v>
      </c>
      <c r="AH1057" s="15" t="s">
        <v>3121</v>
      </c>
      <c r="AI1057" s="15" t="s">
        <v>3121</v>
      </c>
      <c r="AJ1057" s="15">
        <v>36</v>
      </c>
      <c r="AK1057" s="15">
        <v>195040</v>
      </c>
      <c r="AL1057" s="15" t="b">
        <v>0</v>
      </c>
      <c r="AM1057" s="15">
        <v>0.72499999999999998</v>
      </c>
      <c r="AN1057" s="15">
        <v>0.61799999999999999</v>
      </c>
      <c r="AO1057" s="15">
        <v>9</v>
      </c>
      <c r="AP1057" s="15">
        <v>-9.8420000000000005</v>
      </c>
      <c r="AQ1057" s="15">
        <v>0</v>
      </c>
      <c r="AR1057" s="15">
        <v>4.5999999999999999E-2</v>
      </c>
      <c r="AS1057" s="15">
        <v>0.32500000000000001</v>
      </c>
      <c r="AT1057" s="15">
        <v>1.3300000000000001E-4</v>
      </c>
      <c r="AU1057" s="15">
        <v>0.38400000000000001</v>
      </c>
      <c r="AV1057" s="15">
        <v>0.47899999999999998</v>
      </c>
      <c r="AW1057" s="15">
        <v>112.681</v>
      </c>
      <c r="AX1057" s="15">
        <v>5</v>
      </c>
      <c r="AY1057" s="16" t="s">
        <v>2975</v>
      </c>
    </row>
    <row r="1058" spans="32:51" x14ac:dyDescent="0.35">
      <c r="AF1058" s="17" t="s">
        <v>3122</v>
      </c>
      <c r="AG1058" s="18" t="s">
        <v>3123</v>
      </c>
      <c r="AH1058" s="18" t="s">
        <v>3124</v>
      </c>
      <c r="AI1058" s="18" t="s">
        <v>3125</v>
      </c>
      <c r="AJ1058" s="18">
        <v>33</v>
      </c>
      <c r="AK1058" s="18">
        <v>246613</v>
      </c>
      <c r="AL1058" s="18" t="b">
        <v>0</v>
      </c>
      <c r="AM1058" s="18">
        <v>0.52200000000000002</v>
      </c>
      <c r="AN1058" s="18">
        <v>0.67200000000000004</v>
      </c>
      <c r="AO1058" s="18">
        <v>7</v>
      </c>
      <c r="AP1058" s="18">
        <v>-9.0579999999999998</v>
      </c>
      <c r="AQ1058" s="18">
        <v>0</v>
      </c>
      <c r="AR1058" s="18">
        <v>3.9E-2</v>
      </c>
      <c r="AS1058" s="18">
        <v>7.85E-2</v>
      </c>
      <c r="AT1058" s="18">
        <v>0.41799999999999998</v>
      </c>
      <c r="AU1058" s="18">
        <v>8.6400000000000005E-2</v>
      </c>
      <c r="AV1058" s="18">
        <v>0.75</v>
      </c>
      <c r="AW1058" s="18">
        <v>155.833</v>
      </c>
      <c r="AX1058" s="18">
        <v>4</v>
      </c>
      <c r="AY1058" s="19" t="s">
        <v>2975</v>
      </c>
    </row>
    <row r="1059" spans="32:51" x14ac:dyDescent="0.35">
      <c r="AF1059" s="14" t="s">
        <v>3126</v>
      </c>
      <c r="AG1059" s="15" t="s">
        <v>3127</v>
      </c>
      <c r="AH1059" s="15" t="s">
        <v>3128</v>
      </c>
      <c r="AI1059" s="15" t="s">
        <v>3128</v>
      </c>
      <c r="AJ1059" s="15">
        <v>36</v>
      </c>
      <c r="AK1059" s="15">
        <v>250354</v>
      </c>
      <c r="AL1059" s="15" t="b">
        <v>0</v>
      </c>
      <c r="AM1059" s="15">
        <v>0.45500000000000002</v>
      </c>
      <c r="AN1059" s="15">
        <v>0.73799999999999999</v>
      </c>
      <c r="AO1059" s="15">
        <v>7</v>
      </c>
      <c r="AP1059" s="15">
        <v>-6.8259999999999996</v>
      </c>
      <c r="AQ1059" s="15">
        <v>0</v>
      </c>
      <c r="AR1059" s="15">
        <v>3.5799999999999998E-2</v>
      </c>
      <c r="AS1059" s="15">
        <v>0.161</v>
      </c>
      <c r="AT1059" s="15">
        <v>6.7799999999999999E-2</v>
      </c>
      <c r="AU1059" s="15">
        <v>9.9599999999999994E-2</v>
      </c>
      <c r="AV1059" s="15">
        <v>0.33500000000000002</v>
      </c>
      <c r="AW1059" s="15">
        <v>125.351</v>
      </c>
      <c r="AX1059" s="15">
        <v>5</v>
      </c>
      <c r="AY1059" s="16" t="s">
        <v>2975</v>
      </c>
    </row>
    <row r="1060" spans="32:51" x14ac:dyDescent="0.35">
      <c r="AF1060" s="17" t="s">
        <v>3129</v>
      </c>
      <c r="AG1060" s="18" t="s">
        <v>3130</v>
      </c>
      <c r="AH1060" s="18" t="s">
        <v>3010</v>
      </c>
      <c r="AI1060" s="18" t="s">
        <v>3131</v>
      </c>
      <c r="AJ1060" s="18">
        <v>35</v>
      </c>
      <c r="AK1060" s="18">
        <v>220670</v>
      </c>
      <c r="AL1060" s="18" t="b">
        <v>0</v>
      </c>
      <c r="AM1060" s="18">
        <v>0.61799999999999999</v>
      </c>
      <c r="AN1060" s="18">
        <v>0.94499999999999995</v>
      </c>
      <c r="AO1060" s="18">
        <v>4</v>
      </c>
      <c r="AP1060" s="18">
        <v>-4.49</v>
      </c>
      <c r="AQ1060" s="18">
        <v>0</v>
      </c>
      <c r="AR1060" s="18">
        <v>0.112</v>
      </c>
      <c r="AS1060" s="18">
        <v>3.7199999999999997E-2</v>
      </c>
      <c r="AT1060" s="18">
        <v>3.2299999999999998E-3</v>
      </c>
      <c r="AU1060" s="18">
        <v>0.25700000000000001</v>
      </c>
      <c r="AV1060" s="18">
        <v>0.76</v>
      </c>
      <c r="AW1060" s="18">
        <v>169.96700000000001</v>
      </c>
      <c r="AX1060" s="18">
        <v>4</v>
      </c>
      <c r="AY1060" s="19" t="s">
        <v>2975</v>
      </c>
    </row>
    <row r="1061" spans="32:51" x14ac:dyDescent="0.35">
      <c r="AF1061" s="14" t="s">
        <v>3132</v>
      </c>
      <c r="AG1061" s="15" t="s">
        <v>3133</v>
      </c>
      <c r="AH1061" s="15" t="s">
        <v>3134</v>
      </c>
      <c r="AI1061" s="15" t="s">
        <v>3134</v>
      </c>
      <c r="AJ1061" s="15">
        <v>33</v>
      </c>
      <c r="AK1061" s="15">
        <v>206999</v>
      </c>
      <c r="AL1061" s="15" t="b">
        <v>0</v>
      </c>
      <c r="AM1061" s="15">
        <v>0.58499999999999996</v>
      </c>
      <c r="AN1061" s="15">
        <v>0.58799999999999997</v>
      </c>
      <c r="AO1061" s="15">
        <v>9</v>
      </c>
      <c r="AP1061" s="15">
        <v>-8.1470000000000002</v>
      </c>
      <c r="AQ1061" s="15">
        <v>0</v>
      </c>
      <c r="AR1061" s="15">
        <v>0.115</v>
      </c>
      <c r="AS1061" s="15">
        <v>0.40500000000000003</v>
      </c>
      <c r="AT1061" s="31" t="s">
        <v>3135</v>
      </c>
      <c r="AU1061" s="15">
        <v>0.32100000000000001</v>
      </c>
      <c r="AV1061" s="15">
        <v>0.42899999999999999</v>
      </c>
      <c r="AW1061" s="15">
        <v>100.80800000000001</v>
      </c>
      <c r="AX1061" s="15">
        <v>3</v>
      </c>
      <c r="AY1061" s="16" t="s">
        <v>2975</v>
      </c>
    </row>
    <row r="1062" spans="32:51" x14ac:dyDescent="0.35">
      <c r="AF1062" s="17" t="s">
        <v>3136</v>
      </c>
      <c r="AG1062" s="18" t="s">
        <v>2977</v>
      </c>
      <c r="AH1062" s="18" t="s">
        <v>3060</v>
      </c>
      <c r="AI1062" s="18" t="s">
        <v>3137</v>
      </c>
      <c r="AJ1062" s="18">
        <v>33</v>
      </c>
      <c r="AK1062" s="18">
        <v>267853</v>
      </c>
      <c r="AL1062" s="18" t="b">
        <v>0</v>
      </c>
      <c r="AM1062" s="18">
        <v>0.86399999999999999</v>
      </c>
      <c r="AN1062" s="18">
        <v>0.623</v>
      </c>
      <c r="AO1062" s="18">
        <v>5</v>
      </c>
      <c r="AP1062" s="18">
        <v>-5.9660000000000002</v>
      </c>
      <c r="AQ1062" s="18">
        <v>1</v>
      </c>
      <c r="AR1062" s="18">
        <v>3.44E-2</v>
      </c>
      <c r="AS1062" s="18">
        <v>0.45200000000000001</v>
      </c>
      <c r="AT1062" s="18">
        <v>9.6699999999999998E-3</v>
      </c>
      <c r="AU1062" s="18">
        <v>0.105</v>
      </c>
      <c r="AV1062" s="18">
        <v>0.84</v>
      </c>
      <c r="AW1062" s="18">
        <v>132.00800000000001</v>
      </c>
      <c r="AX1062" s="18">
        <v>4</v>
      </c>
      <c r="AY1062" s="19" t="s">
        <v>2975</v>
      </c>
    </row>
    <row r="1063" spans="32:51" x14ac:dyDescent="0.35">
      <c r="AF1063" s="14" t="s">
        <v>3138</v>
      </c>
      <c r="AG1063" s="15" t="s">
        <v>3139</v>
      </c>
      <c r="AH1063" s="15" t="s">
        <v>3140</v>
      </c>
      <c r="AI1063" s="15" t="s">
        <v>3141</v>
      </c>
      <c r="AJ1063" s="15">
        <v>34</v>
      </c>
      <c r="AK1063" s="15">
        <v>174538</v>
      </c>
      <c r="AL1063" s="15" t="b">
        <v>0</v>
      </c>
      <c r="AM1063" s="15">
        <v>0.69399999999999995</v>
      </c>
      <c r="AN1063" s="15">
        <v>0.82</v>
      </c>
      <c r="AO1063" s="15">
        <v>4</v>
      </c>
      <c r="AP1063" s="15">
        <v>-7.8849999999999998</v>
      </c>
      <c r="AQ1063" s="15">
        <v>0</v>
      </c>
      <c r="AR1063" s="15">
        <v>4.8000000000000001E-2</v>
      </c>
      <c r="AS1063" s="15">
        <v>0.113</v>
      </c>
      <c r="AT1063" s="15">
        <v>0.89700000000000002</v>
      </c>
      <c r="AU1063" s="15">
        <v>0.14699999999999999</v>
      </c>
      <c r="AV1063" s="15">
        <v>0.58799999999999997</v>
      </c>
      <c r="AW1063" s="15">
        <v>99.921999999999997</v>
      </c>
      <c r="AX1063" s="15">
        <v>4</v>
      </c>
      <c r="AY1063" s="16" t="s">
        <v>2975</v>
      </c>
    </row>
    <row r="1064" spans="32:51" x14ac:dyDescent="0.35">
      <c r="AF1064" s="17" t="s">
        <v>3142</v>
      </c>
      <c r="AG1064" s="18" t="s">
        <v>2993</v>
      </c>
      <c r="AH1064" s="18" t="s">
        <v>3143</v>
      </c>
      <c r="AI1064" s="18" t="s">
        <v>3143</v>
      </c>
      <c r="AJ1064" s="18">
        <v>35</v>
      </c>
      <c r="AK1064" s="18">
        <v>210373</v>
      </c>
      <c r="AL1064" s="18" t="b">
        <v>0</v>
      </c>
      <c r="AM1064" s="18">
        <v>0.68500000000000005</v>
      </c>
      <c r="AN1064" s="18">
        <v>0.73199999999999998</v>
      </c>
      <c r="AO1064" s="18">
        <v>9</v>
      </c>
      <c r="AP1064" s="18">
        <v>-8.5890000000000004</v>
      </c>
      <c r="AQ1064" s="18">
        <v>0</v>
      </c>
      <c r="AR1064" s="18">
        <v>3.2199999999999999E-2</v>
      </c>
      <c r="AS1064" s="18">
        <v>5.0600000000000003E-3</v>
      </c>
      <c r="AT1064" s="18">
        <v>0.77800000000000002</v>
      </c>
      <c r="AU1064" s="18">
        <v>6.4000000000000001E-2</v>
      </c>
      <c r="AV1064" s="18">
        <v>0.85599999999999998</v>
      </c>
      <c r="AW1064" s="18">
        <v>127.999</v>
      </c>
      <c r="AX1064" s="18">
        <v>4</v>
      </c>
      <c r="AY1064" s="19" t="s">
        <v>2975</v>
      </c>
    </row>
    <row r="1065" spans="32:51" x14ac:dyDescent="0.35">
      <c r="AF1065" s="14" t="s">
        <v>3144</v>
      </c>
      <c r="AG1065" s="15" t="s">
        <v>2996</v>
      </c>
      <c r="AH1065" s="15" t="s">
        <v>2997</v>
      </c>
      <c r="AI1065" s="15" t="s">
        <v>3145</v>
      </c>
      <c r="AJ1065" s="15">
        <v>35</v>
      </c>
      <c r="AK1065" s="15">
        <v>148000</v>
      </c>
      <c r="AL1065" s="15" t="b">
        <v>0</v>
      </c>
      <c r="AM1065" s="15">
        <v>0.48299999999999998</v>
      </c>
      <c r="AN1065" s="15">
        <v>0.99399999999999999</v>
      </c>
      <c r="AO1065" s="15">
        <v>4</v>
      </c>
      <c r="AP1065" s="15">
        <v>-6.6760000000000002</v>
      </c>
      <c r="AQ1065" s="15">
        <v>0</v>
      </c>
      <c r="AR1065" s="15">
        <v>7.6200000000000004E-2</v>
      </c>
      <c r="AS1065" s="15">
        <v>4.44E-4</v>
      </c>
      <c r="AT1065" s="15">
        <v>0.76500000000000001</v>
      </c>
      <c r="AU1065" s="15">
        <v>5.7000000000000002E-2</v>
      </c>
      <c r="AV1065" s="15">
        <v>0.70199999999999996</v>
      </c>
      <c r="AW1065" s="15">
        <v>182.05099999999999</v>
      </c>
      <c r="AX1065" s="15">
        <v>4</v>
      </c>
      <c r="AY1065" s="16" t="s">
        <v>2975</v>
      </c>
    </row>
    <row r="1066" spans="32:51" x14ac:dyDescent="0.35">
      <c r="AF1066" s="17" t="s">
        <v>3146</v>
      </c>
      <c r="AG1066" s="18" t="s">
        <v>3066</v>
      </c>
      <c r="AH1066" s="18" t="s">
        <v>3067</v>
      </c>
      <c r="AI1066" s="18" t="s">
        <v>3147</v>
      </c>
      <c r="AJ1066" s="18">
        <v>33</v>
      </c>
      <c r="AK1066" s="18">
        <v>321351</v>
      </c>
      <c r="AL1066" s="18" t="b">
        <v>0</v>
      </c>
      <c r="AM1066" s="18">
        <v>0.72099999999999997</v>
      </c>
      <c r="AN1066" s="18">
        <v>0.65400000000000003</v>
      </c>
      <c r="AO1066" s="18">
        <v>7</v>
      </c>
      <c r="AP1066" s="18">
        <v>-7.8769999999999998</v>
      </c>
      <c r="AQ1066" s="18">
        <v>0</v>
      </c>
      <c r="AR1066" s="18">
        <v>2.3099999999999999E-2</v>
      </c>
      <c r="AS1066" s="18">
        <v>0.314</v>
      </c>
      <c r="AT1066" s="32" t="s">
        <v>3148</v>
      </c>
      <c r="AU1066" s="18">
        <v>0.82799999999999996</v>
      </c>
      <c r="AV1066" s="18">
        <v>0.82599999999999996</v>
      </c>
      <c r="AW1066" s="18">
        <v>102.97799999999999</v>
      </c>
      <c r="AX1066" s="18">
        <v>4</v>
      </c>
      <c r="AY1066" s="19" t="s">
        <v>2975</v>
      </c>
    </row>
    <row r="1067" spans="32:51" x14ac:dyDescent="0.35">
      <c r="AF1067" s="14" t="s">
        <v>3149</v>
      </c>
      <c r="AG1067" s="15" t="s">
        <v>3150</v>
      </c>
      <c r="AH1067" s="15" t="s">
        <v>3151</v>
      </c>
      <c r="AI1067" s="15" t="s">
        <v>3152</v>
      </c>
      <c r="AJ1067" s="15">
        <v>35</v>
      </c>
      <c r="AK1067" s="15">
        <v>242373</v>
      </c>
      <c r="AL1067" s="15" t="b">
        <v>0</v>
      </c>
      <c r="AM1067" s="15">
        <v>0.68300000000000005</v>
      </c>
      <c r="AN1067" s="15">
        <v>0.82299999999999995</v>
      </c>
      <c r="AO1067" s="15">
        <v>9</v>
      </c>
      <c r="AP1067" s="15">
        <v>-6.4749999999999996</v>
      </c>
      <c r="AQ1067" s="15">
        <v>1</v>
      </c>
      <c r="AR1067" s="15">
        <v>5.5899999999999998E-2</v>
      </c>
      <c r="AS1067" s="15">
        <v>0.13800000000000001</v>
      </c>
      <c r="AT1067" s="15">
        <v>6.7000000000000004E-2</v>
      </c>
      <c r="AU1067" s="15">
        <v>0.17599999999999999</v>
      </c>
      <c r="AV1067" s="15">
        <v>0.83699999999999997</v>
      </c>
      <c r="AW1067" s="15">
        <v>120.03</v>
      </c>
      <c r="AX1067" s="15">
        <v>4</v>
      </c>
      <c r="AY1067" s="16" t="s">
        <v>2975</v>
      </c>
    </row>
    <row r="1068" spans="32:51" x14ac:dyDescent="0.35">
      <c r="AF1068" s="17" t="s">
        <v>3153</v>
      </c>
      <c r="AG1068" s="18" t="s">
        <v>3154</v>
      </c>
      <c r="AH1068" s="18" t="s">
        <v>3155</v>
      </c>
      <c r="AI1068" s="18" t="s">
        <v>3156</v>
      </c>
      <c r="AJ1068" s="18">
        <v>35</v>
      </c>
      <c r="AK1068" s="18">
        <v>246568</v>
      </c>
      <c r="AL1068" s="18" t="b">
        <v>0</v>
      </c>
      <c r="AM1068" s="18">
        <v>0.61399999999999999</v>
      </c>
      <c r="AN1068" s="18">
        <v>0.20899999999999999</v>
      </c>
      <c r="AO1068" s="18">
        <v>7</v>
      </c>
      <c r="AP1068" s="18">
        <v>-11.445</v>
      </c>
      <c r="AQ1068" s="18">
        <v>1</v>
      </c>
      <c r="AR1068" s="18">
        <v>3.27E-2</v>
      </c>
      <c r="AS1068" s="18">
        <v>0.86799999999999999</v>
      </c>
      <c r="AT1068" s="18">
        <v>6.7599999999999995E-4</v>
      </c>
      <c r="AU1068" s="18">
        <v>0.182</v>
      </c>
      <c r="AV1068" s="18">
        <v>0.41599999999999998</v>
      </c>
      <c r="AW1068" s="18">
        <v>119.94799999999999</v>
      </c>
      <c r="AX1068" s="18">
        <v>4</v>
      </c>
      <c r="AY1068" s="19" t="s">
        <v>2975</v>
      </c>
    </row>
    <row r="1069" spans="32:51" x14ac:dyDescent="0.35">
      <c r="AF1069" s="14" t="s">
        <v>3157</v>
      </c>
      <c r="AG1069" s="15" t="s">
        <v>2977</v>
      </c>
      <c r="AH1069" s="15" t="s">
        <v>3158</v>
      </c>
      <c r="AI1069" s="15" t="s">
        <v>3158</v>
      </c>
      <c r="AJ1069" s="15">
        <v>34</v>
      </c>
      <c r="AK1069" s="15">
        <v>219071</v>
      </c>
      <c r="AL1069" s="15" t="b">
        <v>0</v>
      </c>
      <c r="AM1069" s="15">
        <v>0.79300000000000004</v>
      </c>
      <c r="AN1069" s="15">
        <v>0.65800000000000003</v>
      </c>
      <c r="AO1069" s="15">
        <v>2</v>
      </c>
      <c r="AP1069" s="15">
        <v>-6.3319999999999999</v>
      </c>
      <c r="AQ1069" s="15">
        <v>1</v>
      </c>
      <c r="AR1069" s="15">
        <v>5.5199999999999999E-2</v>
      </c>
      <c r="AS1069" s="15">
        <v>0.65200000000000002</v>
      </c>
      <c r="AT1069" s="31" t="s">
        <v>3033</v>
      </c>
      <c r="AU1069" s="15">
        <v>8.2000000000000003E-2</v>
      </c>
      <c r="AV1069" s="15">
        <v>0.96</v>
      </c>
      <c r="AW1069" s="15">
        <v>114.039</v>
      </c>
      <c r="AX1069" s="15">
        <v>4</v>
      </c>
      <c r="AY1069" s="16" t="s">
        <v>2975</v>
      </c>
    </row>
    <row r="1070" spans="32:51" x14ac:dyDescent="0.35">
      <c r="AF1070" s="17" t="s">
        <v>3159</v>
      </c>
      <c r="AG1070" s="18" t="s">
        <v>2993</v>
      </c>
      <c r="AH1070" s="18" t="s">
        <v>3160</v>
      </c>
      <c r="AI1070" s="18" t="s">
        <v>3161</v>
      </c>
      <c r="AJ1070" s="18">
        <v>35</v>
      </c>
      <c r="AK1070" s="18">
        <v>339413</v>
      </c>
      <c r="AL1070" s="18" t="b">
        <v>0</v>
      </c>
      <c r="AM1070" s="18">
        <v>0.59099999999999997</v>
      </c>
      <c r="AN1070" s="18">
        <v>0.873</v>
      </c>
      <c r="AO1070" s="18">
        <v>1</v>
      </c>
      <c r="AP1070" s="18">
        <v>-6.8769999999999998</v>
      </c>
      <c r="AQ1070" s="18">
        <v>0</v>
      </c>
      <c r="AR1070" s="18">
        <v>0.111</v>
      </c>
      <c r="AS1070" s="18">
        <v>0.105</v>
      </c>
      <c r="AT1070" s="18">
        <v>1.8100000000000002E-2</v>
      </c>
      <c r="AU1070" s="18">
        <v>6.7599999999999993E-2</v>
      </c>
      <c r="AV1070" s="18">
        <v>0.88200000000000001</v>
      </c>
      <c r="AW1070" s="18">
        <v>162.12100000000001</v>
      </c>
      <c r="AX1070" s="18">
        <v>4</v>
      </c>
      <c r="AY1070" s="19" t="s">
        <v>2975</v>
      </c>
    </row>
    <row r="1071" spans="32:51" x14ac:dyDescent="0.35">
      <c r="AF1071" s="14" t="s">
        <v>3162</v>
      </c>
      <c r="AG1071" s="15" t="s">
        <v>2977</v>
      </c>
      <c r="AH1071" s="15" t="s">
        <v>2978</v>
      </c>
      <c r="AI1071" s="15" t="s">
        <v>3163</v>
      </c>
      <c r="AJ1071" s="15">
        <v>35</v>
      </c>
      <c r="AK1071" s="15">
        <v>303120</v>
      </c>
      <c r="AL1071" s="15" t="b">
        <v>0</v>
      </c>
      <c r="AM1071" s="15">
        <v>0.70199999999999996</v>
      </c>
      <c r="AN1071" s="15">
        <v>0.68899999999999995</v>
      </c>
      <c r="AO1071" s="15">
        <v>4</v>
      </c>
      <c r="AP1071" s="15">
        <v>-6.1120000000000001</v>
      </c>
      <c r="AQ1071" s="15">
        <v>0</v>
      </c>
      <c r="AR1071" s="15">
        <v>0.221</v>
      </c>
      <c r="AS1071" s="15">
        <v>0.152</v>
      </c>
      <c r="AT1071" s="15">
        <v>0</v>
      </c>
      <c r="AU1071" s="15">
        <v>8.7800000000000003E-2</v>
      </c>
      <c r="AV1071" s="15">
        <v>0.24199999999999999</v>
      </c>
      <c r="AW1071" s="15">
        <v>84.063000000000002</v>
      </c>
      <c r="AX1071" s="15">
        <v>4</v>
      </c>
      <c r="AY1071" s="16" t="s">
        <v>2975</v>
      </c>
    </row>
    <row r="1072" spans="32:51" x14ac:dyDescent="0.35">
      <c r="AF1072" s="17" t="s">
        <v>3164</v>
      </c>
      <c r="AG1072" s="18" t="s">
        <v>3165</v>
      </c>
      <c r="AH1072" s="18" t="s">
        <v>3166</v>
      </c>
      <c r="AI1072" s="18" t="s">
        <v>3167</v>
      </c>
      <c r="AJ1072" s="18">
        <v>33</v>
      </c>
      <c r="AK1072" s="18">
        <v>214177</v>
      </c>
      <c r="AL1072" s="18" t="b">
        <v>0</v>
      </c>
      <c r="AM1072" s="18">
        <v>0.64</v>
      </c>
      <c r="AN1072" s="18">
        <v>0.73199999999999998</v>
      </c>
      <c r="AO1072" s="18">
        <v>5</v>
      </c>
      <c r="AP1072" s="18">
        <v>-7.0780000000000003</v>
      </c>
      <c r="AQ1072" s="18">
        <v>0</v>
      </c>
      <c r="AR1072" s="18">
        <v>6.4199999999999993E-2</v>
      </c>
      <c r="AS1072" s="18">
        <v>0.64100000000000001</v>
      </c>
      <c r="AT1072" s="18">
        <v>1.4200000000000001E-4</v>
      </c>
      <c r="AU1072" s="18">
        <v>0.114</v>
      </c>
      <c r="AV1072" s="18">
        <v>0.83099999999999996</v>
      </c>
      <c r="AW1072" s="18">
        <v>112.956</v>
      </c>
      <c r="AX1072" s="18">
        <v>4</v>
      </c>
      <c r="AY1072" s="19" t="s">
        <v>2975</v>
      </c>
    </row>
    <row r="1073" spans="32:51" x14ac:dyDescent="0.35">
      <c r="AF1073" s="14" t="s">
        <v>3168</v>
      </c>
      <c r="AG1073" s="15" t="s">
        <v>3169</v>
      </c>
      <c r="AH1073" s="15" t="s">
        <v>3170</v>
      </c>
      <c r="AI1073" s="15" t="s">
        <v>3170</v>
      </c>
      <c r="AJ1073" s="15">
        <v>37</v>
      </c>
      <c r="AK1073" s="15">
        <v>148905</v>
      </c>
      <c r="AL1073" s="15" t="b">
        <v>0</v>
      </c>
      <c r="AM1073" s="15">
        <v>0.38300000000000001</v>
      </c>
      <c r="AN1073" s="15">
        <v>0.71099999999999997</v>
      </c>
      <c r="AO1073" s="15">
        <v>0</v>
      </c>
      <c r="AP1073" s="15">
        <v>-8.1129999999999995</v>
      </c>
      <c r="AQ1073" s="15">
        <v>1</v>
      </c>
      <c r="AR1073" s="15">
        <v>6.7100000000000007E-2</v>
      </c>
      <c r="AS1073" s="15">
        <v>0.17399999999999999</v>
      </c>
      <c r="AT1073" s="15">
        <v>5.7200000000000003E-4</v>
      </c>
      <c r="AU1073" s="15">
        <v>0.16</v>
      </c>
      <c r="AV1073" s="15">
        <v>0.432</v>
      </c>
      <c r="AW1073" s="15">
        <v>137.036</v>
      </c>
      <c r="AX1073" s="15">
        <v>4</v>
      </c>
      <c r="AY1073" s="16" t="s">
        <v>2975</v>
      </c>
    </row>
    <row r="1074" spans="32:51" x14ac:dyDescent="0.35">
      <c r="AF1074" s="17" t="s">
        <v>3171</v>
      </c>
      <c r="AG1074" s="18" t="s">
        <v>3150</v>
      </c>
      <c r="AH1074" s="18" t="s">
        <v>3172</v>
      </c>
      <c r="AI1074" s="18" t="s">
        <v>3173</v>
      </c>
      <c r="AJ1074" s="18">
        <v>36</v>
      </c>
      <c r="AK1074" s="18">
        <v>426306</v>
      </c>
      <c r="AL1074" s="18" t="b">
        <v>0</v>
      </c>
      <c r="AM1074" s="18">
        <v>0.69199999999999995</v>
      </c>
      <c r="AN1074" s="18">
        <v>0.746</v>
      </c>
      <c r="AO1074" s="18">
        <v>7</v>
      </c>
      <c r="AP1074" s="18">
        <v>-6.359</v>
      </c>
      <c r="AQ1074" s="18">
        <v>0</v>
      </c>
      <c r="AR1074" s="18">
        <v>3.6200000000000003E-2</v>
      </c>
      <c r="AS1074" s="18">
        <v>0.39300000000000002</v>
      </c>
      <c r="AT1074" s="18">
        <v>4.9600000000000002E-4</v>
      </c>
      <c r="AU1074" s="18">
        <v>0.25700000000000001</v>
      </c>
      <c r="AV1074" s="18">
        <v>0.61299999999999999</v>
      </c>
      <c r="AW1074" s="18">
        <v>107.98099999999999</v>
      </c>
      <c r="AX1074" s="18">
        <v>4</v>
      </c>
      <c r="AY1074" s="19" t="s">
        <v>2975</v>
      </c>
    </row>
    <row r="1075" spans="32:51" x14ac:dyDescent="0.35">
      <c r="AF1075" s="14" t="s">
        <v>3174</v>
      </c>
      <c r="AG1075" s="15" t="s">
        <v>3175</v>
      </c>
      <c r="AH1075" s="15" t="s">
        <v>3160</v>
      </c>
      <c r="AI1075" s="15" t="s">
        <v>3176</v>
      </c>
      <c r="AJ1075" s="15">
        <v>34</v>
      </c>
      <c r="AK1075" s="15">
        <v>156733</v>
      </c>
      <c r="AL1075" s="15" t="b">
        <v>0</v>
      </c>
      <c r="AM1075" s="15">
        <v>0.77900000000000003</v>
      </c>
      <c r="AN1075" s="15">
        <v>0.91800000000000004</v>
      </c>
      <c r="AO1075" s="15">
        <v>0</v>
      </c>
      <c r="AP1075" s="15">
        <v>-6.9119999999999999</v>
      </c>
      <c r="AQ1075" s="15">
        <v>1</v>
      </c>
      <c r="AR1075" s="15">
        <v>0.26800000000000002</v>
      </c>
      <c r="AS1075" s="15">
        <v>0.126</v>
      </c>
      <c r="AT1075" s="31" t="s">
        <v>3177</v>
      </c>
      <c r="AU1075" s="15">
        <v>0.70099999999999996</v>
      </c>
      <c r="AV1075" s="15">
        <v>0.39100000000000001</v>
      </c>
      <c r="AW1075" s="15">
        <v>100.041</v>
      </c>
      <c r="AX1075" s="15">
        <v>4</v>
      </c>
      <c r="AY1075" s="16" t="s">
        <v>2975</v>
      </c>
    </row>
    <row r="1076" spans="32:51" x14ac:dyDescent="0.35">
      <c r="AF1076" s="17" t="s">
        <v>3178</v>
      </c>
      <c r="AG1076" s="18" t="s">
        <v>3063</v>
      </c>
      <c r="AH1076" s="18" t="s">
        <v>3025</v>
      </c>
      <c r="AI1076" s="18" t="s">
        <v>3179</v>
      </c>
      <c r="AJ1076" s="18">
        <v>32</v>
      </c>
      <c r="AK1076" s="18">
        <v>213960</v>
      </c>
      <c r="AL1076" s="18" t="b">
        <v>0</v>
      </c>
      <c r="AM1076" s="18">
        <v>0.65300000000000002</v>
      </c>
      <c r="AN1076" s="18">
        <v>0.86799999999999999</v>
      </c>
      <c r="AO1076" s="18">
        <v>9</v>
      </c>
      <c r="AP1076" s="18">
        <v>-6.12</v>
      </c>
      <c r="AQ1076" s="18">
        <v>0</v>
      </c>
      <c r="AR1076" s="18">
        <v>0.33600000000000002</v>
      </c>
      <c r="AS1076" s="18">
        <v>0.64900000000000002</v>
      </c>
      <c r="AT1076" s="18">
        <v>0</v>
      </c>
      <c r="AU1076" s="18">
        <v>0.95299999999999996</v>
      </c>
      <c r="AV1076" s="18">
        <v>0.73299999999999998</v>
      </c>
      <c r="AW1076" s="18">
        <v>82.15</v>
      </c>
      <c r="AX1076" s="18">
        <v>4</v>
      </c>
      <c r="AY1076" s="19" t="s">
        <v>2975</v>
      </c>
    </row>
    <row r="1077" spans="32:51" x14ac:dyDescent="0.35">
      <c r="AF1077" s="14" t="s">
        <v>3180</v>
      </c>
      <c r="AG1077" s="15" t="s">
        <v>2977</v>
      </c>
      <c r="AH1077" s="15" t="s">
        <v>2982</v>
      </c>
      <c r="AI1077" s="15" t="s">
        <v>3181</v>
      </c>
      <c r="AJ1077" s="15">
        <v>32</v>
      </c>
      <c r="AK1077" s="15">
        <v>220653</v>
      </c>
      <c r="AL1077" s="15" t="b">
        <v>0</v>
      </c>
      <c r="AM1077" s="15">
        <v>0.79500000000000004</v>
      </c>
      <c r="AN1077" s="15">
        <v>0.66400000000000003</v>
      </c>
      <c r="AO1077" s="15">
        <v>11</v>
      </c>
      <c r="AP1077" s="15">
        <v>-10.679</v>
      </c>
      <c r="AQ1077" s="15">
        <v>1</v>
      </c>
      <c r="AR1077" s="15">
        <v>5.1900000000000002E-2</v>
      </c>
      <c r="AS1077" s="15">
        <v>0.188</v>
      </c>
      <c r="AT1077" s="15">
        <v>0.89</v>
      </c>
      <c r="AU1077" s="15">
        <v>0.17199999999999999</v>
      </c>
      <c r="AV1077" s="15">
        <v>0.85399999999999998</v>
      </c>
      <c r="AW1077" s="15">
        <v>136.029</v>
      </c>
      <c r="AX1077" s="15">
        <v>4</v>
      </c>
      <c r="AY1077" s="16" t="s">
        <v>2975</v>
      </c>
    </row>
    <row r="1078" spans="32:51" x14ac:dyDescent="0.35">
      <c r="AF1078" s="17" t="s">
        <v>3182</v>
      </c>
      <c r="AG1078" s="18" t="s">
        <v>3183</v>
      </c>
      <c r="AH1078" s="18" t="s">
        <v>3160</v>
      </c>
      <c r="AI1078" s="18" t="s">
        <v>3184</v>
      </c>
      <c r="AJ1078" s="18">
        <v>34</v>
      </c>
      <c r="AK1078" s="18">
        <v>165160</v>
      </c>
      <c r="AL1078" s="18" t="b">
        <v>0</v>
      </c>
      <c r="AM1078" s="18">
        <v>0.72599999999999998</v>
      </c>
      <c r="AN1078" s="18">
        <v>0.72</v>
      </c>
      <c r="AO1078" s="18">
        <v>6</v>
      </c>
      <c r="AP1078" s="18">
        <v>-6.8410000000000002</v>
      </c>
      <c r="AQ1078" s="18">
        <v>1</v>
      </c>
      <c r="AR1078" s="18">
        <v>0.31</v>
      </c>
      <c r="AS1078" s="18">
        <v>0.32700000000000001</v>
      </c>
      <c r="AT1078" s="18">
        <v>0</v>
      </c>
      <c r="AU1078" s="18">
        <v>0.28699999999999998</v>
      </c>
      <c r="AV1078" s="18">
        <v>0.874</v>
      </c>
      <c r="AW1078" s="18">
        <v>149.995</v>
      </c>
      <c r="AX1078" s="18">
        <v>4</v>
      </c>
      <c r="AY1078" s="19" t="s">
        <v>2975</v>
      </c>
    </row>
    <row r="1079" spans="32:51" x14ac:dyDescent="0.35">
      <c r="AF1079" s="14" t="s">
        <v>3185</v>
      </c>
      <c r="AG1079" s="15" t="s">
        <v>3186</v>
      </c>
      <c r="AH1079" s="15" t="s">
        <v>3187</v>
      </c>
      <c r="AI1079" s="15" t="s">
        <v>3188</v>
      </c>
      <c r="AJ1079" s="15">
        <v>34</v>
      </c>
      <c r="AK1079" s="15">
        <v>199360</v>
      </c>
      <c r="AL1079" s="15" t="b">
        <v>0</v>
      </c>
      <c r="AM1079" s="15">
        <v>0.42199999999999999</v>
      </c>
      <c r="AN1079" s="15">
        <v>0.86199999999999999</v>
      </c>
      <c r="AO1079" s="15">
        <v>7</v>
      </c>
      <c r="AP1079" s="15">
        <v>-6.5339999999999998</v>
      </c>
      <c r="AQ1079" s="15">
        <v>0</v>
      </c>
      <c r="AR1079" s="15">
        <v>0.153</v>
      </c>
      <c r="AS1079" s="15">
        <v>0.60199999999999998</v>
      </c>
      <c r="AT1079" s="15">
        <v>9.0399999999999994E-3</v>
      </c>
      <c r="AU1079" s="15">
        <v>0.29399999999999998</v>
      </c>
      <c r="AV1079" s="15">
        <v>0.82599999999999996</v>
      </c>
      <c r="AW1079" s="15">
        <v>80.525999999999996</v>
      </c>
      <c r="AX1079" s="15">
        <v>3</v>
      </c>
      <c r="AY1079" s="16" t="s">
        <v>2975</v>
      </c>
    </row>
    <row r="1080" spans="32:51" x14ac:dyDescent="0.35">
      <c r="AF1080" s="17" t="s">
        <v>3189</v>
      </c>
      <c r="AG1080" s="18" t="s">
        <v>3190</v>
      </c>
      <c r="AH1080" s="18" t="s">
        <v>3191</v>
      </c>
      <c r="AI1080" s="18" t="s">
        <v>3192</v>
      </c>
      <c r="AJ1080" s="18">
        <v>32</v>
      </c>
      <c r="AK1080" s="18">
        <v>261552</v>
      </c>
      <c r="AL1080" s="18" t="b">
        <v>0</v>
      </c>
      <c r="AM1080" s="18">
        <v>0.79500000000000004</v>
      </c>
      <c r="AN1080" s="18">
        <v>0.57299999999999995</v>
      </c>
      <c r="AO1080" s="18">
        <v>0</v>
      </c>
      <c r="AP1080" s="18">
        <v>-9.8379999999999992</v>
      </c>
      <c r="AQ1080" s="18">
        <v>1</v>
      </c>
      <c r="AR1080" s="18">
        <v>5.5399999999999998E-2</v>
      </c>
      <c r="AS1080" s="18">
        <v>0.40300000000000002</v>
      </c>
      <c r="AT1080" s="18">
        <v>4.0000000000000001E-3</v>
      </c>
      <c r="AU1080" s="18">
        <v>0.10199999999999999</v>
      </c>
      <c r="AV1080" s="18">
        <v>0.65</v>
      </c>
      <c r="AW1080" s="18">
        <v>135.12299999999999</v>
      </c>
      <c r="AX1080" s="18">
        <v>4</v>
      </c>
      <c r="AY1080" s="19" t="s">
        <v>2975</v>
      </c>
    </row>
    <row r="1081" spans="32:51" x14ac:dyDescent="0.35">
      <c r="AF1081" s="14" t="s">
        <v>3193</v>
      </c>
      <c r="AG1081" s="15" t="s">
        <v>3047</v>
      </c>
      <c r="AH1081" s="15" t="s">
        <v>3048</v>
      </c>
      <c r="AI1081" s="15" t="s">
        <v>3194</v>
      </c>
      <c r="AJ1081" s="15">
        <v>34</v>
      </c>
      <c r="AK1081" s="15">
        <v>213680</v>
      </c>
      <c r="AL1081" s="15" t="b">
        <v>0</v>
      </c>
      <c r="AM1081" s="15">
        <v>0.6</v>
      </c>
      <c r="AN1081" s="15">
        <v>0.82599999999999996</v>
      </c>
      <c r="AO1081" s="15">
        <v>2</v>
      </c>
      <c r="AP1081" s="15">
        <v>-5.6539999999999999</v>
      </c>
      <c r="AQ1081" s="15">
        <v>1</v>
      </c>
      <c r="AR1081" s="15">
        <v>4.7600000000000003E-2</v>
      </c>
      <c r="AS1081" s="15">
        <v>5.5500000000000001E-2</v>
      </c>
      <c r="AT1081" s="15">
        <v>0</v>
      </c>
      <c r="AU1081" s="15">
        <v>8.3500000000000005E-2</v>
      </c>
      <c r="AV1081" s="15">
        <v>0.77</v>
      </c>
      <c r="AW1081" s="15">
        <v>98.046000000000006</v>
      </c>
      <c r="AX1081" s="15">
        <v>4</v>
      </c>
      <c r="AY1081" s="16" t="s">
        <v>2975</v>
      </c>
    </row>
    <row r="1082" spans="32:51" x14ac:dyDescent="0.35">
      <c r="AF1082" s="17" t="s">
        <v>3195</v>
      </c>
      <c r="AG1082" s="18" t="s">
        <v>2977</v>
      </c>
      <c r="AH1082" s="18" t="s">
        <v>3060</v>
      </c>
      <c r="AI1082" s="18" t="s">
        <v>3196</v>
      </c>
      <c r="AJ1082" s="18">
        <v>34</v>
      </c>
      <c r="AK1082" s="18">
        <v>181013</v>
      </c>
      <c r="AL1082" s="18" t="b">
        <v>0</v>
      </c>
      <c r="AM1082" s="18">
        <v>0.75900000000000001</v>
      </c>
      <c r="AN1082" s="18">
        <v>0.79</v>
      </c>
      <c r="AO1082" s="18">
        <v>11</v>
      </c>
      <c r="AP1082" s="18">
        <v>-4.3550000000000004</v>
      </c>
      <c r="AQ1082" s="18">
        <v>0</v>
      </c>
      <c r="AR1082" s="18">
        <v>6.5600000000000006E-2</v>
      </c>
      <c r="AS1082" s="18">
        <v>0.26400000000000001</v>
      </c>
      <c r="AT1082" s="32" t="s">
        <v>3197</v>
      </c>
      <c r="AU1082" s="18">
        <v>7.0699999999999999E-2</v>
      </c>
      <c r="AV1082" s="18">
        <v>0.91400000000000003</v>
      </c>
      <c r="AW1082" s="18">
        <v>135.953</v>
      </c>
      <c r="AX1082" s="18">
        <v>4</v>
      </c>
      <c r="AY1082" s="19" t="s">
        <v>2975</v>
      </c>
    </row>
    <row r="1083" spans="32:51" x14ac:dyDescent="0.35">
      <c r="AF1083" s="14" t="s">
        <v>3198</v>
      </c>
      <c r="AG1083" s="15" t="s">
        <v>2977</v>
      </c>
      <c r="AH1083" s="15" t="s">
        <v>3025</v>
      </c>
      <c r="AI1083" s="15" t="s">
        <v>3199</v>
      </c>
      <c r="AJ1083" s="15">
        <v>33</v>
      </c>
      <c r="AK1083" s="15">
        <v>267480</v>
      </c>
      <c r="AL1083" s="15" t="b">
        <v>0</v>
      </c>
      <c r="AM1083" s="15">
        <v>0.57199999999999995</v>
      </c>
      <c r="AN1083" s="15">
        <v>0.874</v>
      </c>
      <c r="AO1083" s="15">
        <v>5</v>
      </c>
      <c r="AP1083" s="15">
        <v>-7.5229999999999997</v>
      </c>
      <c r="AQ1083" s="15">
        <v>0</v>
      </c>
      <c r="AR1083" s="15">
        <v>0.127</v>
      </c>
      <c r="AS1083" s="15">
        <v>0.52500000000000002</v>
      </c>
      <c r="AT1083" s="31" t="s">
        <v>3200</v>
      </c>
      <c r="AU1083" s="15">
        <v>0.71099999999999997</v>
      </c>
      <c r="AV1083" s="15">
        <v>0.68100000000000005</v>
      </c>
      <c r="AW1083" s="15">
        <v>94.006</v>
      </c>
      <c r="AX1083" s="15">
        <v>4</v>
      </c>
      <c r="AY1083" s="16" t="s">
        <v>2975</v>
      </c>
    </row>
    <row r="1084" spans="32:51" x14ac:dyDescent="0.35">
      <c r="AF1084" s="17" t="s">
        <v>3201</v>
      </c>
      <c r="AG1084" s="18" t="s">
        <v>3063</v>
      </c>
      <c r="AH1084" s="18" t="s">
        <v>3025</v>
      </c>
      <c r="AI1084" s="18" t="s">
        <v>3202</v>
      </c>
      <c r="AJ1084" s="18">
        <v>33</v>
      </c>
      <c r="AK1084" s="18">
        <v>213773</v>
      </c>
      <c r="AL1084" s="18" t="b">
        <v>0</v>
      </c>
      <c r="AM1084" s="18">
        <v>0.54900000000000004</v>
      </c>
      <c r="AN1084" s="18">
        <v>0.90100000000000002</v>
      </c>
      <c r="AO1084" s="18">
        <v>2</v>
      </c>
      <c r="AP1084" s="18">
        <v>-6.2080000000000002</v>
      </c>
      <c r="AQ1084" s="18">
        <v>1</v>
      </c>
      <c r="AR1084" s="18">
        <v>0.29599999999999999</v>
      </c>
      <c r="AS1084" s="18">
        <v>0.72099999999999997</v>
      </c>
      <c r="AT1084" s="18">
        <v>0</v>
      </c>
      <c r="AU1084" s="18">
        <v>0.91300000000000003</v>
      </c>
      <c r="AV1084" s="18">
        <v>0.35</v>
      </c>
      <c r="AW1084" s="18">
        <v>152.298</v>
      </c>
      <c r="AX1084" s="18">
        <v>4</v>
      </c>
      <c r="AY1084" s="19" t="s">
        <v>2975</v>
      </c>
    </row>
    <row r="1085" spans="32:51" x14ac:dyDescent="0.35">
      <c r="AF1085" s="14" t="s">
        <v>3203</v>
      </c>
      <c r="AG1085" s="15" t="s">
        <v>3204</v>
      </c>
      <c r="AH1085" s="15" t="s">
        <v>3035</v>
      </c>
      <c r="AI1085" s="15" t="s">
        <v>3205</v>
      </c>
      <c r="AJ1085" s="15">
        <v>33</v>
      </c>
      <c r="AK1085" s="15">
        <v>173413</v>
      </c>
      <c r="AL1085" s="15" t="b">
        <v>0</v>
      </c>
      <c r="AM1085" s="15">
        <v>0.66600000000000004</v>
      </c>
      <c r="AN1085" s="15">
        <v>0.76100000000000001</v>
      </c>
      <c r="AO1085" s="15">
        <v>7</v>
      </c>
      <c r="AP1085" s="15">
        <v>-5.4720000000000004</v>
      </c>
      <c r="AQ1085" s="15">
        <v>1</v>
      </c>
      <c r="AR1085" s="15">
        <v>9.2600000000000002E-2</v>
      </c>
      <c r="AS1085" s="15">
        <v>1.4300000000000001E-4</v>
      </c>
      <c r="AT1085" s="15">
        <v>0.71199999999999997</v>
      </c>
      <c r="AU1085" s="15">
        <v>0.112</v>
      </c>
      <c r="AV1085" s="15">
        <v>0.79700000000000004</v>
      </c>
      <c r="AW1085" s="15">
        <v>143.035</v>
      </c>
      <c r="AX1085" s="15">
        <v>4</v>
      </c>
      <c r="AY1085" s="16" t="s">
        <v>2975</v>
      </c>
    </row>
    <row r="1086" spans="32:51" x14ac:dyDescent="0.35">
      <c r="AF1086" s="17" t="s">
        <v>3206</v>
      </c>
      <c r="AG1086" s="18" t="s">
        <v>3009</v>
      </c>
      <c r="AH1086" s="18" t="s">
        <v>3031</v>
      </c>
      <c r="AI1086" s="18" t="s">
        <v>3011</v>
      </c>
      <c r="AJ1086" s="18">
        <v>35</v>
      </c>
      <c r="AK1086" s="18">
        <v>232293</v>
      </c>
      <c r="AL1086" s="18" t="b">
        <v>0</v>
      </c>
      <c r="AM1086" s="18">
        <v>0.83799999999999997</v>
      </c>
      <c r="AN1086" s="18">
        <v>0.91400000000000003</v>
      </c>
      <c r="AO1086" s="18">
        <v>0</v>
      </c>
      <c r="AP1086" s="18">
        <v>-4.0259999999999998</v>
      </c>
      <c r="AQ1086" s="18">
        <v>0</v>
      </c>
      <c r="AR1086" s="18">
        <v>0.124</v>
      </c>
      <c r="AS1086" s="18">
        <v>0.378</v>
      </c>
      <c r="AT1086" s="18">
        <v>3.98E-3</v>
      </c>
      <c r="AU1086" s="18">
        <v>9.7900000000000001E-2</v>
      </c>
      <c r="AV1086" s="18">
        <v>0.85499999999999998</v>
      </c>
      <c r="AW1086" s="18">
        <v>146</v>
      </c>
      <c r="AX1086" s="18">
        <v>4</v>
      </c>
      <c r="AY1086" s="19" t="s">
        <v>2975</v>
      </c>
    </row>
    <row r="1087" spans="32:51" x14ac:dyDescent="0.35">
      <c r="AF1087" s="14" t="s">
        <v>3207</v>
      </c>
      <c r="AG1087" s="15" t="s">
        <v>2996</v>
      </c>
      <c r="AH1087" s="15" t="s">
        <v>3208</v>
      </c>
      <c r="AI1087" s="15" t="s">
        <v>3209</v>
      </c>
      <c r="AJ1087" s="15">
        <v>35</v>
      </c>
      <c r="AK1087" s="15">
        <v>214960</v>
      </c>
      <c r="AL1087" s="15" t="b">
        <v>0</v>
      </c>
      <c r="AM1087" s="15">
        <v>0.79700000000000004</v>
      </c>
      <c r="AN1087" s="15">
        <v>0.99</v>
      </c>
      <c r="AO1087" s="15">
        <v>11</v>
      </c>
      <c r="AP1087" s="15">
        <v>-8.0009999999999994</v>
      </c>
      <c r="AQ1087" s="15">
        <v>0</v>
      </c>
      <c r="AR1087" s="15">
        <v>4.58E-2</v>
      </c>
      <c r="AS1087" s="15">
        <v>3.7500000000000001E-4</v>
      </c>
      <c r="AT1087" s="15">
        <v>0.41899999999999998</v>
      </c>
      <c r="AU1087" s="15">
        <v>3.3300000000000003E-2</v>
      </c>
      <c r="AV1087" s="15">
        <v>0.92600000000000005</v>
      </c>
      <c r="AW1087" s="15">
        <v>125.023</v>
      </c>
      <c r="AX1087" s="15">
        <v>4</v>
      </c>
      <c r="AY1087" s="16" t="s">
        <v>2975</v>
      </c>
    </row>
    <row r="1088" spans="32:51" x14ac:dyDescent="0.35">
      <c r="AF1088" s="17" t="s">
        <v>3210</v>
      </c>
      <c r="AG1088" s="18" t="s">
        <v>2993</v>
      </c>
      <c r="AH1088" s="18" t="s">
        <v>3035</v>
      </c>
      <c r="AI1088" s="18" t="s">
        <v>3211</v>
      </c>
      <c r="AJ1088" s="18">
        <v>36</v>
      </c>
      <c r="AK1088" s="18">
        <v>247000</v>
      </c>
      <c r="AL1088" s="18" t="b">
        <v>0</v>
      </c>
      <c r="AM1088" s="18">
        <v>0.68799999999999994</v>
      </c>
      <c r="AN1088" s="18">
        <v>0.86399999999999999</v>
      </c>
      <c r="AO1088" s="18">
        <v>10</v>
      </c>
      <c r="AP1088" s="18">
        <v>-4.9569999999999999</v>
      </c>
      <c r="AQ1088" s="18">
        <v>0</v>
      </c>
      <c r="AR1088" s="18">
        <v>0.151</v>
      </c>
      <c r="AS1088" s="18">
        <v>0.26900000000000002</v>
      </c>
      <c r="AT1088" s="18">
        <v>1.7200000000000001E-4</v>
      </c>
      <c r="AU1088" s="18">
        <v>3.5700000000000003E-2</v>
      </c>
      <c r="AV1088" s="18">
        <v>0.66700000000000004</v>
      </c>
      <c r="AW1088" s="18">
        <v>180.05199999999999</v>
      </c>
      <c r="AX1088" s="18">
        <v>4</v>
      </c>
      <c r="AY1088" s="19" t="s">
        <v>2975</v>
      </c>
    </row>
    <row r="1089" spans="32:51" x14ac:dyDescent="0.35">
      <c r="AF1089" s="14" t="s">
        <v>3212</v>
      </c>
      <c r="AG1089" s="15" t="s">
        <v>3047</v>
      </c>
      <c r="AH1089" s="15" t="s">
        <v>3048</v>
      </c>
      <c r="AI1089" s="15" t="s">
        <v>3213</v>
      </c>
      <c r="AJ1089" s="15">
        <v>33</v>
      </c>
      <c r="AK1089" s="15">
        <v>222408</v>
      </c>
      <c r="AL1089" s="15" t="b">
        <v>0</v>
      </c>
      <c r="AM1089" s="15">
        <v>0.69599999999999995</v>
      </c>
      <c r="AN1089" s="15">
        <v>0.72399999999999998</v>
      </c>
      <c r="AO1089" s="15">
        <v>2</v>
      </c>
      <c r="AP1089" s="15">
        <v>-4.8600000000000003</v>
      </c>
      <c r="AQ1089" s="15">
        <v>1</v>
      </c>
      <c r="AR1089" s="15">
        <v>3.4500000000000003E-2</v>
      </c>
      <c r="AS1089" s="15">
        <v>0.65</v>
      </c>
      <c r="AT1089" s="15">
        <v>0</v>
      </c>
      <c r="AU1089" s="15">
        <v>0.104</v>
      </c>
      <c r="AV1089" s="15">
        <v>0.96499999999999997</v>
      </c>
      <c r="AW1089" s="15">
        <v>99.929000000000002</v>
      </c>
      <c r="AX1089" s="15">
        <v>4</v>
      </c>
      <c r="AY1089" s="16" t="s">
        <v>2975</v>
      </c>
    </row>
    <row r="1090" spans="32:51" x14ac:dyDescent="0.35">
      <c r="AF1090" s="17" t="s">
        <v>3214</v>
      </c>
      <c r="AG1090" s="18" t="s">
        <v>3215</v>
      </c>
      <c r="AH1090" s="18" t="s">
        <v>3216</v>
      </c>
      <c r="AI1090" s="18" t="s">
        <v>3217</v>
      </c>
      <c r="AJ1090" s="18">
        <v>0</v>
      </c>
      <c r="AK1090" s="18">
        <v>274933</v>
      </c>
      <c r="AL1090" s="18" t="b">
        <v>0</v>
      </c>
      <c r="AM1090" s="18">
        <v>0.46899999999999997</v>
      </c>
      <c r="AN1090" s="18">
        <v>0.82399999999999995</v>
      </c>
      <c r="AO1090" s="18">
        <v>8</v>
      </c>
      <c r="AP1090" s="18">
        <v>-10.785</v>
      </c>
      <c r="AQ1090" s="18">
        <v>1</v>
      </c>
      <c r="AR1090" s="18">
        <v>9.4399999999999998E-2</v>
      </c>
      <c r="AS1090" s="18">
        <v>0.47799999999999998</v>
      </c>
      <c r="AT1090" s="18">
        <v>0.26800000000000002</v>
      </c>
      <c r="AU1090" s="18">
        <v>7.5999999999999998E-2</v>
      </c>
      <c r="AV1090" s="18">
        <v>0.78100000000000003</v>
      </c>
      <c r="AW1090" s="18">
        <v>220.08099999999999</v>
      </c>
      <c r="AX1090" s="18">
        <v>4</v>
      </c>
      <c r="AY1090" s="19" t="s">
        <v>2975</v>
      </c>
    </row>
    <row r="1091" spans="32:51" x14ac:dyDescent="0.35">
      <c r="AF1091" s="14" t="s">
        <v>3218</v>
      </c>
      <c r="AG1091" s="15" t="s">
        <v>3215</v>
      </c>
      <c r="AH1091" s="15" t="s">
        <v>3219</v>
      </c>
      <c r="AI1091" s="15" t="s">
        <v>3220</v>
      </c>
      <c r="AJ1091" s="15">
        <v>0</v>
      </c>
      <c r="AK1091" s="15">
        <v>356333</v>
      </c>
      <c r="AL1091" s="15" t="b">
        <v>0</v>
      </c>
      <c r="AM1091" s="15">
        <v>0.80100000000000005</v>
      </c>
      <c r="AN1091" s="15">
        <v>0.73599999999999999</v>
      </c>
      <c r="AO1091" s="15">
        <v>5</v>
      </c>
      <c r="AP1091" s="15">
        <v>-8.8970000000000002</v>
      </c>
      <c r="AQ1091" s="15">
        <v>1</v>
      </c>
      <c r="AR1091" s="15">
        <v>3.95E-2</v>
      </c>
      <c r="AS1091" s="15">
        <v>0.34300000000000003</v>
      </c>
      <c r="AT1091" s="15">
        <v>1.83E-4</v>
      </c>
      <c r="AU1091" s="15">
        <v>4.2900000000000001E-2</v>
      </c>
      <c r="AV1091" s="15">
        <v>0.94199999999999995</v>
      </c>
      <c r="AW1091" s="15">
        <v>105.009</v>
      </c>
      <c r="AX1091" s="15">
        <v>4</v>
      </c>
      <c r="AY1091" s="16" t="s">
        <v>2975</v>
      </c>
    </row>
    <row r="1092" spans="32:51" x14ac:dyDescent="0.35">
      <c r="AF1092" s="17" t="s">
        <v>3221</v>
      </c>
      <c r="AG1092" s="18" t="s">
        <v>3222</v>
      </c>
      <c r="AH1092" s="18" t="s">
        <v>3223</v>
      </c>
      <c r="AI1092" s="18" t="s">
        <v>3224</v>
      </c>
      <c r="AJ1092" s="18">
        <v>0</v>
      </c>
      <c r="AK1092" s="18">
        <v>265586</v>
      </c>
      <c r="AL1092" s="18" t="b">
        <v>0</v>
      </c>
      <c r="AM1092" s="18">
        <v>0.81699999999999995</v>
      </c>
      <c r="AN1092" s="18">
        <v>0.79400000000000004</v>
      </c>
      <c r="AO1092" s="18">
        <v>0</v>
      </c>
      <c r="AP1092" s="18">
        <v>-8.3239999999999998</v>
      </c>
      <c r="AQ1092" s="18">
        <v>1</v>
      </c>
      <c r="AR1092" s="18">
        <v>7.5200000000000003E-2</v>
      </c>
      <c r="AS1092" s="18">
        <v>5.6300000000000003E-2</v>
      </c>
      <c r="AT1092" s="18">
        <v>0.22900000000000001</v>
      </c>
      <c r="AU1092" s="18">
        <v>6.8699999999999997E-2</v>
      </c>
      <c r="AV1092" s="18">
        <v>0.92100000000000004</v>
      </c>
      <c r="AW1092" s="18">
        <v>116.423</v>
      </c>
      <c r="AX1092" s="18">
        <v>4</v>
      </c>
      <c r="AY1092" s="19" t="s">
        <v>2975</v>
      </c>
    </row>
    <row r="1093" spans="32:51" x14ac:dyDescent="0.35">
      <c r="AF1093" s="14" t="s">
        <v>3225</v>
      </c>
      <c r="AG1093" s="15" t="s">
        <v>3063</v>
      </c>
      <c r="AH1093" s="15" t="s">
        <v>3025</v>
      </c>
      <c r="AI1093" s="15" t="s">
        <v>3226</v>
      </c>
      <c r="AJ1093" s="15">
        <v>34</v>
      </c>
      <c r="AK1093" s="15">
        <v>273426</v>
      </c>
      <c r="AL1093" s="15" t="b">
        <v>0</v>
      </c>
      <c r="AM1093" s="15">
        <v>0.54</v>
      </c>
      <c r="AN1093" s="15">
        <v>0.94499999999999995</v>
      </c>
      <c r="AO1093" s="15">
        <v>1</v>
      </c>
      <c r="AP1093" s="15">
        <v>-5.0209999999999999</v>
      </c>
      <c r="AQ1093" s="15">
        <v>1</v>
      </c>
      <c r="AR1093" s="15">
        <v>0.27100000000000002</v>
      </c>
      <c r="AS1093" s="15">
        <v>0.315</v>
      </c>
      <c r="AT1093" s="15">
        <v>0</v>
      </c>
      <c r="AU1093" s="15">
        <v>0.40500000000000003</v>
      </c>
      <c r="AV1093" s="15">
        <v>0.55100000000000005</v>
      </c>
      <c r="AW1093" s="15">
        <v>92.013000000000005</v>
      </c>
      <c r="AX1093" s="15">
        <v>4</v>
      </c>
      <c r="AY1093" s="16" t="s">
        <v>2975</v>
      </c>
    </row>
    <row r="1094" spans="32:51" x14ac:dyDescent="0.35">
      <c r="AF1094" s="17" t="s">
        <v>3227</v>
      </c>
      <c r="AG1094" s="18" t="s">
        <v>3063</v>
      </c>
      <c r="AH1094" s="18" t="s">
        <v>3025</v>
      </c>
      <c r="AI1094" s="18" t="s">
        <v>3228</v>
      </c>
      <c r="AJ1094" s="18">
        <v>33</v>
      </c>
      <c r="AK1094" s="18">
        <v>191453</v>
      </c>
      <c r="AL1094" s="18" t="b">
        <v>0</v>
      </c>
      <c r="AM1094" s="18">
        <v>0.35799999999999998</v>
      </c>
      <c r="AN1094" s="18">
        <v>0.90500000000000003</v>
      </c>
      <c r="AO1094" s="18">
        <v>5</v>
      </c>
      <c r="AP1094" s="18">
        <v>-5.7759999999999998</v>
      </c>
      <c r="AQ1094" s="18">
        <v>0</v>
      </c>
      <c r="AR1094" s="18">
        <v>0.45300000000000001</v>
      </c>
      <c r="AS1094" s="18">
        <v>0.30399999999999999</v>
      </c>
      <c r="AT1094" s="18">
        <v>0</v>
      </c>
      <c r="AU1094" s="18">
        <v>0.45400000000000001</v>
      </c>
      <c r="AV1094" s="18">
        <v>0.46800000000000003</v>
      </c>
      <c r="AW1094" s="18">
        <v>176.67</v>
      </c>
      <c r="AX1094" s="18">
        <v>4</v>
      </c>
      <c r="AY1094" s="19" t="s">
        <v>2975</v>
      </c>
    </row>
    <row r="1095" spans="32:51" x14ac:dyDescent="0.35">
      <c r="AF1095" s="14" t="s">
        <v>3229</v>
      </c>
      <c r="AG1095" s="15" t="s">
        <v>3215</v>
      </c>
      <c r="AH1095" s="15" t="s">
        <v>3230</v>
      </c>
      <c r="AI1095" s="15" t="s">
        <v>3231</v>
      </c>
      <c r="AJ1095" s="15">
        <v>0</v>
      </c>
      <c r="AK1095" s="15">
        <v>527506</v>
      </c>
      <c r="AL1095" s="15" t="b">
        <v>0</v>
      </c>
      <c r="AM1095" s="15">
        <v>0.77800000000000002</v>
      </c>
      <c r="AN1095" s="15">
        <v>0.71099999999999997</v>
      </c>
      <c r="AO1095" s="15">
        <v>7</v>
      </c>
      <c r="AP1095" s="15">
        <v>-11.367000000000001</v>
      </c>
      <c r="AQ1095" s="15">
        <v>1</v>
      </c>
      <c r="AR1095" s="15">
        <v>6.4299999999999996E-2</v>
      </c>
      <c r="AS1095" s="15">
        <v>0.35199999999999998</v>
      </c>
      <c r="AT1095" s="15">
        <v>4.7300000000000002E-2</v>
      </c>
      <c r="AU1095" s="15">
        <v>0.96899999999999997</v>
      </c>
      <c r="AV1095" s="15">
        <v>0.85799999999999998</v>
      </c>
      <c r="AW1095" s="15">
        <v>108.127</v>
      </c>
      <c r="AX1095" s="15">
        <v>4</v>
      </c>
      <c r="AY1095" s="16" t="s">
        <v>2975</v>
      </c>
    </row>
    <row r="1096" spans="32:51" x14ac:dyDescent="0.35">
      <c r="AF1096" s="17" t="s">
        <v>3232</v>
      </c>
      <c r="AG1096" s="18" t="s">
        <v>3063</v>
      </c>
      <c r="AH1096" s="18" t="s">
        <v>3025</v>
      </c>
      <c r="AI1096" s="18" t="s">
        <v>3233</v>
      </c>
      <c r="AJ1096" s="18">
        <v>35</v>
      </c>
      <c r="AK1096" s="18">
        <v>392480</v>
      </c>
      <c r="AL1096" s="18" t="b">
        <v>0</v>
      </c>
      <c r="AM1096" s="18">
        <v>0.28499999999999998</v>
      </c>
      <c r="AN1096" s="18">
        <v>0.73399999999999999</v>
      </c>
      <c r="AO1096" s="18">
        <v>5</v>
      </c>
      <c r="AP1096" s="18">
        <v>-6.9560000000000004</v>
      </c>
      <c r="AQ1096" s="18">
        <v>0</v>
      </c>
      <c r="AR1096" s="18">
        <v>5.0599999999999999E-2</v>
      </c>
      <c r="AS1096" s="18">
        <v>0.3</v>
      </c>
      <c r="AT1096" s="18">
        <v>2.3099999999999999E-2</v>
      </c>
      <c r="AU1096" s="18">
        <v>0.90300000000000002</v>
      </c>
      <c r="AV1096" s="18">
        <v>0.24299999999999999</v>
      </c>
      <c r="AW1096" s="18">
        <v>140.22399999999999</v>
      </c>
      <c r="AX1096" s="18">
        <v>4</v>
      </c>
      <c r="AY1096" s="19" t="s">
        <v>2975</v>
      </c>
    </row>
    <row r="1097" spans="32:51" x14ac:dyDescent="0.35">
      <c r="AF1097" s="14" t="s">
        <v>3234</v>
      </c>
      <c r="AG1097" s="15" t="s">
        <v>3215</v>
      </c>
      <c r="AH1097" s="15" t="s">
        <v>3223</v>
      </c>
      <c r="AI1097" s="15" t="s">
        <v>3235</v>
      </c>
      <c r="AJ1097" s="15">
        <v>0</v>
      </c>
      <c r="AK1097" s="15">
        <v>334520</v>
      </c>
      <c r="AL1097" s="15" t="b">
        <v>0</v>
      </c>
      <c r="AM1097" s="15">
        <v>0.80600000000000005</v>
      </c>
      <c r="AN1097" s="15">
        <v>0.47799999999999998</v>
      </c>
      <c r="AO1097" s="15">
        <v>5</v>
      </c>
      <c r="AP1097" s="15">
        <v>-11.387</v>
      </c>
      <c r="AQ1097" s="15">
        <v>0</v>
      </c>
      <c r="AR1097" s="15">
        <v>0.107</v>
      </c>
      <c r="AS1097" s="15">
        <v>0.77</v>
      </c>
      <c r="AT1097" s="15">
        <v>3.6000000000000002E-4</v>
      </c>
      <c r="AU1097" s="15">
        <v>8.5599999999999996E-2</v>
      </c>
      <c r="AV1097" s="15">
        <v>0.95899999999999996</v>
      </c>
      <c r="AW1097" s="15">
        <v>89.938000000000002</v>
      </c>
      <c r="AX1097" s="15">
        <v>4</v>
      </c>
      <c r="AY1097" s="16" t="s">
        <v>2975</v>
      </c>
    </row>
    <row r="1098" spans="32:51" x14ac:dyDescent="0.35">
      <c r="AF1098" s="17" t="s">
        <v>3236</v>
      </c>
      <c r="AG1098" s="18" t="s">
        <v>3063</v>
      </c>
      <c r="AH1098" s="18" t="s">
        <v>3025</v>
      </c>
      <c r="AI1098" s="18" t="s">
        <v>3237</v>
      </c>
      <c r="AJ1098" s="18">
        <v>33</v>
      </c>
      <c r="AK1098" s="18">
        <v>369773</v>
      </c>
      <c r="AL1098" s="18" t="b">
        <v>0</v>
      </c>
      <c r="AM1098" s="18">
        <v>0.53200000000000003</v>
      </c>
      <c r="AN1098" s="18">
        <v>0.90800000000000003</v>
      </c>
      <c r="AO1098" s="18">
        <v>5</v>
      </c>
      <c r="AP1098" s="18">
        <v>-6.1239999999999997</v>
      </c>
      <c r="AQ1098" s="18">
        <v>0</v>
      </c>
      <c r="AR1098" s="18">
        <v>0.23799999999999999</v>
      </c>
      <c r="AS1098" s="18">
        <v>0.36699999999999999</v>
      </c>
      <c r="AT1098" s="18">
        <v>1.4200000000000001E-4</v>
      </c>
      <c r="AU1098" s="18">
        <v>0.99199999999999999</v>
      </c>
      <c r="AV1098" s="18">
        <v>0.73699999999999999</v>
      </c>
      <c r="AW1098" s="18">
        <v>126.229</v>
      </c>
      <c r="AX1098" s="18">
        <v>4</v>
      </c>
      <c r="AY1098" s="19" t="s">
        <v>2975</v>
      </c>
    </row>
    <row r="1099" spans="32:51" x14ac:dyDescent="0.35">
      <c r="AF1099" s="14" t="s">
        <v>3238</v>
      </c>
      <c r="AG1099" s="15" t="s">
        <v>3105</v>
      </c>
      <c r="AH1099" s="15" t="s">
        <v>3106</v>
      </c>
      <c r="AI1099" s="15" t="s">
        <v>3239</v>
      </c>
      <c r="AJ1099" s="15">
        <v>34</v>
      </c>
      <c r="AK1099" s="15">
        <v>191506</v>
      </c>
      <c r="AL1099" s="15" t="b">
        <v>0</v>
      </c>
      <c r="AM1099" s="15">
        <v>0.83699999999999997</v>
      </c>
      <c r="AN1099" s="15">
        <v>0.59799999999999998</v>
      </c>
      <c r="AO1099" s="15">
        <v>1</v>
      </c>
      <c r="AP1099" s="15">
        <v>-9.0470000000000006</v>
      </c>
      <c r="AQ1099" s="15">
        <v>0</v>
      </c>
      <c r="AR1099" s="15">
        <v>0.18099999999999999</v>
      </c>
      <c r="AS1099" s="15">
        <v>0.39100000000000001</v>
      </c>
      <c r="AT1099" s="15">
        <v>0.23799999999999999</v>
      </c>
      <c r="AU1099" s="15">
        <v>5.9799999999999999E-2</v>
      </c>
      <c r="AV1099" s="15">
        <v>0.98299999999999998</v>
      </c>
      <c r="AW1099" s="15">
        <v>145.21899999999999</v>
      </c>
      <c r="AX1099" s="15">
        <v>4</v>
      </c>
      <c r="AY1099" s="16" t="s">
        <v>2975</v>
      </c>
    </row>
    <row r="1100" spans="32:51" x14ac:dyDescent="0.35">
      <c r="AF1100" s="17" t="s">
        <v>3240</v>
      </c>
      <c r="AG1100" s="18" t="s">
        <v>3222</v>
      </c>
      <c r="AH1100" s="18" t="s">
        <v>3241</v>
      </c>
      <c r="AI1100" s="18" t="s">
        <v>3242</v>
      </c>
      <c r="AJ1100" s="18">
        <v>0</v>
      </c>
      <c r="AK1100" s="18">
        <v>247626</v>
      </c>
      <c r="AL1100" s="18" t="b">
        <v>0</v>
      </c>
      <c r="AM1100" s="18">
        <v>0.78400000000000003</v>
      </c>
      <c r="AN1100" s="18">
        <v>0.86899999999999999</v>
      </c>
      <c r="AO1100" s="18">
        <v>2</v>
      </c>
      <c r="AP1100" s="18">
        <v>-6.5949999999999998</v>
      </c>
      <c r="AQ1100" s="18">
        <v>1</v>
      </c>
      <c r="AR1100" s="18">
        <v>3.6900000000000002E-2</v>
      </c>
      <c r="AS1100" s="18">
        <v>1.0699999999999999E-2</v>
      </c>
      <c r="AT1100" s="18">
        <v>0.83</v>
      </c>
      <c r="AU1100" s="18">
        <v>4.2200000000000001E-2</v>
      </c>
      <c r="AV1100" s="18">
        <v>0.67200000000000004</v>
      </c>
      <c r="AW1100" s="18">
        <v>99.174999999999997</v>
      </c>
      <c r="AX1100" s="18">
        <v>4</v>
      </c>
      <c r="AY1100" s="19" t="s">
        <v>2975</v>
      </c>
    </row>
    <row r="1101" spans="32:51" x14ac:dyDescent="0.35">
      <c r="AF1101" s="14" t="s">
        <v>3243</v>
      </c>
      <c r="AG1101" s="15" t="s">
        <v>3215</v>
      </c>
      <c r="AH1101" s="15" t="s">
        <v>3241</v>
      </c>
      <c r="AI1101" s="15" t="s">
        <v>3231</v>
      </c>
      <c r="AJ1101" s="15">
        <v>0</v>
      </c>
      <c r="AK1101" s="15">
        <v>527506</v>
      </c>
      <c r="AL1101" s="15" t="b">
        <v>0</v>
      </c>
      <c r="AM1101" s="15">
        <v>0.77800000000000002</v>
      </c>
      <c r="AN1101" s="15">
        <v>0.71099999999999997</v>
      </c>
      <c r="AO1101" s="15">
        <v>7</v>
      </c>
      <c r="AP1101" s="15">
        <v>-11.367000000000001</v>
      </c>
      <c r="AQ1101" s="15">
        <v>1</v>
      </c>
      <c r="AR1101" s="15">
        <v>6.4299999999999996E-2</v>
      </c>
      <c r="AS1101" s="15">
        <v>0.35199999999999998</v>
      </c>
      <c r="AT1101" s="15">
        <v>4.7300000000000002E-2</v>
      </c>
      <c r="AU1101" s="15">
        <v>0.96899999999999997</v>
      </c>
      <c r="AV1101" s="15">
        <v>0.85799999999999998</v>
      </c>
      <c r="AW1101" s="15">
        <v>108.127</v>
      </c>
      <c r="AX1101" s="15">
        <v>4</v>
      </c>
      <c r="AY1101" s="16" t="s">
        <v>2975</v>
      </c>
    </row>
    <row r="1102" spans="32:51" x14ac:dyDescent="0.35">
      <c r="AF1102" s="17" t="s">
        <v>3244</v>
      </c>
      <c r="AG1102" s="18" t="s">
        <v>3245</v>
      </c>
      <c r="AH1102" s="18" t="s">
        <v>3241</v>
      </c>
      <c r="AI1102" s="18" t="s">
        <v>3246</v>
      </c>
      <c r="AJ1102" s="18">
        <v>3</v>
      </c>
      <c r="AK1102" s="18">
        <v>336933</v>
      </c>
      <c r="AL1102" s="18" t="b">
        <v>0</v>
      </c>
      <c r="AM1102" s="18">
        <v>0.76600000000000001</v>
      </c>
      <c r="AN1102" s="18">
        <v>0.375</v>
      </c>
      <c r="AO1102" s="18">
        <v>5</v>
      </c>
      <c r="AP1102" s="18">
        <v>-13.456</v>
      </c>
      <c r="AQ1102" s="18">
        <v>1</v>
      </c>
      <c r="AR1102" s="18">
        <v>7.6300000000000007E-2</v>
      </c>
      <c r="AS1102" s="18">
        <v>0.29699999999999999</v>
      </c>
      <c r="AT1102" s="18">
        <v>0.86199999999999999</v>
      </c>
      <c r="AU1102" s="18">
        <v>0.128</v>
      </c>
      <c r="AV1102" s="18">
        <v>0.62</v>
      </c>
      <c r="AW1102" s="18">
        <v>81.626000000000005</v>
      </c>
      <c r="AX1102" s="18">
        <v>4</v>
      </c>
      <c r="AY1102" s="19" t="s">
        <v>2975</v>
      </c>
    </row>
    <row r="1103" spans="32:51" x14ac:dyDescent="0.35">
      <c r="AF1103" s="20" t="s">
        <v>3247</v>
      </c>
      <c r="AG1103" s="21" t="s">
        <v>3248</v>
      </c>
      <c r="AH1103" s="21" t="s">
        <v>3249</v>
      </c>
      <c r="AI1103" s="21" t="s">
        <v>3250</v>
      </c>
      <c r="AJ1103" s="21">
        <v>75</v>
      </c>
      <c r="AK1103" s="21">
        <v>239306</v>
      </c>
      <c r="AL1103" s="21" t="b">
        <v>1</v>
      </c>
      <c r="AM1103" s="21">
        <v>0.82899999999999996</v>
      </c>
      <c r="AN1103" s="21">
        <v>0.878</v>
      </c>
      <c r="AO1103" s="21">
        <v>9</v>
      </c>
      <c r="AP1103" s="21">
        <v>-5.9509999999999996</v>
      </c>
      <c r="AQ1103" s="21">
        <v>1</v>
      </c>
      <c r="AR1103" s="21">
        <v>0.10100000000000001</v>
      </c>
      <c r="AS1103" s="21">
        <v>9.5899999999999999E-2</v>
      </c>
      <c r="AT1103" s="21">
        <v>0</v>
      </c>
      <c r="AU1103" s="21">
        <v>0.77600000000000002</v>
      </c>
      <c r="AV1103" s="21">
        <v>0.88300000000000001</v>
      </c>
      <c r="AW1103" s="21">
        <v>87.991</v>
      </c>
      <c r="AX1103" s="21">
        <v>4</v>
      </c>
      <c r="AY1103" s="22" t="s">
        <v>2975</v>
      </c>
    </row>
  </sheetData>
  <mergeCells count="6">
    <mergeCell ref="B5:H8"/>
    <mergeCell ref="I5:O8"/>
    <mergeCell ref="P5:V8"/>
    <mergeCell ref="B9:AD74"/>
    <mergeCell ref="W5:AD8"/>
    <mergeCell ref="B1:AD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F54E-F95F-4FC8-84DA-D6D035A1927A}">
  <dimension ref="A3:B6"/>
  <sheetViews>
    <sheetView workbookViewId="0">
      <selection activeCell="C17" sqref="C17"/>
    </sheetView>
  </sheetViews>
  <sheetFormatPr defaultRowHeight="14.5" x14ac:dyDescent="0.35"/>
  <cols>
    <col min="1" max="1" width="12.453125" bestFit="1" customWidth="1"/>
    <col min="2" max="2" width="15.08984375" bestFit="1" customWidth="1"/>
  </cols>
  <sheetData>
    <row r="3" spans="1:2" x14ac:dyDescent="0.35">
      <c r="A3" s="9" t="s">
        <v>3253</v>
      </c>
      <c r="B3" t="s">
        <v>3252</v>
      </c>
    </row>
    <row r="4" spans="1:2" x14ac:dyDescent="0.35">
      <c r="A4" s="10" t="s">
        <v>3256</v>
      </c>
      <c r="B4" s="24">
        <v>1048</v>
      </c>
    </row>
    <row r="5" spans="1:2" x14ac:dyDescent="0.35">
      <c r="A5" s="10" t="s">
        <v>3257</v>
      </c>
      <c r="B5" s="24">
        <v>53</v>
      </c>
    </row>
    <row r="6" spans="1:2" x14ac:dyDescent="0.35">
      <c r="A6" s="10" t="s">
        <v>3251</v>
      </c>
      <c r="B6" s="24">
        <v>1101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A831-D613-4E69-BE14-5BF76652D2ED}">
  <dimension ref="C1:V113994"/>
  <sheetViews>
    <sheetView zoomScale="57" workbookViewId="0">
      <selection activeCell="C1" sqref="C1:V1"/>
    </sheetView>
  </sheetViews>
  <sheetFormatPr defaultRowHeight="14.5" x14ac:dyDescent="0.35"/>
  <cols>
    <col min="3" max="3" width="8.7265625" customWidth="1"/>
    <col min="5" max="5" width="12.54296875" customWidth="1"/>
    <col min="6" max="6" width="11.54296875" customWidth="1"/>
    <col min="7" max="7" width="10.453125" customWidth="1"/>
    <col min="8" max="8" width="12.453125" customWidth="1"/>
    <col min="10" max="10" width="12" customWidth="1"/>
    <col min="13" max="13" width="9.90625" customWidth="1"/>
    <col min="15" max="15" width="12.453125" customWidth="1"/>
    <col min="16" max="16" width="13" customWidth="1"/>
    <col min="17" max="17" width="16.26953125" customWidth="1"/>
    <col min="18" max="18" width="8.90625" customWidth="1"/>
    <col min="21" max="21" width="14" customWidth="1"/>
    <col min="22" max="22" width="11.54296875" customWidth="1"/>
  </cols>
  <sheetData>
    <row r="1" spans="3:22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3:22" x14ac:dyDescent="0.35">
      <c r="C2" t="s">
        <v>20</v>
      </c>
      <c r="D2" t="s">
        <v>21</v>
      </c>
      <c r="E2" t="s">
        <v>22</v>
      </c>
      <c r="F2" t="s">
        <v>22</v>
      </c>
      <c r="G2">
        <v>73</v>
      </c>
      <c r="H2">
        <v>230666</v>
      </c>
      <c r="I2" t="b">
        <v>0</v>
      </c>
      <c r="J2">
        <v>0.67600000000000005</v>
      </c>
      <c r="K2">
        <v>0.46100000000000002</v>
      </c>
      <c r="L2">
        <v>1</v>
      </c>
      <c r="M2">
        <v>-6.7460000000000004</v>
      </c>
      <c r="N2">
        <v>0</v>
      </c>
      <c r="O2">
        <v>0.14299999999999999</v>
      </c>
      <c r="P2">
        <v>3.2199999999999999E-2</v>
      </c>
      <c r="Q2" s="1" t="s">
        <v>23</v>
      </c>
      <c r="R2">
        <v>0.35799999999999998</v>
      </c>
      <c r="S2">
        <v>0.71499999999999997</v>
      </c>
      <c r="T2">
        <v>87.917000000000002</v>
      </c>
      <c r="U2">
        <v>4</v>
      </c>
      <c r="V2" t="s">
        <v>24</v>
      </c>
    </row>
    <row r="3" spans="3:22" x14ac:dyDescent="0.35">
      <c r="C3" t="s">
        <v>25</v>
      </c>
      <c r="D3" t="s">
        <v>26</v>
      </c>
      <c r="E3" t="s">
        <v>27</v>
      </c>
      <c r="F3" t="s">
        <v>28</v>
      </c>
      <c r="G3">
        <v>55</v>
      </c>
      <c r="H3">
        <v>149610</v>
      </c>
      <c r="I3" t="b">
        <v>0</v>
      </c>
      <c r="J3">
        <v>0.42</v>
      </c>
      <c r="K3">
        <v>0.16600000000000001</v>
      </c>
      <c r="L3">
        <v>1</v>
      </c>
      <c r="M3">
        <v>-17.234999999999999</v>
      </c>
      <c r="N3">
        <v>1</v>
      </c>
      <c r="O3">
        <v>7.6300000000000007E-2</v>
      </c>
      <c r="P3">
        <v>0.92400000000000004</v>
      </c>
      <c r="Q3" s="1" t="s">
        <v>29</v>
      </c>
      <c r="R3">
        <v>0.10100000000000001</v>
      </c>
      <c r="S3">
        <v>0.26700000000000002</v>
      </c>
      <c r="T3">
        <v>77.489000000000004</v>
      </c>
      <c r="U3">
        <v>4</v>
      </c>
      <c r="V3" t="s">
        <v>24</v>
      </c>
    </row>
    <row r="4" spans="3:22" x14ac:dyDescent="0.35">
      <c r="C4" t="s">
        <v>30</v>
      </c>
      <c r="D4" t="s">
        <v>31</v>
      </c>
      <c r="E4" t="s">
        <v>32</v>
      </c>
      <c r="F4" t="s">
        <v>32</v>
      </c>
      <c r="G4">
        <v>57</v>
      </c>
      <c r="H4">
        <v>210826</v>
      </c>
      <c r="I4" t="b">
        <v>0</v>
      </c>
      <c r="J4">
        <v>0.438</v>
      </c>
      <c r="K4">
        <v>0.35899999999999999</v>
      </c>
      <c r="L4">
        <v>0</v>
      </c>
      <c r="M4">
        <v>-9.734</v>
      </c>
      <c r="N4">
        <v>1</v>
      </c>
      <c r="O4">
        <v>5.57E-2</v>
      </c>
      <c r="P4">
        <v>0.21</v>
      </c>
      <c r="Q4">
        <v>0</v>
      </c>
      <c r="R4">
        <v>0.11700000000000001</v>
      </c>
      <c r="S4">
        <v>0.12</v>
      </c>
      <c r="T4">
        <v>76.331999999999994</v>
      </c>
      <c r="U4">
        <v>4</v>
      </c>
      <c r="V4" t="s">
        <v>24</v>
      </c>
    </row>
    <row r="5" spans="3:22" x14ac:dyDescent="0.35">
      <c r="C5" t="s">
        <v>33</v>
      </c>
      <c r="D5" t="s">
        <v>34</v>
      </c>
      <c r="E5" t="s">
        <v>35</v>
      </c>
      <c r="F5" t="s">
        <v>36</v>
      </c>
      <c r="G5">
        <v>71</v>
      </c>
      <c r="H5">
        <v>201933</v>
      </c>
      <c r="I5" t="b">
        <v>0</v>
      </c>
      <c r="J5">
        <v>0.26600000000000001</v>
      </c>
      <c r="K5">
        <v>5.96E-2</v>
      </c>
      <c r="L5">
        <v>0</v>
      </c>
      <c r="M5">
        <v>-18.515000000000001</v>
      </c>
      <c r="N5">
        <v>1</v>
      </c>
      <c r="O5">
        <v>3.6299999999999999E-2</v>
      </c>
      <c r="P5">
        <v>0.90500000000000003</v>
      </c>
      <c r="Q5" s="1" t="s">
        <v>37</v>
      </c>
      <c r="R5">
        <v>0.13200000000000001</v>
      </c>
      <c r="S5">
        <v>0.14299999999999999</v>
      </c>
      <c r="T5">
        <v>181.74</v>
      </c>
      <c r="U5">
        <v>3</v>
      </c>
      <c r="V5" t="s">
        <v>24</v>
      </c>
    </row>
    <row r="6" spans="3:22" x14ac:dyDescent="0.35">
      <c r="C6" t="s">
        <v>38</v>
      </c>
      <c r="D6" t="s">
        <v>39</v>
      </c>
      <c r="E6" t="s">
        <v>40</v>
      </c>
      <c r="F6" t="s">
        <v>40</v>
      </c>
      <c r="G6">
        <v>82</v>
      </c>
      <c r="H6">
        <v>198853</v>
      </c>
      <c r="I6" t="b">
        <v>0</v>
      </c>
      <c r="J6">
        <v>0.61799999999999999</v>
      </c>
      <c r="K6">
        <v>0.443</v>
      </c>
      <c r="L6">
        <v>2</v>
      </c>
      <c r="M6">
        <v>-9.6809999999999992</v>
      </c>
      <c r="N6">
        <v>1</v>
      </c>
      <c r="O6">
        <v>5.2600000000000001E-2</v>
      </c>
      <c r="P6">
        <v>0.46899999999999997</v>
      </c>
      <c r="Q6">
        <v>0</v>
      </c>
      <c r="R6">
        <v>8.2900000000000001E-2</v>
      </c>
      <c r="S6">
        <v>0.16700000000000001</v>
      </c>
      <c r="T6">
        <v>119.949</v>
      </c>
      <c r="U6">
        <v>4</v>
      </c>
      <c r="V6" t="s">
        <v>24</v>
      </c>
    </row>
    <row r="7" spans="3:22" x14ac:dyDescent="0.35">
      <c r="C7" t="s">
        <v>41</v>
      </c>
      <c r="D7" t="s">
        <v>42</v>
      </c>
      <c r="E7" t="s">
        <v>43</v>
      </c>
      <c r="F7" t="s">
        <v>43</v>
      </c>
      <c r="G7">
        <v>58</v>
      </c>
      <c r="H7">
        <v>214240</v>
      </c>
      <c r="I7" t="b">
        <v>0</v>
      </c>
      <c r="J7">
        <v>0.68799999999999994</v>
      </c>
      <c r="K7">
        <v>0.48099999999999998</v>
      </c>
      <c r="L7">
        <v>6</v>
      </c>
      <c r="M7">
        <v>-8.8070000000000004</v>
      </c>
      <c r="N7">
        <v>1</v>
      </c>
      <c r="O7">
        <v>0.105</v>
      </c>
      <c r="P7">
        <v>0.28899999999999998</v>
      </c>
      <c r="Q7">
        <v>0</v>
      </c>
      <c r="R7">
        <v>0.189</v>
      </c>
      <c r="S7">
        <v>0.66600000000000004</v>
      </c>
      <c r="T7">
        <v>98.016999999999996</v>
      </c>
      <c r="U7">
        <v>4</v>
      </c>
      <c r="V7" t="s">
        <v>24</v>
      </c>
    </row>
    <row r="8" spans="3:22" x14ac:dyDescent="0.35">
      <c r="C8" t="s">
        <v>44</v>
      </c>
      <c r="D8" t="s">
        <v>45</v>
      </c>
      <c r="E8" t="s">
        <v>46</v>
      </c>
      <c r="F8" t="s">
        <v>47</v>
      </c>
      <c r="G8">
        <v>74</v>
      </c>
      <c r="H8">
        <v>229400</v>
      </c>
      <c r="I8" t="b">
        <v>0</v>
      </c>
      <c r="J8">
        <v>0.40699999999999997</v>
      </c>
      <c r="K8">
        <v>0.14699999999999999</v>
      </c>
      <c r="L8">
        <v>2</v>
      </c>
      <c r="M8">
        <v>-8.8219999999999992</v>
      </c>
      <c r="N8">
        <v>1</v>
      </c>
      <c r="O8">
        <v>3.5499999999999997E-2</v>
      </c>
      <c r="P8">
        <v>0.85699999999999998</v>
      </c>
      <c r="Q8" s="1" t="s">
        <v>48</v>
      </c>
      <c r="R8">
        <v>9.1300000000000006E-2</v>
      </c>
      <c r="S8">
        <v>7.6499999999999999E-2</v>
      </c>
      <c r="T8">
        <v>141.28399999999999</v>
      </c>
      <c r="U8">
        <v>3</v>
      </c>
      <c r="V8" t="s">
        <v>24</v>
      </c>
    </row>
    <row r="9" spans="3:22" x14ac:dyDescent="0.35">
      <c r="C9" t="s">
        <v>49</v>
      </c>
      <c r="D9" t="s">
        <v>50</v>
      </c>
      <c r="E9" t="s">
        <v>51</v>
      </c>
      <c r="F9" t="s">
        <v>52</v>
      </c>
      <c r="G9">
        <v>80</v>
      </c>
      <c r="H9">
        <v>242946</v>
      </c>
      <c r="I9" t="b">
        <v>0</v>
      </c>
      <c r="J9">
        <v>0.70299999999999996</v>
      </c>
      <c r="K9">
        <v>0.44400000000000001</v>
      </c>
      <c r="L9">
        <v>11</v>
      </c>
      <c r="M9">
        <v>-9.3309999999999995</v>
      </c>
      <c r="N9">
        <v>1</v>
      </c>
      <c r="O9">
        <v>4.1700000000000001E-2</v>
      </c>
      <c r="P9">
        <v>0.55900000000000005</v>
      </c>
      <c r="Q9">
        <v>0</v>
      </c>
      <c r="R9">
        <v>9.7299999999999998E-2</v>
      </c>
      <c r="S9">
        <v>0.71199999999999997</v>
      </c>
      <c r="T9">
        <v>150.96</v>
      </c>
      <c r="U9">
        <v>4</v>
      </c>
      <c r="V9" t="s">
        <v>24</v>
      </c>
    </row>
    <row r="10" spans="3:22" x14ac:dyDescent="0.35">
      <c r="C10" t="s">
        <v>53</v>
      </c>
      <c r="D10" t="s">
        <v>54</v>
      </c>
      <c r="E10" t="s">
        <v>51</v>
      </c>
      <c r="F10" t="s">
        <v>55</v>
      </c>
      <c r="G10">
        <v>74</v>
      </c>
      <c r="H10">
        <v>189613</v>
      </c>
      <c r="I10" t="b">
        <v>0</v>
      </c>
      <c r="J10">
        <v>0.625</v>
      </c>
      <c r="K10">
        <v>0.41399999999999998</v>
      </c>
      <c r="L10">
        <v>0</v>
      </c>
      <c r="M10">
        <v>-8.6999999999999993</v>
      </c>
      <c r="N10">
        <v>1</v>
      </c>
      <c r="O10">
        <v>3.6900000000000002E-2</v>
      </c>
      <c r="P10">
        <v>0.29399999999999998</v>
      </c>
      <c r="Q10">
        <v>0</v>
      </c>
      <c r="R10">
        <v>0.151</v>
      </c>
      <c r="S10">
        <v>0.66900000000000004</v>
      </c>
      <c r="T10">
        <v>130.08799999999999</v>
      </c>
      <c r="U10">
        <v>4</v>
      </c>
      <c r="V10" t="s">
        <v>24</v>
      </c>
    </row>
    <row r="11" spans="3:22" x14ac:dyDescent="0.35">
      <c r="C11" t="s">
        <v>56</v>
      </c>
      <c r="D11" t="s">
        <v>57</v>
      </c>
      <c r="E11" t="s">
        <v>58</v>
      </c>
      <c r="F11" t="s">
        <v>58</v>
      </c>
      <c r="G11">
        <v>56</v>
      </c>
      <c r="H11">
        <v>205594</v>
      </c>
      <c r="I11" t="b">
        <v>0</v>
      </c>
      <c r="J11">
        <v>0.442</v>
      </c>
      <c r="K11">
        <v>0.63200000000000001</v>
      </c>
      <c r="L11">
        <v>1</v>
      </c>
      <c r="M11">
        <v>-6.77</v>
      </c>
      <c r="N11">
        <v>1</v>
      </c>
      <c r="O11">
        <v>2.9499999999999998E-2</v>
      </c>
      <c r="P11">
        <v>0.42599999999999999</v>
      </c>
      <c r="Q11">
        <v>4.1900000000000001E-3</v>
      </c>
      <c r="R11">
        <v>7.3499999999999996E-2</v>
      </c>
      <c r="S11">
        <v>0.19600000000000001</v>
      </c>
      <c r="T11">
        <v>78.899000000000001</v>
      </c>
      <c r="U11">
        <v>4</v>
      </c>
      <c r="V11" t="s">
        <v>24</v>
      </c>
    </row>
    <row r="12" spans="3:22" x14ac:dyDescent="0.35">
      <c r="C12" t="s">
        <v>59</v>
      </c>
      <c r="D12" t="s">
        <v>60</v>
      </c>
      <c r="E12" t="s">
        <v>61</v>
      </c>
      <c r="F12" t="s">
        <v>62</v>
      </c>
      <c r="G12">
        <v>74</v>
      </c>
      <c r="H12">
        <v>244800</v>
      </c>
      <c r="I12" t="b">
        <v>0</v>
      </c>
      <c r="J12">
        <v>0.627</v>
      </c>
      <c r="K12">
        <v>0.36299999999999999</v>
      </c>
      <c r="L12">
        <v>8</v>
      </c>
      <c r="M12">
        <v>-8.1270000000000007</v>
      </c>
      <c r="N12">
        <v>1</v>
      </c>
      <c r="O12">
        <v>2.9100000000000001E-2</v>
      </c>
      <c r="P12">
        <v>0.27900000000000003</v>
      </c>
      <c r="Q12">
        <v>0</v>
      </c>
      <c r="R12">
        <v>9.2799999999999994E-2</v>
      </c>
      <c r="S12">
        <v>0.30099999999999999</v>
      </c>
      <c r="T12">
        <v>99.905000000000001</v>
      </c>
      <c r="U12">
        <v>4</v>
      </c>
      <c r="V12" t="s">
        <v>24</v>
      </c>
    </row>
    <row r="13" spans="3:22" x14ac:dyDescent="0.35">
      <c r="C13" t="s">
        <v>63</v>
      </c>
      <c r="D13" t="s">
        <v>50</v>
      </c>
      <c r="E13" t="s">
        <v>64</v>
      </c>
      <c r="F13" t="s">
        <v>65</v>
      </c>
      <c r="G13">
        <v>69</v>
      </c>
      <c r="H13">
        <v>240165</v>
      </c>
      <c r="I13" t="b">
        <v>0</v>
      </c>
      <c r="J13">
        <v>0.48299999999999998</v>
      </c>
      <c r="K13">
        <v>0.30299999999999999</v>
      </c>
      <c r="L13">
        <v>4</v>
      </c>
      <c r="M13">
        <v>-10.058</v>
      </c>
      <c r="N13">
        <v>1</v>
      </c>
      <c r="O13">
        <v>4.2900000000000001E-2</v>
      </c>
      <c r="P13">
        <v>0.69399999999999995</v>
      </c>
      <c r="Q13">
        <v>0</v>
      </c>
      <c r="R13">
        <v>0.115</v>
      </c>
      <c r="S13">
        <v>0.13900000000000001</v>
      </c>
      <c r="T13">
        <v>133.40600000000001</v>
      </c>
      <c r="U13">
        <v>3</v>
      </c>
      <c r="V13" t="s">
        <v>24</v>
      </c>
    </row>
    <row r="14" spans="3:22" x14ac:dyDescent="0.35">
      <c r="C14" t="s">
        <v>66</v>
      </c>
      <c r="D14" t="s">
        <v>67</v>
      </c>
      <c r="E14" t="s">
        <v>68</v>
      </c>
      <c r="F14" t="s">
        <v>68</v>
      </c>
      <c r="G14">
        <v>52</v>
      </c>
      <c r="H14">
        <v>198712</v>
      </c>
      <c r="I14" t="b">
        <v>0</v>
      </c>
      <c r="J14">
        <v>0.48899999999999999</v>
      </c>
      <c r="K14">
        <v>0.314</v>
      </c>
      <c r="L14">
        <v>7</v>
      </c>
      <c r="M14">
        <v>-9.2449999999999992</v>
      </c>
      <c r="N14">
        <v>0</v>
      </c>
      <c r="O14">
        <v>3.3099999999999997E-2</v>
      </c>
      <c r="P14">
        <v>0.749</v>
      </c>
      <c r="Q14">
        <v>0</v>
      </c>
      <c r="R14">
        <v>0.113</v>
      </c>
      <c r="S14">
        <v>0.60699999999999998</v>
      </c>
      <c r="T14">
        <v>124.23399999999999</v>
      </c>
      <c r="U14">
        <v>4</v>
      </c>
      <c r="V14" t="s">
        <v>24</v>
      </c>
    </row>
    <row r="15" spans="3:22" x14ac:dyDescent="0.35">
      <c r="C15" t="s">
        <v>69</v>
      </c>
      <c r="D15" t="s">
        <v>70</v>
      </c>
      <c r="E15" t="s">
        <v>71</v>
      </c>
      <c r="F15" t="s">
        <v>71</v>
      </c>
      <c r="G15">
        <v>62</v>
      </c>
      <c r="H15">
        <v>248448</v>
      </c>
      <c r="I15" t="b">
        <v>0</v>
      </c>
      <c r="J15">
        <v>0.69099999999999995</v>
      </c>
      <c r="K15">
        <v>0.23400000000000001</v>
      </c>
      <c r="L15">
        <v>3</v>
      </c>
      <c r="M15">
        <v>-6.4409999999999998</v>
      </c>
      <c r="N15">
        <v>1</v>
      </c>
      <c r="O15">
        <v>2.8500000000000001E-2</v>
      </c>
      <c r="P15">
        <v>0.77700000000000002</v>
      </c>
      <c r="Q15">
        <v>0</v>
      </c>
      <c r="R15">
        <v>0.12</v>
      </c>
      <c r="S15">
        <v>0.20899999999999999</v>
      </c>
      <c r="T15">
        <v>87.102999999999994</v>
      </c>
      <c r="U15">
        <v>4</v>
      </c>
      <c r="V15" t="s">
        <v>24</v>
      </c>
    </row>
    <row r="16" spans="3:22" x14ac:dyDescent="0.35">
      <c r="C16" t="s">
        <v>72</v>
      </c>
      <c r="D16" t="s">
        <v>73</v>
      </c>
      <c r="E16" t="s">
        <v>74</v>
      </c>
      <c r="F16" t="s">
        <v>75</v>
      </c>
      <c r="G16">
        <v>56</v>
      </c>
      <c r="H16">
        <v>188133</v>
      </c>
      <c r="I16" t="b">
        <v>0</v>
      </c>
      <c r="J16">
        <v>0.755</v>
      </c>
      <c r="K16">
        <v>0.78</v>
      </c>
      <c r="L16">
        <v>2</v>
      </c>
      <c r="M16">
        <v>-6.0839999999999996</v>
      </c>
      <c r="N16">
        <v>1</v>
      </c>
      <c r="O16">
        <v>3.27E-2</v>
      </c>
      <c r="P16">
        <v>0.124</v>
      </c>
      <c r="Q16" s="1" t="s">
        <v>76</v>
      </c>
      <c r="R16">
        <v>0.121</v>
      </c>
      <c r="S16">
        <v>0.38700000000000001</v>
      </c>
      <c r="T16">
        <v>120.004</v>
      </c>
      <c r="U16">
        <v>4</v>
      </c>
      <c r="V16" t="s">
        <v>24</v>
      </c>
    </row>
    <row r="17" spans="3:22" x14ac:dyDescent="0.35">
      <c r="C17" t="s">
        <v>77</v>
      </c>
      <c r="D17" t="s">
        <v>78</v>
      </c>
      <c r="E17" t="s">
        <v>79</v>
      </c>
      <c r="F17" t="s">
        <v>80</v>
      </c>
      <c r="G17">
        <v>58</v>
      </c>
      <c r="H17">
        <v>244986</v>
      </c>
      <c r="I17" t="b">
        <v>0</v>
      </c>
      <c r="J17">
        <v>0.48899999999999999</v>
      </c>
      <c r="K17">
        <v>0.56100000000000005</v>
      </c>
      <c r="L17">
        <v>4</v>
      </c>
      <c r="M17">
        <v>-7.9329999999999998</v>
      </c>
      <c r="N17">
        <v>1</v>
      </c>
      <c r="O17">
        <v>2.7400000000000001E-2</v>
      </c>
      <c r="P17">
        <v>0.2</v>
      </c>
      <c r="Q17" s="1" t="s">
        <v>81</v>
      </c>
      <c r="R17">
        <v>0.17899999999999999</v>
      </c>
      <c r="S17">
        <v>0.23799999999999999</v>
      </c>
      <c r="T17">
        <v>83.456999999999994</v>
      </c>
      <c r="U17">
        <v>3</v>
      </c>
      <c r="V17" t="s">
        <v>24</v>
      </c>
    </row>
    <row r="18" spans="3:22" x14ac:dyDescent="0.35">
      <c r="C18" t="s">
        <v>82</v>
      </c>
      <c r="D18" t="s">
        <v>83</v>
      </c>
      <c r="E18" t="s">
        <v>84</v>
      </c>
      <c r="F18" t="s">
        <v>84</v>
      </c>
      <c r="G18">
        <v>56</v>
      </c>
      <c r="H18">
        <v>129750</v>
      </c>
      <c r="I18" t="b">
        <v>0</v>
      </c>
      <c r="J18">
        <v>0.70599999999999996</v>
      </c>
      <c r="K18">
        <v>0.112</v>
      </c>
      <c r="L18">
        <v>2</v>
      </c>
      <c r="M18">
        <v>-18.097999999999999</v>
      </c>
      <c r="N18">
        <v>1</v>
      </c>
      <c r="O18">
        <v>3.9100000000000003E-2</v>
      </c>
      <c r="P18">
        <v>0.82699999999999996</v>
      </c>
      <c r="Q18" s="1" t="s">
        <v>85</v>
      </c>
      <c r="R18">
        <v>0.125</v>
      </c>
      <c r="S18">
        <v>0.41399999999999998</v>
      </c>
      <c r="T18">
        <v>110.154</v>
      </c>
      <c r="U18">
        <v>4</v>
      </c>
      <c r="V18" t="s">
        <v>24</v>
      </c>
    </row>
    <row r="19" spans="3:22" x14ac:dyDescent="0.35">
      <c r="C19" t="s">
        <v>86</v>
      </c>
      <c r="D19" t="s">
        <v>83</v>
      </c>
      <c r="E19" t="s">
        <v>87</v>
      </c>
      <c r="F19" t="s">
        <v>87</v>
      </c>
      <c r="G19">
        <v>54</v>
      </c>
      <c r="H19">
        <v>169728</v>
      </c>
      <c r="I19" t="b">
        <v>0</v>
      </c>
      <c r="J19">
        <v>0.79500000000000004</v>
      </c>
      <c r="K19">
        <v>8.4099999999999994E-2</v>
      </c>
      <c r="L19">
        <v>10</v>
      </c>
      <c r="M19">
        <v>-18.09</v>
      </c>
      <c r="N19">
        <v>0</v>
      </c>
      <c r="O19">
        <v>4.6100000000000002E-2</v>
      </c>
      <c r="P19">
        <v>0.74199999999999999</v>
      </c>
      <c r="Q19" s="1" t="s">
        <v>88</v>
      </c>
      <c r="R19">
        <v>8.5300000000000001E-2</v>
      </c>
      <c r="S19">
        <v>0.60899999999999999</v>
      </c>
      <c r="T19">
        <v>91.802999999999997</v>
      </c>
      <c r="U19">
        <v>4</v>
      </c>
      <c r="V19" t="s">
        <v>24</v>
      </c>
    </row>
    <row r="20" spans="3:22" x14ac:dyDescent="0.35">
      <c r="C20" t="s">
        <v>89</v>
      </c>
      <c r="D20" t="s">
        <v>54</v>
      </c>
      <c r="E20" t="s">
        <v>51</v>
      </c>
      <c r="F20" t="s">
        <v>55</v>
      </c>
      <c r="G20">
        <v>68</v>
      </c>
      <c r="H20">
        <v>189613</v>
      </c>
      <c r="I20" t="b">
        <v>0</v>
      </c>
      <c r="J20">
        <v>0.625</v>
      </c>
      <c r="K20">
        <v>0.41399999999999998</v>
      </c>
      <c r="L20">
        <v>0</v>
      </c>
      <c r="M20">
        <v>-8.6999999999999993</v>
      </c>
      <c r="N20">
        <v>1</v>
      </c>
      <c r="O20">
        <v>3.6900000000000002E-2</v>
      </c>
      <c r="P20">
        <v>0.29399999999999998</v>
      </c>
      <c r="Q20">
        <v>0</v>
      </c>
      <c r="R20">
        <v>0.151</v>
      </c>
      <c r="S20">
        <v>0.66900000000000004</v>
      </c>
      <c r="T20">
        <v>130.08799999999999</v>
      </c>
      <c r="U20">
        <v>4</v>
      </c>
      <c r="V20" t="s">
        <v>24</v>
      </c>
    </row>
    <row r="21" spans="3:22" x14ac:dyDescent="0.35">
      <c r="C21" t="s">
        <v>90</v>
      </c>
      <c r="D21" t="s">
        <v>91</v>
      </c>
      <c r="E21" t="s">
        <v>92</v>
      </c>
      <c r="F21" t="s">
        <v>93</v>
      </c>
      <c r="G21">
        <v>67</v>
      </c>
      <c r="H21">
        <v>260186</v>
      </c>
      <c r="I21" t="b">
        <v>0</v>
      </c>
      <c r="J21">
        <v>0.71699999999999997</v>
      </c>
      <c r="K21">
        <v>0.32</v>
      </c>
      <c r="L21">
        <v>3</v>
      </c>
      <c r="M21">
        <v>-8.3930000000000007</v>
      </c>
      <c r="N21">
        <v>1</v>
      </c>
      <c r="O21">
        <v>2.8299999999999999E-2</v>
      </c>
      <c r="P21">
        <v>0.83</v>
      </c>
      <c r="Q21">
        <v>0</v>
      </c>
      <c r="R21">
        <v>0.107</v>
      </c>
      <c r="S21">
        <v>0.32200000000000001</v>
      </c>
      <c r="T21">
        <v>107.946</v>
      </c>
      <c r="U21">
        <v>4</v>
      </c>
      <c r="V21" t="s">
        <v>24</v>
      </c>
    </row>
    <row r="22" spans="3:22" x14ac:dyDescent="0.35">
      <c r="C22" t="s">
        <v>94</v>
      </c>
      <c r="D22" t="s">
        <v>50</v>
      </c>
      <c r="E22" t="s">
        <v>51</v>
      </c>
      <c r="F22" t="s">
        <v>52</v>
      </c>
      <c r="G22">
        <v>75</v>
      </c>
      <c r="H22">
        <v>242946</v>
      </c>
      <c r="I22" t="b">
        <v>0</v>
      </c>
      <c r="J22">
        <v>0.70299999999999996</v>
      </c>
      <c r="K22">
        <v>0.44400000000000001</v>
      </c>
      <c r="L22">
        <v>11</v>
      </c>
      <c r="M22">
        <v>-9.3309999999999995</v>
      </c>
      <c r="N22">
        <v>1</v>
      </c>
      <c r="O22">
        <v>4.1700000000000001E-2</v>
      </c>
      <c r="P22">
        <v>0.55900000000000005</v>
      </c>
      <c r="Q22">
        <v>0</v>
      </c>
      <c r="R22">
        <v>9.7299999999999998E-2</v>
      </c>
      <c r="S22">
        <v>0.71199999999999997</v>
      </c>
      <c r="T22">
        <v>150.96</v>
      </c>
      <c r="U22">
        <v>4</v>
      </c>
      <c r="V22" t="s">
        <v>24</v>
      </c>
    </row>
    <row r="23" spans="3:22" x14ac:dyDescent="0.35">
      <c r="C23" t="s">
        <v>95</v>
      </c>
      <c r="D23" t="s">
        <v>96</v>
      </c>
      <c r="E23" t="s">
        <v>97</v>
      </c>
      <c r="F23" t="s">
        <v>98</v>
      </c>
      <c r="G23">
        <v>63</v>
      </c>
      <c r="H23">
        <v>174174</v>
      </c>
      <c r="I23" t="b">
        <v>0</v>
      </c>
      <c r="J23">
        <v>0.67800000000000005</v>
      </c>
      <c r="K23">
        <v>0.35099999999999998</v>
      </c>
      <c r="L23">
        <v>0</v>
      </c>
      <c r="M23">
        <v>-8.6539999999999999</v>
      </c>
      <c r="N23">
        <v>1</v>
      </c>
      <c r="O23">
        <v>2.6599999999999999E-2</v>
      </c>
      <c r="P23">
        <v>0.747</v>
      </c>
      <c r="Q23">
        <v>0</v>
      </c>
      <c r="R23">
        <v>0.35499999999999998</v>
      </c>
      <c r="S23">
        <v>0.56899999999999995</v>
      </c>
      <c r="T23">
        <v>90.031999999999996</v>
      </c>
      <c r="U23">
        <v>4</v>
      </c>
      <c r="V23" t="s">
        <v>24</v>
      </c>
    </row>
    <row r="24" spans="3:22" x14ac:dyDescent="0.35">
      <c r="C24" t="s">
        <v>99</v>
      </c>
      <c r="D24" t="s">
        <v>45</v>
      </c>
      <c r="E24" t="s">
        <v>100</v>
      </c>
      <c r="F24" t="s">
        <v>47</v>
      </c>
      <c r="G24">
        <v>70</v>
      </c>
      <c r="H24">
        <v>229400</v>
      </c>
      <c r="I24" t="b">
        <v>0</v>
      </c>
      <c r="J24">
        <v>0.40699999999999997</v>
      </c>
      <c r="K24">
        <v>0.14699999999999999</v>
      </c>
      <c r="L24">
        <v>2</v>
      </c>
      <c r="M24">
        <v>-8.8219999999999992</v>
      </c>
      <c r="N24">
        <v>1</v>
      </c>
      <c r="O24">
        <v>3.5499999999999997E-2</v>
      </c>
      <c r="P24">
        <v>0.85699999999999998</v>
      </c>
      <c r="Q24" s="1" t="s">
        <v>48</v>
      </c>
      <c r="R24">
        <v>9.1300000000000006E-2</v>
      </c>
      <c r="S24">
        <v>7.6499999999999999E-2</v>
      </c>
      <c r="T24">
        <v>141.28399999999999</v>
      </c>
      <c r="U24">
        <v>3</v>
      </c>
      <c r="V24" t="s">
        <v>24</v>
      </c>
    </row>
    <row r="25" spans="3:22" x14ac:dyDescent="0.35">
      <c r="C25" t="s">
        <v>101</v>
      </c>
      <c r="D25" t="s">
        <v>50</v>
      </c>
      <c r="E25" t="s">
        <v>102</v>
      </c>
      <c r="F25" t="s">
        <v>103</v>
      </c>
      <c r="G25">
        <v>0</v>
      </c>
      <c r="H25">
        <v>216386</v>
      </c>
      <c r="I25" t="b">
        <v>0</v>
      </c>
      <c r="J25">
        <v>0.57199999999999995</v>
      </c>
      <c r="K25">
        <v>0.45400000000000001</v>
      </c>
      <c r="L25">
        <v>3</v>
      </c>
      <c r="M25">
        <v>-10.286</v>
      </c>
      <c r="N25">
        <v>1</v>
      </c>
      <c r="O25">
        <v>2.58E-2</v>
      </c>
      <c r="P25">
        <v>0.47699999999999998</v>
      </c>
      <c r="Q25" s="1" t="s">
        <v>104</v>
      </c>
      <c r="R25">
        <v>9.74E-2</v>
      </c>
      <c r="S25">
        <v>0.51500000000000001</v>
      </c>
      <c r="T25">
        <v>140.18199999999999</v>
      </c>
      <c r="U25">
        <v>4</v>
      </c>
      <c r="V25" t="s">
        <v>24</v>
      </c>
    </row>
    <row r="26" spans="3:22" x14ac:dyDescent="0.35">
      <c r="C26" t="s">
        <v>105</v>
      </c>
      <c r="D26" t="s">
        <v>50</v>
      </c>
      <c r="E26" t="s">
        <v>106</v>
      </c>
      <c r="F26" t="s">
        <v>107</v>
      </c>
      <c r="G26">
        <v>0</v>
      </c>
      <c r="H26">
        <v>231266</v>
      </c>
      <c r="I26" t="b">
        <v>0</v>
      </c>
      <c r="J26">
        <v>0.79600000000000004</v>
      </c>
      <c r="K26">
        <v>0.66700000000000004</v>
      </c>
      <c r="L26">
        <v>5</v>
      </c>
      <c r="M26">
        <v>-4.8310000000000004</v>
      </c>
      <c r="N26">
        <v>0</v>
      </c>
      <c r="O26">
        <v>3.9199999999999999E-2</v>
      </c>
      <c r="P26">
        <v>0.38100000000000001</v>
      </c>
      <c r="Q26">
        <v>0</v>
      </c>
      <c r="R26">
        <v>0.221</v>
      </c>
      <c r="S26">
        <v>0.754</v>
      </c>
      <c r="T26">
        <v>97.988</v>
      </c>
      <c r="U26">
        <v>4</v>
      </c>
      <c r="V26" t="s">
        <v>24</v>
      </c>
    </row>
    <row r="27" spans="3:22" x14ac:dyDescent="0.35">
      <c r="C27" t="s">
        <v>108</v>
      </c>
      <c r="D27" t="s">
        <v>50</v>
      </c>
      <c r="E27" t="s">
        <v>109</v>
      </c>
      <c r="F27" t="s">
        <v>110</v>
      </c>
      <c r="G27">
        <v>1</v>
      </c>
      <c r="H27">
        <v>302346</v>
      </c>
      <c r="I27" t="b">
        <v>0</v>
      </c>
      <c r="J27">
        <v>0.755</v>
      </c>
      <c r="K27">
        <v>0.45400000000000001</v>
      </c>
      <c r="L27">
        <v>9</v>
      </c>
      <c r="M27">
        <v>-9.609</v>
      </c>
      <c r="N27">
        <v>0</v>
      </c>
      <c r="O27">
        <v>3.5200000000000002E-2</v>
      </c>
      <c r="P27">
        <v>0.75700000000000001</v>
      </c>
      <c r="Q27">
        <v>0</v>
      </c>
      <c r="R27">
        <v>0.23599999999999999</v>
      </c>
      <c r="S27">
        <v>0.33</v>
      </c>
      <c r="T27">
        <v>120.06</v>
      </c>
      <c r="U27">
        <v>4</v>
      </c>
      <c r="V27" t="s">
        <v>24</v>
      </c>
    </row>
    <row r="28" spans="3:22" x14ac:dyDescent="0.35">
      <c r="C28" t="s">
        <v>111</v>
      </c>
      <c r="D28" t="s">
        <v>50</v>
      </c>
      <c r="E28" t="s">
        <v>112</v>
      </c>
      <c r="F28" t="s">
        <v>113</v>
      </c>
      <c r="G28">
        <v>0</v>
      </c>
      <c r="H28">
        <v>131760</v>
      </c>
      <c r="I28" t="b">
        <v>0</v>
      </c>
      <c r="J28">
        <v>0.62</v>
      </c>
      <c r="K28">
        <v>0.309</v>
      </c>
      <c r="L28">
        <v>5</v>
      </c>
      <c r="M28">
        <v>-9.2089999999999996</v>
      </c>
      <c r="N28">
        <v>1</v>
      </c>
      <c r="O28">
        <v>4.9500000000000002E-2</v>
      </c>
      <c r="P28">
        <v>0.78800000000000003</v>
      </c>
      <c r="Q28">
        <v>0</v>
      </c>
      <c r="R28">
        <v>0.14599999999999999</v>
      </c>
      <c r="S28">
        <v>0.66400000000000003</v>
      </c>
      <c r="T28">
        <v>145.363</v>
      </c>
      <c r="U28">
        <v>4</v>
      </c>
      <c r="V28" t="s">
        <v>24</v>
      </c>
    </row>
    <row r="29" spans="3:22" x14ac:dyDescent="0.35">
      <c r="C29" t="s">
        <v>114</v>
      </c>
      <c r="D29" t="s">
        <v>50</v>
      </c>
      <c r="E29" t="s">
        <v>115</v>
      </c>
      <c r="F29" t="s">
        <v>116</v>
      </c>
      <c r="G29">
        <v>0</v>
      </c>
      <c r="H29">
        <v>273653</v>
      </c>
      <c r="I29" t="b">
        <v>0</v>
      </c>
      <c r="J29">
        <v>0.63300000000000001</v>
      </c>
      <c r="K29">
        <v>0.42899999999999999</v>
      </c>
      <c r="L29">
        <v>4</v>
      </c>
      <c r="M29">
        <v>-6.7839999999999998</v>
      </c>
      <c r="N29">
        <v>0</v>
      </c>
      <c r="O29">
        <v>3.8100000000000002E-2</v>
      </c>
      <c r="P29">
        <v>4.4400000000000002E-2</v>
      </c>
      <c r="Q29">
        <v>0</v>
      </c>
      <c r="R29">
        <v>0.13200000000000001</v>
      </c>
      <c r="S29">
        <v>0.52</v>
      </c>
      <c r="T29">
        <v>143.79300000000001</v>
      </c>
      <c r="U29">
        <v>4</v>
      </c>
      <c r="V29" t="s">
        <v>24</v>
      </c>
    </row>
    <row r="30" spans="3:22" x14ac:dyDescent="0.35">
      <c r="C30" t="s">
        <v>117</v>
      </c>
      <c r="D30" t="s">
        <v>50</v>
      </c>
      <c r="E30" t="s">
        <v>118</v>
      </c>
      <c r="F30" t="s">
        <v>113</v>
      </c>
      <c r="G30">
        <v>0</v>
      </c>
      <c r="H30">
        <v>131760</v>
      </c>
      <c r="I30" t="b">
        <v>0</v>
      </c>
      <c r="J30">
        <v>0.62</v>
      </c>
      <c r="K30">
        <v>0.309</v>
      </c>
      <c r="L30">
        <v>5</v>
      </c>
      <c r="M30">
        <v>-9.2089999999999996</v>
      </c>
      <c r="N30">
        <v>1</v>
      </c>
      <c r="O30">
        <v>4.9500000000000002E-2</v>
      </c>
      <c r="P30">
        <v>0.78800000000000003</v>
      </c>
      <c r="Q30">
        <v>0</v>
      </c>
      <c r="R30">
        <v>0.14599999999999999</v>
      </c>
      <c r="S30">
        <v>0.66400000000000003</v>
      </c>
      <c r="T30">
        <v>145.363</v>
      </c>
      <c r="U30">
        <v>4</v>
      </c>
      <c r="V30" t="s">
        <v>24</v>
      </c>
    </row>
    <row r="31" spans="3:22" x14ac:dyDescent="0.35">
      <c r="C31" t="s">
        <v>119</v>
      </c>
      <c r="D31" t="s">
        <v>50</v>
      </c>
      <c r="E31" t="s">
        <v>120</v>
      </c>
      <c r="F31" t="s">
        <v>113</v>
      </c>
      <c r="G31">
        <v>0</v>
      </c>
      <c r="H31">
        <v>131760</v>
      </c>
      <c r="I31" t="b">
        <v>0</v>
      </c>
      <c r="J31">
        <v>0.62</v>
      </c>
      <c r="K31">
        <v>0.309</v>
      </c>
      <c r="L31">
        <v>5</v>
      </c>
      <c r="M31">
        <v>-9.2089999999999996</v>
      </c>
      <c r="N31">
        <v>1</v>
      </c>
      <c r="O31">
        <v>4.9500000000000002E-2</v>
      </c>
      <c r="P31">
        <v>0.78800000000000003</v>
      </c>
      <c r="Q31">
        <v>0</v>
      </c>
      <c r="R31">
        <v>0.14599999999999999</v>
      </c>
      <c r="S31">
        <v>0.66400000000000003</v>
      </c>
      <c r="T31">
        <v>145.363</v>
      </c>
      <c r="U31">
        <v>4</v>
      </c>
      <c r="V31" t="s">
        <v>24</v>
      </c>
    </row>
    <row r="32" spans="3:22" x14ac:dyDescent="0.35">
      <c r="C32" t="s">
        <v>121</v>
      </c>
      <c r="D32" t="s">
        <v>50</v>
      </c>
      <c r="E32" t="s">
        <v>122</v>
      </c>
      <c r="F32" t="s">
        <v>113</v>
      </c>
      <c r="G32">
        <v>0</v>
      </c>
      <c r="H32">
        <v>131760</v>
      </c>
      <c r="I32" t="b">
        <v>0</v>
      </c>
      <c r="J32">
        <v>0.62</v>
      </c>
      <c r="K32">
        <v>0.309</v>
      </c>
      <c r="L32">
        <v>5</v>
      </c>
      <c r="M32">
        <v>-9.2089999999999996</v>
      </c>
      <c r="N32">
        <v>1</v>
      </c>
      <c r="O32">
        <v>4.9500000000000002E-2</v>
      </c>
      <c r="P32">
        <v>0.78800000000000003</v>
      </c>
      <c r="Q32">
        <v>0</v>
      </c>
      <c r="R32">
        <v>0.14599999999999999</v>
      </c>
      <c r="S32">
        <v>0.66400000000000003</v>
      </c>
      <c r="T32">
        <v>145.363</v>
      </c>
      <c r="U32">
        <v>4</v>
      </c>
      <c r="V32" t="s">
        <v>24</v>
      </c>
    </row>
    <row r="33" spans="3:22" x14ac:dyDescent="0.35">
      <c r="C33" t="s">
        <v>123</v>
      </c>
      <c r="D33" t="s">
        <v>50</v>
      </c>
      <c r="E33" t="s">
        <v>124</v>
      </c>
      <c r="F33" t="s">
        <v>113</v>
      </c>
      <c r="G33">
        <v>0</v>
      </c>
      <c r="H33">
        <v>131760</v>
      </c>
      <c r="I33" t="b">
        <v>0</v>
      </c>
      <c r="J33">
        <v>0.62</v>
      </c>
      <c r="K33">
        <v>0.309</v>
      </c>
      <c r="L33">
        <v>5</v>
      </c>
      <c r="M33">
        <v>-9.2089999999999996</v>
      </c>
      <c r="N33">
        <v>1</v>
      </c>
      <c r="O33">
        <v>4.9500000000000002E-2</v>
      </c>
      <c r="P33">
        <v>0.78800000000000003</v>
      </c>
      <c r="Q33">
        <v>0</v>
      </c>
      <c r="R33">
        <v>0.14599999999999999</v>
      </c>
      <c r="S33">
        <v>0.66400000000000003</v>
      </c>
      <c r="T33">
        <v>145.363</v>
      </c>
      <c r="U33">
        <v>4</v>
      </c>
      <c r="V33" t="s">
        <v>24</v>
      </c>
    </row>
    <row r="34" spans="3:22" x14ac:dyDescent="0.35">
      <c r="C34" t="s">
        <v>125</v>
      </c>
      <c r="D34" t="s">
        <v>39</v>
      </c>
      <c r="E34" t="s">
        <v>126</v>
      </c>
      <c r="F34" t="s">
        <v>127</v>
      </c>
      <c r="G34">
        <v>0</v>
      </c>
      <c r="H34">
        <v>234186</v>
      </c>
      <c r="I34" t="b">
        <v>0</v>
      </c>
      <c r="J34">
        <v>0.59299999999999997</v>
      </c>
      <c r="K34">
        <v>0.45500000000000002</v>
      </c>
      <c r="L34">
        <v>6</v>
      </c>
      <c r="M34">
        <v>-8.1920000000000002</v>
      </c>
      <c r="N34">
        <v>1</v>
      </c>
      <c r="O34">
        <v>3.8800000000000001E-2</v>
      </c>
      <c r="P34">
        <v>0.36599999999999999</v>
      </c>
      <c r="Q34">
        <v>0</v>
      </c>
      <c r="R34">
        <v>9.1399999999999995E-2</v>
      </c>
      <c r="S34">
        <v>0.56399999999999995</v>
      </c>
      <c r="T34">
        <v>202.01900000000001</v>
      </c>
      <c r="U34">
        <v>4</v>
      </c>
      <c r="V34" t="s">
        <v>24</v>
      </c>
    </row>
    <row r="35" spans="3:22" x14ac:dyDescent="0.35">
      <c r="C35" t="s">
        <v>128</v>
      </c>
      <c r="D35" t="s">
        <v>129</v>
      </c>
      <c r="E35" t="s">
        <v>106</v>
      </c>
      <c r="F35" t="s">
        <v>130</v>
      </c>
      <c r="G35">
        <v>0</v>
      </c>
      <c r="H35">
        <v>259558</v>
      </c>
      <c r="I35" t="b">
        <v>0</v>
      </c>
      <c r="J35">
        <v>0.29599999999999999</v>
      </c>
      <c r="K35">
        <v>0.20599999999999999</v>
      </c>
      <c r="L35">
        <v>0</v>
      </c>
      <c r="M35">
        <v>-11.798999999999999</v>
      </c>
      <c r="N35">
        <v>1</v>
      </c>
      <c r="O35">
        <v>4.1200000000000001E-2</v>
      </c>
      <c r="P35">
        <v>0.78200000000000003</v>
      </c>
      <c r="Q35">
        <v>2.2499999999999999E-4</v>
      </c>
      <c r="R35">
        <v>9.5899999999999999E-2</v>
      </c>
      <c r="S35">
        <v>0.20200000000000001</v>
      </c>
      <c r="T35">
        <v>165.4</v>
      </c>
      <c r="U35">
        <v>4</v>
      </c>
      <c r="V35" t="s">
        <v>24</v>
      </c>
    </row>
    <row r="36" spans="3:22" x14ac:dyDescent="0.35">
      <c r="C36" t="s">
        <v>131</v>
      </c>
      <c r="D36" t="s">
        <v>129</v>
      </c>
      <c r="E36" t="s">
        <v>115</v>
      </c>
      <c r="F36" t="s">
        <v>130</v>
      </c>
      <c r="G36">
        <v>0</v>
      </c>
      <c r="H36">
        <v>259558</v>
      </c>
      <c r="I36" t="b">
        <v>0</v>
      </c>
      <c r="J36">
        <v>0.29599999999999999</v>
      </c>
      <c r="K36">
        <v>0.20599999999999999</v>
      </c>
      <c r="L36">
        <v>0</v>
      </c>
      <c r="M36">
        <v>-11.798999999999999</v>
      </c>
      <c r="N36">
        <v>1</v>
      </c>
      <c r="O36">
        <v>4.1200000000000001E-2</v>
      </c>
      <c r="P36">
        <v>0.78200000000000003</v>
      </c>
      <c r="Q36">
        <v>2.2499999999999999E-4</v>
      </c>
      <c r="R36">
        <v>9.5899999999999999E-2</v>
      </c>
      <c r="S36">
        <v>0.20200000000000001</v>
      </c>
      <c r="T36">
        <v>165.4</v>
      </c>
      <c r="U36">
        <v>4</v>
      </c>
      <c r="V36" t="s">
        <v>24</v>
      </c>
    </row>
    <row r="37" spans="3:22" x14ac:dyDescent="0.35">
      <c r="C37" t="s">
        <v>132</v>
      </c>
      <c r="D37" t="s">
        <v>129</v>
      </c>
      <c r="E37" t="s">
        <v>133</v>
      </c>
      <c r="F37" t="s">
        <v>130</v>
      </c>
      <c r="G37">
        <v>0</v>
      </c>
      <c r="H37">
        <v>259558</v>
      </c>
      <c r="I37" t="b">
        <v>0</v>
      </c>
      <c r="J37">
        <v>0.29599999999999999</v>
      </c>
      <c r="K37">
        <v>0.20599999999999999</v>
      </c>
      <c r="L37">
        <v>0</v>
      </c>
      <c r="M37">
        <v>-11.798999999999999</v>
      </c>
      <c r="N37">
        <v>1</v>
      </c>
      <c r="O37">
        <v>4.1200000000000001E-2</v>
      </c>
      <c r="P37">
        <v>0.78200000000000003</v>
      </c>
      <c r="Q37">
        <v>2.2499999999999999E-4</v>
      </c>
      <c r="R37">
        <v>9.5899999999999999E-2</v>
      </c>
      <c r="S37">
        <v>0.20200000000000001</v>
      </c>
      <c r="T37">
        <v>165.4</v>
      </c>
      <c r="U37">
        <v>4</v>
      </c>
      <c r="V37" t="s">
        <v>24</v>
      </c>
    </row>
    <row r="38" spans="3:22" x14ac:dyDescent="0.35">
      <c r="C38" t="s">
        <v>134</v>
      </c>
      <c r="D38" t="s">
        <v>135</v>
      </c>
      <c r="E38" t="s">
        <v>136</v>
      </c>
      <c r="F38" t="s">
        <v>137</v>
      </c>
      <c r="G38">
        <v>0</v>
      </c>
      <c r="H38">
        <v>257493</v>
      </c>
      <c r="I38" t="b">
        <v>0</v>
      </c>
      <c r="J38">
        <v>0.40899999999999997</v>
      </c>
      <c r="K38">
        <v>0.153</v>
      </c>
      <c r="L38">
        <v>6</v>
      </c>
      <c r="M38">
        <v>-10.74</v>
      </c>
      <c r="N38">
        <v>0</v>
      </c>
      <c r="O38">
        <v>3.0599999999999999E-2</v>
      </c>
      <c r="P38">
        <v>0.93899999999999995</v>
      </c>
      <c r="Q38" s="1" t="s">
        <v>138</v>
      </c>
      <c r="R38">
        <v>0.108</v>
      </c>
      <c r="S38">
        <v>0.18</v>
      </c>
      <c r="T38">
        <v>85.262</v>
      </c>
      <c r="U38">
        <v>4</v>
      </c>
      <c r="V38" t="s">
        <v>24</v>
      </c>
    </row>
    <row r="39" spans="3:22" x14ac:dyDescent="0.35">
      <c r="C39" t="s">
        <v>139</v>
      </c>
      <c r="D39" t="s">
        <v>140</v>
      </c>
      <c r="E39" t="s">
        <v>141</v>
      </c>
      <c r="F39" t="s">
        <v>142</v>
      </c>
      <c r="G39">
        <v>0</v>
      </c>
      <c r="H39">
        <v>247791</v>
      </c>
      <c r="I39" t="b">
        <v>0</v>
      </c>
      <c r="J39">
        <v>0.501</v>
      </c>
      <c r="K39">
        <v>9.5200000000000007E-2</v>
      </c>
      <c r="L39">
        <v>2</v>
      </c>
      <c r="M39">
        <v>-12.930999999999999</v>
      </c>
      <c r="N39">
        <v>1</v>
      </c>
      <c r="O39">
        <v>5.3999999999999999E-2</v>
      </c>
      <c r="P39">
        <v>0.96299999999999997</v>
      </c>
      <c r="Q39" s="1" t="s">
        <v>143</v>
      </c>
      <c r="R39">
        <v>9.1499999999999998E-2</v>
      </c>
      <c r="S39">
        <v>0.316</v>
      </c>
      <c r="T39">
        <v>138.01599999999999</v>
      </c>
      <c r="U39">
        <v>4</v>
      </c>
      <c r="V39" t="s">
        <v>24</v>
      </c>
    </row>
    <row r="40" spans="3:22" x14ac:dyDescent="0.35">
      <c r="C40" t="s">
        <v>144</v>
      </c>
      <c r="D40" t="s">
        <v>140</v>
      </c>
      <c r="E40" t="s">
        <v>102</v>
      </c>
      <c r="F40" t="s">
        <v>145</v>
      </c>
      <c r="G40">
        <v>0</v>
      </c>
      <c r="H40">
        <v>206267</v>
      </c>
      <c r="I40" t="b">
        <v>0</v>
      </c>
      <c r="J40">
        <v>0.60599999999999998</v>
      </c>
      <c r="K40">
        <v>0.32600000000000001</v>
      </c>
      <c r="L40">
        <v>10</v>
      </c>
      <c r="M40">
        <v>-10.031000000000001</v>
      </c>
      <c r="N40">
        <v>1</v>
      </c>
      <c r="O40">
        <v>2.9399999999999999E-2</v>
      </c>
      <c r="P40">
        <v>0.84099999999999997</v>
      </c>
      <c r="Q40">
        <v>0</v>
      </c>
      <c r="R40">
        <v>0.13900000000000001</v>
      </c>
      <c r="S40">
        <v>0.41399999999999998</v>
      </c>
      <c r="T40">
        <v>91.626000000000005</v>
      </c>
      <c r="U40">
        <v>4</v>
      </c>
      <c r="V40" t="s">
        <v>24</v>
      </c>
    </row>
    <row r="41" spans="3:22" x14ac:dyDescent="0.35">
      <c r="C41" t="s">
        <v>146</v>
      </c>
      <c r="D41" t="s">
        <v>135</v>
      </c>
      <c r="E41" t="s">
        <v>147</v>
      </c>
      <c r="F41" t="s">
        <v>137</v>
      </c>
      <c r="G41">
        <v>0</v>
      </c>
      <c r="H41">
        <v>257493</v>
      </c>
      <c r="I41" t="b">
        <v>0</v>
      </c>
      <c r="J41">
        <v>0.40899999999999997</v>
      </c>
      <c r="K41">
        <v>0.153</v>
      </c>
      <c r="L41">
        <v>6</v>
      </c>
      <c r="M41">
        <v>-10.74</v>
      </c>
      <c r="N41">
        <v>0</v>
      </c>
      <c r="O41">
        <v>3.0599999999999999E-2</v>
      </c>
      <c r="P41">
        <v>0.93899999999999995</v>
      </c>
      <c r="Q41" s="1" t="s">
        <v>138</v>
      </c>
      <c r="R41">
        <v>0.108</v>
      </c>
      <c r="S41">
        <v>0.18</v>
      </c>
      <c r="T41">
        <v>85.262</v>
      </c>
      <c r="U41">
        <v>4</v>
      </c>
      <c r="V41" t="s">
        <v>24</v>
      </c>
    </row>
    <row r="42" spans="3:22" x14ac:dyDescent="0.35">
      <c r="C42" t="s">
        <v>148</v>
      </c>
      <c r="D42" t="s">
        <v>149</v>
      </c>
      <c r="E42" t="s">
        <v>150</v>
      </c>
      <c r="F42" t="s">
        <v>151</v>
      </c>
      <c r="G42">
        <v>0</v>
      </c>
      <c r="H42">
        <v>306794</v>
      </c>
      <c r="I42" t="b">
        <v>0</v>
      </c>
      <c r="J42">
        <v>0.47399999999999998</v>
      </c>
      <c r="K42">
        <v>0.51900000000000002</v>
      </c>
      <c r="L42">
        <v>7</v>
      </c>
      <c r="M42">
        <v>-5.2910000000000004</v>
      </c>
      <c r="N42">
        <v>1</v>
      </c>
      <c r="O42">
        <v>2.53E-2</v>
      </c>
      <c r="P42">
        <v>0.28100000000000003</v>
      </c>
      <c r="Q42">
        <v>0</v>
      </c>
      <c r="R42">
        <v>0.107</v>
      </c>
      <c r="S42">
        <v>0.32600000000000001</v>
      </c>
      <c r="T42">
        <v>151.83199999999999</v>
      </c>
      <c r="U42">
        <v>4</v>
      </c>
      <c r="V42" t="s">
        <v>24</v>
      </c>
    </row>
    <row r="43" spans="3:22" x14ac:dyDescent="0.35">
      <c r="C43" t="s">
        <v>152</v>
      </c>
      <c r="D43" t="s">
        <v>140</v>
      </c>
      <c r="E43" t="s">
        <v>109</v>
      </c>
      <c r="F43" t="s">
        <v>153</v>
      </c>
      <c r="G43">
        <v>0</v>
      </c>
      <c r="H43">
        <v>266960</v>
      </c>
      <c r="I43" t="b">
        <v>0</v>
      </c>
      <c r="J43">
        <v>0.56799999999999995</v>
      </c>
      <c r="K43">
        <v>0.30099999999999999</v>
      </c>
      <c r="L43">
        <v>10</v>
      </c>
      <c r="M43">
        <v>-10.163</v>
      </c>
      <c r="N43">
        <v>0</v>
      </c>
      <c r="O43">
        <v>3.73E-2</v>
      </c>
      <c r="P43">
        <v>0.79600000000000004</v>
      </c>
      <c r="Q43" s="1" t="s">
        <v>154</v>
      </c>
      <c r="R43">
        <v>0.11799999999999999</v>
      </c>
      <c r="S43">
        <v>0.14199999999999999</v>
      </c>
      <c r="T43">
        <v>88.028999999999996</v>
      </c>
      <c r="U43">
        <v>4</v>
      </c>
      <c r="V43" t="s">
        <v>24</v>
      </c>
    </row>
    <row r="44" spans="3:22" x14ac:dyDescent="0.35">
      <c r="C44" t="s">
        <v>155</v>
      </c>
      <c r="D44" t="s">
        <v>156</v>
      </c>
      <c r="E44" t="s">
        <v>157</v>
      </c>
      <c r="F44" t="s">
        <v>158</v>
      </c>
      <c r="G44">
        <v>0</v>
      </c>
      <c r="H44">
        <v>230098</v>
      </c>
      <c r="I44" t="b">
        <v>0</v>
      </c>
      <c r="J44">
        <v>0.56799999999999995</v>
      </c>
      <c r="K44">
        <v>0.68600000000000005</v>
      </c>
      <c r="L44">
        <v>1</v>
      </c>
      <c r="M44">
        <v>-6.6349999999999998</v>
      </c>
      <c r="N44">
        <v>1</v>
      </c>
      <c r="O44">
        <v>3.3000000000000002E-2</v>
      </c>
      <c r="P44">
        <v>0.15</v>
      </c>
      <c r="Q44" s="1" t="s">
        <v>159</v>
      </c>
      <c r="R44">
        <v>8.8099999999999998E-2</v>
      </c>
      <c r="S44">
        <v>0.72499999999999998</v>
      </c>
      <c r="T44">
        <v>172.07499999999999</v>
      </c>
      <c r="U44">
        <v>4</v>
      </c>
      <c r="V44" t="s">
        <v>24</v>
      </c>
    </row>
    <row r="45" spans="3:22" x14ac:dyDescent="0.35">
      <c r="C45" t="s">
        <v>160</v>
      </c>
      <c r="D45" t="s">
        <v>156</v>
      </c>
      <c r="E45" t="s">
        <v>161</v>
      </c>
      <c r="F45" t="s">
        <v>158</v>
      </c>
      <c r="G45">
        <v>0</v>
      </c>
      <c r="H45">
        <v>230098</v>
      </c>
      <c r="I45" t="b">
        <v>0</v>
      </c>
      <c r="J45">
        <v>0.56799999999999995</v>
      </c>
      <c r="K45">
        <v>0.68600000000000005</v>
      </c>
      <c r="L45">
        <v>1</v>
      </c>
      <c r="M45">
        <v>-6.6349999999999998</v>
      </c>
      <c r="N45">
        <v>1</v>
      </c>
      <c r="O45">
        <v>3.3000000000000002E-2</v>
      </c>
      <c r="P45">
        <v>0.15</v>
      </c>
      <c r="Q45" s="1" t="s">
        <v>159</v>
      </c>
      <c r="R45">
        <v>8.8099999999999998E-2</v>
      </c>
      <c r="S45">
        <v>0.72499999999999998</v>
      </c>
      <c r="T45">
        <v>172.07499999999999</v>
      </c>
      <c r="U45">
        <v>4</v>
      </c>
      <c r="V45" t="s">
        <v>24</v>
      </c>
    </row>
    <row r="46" spans="3:22" x14ac:dyDescent="0.35">
      <c r="C46" t="s">
        <v>162</v>
      </c>
      <c r="D46" t="s">
        <v>140</v>
      </c>
      <c r="E46" t="s">
        <v>163</v>
      </c>
      <c r="F46" t="s">
        <v>164</v>
      </c>
      <c r="G46">
        <v>0</v>
      </c>
      <c r="H46">
        <v>193943</v>
      </c>
      <c r="I46" t="b">
        <v>0</v>
      </c>
      <c r="J46">
        <v>0.47599999999999998</v>
      </c>
      <c r="K46">
        <v>0.66600000000000004</v>
      </c>
      <c r="L46">
        <v>6</v>
      </c>
      <c r="M46">
        <v>-3.4380000000000002</v>
      </c>
      <c r="N46">
        <v>1</v>
      </c>
      <c r="O46">
        <v>4.4600000000000001E-2</v>
      </c>
      <c r="P46">
        <v>0.314</v>
      </c>
      <c r="Q46">
        <v>0</v>
      </c>
      <c r="R46">
        <v>0.34200000000000003</v>
      </c>
      <c r="S46">
        <v>0.498</v>
      </c>
      <c r="T46">
        <v>148.155</v>
      </c>
      <c r="U46">
        <v>4</v>
      </c>
      <c r="V46" t="s">
        <v>24</v>
      </c>
    </row>
    <row r="47" spans="3:22" x14ac:dyDescent="0.35">
      <c r="C47" t="s">
        <v>165</v>
      </c>
      <c r="D47" t="s">
        <v>156</v>
      </c>
      <c r="E47" t="s">
        <v>166</v>
      </c>
      <c r="F47" t="s">
        <v>158</v>
      </c>
      <c r="G47">
        <v>0</v>
      </c>
      <c r="H47">
        <v>230098</v>
      </c>
      <c r="I47" t="b">
        <v>0</v>
      </c>
      <c r="J47">
        <v>0.56799999999999995</v>
      </c>
      <c r="K47">
        <v>0.68600000000000005</v>
      </c>
      <c r="L47">
        <v>1</v>
      </c>
      <c r="M47">
        <v>-6.6349999999999998</v>
      </c>
      <c r="N47">
        <v>1</v>
      </c>
      <c r="O47">
        <v>3.3000000000000002E-2</v>
      </c>
      <c r="P47">
        <v>0.15</v>
      </c>
      <c r="Q47" s="1" t="s">
        <v>159</v>
      </c>
      <c r="R47">
        <v>8.8099999999999998E-2</v>
      </c>
      <c r="S47">
        <v>0.72499999999999998</v>
      </c>
      <c r="T47">
        <v>172.07499999999999</v>
      </c>
      <c r="U47">
        <v>4</v>
      </c>
      <c r="V47" t="s">
        <v>24</v>
      </c>
    </row>
    <row r="48" spans="3:22" x14ac:dyDescent="0.35">
      <c r="C48" t="s">
        <v>167</v>
      </c>
      <c r="D48" t="s">
        <v>156</v>
      </c>
      <c r="E48" t="s">
        <v>168</v>
      </c>
      <c r="F48" t="s">
        <v>158</v>
      </c>
      <c r="G48">
        <v>0</v>
      </c>
      <c r="H48">
        <v>230098</v>
      </c>
      <c r="I48" t="b">
        <v>0</v>
      </c>
      <c r="J48">
        <v>0.56799999999999995</v>
      </c>
      <c r="K48">
        <v>0.68600000000000005</v>
      </c>
      <c r="L48">
        <v>1</v>
      </c>
      <c r="M48">
        <v>-6.6349999999999998</v>
      </c>
      <c r="N48">
        <v>1</v>
      </c>
      <c r="O48">
        <v>3.3000000000000002E-2</v>
      </c>
      <c r="P48">
        <v>0.15</v>
      </c>
      <c r="Q48" s="1" t="s">
        <v>159</v>
      </c>
      <c r="R48">
        <v>8.8099999999999998E-2</v>
      </c>
      <c r="S48">
        <v>0.72499999999999998</v>
      </c>
      <c r="T48">
        <v>172.07499999999999</v>
      </c>
      <c r="U48">
        <v>4</v>
      </c>
      <c r="V48" t="s">
        <v>24</v>
      </c>
    </row>
    <row r="49" spans="3:22" x14ac:dyDescent="0.35">
      <c r="C49" t="s">
        <v>169</v>
      </c>
      <c r="D49" t="s">
        <v>156</v>
      </c>
      <c r="E49" t="s">
        <v>170</v>
      </c>
      <c r="F49" t="s">
        <v>158</v>
      </c>
      <c r="G49">
        <v>0</v>
      </c>
      <c r="H49">
        <v>230098</v>
      </c>
      <c r="I49" t="b">
        <v>0</v>
      </c>
      <c r="J49">
        <v>0.56799999999999995</v>
      </c>
      <c r="K49">
        <v>0.68600000000000005</v>
      </c>
      <c r="L49">
        <v>1</v>
      </c>
      <c r="M49">
        <v>-6.6349999999999998</v>
      </c>
      <c r="N49">
        <v>1</v>
      </c>
      <c r="O49">
        <v>3.3000000000000002E-2</v>
      </c>
      <c r="P49">
        <v>0.15</v>
      </c>
      <c r="Q49" s="1" t="s">
        <v>159</v>
      </c>
      <c r="R49">
        <v>8.8099999999999998E-2</v>
      </c>
      <c r="S49">
        <v>0.72499999999999998</v>
      </c>
      <c r="T49">
        <v>172.07499999999999</v>
      </c>
      <c r="U49">
        <v>4</v>
      </c>
      <c r="V49" t="s">
        <v>24</v>
      </c>
    </row>
    <row r="50" spans="3:22" x14ac:dyDescent="0.35">
      <c r="C50" t="s">
        <v>171</v>
      </c>
      <c r="D50" t="s">
        <v>156</v>
      </c>
      <c r="E50" t="s">
        <v>172</v>
      </c>
      <c r="F50" t="s">
        <v>158</v>
      </c>
      <c r="G50">
        <v>0</v>
      </c>
      <c r="H50">
        <v>230098</v>
      </c>
      <c r="I50" t="b">
        <v>0</v>
      </c>
      <c r="J50">
        <v>0.56799999999999995</v>
      </c>
      <c r="K50">
        <v>0.68600000000000005</v>
      </c>
      <c r="L50">
        <v>1</v>
      </c>
      <c r="M50">
        <v>-6.6349999999999998</v>
      </c>
      <c r="N50">
        <v>1</v>
      </c>
      <c r="O50">
        <v>3.3000000000000002E-2</v>
      </c>
      <c r="P50">
        <v>0.15</v>
      </c>
      <c r="Q50" s="1" t="s">
        <v>159</v>
      </c>
      <c r="R50">
        <v>8.8099999999999998E-2</v>
      </c>
      <c r="S50">
        <v>0.72499999999999998</v>
      </c>
      <c r="T50">
        <v>172.07499999999999</v>
      </c>
      <c r="U50">
        <v>4</v>
      </c>
      <c r="V50" t="s">
        <v>24</v>
      </c>
    </row>
    <row r="51" spans="3:22" x14ac:dyDescent="0.35">
      <c r="C51" t="s">
        <v>173</v>
      </c>
      <c r="D51" t="s">
        <v>156</v>
      </c>
      <c r="E51" t="s">
        <v>174</v>
      </c>
      <c r="F51" t="s">
        <v>158</v>
      </c>
      <c r="G51">
        <v>0</v>
      </c>
      <c r="H51">
        <v>230098</v>
      </c>
      <c r="I51" t="b">
        <v>0</v>
      </c>
      <c r="J51">
        <v>0.56799999999999995</v>
      </c>
      <c r="K51">
        <v>0.68600000000000005</v>
      </c>
      <c r="L51">
        <v>1</v>
      </c>
      <c r="M51">
        <v>-6.6349999999999998</v>
      </c>
      <c r="N51">
        <v>1</v>
      </c>
      <c r="O51">
        <v>3.3000000000000002E-2</v>
      </c>
      <c r="P51">
        <v>0.15</v>
      </c>
      <c r="Q51" s="1" t="s">
        <v>159</v>
      </c>
      <c r="R51">
        <v>8.8099999999999998E-2</v>
      </c>
      <c r="S51">
        <v>0.72499999999999998</v>
      </c>
      <c r="T51">
        <v>172.07499999999999</v>
      </c>
      <c r="U51">
        <v>4</v>
      </c>
      <c r="V51" t="s">
        <v>24</v>
      </c>
    </row>
    <row r="52" spans="3:22" x14ac:dyDescent="0.35">
      <c r="C52" t="s">
        <v>175</v>
      </c>
      <c r="D52" t="s">
        <v>176</v>
      </c>
      <c r="E52" t="s">
        <v>177</v>
      </c>
      <c r="F52" t="s">
        <v>178</v>
      </c>
      <c r="G52">
        <v>46</v>
      </c>
      <c r="H52">
        <v>213098</v>
      </c>
      <c r="I52" t="b">
        <v>0</v>
      </c>
      <c r="J52">
        <v>0.59599999999999997</v>
      </c>
      <c r="K52">
        <v>0.2</v>
      </c>
      <c r="L52">
        <v>0</v>
      </c>
      <c r="M52">
        <v>-10.423999999999999</v>
      </c>
      <c r="N52">
        <v>0</v>
      </c>
      <c r="O52">
        <v>3.0499999999999999E-2</v>
      </c>
      <c r="P52">
        <v>0.91</v>
      </c>
      <c r="Q52">
        <v>1.83E-4</v>
      </c>
      <c r="R52">
        <v>8.8400000000000006E-2</v>
      </c>
      <c r="S52">
        <v>0.308</v>
      </c>
      <c r="T52">
        <v>107.893</v>
      </c>
      <c r="U52">
        <v>4</v>
      </c>
      <c r="V52" t="s">
        <v>24</v>
      </c>
    </row>
    <row r="53" spans="3:22" x14ac:dyDescent="0.35">
      <c r="C53" t="s">
        <v>179</v>
      </c>
      <c r="D53" t="s">
        <v>180</v>
      </c>
      <c r="E53" t="s">
        <v>181</v>
      </c>
      <c r="F53" t="s">
        <v>182</v>
      </c>
      <c r="G53">
        <v>61</v>
      </c>
      <c r="H53">
        <v>232360</v>
      </c>
      <c r="I53" t="b">
        <v>0</v>
      </c>
      <c r="J53">
        <v>0.373</v>
      </c>
      <c r="K53">
        <v>0.91400000000000003</v>
      </c>
      <c r="L53">
        <v>0</v>
      </c>
      <c r="M53">
        <v>-4.1849999999999996</v>
      </c>
      <c r="N53">
        <v>1</v>
      </c>
      <c r="O53">
        <v>5.6500000000000002E-2</v>
      </c>
      <c r="P53">
        <v>7.5999999999999998E-2</v>
      </c>
      <c r="Q53">
        <v>0</v>
      </c>
      <c r="R53">
        <v>0.66900000000000004</v>
      </c>
      <c r="S53">
        <v>0.56000000000000005</v>
      </c>
      <c r="T53">
        <v>168.21</v>
      </c>
      <c r="U53">
        <v>4</v>
      </c>
      <c r="V53" t="s">
        <v>24</v>
      </c>
    </row>
    <row r="54" spans="3:22" x14ac:dyDescent="0.35">
      <c r="C54" t="s">
        <v>183</v>
      </c>
      <c r="D54" t="s">
        <v>184</v>
      </c>
      <c r="E54" t="s">
        <v>185</v>
      </c>
      <c r="F54" t="s">
        <v>186</v>
      </c>
      <c r="G54">
        <v>60</v>
      </c>
      <c r="H54">
        <v>241119</v>
      </c>
      <c r="I54" t="b">
        <v>0</v>
      </c>
      <c r="J54">
        <v>0.49399999999999999</v>
      </c>
      <c r="K54">
        <v>0.65200000000000002</v>
      </c>
      <c r="L54">
        <v>6</v>
      </c>
      <c r="M54">
        <v>-5.8630000000000004</v>
      </c>
      <c r="N54">
        <v>0</v>
      </c>
      <c r="O54">
        <v>3.1399999999999997E-2</v>
      </c>
      <c r="P54">
        <v>7.5399999999999995E-2</v>
      </c>
      <c r="Q54">
        <v>2.5600000000000002E-3</v>
      </c>
      <c r="R54">
        <v>0.125</v>
      </c>
      <c r="S54">
        <v>0.29799999999999999</v>
      </c>
      <c r="T54">
        <v>137.018</v>
      </c>
      <c r="U54">
        <v>4</v>
      </c>
      <c r="V54" t="s">
        <v>24</v>
      </c>
    </row>
    <row r="55" spans="3:22" x14ac:dyDescent="0.35">
      <c r="C55" t="s">
        <v>187</v>
      </c>
      <c r="D55" t="s">
        <v>188</v>
      </c>
      <c r="E55" t="s">
        <v>189</v>
      </c>
      <c r="F55" t="s">
        <v>190</v>
      </c>
      <c r="G55">
        <v>68</v>
      </c>
      <c r="H55">
        <v>220239</v>
      </c>
      <c r="I55" t="b">
        <v>0</v>
      </c>
      <c r="J55">
        <v>0.44700000000000001</v>
      </c>
      <c r="K55">
        <v>0.39300000000000002</v>
      </c>
      <c r="L55">
        <v>5</v>
      </c>
      <c r="M55">
        <v>-8.65</v>
      </c>
      <c r="N55">
        <v>1</v>
      </c>
      <c r="O55">
        <v>3.7999999999999999E-2</v>
      </c>
      <c r="P55">
        <v>0.78500000000000003</v>
      </c>
      <c r="Q55">
        <v>0</v>
      </c>
      <c r="R55">
        <v>0.28000000000000003</v>
      </c>
      <c r="S55">
        <v>0.56399999999999995</v>
      </c>
      <c r="T55">
        <v>73.138999999999996</v>
      </c>
      <c r="U55">
        <v>3</v>
      </c>
      <c r="V55" t="s">
        <v>24</v>
      </c>
    </row>
    <row r="56" spans="3:22" x14ac:dyDescent="0.35">
      <c r="C56" t="s">
        <v>191</v>
      </c>
      <c r="D56" t="s">
        <v>192</v>
      </c>
      <c r="E56" t="s">
        <v>193</v>
      </c>
      <c r="F56" t="s">
        <v>194</v>
      </c>
      <c r="G56">
        <v>52</v>
      </c>
      <c r="H56">
        <v>171543</v>
      </c>
      <c r="I56" t="b">
        <v>0</v>
      </c>
      <c r="J56">
        <v>0.57599999999999996</v>
      </c>
      <c r="K56">
        <v>0.33100000000000002</v>
      </c>
      <c r="L56">
        <v>6</v>
      </c>
      <c r="M56">
        <v>-9.3889999999999993</v>
      </c>
      <c r="N56">
        <v>0</v>
      </c>
      <c r="O56">
        <v>3.0599999999999999E-2</v>
      </c>
      <c r="P56">
        <v>0.89400000000000002</v>
      </c>
      <c r="Q56" s="1" t="s">
        <v>195</v>
      </c>
      <c r="R56">
        <v>0.129</v>
      </c>
      <c r="S56">
        <v>0.40699999999999997</v>
      </c>
      <c r="T56">
        <v>149.02000000000001</v>
      </c>
      <c r="U56">
        <v>4</v>
      </c>
      <c r="V56" t="s">
        <v>24</v>
      </c>
    </row>
    <row r="57" spans="3:22" x14ac:dyDescent="0.35">
      <c r="C57" t="s">
        <v>196</v>
      </c>
      <c r="D57" t="s">
        <v>184</v>
      </c>
      <c r="E57" t="s">
        <v>185</v>
      </c>
      <c r="F57" t="s">
        <v>197</v>
      </c>
      <c r="G57">
        <v>62</v>
      </c>
      <c r="H57">
        <v>286865</v>
      </c>
      <c r="I57" t="b">
        <v>0</v>
      </c>
      <c r="J57">
        <v>0.53600000000000003</v>
      </c>
      <c r="K57">
        <v>0.89</v>
      </c>
      <c r="L57">
        <v>1</v>
      </c>
      <c r="M57">
        <v>-5.2220000000000004</v>
      </c>
      <c r="N57">
        <v>1</v>
      </c>
      <c r="O57">
        <v>3.7499999999999999E-2</v>
      </c>
      <c r="P57">
        <v>7.8E-2</v>
      </c>
      <c r="Q57">
        <v>2.0199999999999999E-2</v>
      </c>
      <c r="R57">
        <v>0.13100000000000001</v>
      </c>
      <c r="S57">
        <v>0.27300000000000002</v>
      </c>
      <c r="T57">
        <v>121.974</v>
      </c>
      <c r="U57">
        <v>4</v>
      </c>
      <c r="V57" t="s">
        <v>24</v>
      </c>
    </row>
    <row r="58" spans="3:22" x14ac:dyDescent="0.35">
      <c r="C58" t="s">
        <v>198</v>
      </c>
      <c r="D58" t="s">
        <v>199</v>
      </c>
      <c r="E58" t="s">
        <v>200</v>
      </c>
      <c r="F58" t="s">
        <v>200</v>
      </c>
      <c r="G58">
        <v>51</v>
      </c>
      <c r="H58">
        <v>234473</v>
      </c>
      <c r="I58" t="b">
        <v>0</v>
      </c>
      <c r="J58">
        <v>0.52600000000000002</v>
      </c>
      <c r="K58">
        <v>0.33300000000000002</v>
      </c>
      <c r="L58">
        <v>4</v>
      </c>
      <c r="M58">
        <v>-13.02</v>
      </c>
      <c r="N58">
        <v>1</v>
      </c>
      <c r="O58">
        <v>3.1399999999999997E-2</v>
      </c>
      <c r="P58">
        <v>0.91</v>
      </c>
      <c r="Q58">
        <v>0.16800000000000001</v>
      </c>
      <c r="R58">
        <v>0.111</v>
      </c>
      <c r="S58">
        <v>0.159</v>
      </c>
      <c r="T58">
        <v>94.950999999999993</v>
      </c>
      <c r="U58">
        <v>4</v>
      </c>
      <c r="V58" t="s">
        <v>24</v>
      </c>
    </row>
    <row r="59" spans="3:22" x14ac:dyDescent="0.35">
      <c r="C59" t="s">
        <v>201</v>
      </c>
      <c r="D59" t="s">
        <v>39</v>
      </c>
      <c r="E59" t="s">
        <v>202</v>
      </c>
      <c r="F59" t="s">
        <v>202</v>
      </c>
      <c r="G59">
        <v>0</v>
      </c>
      <c r="H59">
        <v>216000</v>
      </c>
      <c r="I59" t="b">
        <v>0</v>
      </c>
      <c r="J59">
        <v>0.501</v>
      </c>
      <c r="K59">
        <v>0.38100000000000001</v>
      </c>
      <c r="L59">
        <v>0</v>
      </c>
      <c r="M59">
        <v>-9.4480000000000004</v>
      </c>
      <c r="N59">
        <v>1</v>
      </c>
      <c r="O59">
        <v>3.5999999999999997E-2</v>
      </c>
      <c r="P59">
        <v>0.68700000000000006</v>
      </c>
      <c r="Q59">
        <v>1.33E-3</v>
      </c>
      <c r="R59">
        <v>0.11899999999999999</v>
      </c>
      <c r="S59">
        <v>0.502</v>
      </c>
      <c r="T59">
        <v>80.075000000000003</v>
      </c>
      <c r="U59">
        <v>4</v>
      </c>
      <c r="V59" t="s">
        <v>24</v>
      </c>
    </row>
    <row r="60" spans="3:22" x14ac:dyDescent="0.35">
      <c r="C60" t="s">
        <v>203</v>
      </c>
      <c r="D60" t="s">
        <v>204</v>
      </c>
      <c r="E60" t="s">
        <v>205</v>
      </c>
      <c r="F60" t="s">
        <v>206</v>
      </c>
      <c r="G60">
        <v>67</v>
      </c>
      <c r="H60">
        <v>232760</v>
      </c>
      <c r="I60" t="b">
        <v>0</v>
      </c>
      <c r="J60">
        <v>0.27</v>
      </c>
      <c r="K60">
        <v>0.27500000000000002</v>
      </c>
      <c r="L60">
        <v>0</v>
      </c>
      <c r="M60">
        <v>-10.356999999999999</v>
      </c>
      <c r="N60">
        <v>1</v>
      </c>
      <c r="O60">
        <v>3.56E-2</v>
      </c>
      <c r="P60">
        <v>0.83399999999999996</v>
      </c>
      <c r="Q60">
        <v>0</v>
      </c>
      <c r="R60">
        <v>0.14599999999999999</v>
      </c>
      <c r="S60">
        <v>0.23100000000000001</v>
      </c>
      <c r="T60">
        <v>168.964</v>
      </c>
      <c r="U60">
        <v>4</v>
      </c>
      <c r="V60" t="s">
        <v>24</v>
      </c>
    </row>
    <row r="61" spans="3:22" x14ac:dyDescent="0.35">
      <c r="C61" t="s">
        <v>207</v>
      </c>
      <c r="D61" t="s">
        <v>39</v>
      </c>
      <c r="E61" t="s">
        <v>208</v>
      </c>
      <c r="F61" t="s">
        <v>208</v>
      </c>
      <c r="G61">
        <v>57</v>
      </c>
      <c r="H61">
        <v>178600</v>
      </c>
      <c r="I61" t="b">
        <v>1</v>
      </c>
      <c r="J61">
        <v>0.73099999999999998</v>
      </c>
      <c r="K61">
        <v>0.50700000000000001</v>
      </c>
      <c r="L61">
        <v>0</v>
      </c>
      <c r="M61">
        <v>-6.4770000000000003</v>
      </c>
      <c r="N61">
        <v>1</v>
      </c>
      <c r="O61">
        <v>4.5999999999999999E-2</v>
      </c>
      <c r="P61">
        <v>0.57199999999999995</v>
      </c>
      <c r="Q61">
        <v>0</v>
      </c>
      <c r="R61">
        <v>9.1200000000000003E-2</v>
      </c>
      <c r="S61">
        <v>0.26500000000000001</v>
      </c>
      <c r="T61">
        <v>117.96899999999999</v>
      </c>
      <c r="U61">
        <v>4</v>
      </c>
      <c r="V61" t="s">
        <v>24</v>
      </c>
    </row>
    <row r="62" spans="3:22" x14ac:dyDescent="0.35">
      <c r="C62" t="s">
        <v>209</v>
      </c>
      <c r="D62" t="s">
        <v>60</v>
      </c>
      <c r="E62" t="s">
        <v>210</v>
      </c>
      <c r="F62" t="s">
        <v>210</v>
      </c>
      <c r="G62">
        <v>75</v>
      </c>
      <c r="H62">
        <v>254400</v>
      </c>
      <c r="I62" t="b">
        <v>0</v>
      </c>
      <c r="J62">
        <v>0.375</v>
      </c>
      <c r="K62">
        <v>0.45700000000000002</v>
      </c>
      <c r="L62">
        <v>3</v>
      </c>
      <c r="M62">
        <v>-7.0179999999999998</v>
      </c>
      <c r="N62">
        <v>1</v>
      </c>
      <c r="O62">
        <v>3.15E-2</v>
      </c>
      <c r="P62">
        <v>0.86799999999999999</v>
      </c>
      <c r="Q62">
        <v>1.4500000000000001E-2</v>
      </c>
      <c r="R62">
        <v>0.191</v>
      </c>
      <c r="S62">
        <v>0.41499999999999998</v>
      </c>
      <c r="T62">
        <v>174.839</v>
      </c>
      <c r="U62">
        <v>3</v>
      </c>
      <c r="V62" t="s">
        <v>24</v>
      </c>
    </row>
    <row r="63" spans="3:22" x14ac:dyDescent="0.35">
      <c r="C63" t="s">
        <v>211</v>
      </c>
      <c r="D63" t="s">
        <v>184</v>
      </c>
      <c r="E63" t="s">
        <v>212</v>
      </c>
      <c r="F63" t="s">
        <v>213</v>
      </c>
      <c r="G63">
        <v>62</v>
      </c>
      <c r="H63">
        <v>244320</v>
      </c>
      <c r="I63" t="b">
        <v>0</v>
      </c>
      <c r="J63">
        <v>0.43</v>
      </c>
      <c r="K63">
        <v>0.79100000000000004</v>
      </c>
      <c r="L63">
        <v>6</v>
      </c>
      <c r="M63">
        <v>-5.4189999999999996</v>
      </c>
      <c r="N63">
        <v>0</v>
      </c>
      <c r="O63">
        <v>3.0200000000000001E-2</v>
      </c>
      <c r="P63">
        <v>7.2599999999999998E-2</v>
      </c>
      <c r="Q63">
        <v>1.9300000000000001E-2</v>
      </c>
      <c r="R63">
        <v>0.11</v>
      </c>
      <c r="S63">
        <v>0.217</v>
      </c>
      <c r="T63">
        <v>171.864</v>
      </c>
      <c r="U63">
        <v>4</v>
      </c>
      <c r="V63" t="s">
        <v>24</v>
      </c>
    </row>
    <row r="64" spans="3:22" x14ac:dyDescent="0.35">
      <c r="C64" t="s">
        <v>214</v>
      </c>
      <c r="D64" t="s">
        <v>215</v>
      </c>
      <c r="E64" t="s">
        <v>216</v>
      </c>
      <c r="F64" t="s">
        <v>217</v>
      </c>
      <c r="G64">
        <v>66</v>
      </c>
      <c r="H64">
        <v>124933</v>
      </c>
      <c r="I64" t="b">
        <v>0</v>
      </c>
      <c r="J64">
        <v>0.61599999999999999</v>
      </c>
      <c r="K64">
        <v>0.28199999999999997</v>
      </c>
      <c r="L64">
        <v>1</v>
      </c>
      <c r="M64">
        <v>-15.317</v>
      </c>
      <c r="N64">
        <v>1</v>
      </c>
      <c r="O64">
        <v>3.3099999999999997E-2</v>
      </c>
      <c r="P64">
        <v>0.98299999999999998</v>
      </c>
      <c r="Q64">
        <v>0.83299999999999996</v>
      </c>
      <c r="R64">
        <v>0.13</v>
      </c>
      <c r="S64">
        <v>0.435</v>
      </c>
      <c r="T64">
        <v>96.638000000000005</v>
      </c>
      <c r="U64">
        <v>4</v>
      </c>
      <c r="V64" t="s">
        <v>24</v>
      </c>
    </row>
    <row r="65" spans="3:22" x14ac:dyDescent="0.35">
      <c r="C65" t="s">
        <v>218</v>
      </c>
      <c r="D65" t="s">
        <v>91</v>
      </c>
      <c r="E65" t="s">
        <v>97</v>
      </c>
      <c r="F65" t="s">
        <v>219</v>
      </c>
      <c r="G65">
        <v>64</v>
      </c>
      <c r="H65">
        <v>222146</v>
      </c>
      <c r="I65" t="b">
        <v>0</v>
      </c>
      <c r="J65">
        <v>0.70499999999999996</v>
      </c>
      <c r="K65">
        <v>0.34699999999999998</v>
      </c>
      <c r="L65">
        <v>2</v>
      </c>
      <c r="M65">
        <v>-8.2490000000000006</v>
      </c>
      <c r="N65">
        <v>1</v>
      </c>
      <c r="O65">
        <v>3.0099999999999998E-2</v>
      </c>
      <c r="P65">
        <v>0.67400000000000004</v>
      </c>
      <c r="Q65">
        <v>0</v>
      </c>
      <c r="R65">
        <v>0.12</v>
      </c>
      <c r="S65">
        <v>0.36</v>
      </c>
      <c r="T65">
        <v>80.057000000000002</v>
      </c>
      <c r="U65">
        <v>4</v>
      </c>
      <c r="V65" t="s">
        <v>24</v>
      </c>
    </row>
    <row r="66" spans="3:22" x14ac:dyDescent="0.35">
      <c r="C66" t="s">
        <v>220</v>
      </c>
      <c r="D66" t="s">
        <v>221</v>
      </c>
      <c r="E66" t="s">
        <v>222</v>
      </c>
      <c r="F66" t="s">
        <v>223</v>
      </c>
      <c r="G66">
        <v>62</v>
      </c>
      <c r="H66">
        <v>181852</v>
      </c>
      <c r="I66" t="b">
        <v>0</v>
      </c>
      <c r="J66">
        <v>0.58199999999999996</v>
      </c>
      <c r="K66">
        <v>0.255</v>
      </c>
      <c r="L66">
        <v>4</v>
      </c>
      <c r="M66">
        <v>-10.254</v>
      </c>
      <c r="N66">
        <v>1</v>
      </c>
      <c r="O66">
        <v>3.0599999999999999E-2</v>
      </c>
      <c r="P66">
        <v>0.77200000000000002</v>
      </c>
      <c r="Q66">
        <v>0</v>
      </c>
      <c r="R66">
        <v>8.8900000000000007E-2</v>
      </c>
      <c r="S66">
        <v>0.28499999999999998</v>
      </c>
      <c r="T66">
        <v>139.88399999999999</v>
      </c>
      <c r="U66">
        <v>4</v>
      </c>
      <c r="V66" t="s">
        <v>24</v>
      </c>
    </row>
    <row r="67" spans="3:22" x14ac:dyDescent="0.35">
      <c r="C67" t="s">
        <v>224</v>
      </c>
      <c r="D67" t="s">
        <v>225</v>
      </c>
      <c r="E67" t="s">
        <v>226</v>
      </c>
      <c r="F67" t="s">
        <v>227</v>
      </c>
      <c r="G67">
        <v>58</v>
      </c>
      <c r="H67">
        <v>186584</v>
      </c>
      <c r="I67" t="b">
        <v>0</v>
      </c>
      <c r="J67">
        <v>0.54900000000000004</v>
      </c>
      <c r="K67">
        <v>0.27400000000000002</v>
      </c>
      <c r="L67">
        <v>1</v>
      </c>
      <c r="M67">
        <v>-12.565</v>
      </c>
      <c r="N67">
        <v>1</v>
      </c>
      <c r="O67">
        <v>3.7900000000000003E-2</v>
      </c>
      <c r="P67">
        <v>0.79800000000000004</v>
      </c>
      <c r="Q67" s="1" t="s">
        <v>228</v>
      </c>
      <c r="R67">
        <v>0.10299999999999999</v>
      </c>
      <c r="S67">
        <v>0.20699999999999999</v>
      </c>
      <c r="T67">
        <v>86.664000000000001</v>
      </c>
      <c r="U67">
        <v>4</v>
      </c>
      <c r="V67" t="s">
        <v>24</v>
      </c>
    </row>
    <row r="68" spans="3:22" x14ac:dyDescent="0.35">
      <c r="C68" t="s">
        <v>229</v>
      </c>
      <c r="D68" t="s">
        <v>230</v>
      </c>
      <c r="E68" t="s">
        <v>231</v>
      </c>
      <c r="F68" t="s">
        <v>231</v>
      </c>
      <c r="G68">
        <v>65</v>
      </c>
      <c r="H68">
        <v>159600</v>
      </c>
      <c r="I68" t="b">
        <v>0</v>
      </c>
      <c r="J68">
        <v>0.78700000000000003</v>
      </c>
      <c r="K68">
        <v>0.35499999999999998</v>
      </c>
      <c r="L68">
        <v>0</v>
      </c>
      <c r="M68">
        <v>-11.429</v>
      </c>
      <c r="N68">
        <v>1</v>
      </c>
      <c r="O68">
        <v>2.8799999999999999E-2</v>
      </c>
      <c r="P68">
        <v>0.89600000000000002</v>
      </c>
      <c r="Q68">
        <v>2.01E-2</v>
      </c>
      <c r="R68">
        <v>0.111</v>
      </c>
      <c r="S68">
        <v>0.48</v>
      </c>
      <c r="T68">
        <v>99.977999999999994</v>
      </c>
      <c r="U68">
        <v>4</v>
      </c>
      <c r="V68" t="s">
        <v>24</v>
      </c>
    </row>
    <row r="69" spans="3:22" x14ac:dyDescent="0.35">
      <c r="C69" t="s">
        <v>232</v>
      </c>
      <c r="D69" t="s">
        <v>204</v>
      </c>
      <c r="E69" t="s">
        <v>233</v>
      </c>
      <c r="F69" t="s">
        <v>234</v>
      </c>
      <c r="G69">
        <v>67</v>
      </c>
      <c r="H69">
        <v>250266</v>
      </c>
      <c r="I69" t="b">
        <v>0</v>
      </c>
      <c r="J69">
        <v>0.39700000000000002</v>
      </c>
      <c r="K69">
        <v>0.30299999999999999</v>
      </c>
      <c r="L69">
        <v>5</v>
      </c>
      <c r="M69">
        <v>-7.508</v>
      </c>
      <c r="N69">
        <v>1</v>
      </c>
      <c r="O69">
        <v>4.3499999999999997E-2</v>
      </c>
      <c r="P69">
        <v>0.38100000000000001</v>
      </c>
      <c r="Q69">
        <v>0</v>
      </c>
      <c r="R69">
        <v>0.10100000000000001</v>
      </c>
      <c r="S69">
        <v>0.17199999999999999</v>
      </c>
      <c r="T69">
        <v>81.05</v>
      </c>
      <c r="U69">
        <v>4</v>
      </c>
      <c r="V69" t="s">
        <v>24</v>
      </c>
    </row>
    <row r="70" spans="3:22" x14ac:dyDescent="0.35">
      <c r="C70" t="s">
        <v>235</v>
      </c>
      <c r="D70" t="s">
        <v>184</v>
      </c>
      <c r="E70" t="s">
        <v>236</v>
      </c>
      <c r="F70" t="s">
        <v>237</v>
      </c>
      <c r="G70">
        <v>65</v>
      </c>
      <c r="H70">
        <v>318908</v>
      </c>
      <c r="I70" t="b">
        <v>0</v>
      </c>
      <c r="J70">
        <v>0.54800000000000004</v>
      </c>
      <c r="K70">
        <v>0.42</v>
      </c>
      <c r="L70">
        <v>0</v>
      </c>
      <c r="M70">
        <v>-7.8419999999999996</v>
      </c>
      <c r="N70">
        <v>1</v>
      </c>
      <c r="O70">
        <v>2.7699999999999999E-2</v>
      </c>
      <c r="P70">
        <v>0.19800000000000001</v>
      </c>
      <c r="Q70" s="1" t="s">
        <v>238</v>
      </c>
      <c r="R70">
        <v>8.9899999999999994E-2</v>
      </c>
      <c r="S70">
        <v>0.19600000000000001</v>
      </c>
      <c r="T70">
        <v>128.012</v>
      </c>
      <c r="U70">
        <v>4</v>
      </c>
      <c r="V70" t="s">
        <v>24</v>
      </c>
    </row>
    <row r="71" spans="3:22" x14ac:dyDescent="0.35">
      <c r="C71" t="s">
        <v>239</v>
      </c>
      <c r="D71" t="s">
        <v>240</v>
      </c>
      <c r="E71" t="s">
        <v>241</v>
      </c>
      <c r="F71" t="s">
        <v>242</v>
      </c>
      <c r="G71">
        <v>44</v>
      </c>
      <c r="H71">
        <v>222351</v>
      </c>
      <c r="I71" t="b">
        <v>0</v>
      </c>
      <c r="J71">
        <v>0.78700000000000003</v>
      </c>
      <c r="K71">
        <v>0.40300000000000002</v>
      </c>
      <c r="L71">
        <v>0</v>
      </c>
      <c r="M71">
        <v>-11.989000000000001</v>
      </c>
      <c r="N71">
        <v>1</v>
      </c>
      <c r="O71">
        <v>3.3000000000000002E-2</v>
      </c>
      <c r="P71">
        <v>0.60299999999999998</v>
      </c>
      <c r="Q71">
        <v>8.5699999999999995E-3</v>
      </c>
      <c r="R71">
        <v>0.13100000000000001</v>
      </c>
      <c r="S71">
        <v>0.26400000000000001</v>
      </c>
      <c r="T71">
        <v>118.042</v>
      </c>
      <c r="U71">
        <v>4</v>
      </c>
      <c r="V71" t="s">
        <v>24</v>
      </c>
    </row>
    <row r="72" spans="3:22" x14ac:dyDescent="0.35">
      <c r="C72" t="s">
        <v>243</v>
      </c>
      <c r="D72" t="s">
        <v>188</v>
      </c>
      <c r="E72" t="s">
        <v>244</v>
      </c>
      <c r="F72" t="s">
        <v>245</v>
      </c>
      <c r="G72">
        <v>55</v>
      </c>
      <c r="H72">
        <v>219480</v>
      </c>
      <c r="I72" t="b">
        <v>0</v>
      </c>
      <c r="J72">
        <v>0.48399999999999999</v>
      </c>
      <c r="K72">
        <v>0.57299999999999995</v>
      </c>
      <c r="L72">
        <v>5</v>
      </c>
      <c r="M72">
        <v>-6.1829999999999998</v>
      </c>
      <c r="N72">
        <v>1</v>
      </c>
      <c r="O72">
        <v>2.98E-2</v>
      </c>
      <c r="P72">
        <v>8.8200000000000001E-2</v>
      </c>
      <c r="Q72" s="1" t="s">
        <v>246</v>
      </c>
      <c r="R72">
        <v>0.15</v>
      </c>
      <c r="S72">
        <v>0.34599999999999997</v>
      </c>
      <c r="T72">
        <v>139.96600000000001</v>
      </c>
      <c r="U72">
        <v>3</v>
      </c>
      <c r="V72" t="s">
        <v>24</v>
      </c>
    </row>
    <row r="73" spans="3:22" x14ac:dyDescent="0.35">
      <c r="C73" t="s">
        <v>247</v>
      </c>
      <c r="D73" t="s">
        <v>248</v>
      </c>
      <c r="E73" t="s">
        <v>249</v>
      </c>
      <c r="F73" t="s">
        <v>250</v>
      </c>
      <c r="G73">
        <v>70</v>
      </c>
      <c r="H73">
        <v>221693</v>
      </c>
      <c r="I73" t="b">
        <v>0</v>
      </c>
      <c r="J73">
        <v>0.38200000000000001</v>
      </c>
      <c r="K73">
        <v>0.41599999999999998</v>
      </c>
      <c r="L73">
        <v>0</v>
      </c>
      <c r="M73">
        <v>-9.3030000000000008</v>
      </c>
      <c r="N73">
        <v>1</v>
      </c>
      <c r="O73">
        <v>3.0200000000000001E-2</v>
      </c>
      <c r="P73">
        <v>7.3300000000000004E-2</v>
      </c>
      <c r="Q73">
        <v>0</v>
      </c>
      <c r="R73">
        <v>7.1900000000000006E-2</v>
      </c>
      <c r="S73">
        <v>0.125</v>
      </c>
      <c r="T73">
        <v>102.089</v>
      </c>
      <c r="U73">
        <v>4</v>
      </c>
      <c r="V73" t="s">
        <v>24</v>
      </c>
    </row>
    <row r="74" spans="3:22" x14ac:dyDescent="0.35">
      <c r="C74" t="s">
        <v>251</v>
      </c>
      <c r="D74" t="s">
        <v>184</v>
      </c>
      <c r="E74" t="s">
        <v>252</v>
      </c>
      <c r="F74" t="s">
        <v>253</v>
      </c>
      <c r="G74">
        <v>57</v>
      </c>
      <c r="H74">
        <v>354400</v>
      </c>
      <c r="I74" t="b">
        <v>0</v>
      </c>
      <c r="J74">
        <v>0.54100000000000004</v>
      </c>
      <c r="K74">
        <v>0.57499999999999996</v>
      </c>
      <c r="L74">
        <v>9</v>
      </c>
      <c r="M74">
        <v>-9.4629999999999992</v>
      </c>
      <c r="N74">
        <v>1</v>
      </c>
      <c r="O74">
        <v>4.9099999999999998E-2</v>
      </c>
      <c r="P74">
        <v>0.67700000000000005</v>
      </c>
      <c r="Q74">
        <v>0.215</v>
      </c>
      <c r="R74">
        <v>0.10199999999999999</v>
      </c>
      <c r="S74">
        <v>0.42799999999999999</v>
      </c>
      <c r="T74">
        <v>91.98</v>
      </c>
      <c r="U74">
        <v>4</v>
      </c>
      <c r="V74" t="s">
        <v>24</v>
      </c>
    </row>
    <row r="75" spans="3:22" x14ac:dyDescent="0.35">
      <c r="C75" t="s">
        <v>254</v>
      </c>
      <c r="D75" t="s">
        <v>255</v>
      </c>
      <c r="E75" t="s">
        <v>256</v>
      </c>
      <c r="F75" t="s">
        <v>256</v>
      </c>
      <c r="G75">
        <v>56</v>
      </c>
      <c r="H75">
        <v>177500</v>
      </c>
      <c r="I75" t="b">
        <v>0</v>
      </c>
      <c r="J75">
        <v>0.60699999999999998</v>
      </c>
      <c r="K75">
        <v>0.47299999999999998</v>
      </c>
      <c r="L75">
        <v>2</v>
      </c>
      <c r="M75">
        <v>-8.5549999999999997</v>
      </c>
      <c r="N75">
        <v>1</v>
      </c>
      <c r="O75">
        <v>3.4000000000000002E-2</v>
      </c>
      <c r="P75">
        <v>0.71199999999999997</v>
      </c>
      <c r="Q75">
        <v>0</v>
      </c>
      <c r="R75">
        <v>0.66</v>
      </c>
      <c r="S75">
        <v>0.54</v>
      </c>
      <c r="T75">
        <v>119.69799999999999</v>
      </c>
      <c r="U75">
        <v>4</v>
      </c>
      <c r="V75" t="s">
        <v>24</v>
      </c>
    </row>
    <row r="76" spans="3:22" x14ac:dyDescent="0.35">
      <c r="C76" t="s">
        <v>257</v>
      </c>
      <c r="D76" t="s">
        <v>258</v>
      </c>
      <c r="E76" t="s">
        <v>259</v>
      </c>
      <c r="F76" t="s">
        <v>260</v>
      </c>
      <c r="G76">
        <v>56</v>
      </c>
      <c r="H76">
        <v>247840</v>
      </c>
      <c r="I76" t="b">
        <v>0</v>
      </c>
      <c r="J76">
        <v>0.41699999999999998</v>
      </c>
      <c r="K76">
        <v>0.59499999999999997</v>
      </c>
      <c r="L76">
        <v>6</v>
      </c>
      <c r="M76">
        <v>-7.84</v>
      </c>
      <c r="N76">
        <v>1</v>
      </c>
      <c r="O76">
        <v>3.9600000000000003E-2</v>
      </c>
      <c r="P76">
        <v>0.158</v>
      </c>
      <c r="Q76">
        <v>2.6899999999999998E-4</v>
      </c>
      <c r="R76">
        <v>0.10100000000000001</v>
      </c>
      <c r="S76">
        <v>0.11700000000000001</v>
      </c>
      <c r="T76">
        <v>147.928</v>
      </c>
      <c r="U76">
        <v>4</v>
      </c>
      <c r="V76" t="s">
        <v>24</v>
      </c>
    </row>
    <row r="77" spans="3:22" x14ac:dyDescent="0.35">
      <c r="C77" t="s">
        <v>261</v>
      </c>
      <c r="D77" t="s">
        <v>50</v>
      </c>
      <c r="E77" t="s">
        <v>64</v>
      </c>
      <c r="F77" t="s">
        <v>103</v>
      </c>
      <c r="G77">
        <v>67</v>
      </c>
      <c r="H77">
        <v>216386</v>
      </c>
      <c r="I77" t="b">
        <v>0</v>
      </c>
      <c r="J77">
        <v>0.57199999999999995</v>
      </c>
      <c r="K77">
        <v>0.45400000000000001</v>
      </c>
      <c r="L77">
        <v>3</v>
      </c>
      <c r="M77">
        <v>-10.286</v>
      </c>
      <c r="N77">
        <v>1</v>
      </c>
      <c r="O77">
        <v>2.58E-2</v>
      </c>
      <c r="P77">
        <v>0.47699999999999998</v>
      </c>
      <c r="Q77" s="1" t="s">
        <v>104</v>
      </c>
      <c r="R77">
        <v>9.74E-2</v>
      </c>
      <c r="S77">
        <v>0.51500000000000001</v>
      </c>
      <c r="T77">
        <v>140.18199999999999</v>
      </c>
      <c r="U77">
        <v>4</v>
      </c>
      <c r="V77" t="s">
        <v>24</v>
      </c>
    </row>
    <row r="78" spans="3:22" x14ac:dyDescent="0.35">
      <c r="C78" t="s">
        <v>262</v>
      </c>
      <c r="D78" t="s">
        <v>263</v>
      </c>
      <c r="E78" t="s">
        <v>264</v>
      </c>
      <c r="F78" t="s">
        <v>265</v>
      </c>
      <c r="G78">
        <v>62</v>
      </c>
      <c r="H78">
        <v>229320</v>
      </c>
      <c r="I78" t="b">
        <v>0</v>
      </c>
      <c r="J78">
        <v>0.70899999999999996</v>
      </c>
      <c r="K78">
        <v>0.91300000000000003</v>
      </c>
      <c r="L78">
        <v>7</v>
      </c>
      <c r="M78">
        <v>-5.1479999999999997</v>
      </c>
      <c r="N78">
        <v>1</v>
      </c>
      <c r="O78">
        <v>7.4800000000000005E-2</v>
      </c>
      <c r="P78">
        <v>1.8200000000000001E-2</v>
      </c>
      <c r="Q78">
        <v>0</v>
      </c>
      <c r="R78">
        <v>0.16700000000000001</v>
      </c>
      <c r="S78">
        <v>0.51900000000000002</v>
      </c>
      <c r="T78">
        <v>108.024</v>
      </c>
      <c r="U78">
        <v>4</v>
      </c>
      <c r="V78" t="s">
        <v>24</v>
      </c>
    </row>
    <row r="79" spans="3:22" x14ac:dyDescent="0.35">
      <c r="C79" t="s">
        <v>266</v>
      </c>
      <c r="D79" t="s">
        <v>267</v>
      </c>
      <c r="E79" t="s">
        <v>268</v>
      </c>
      <c r="F79" t="s">
        <v>269</v>
      </c>
      <c r="G79">
        <v>45</v>
      </c>
      <c r="H79">
        <v>330933</v>
      </c>
      <c r="I79" t="b">
        <v>0</v>
      </c>
      <c r="J79">
        <v>0.53700000000000003</v>
      </c>
      <c r="K79">
        <v>0.34200000000000003</v>
      </c>
      <c r="L79">
        <v>2</v>
      </c>
      <c r="M79">
        <v>-13.553000000000001</v>
      </c>
      <c r="N79">
        <v>1</v>
      </c>
      <c r="O79">
        <v>2.7300000000000001E-2</v>
      </c>
      <c r="P79">
        <v>0.64500000000000002</v>
      </c>
      <c r="Q79">
        <v>0.26600000000000001</v>
      </c>
      <c r="R79">
        <v>6.8699999999999997E-2</v>
      </c>
      <c r="S79">
        <v>0.253</v>
      </c>
      <c r="T79">
        <v>109.236</v>
      </c>
      <c r="U79">
        <v>4</v>
      </c>
      <c r="V79" t="s">
        <v>24</v>
      </c>
    </row>
    <row r="80" spans="3:22" x14ac:dyDescent="0.35">
      <c r="C80" t="s">
        <v>270</v>
      </c>
      <c r="D80" t="s">
        <v>271</v>
      </c>
      <c r="E80" t="s">
        <v>272</v>
      </c>
      <c r="F80" t="s">
        <v>273</v>
      </c>
      <c r="G80">
        <v>64</v>
      </c>
      <c r="H80">
        <v>172213</v>
      </c>
      <c r="I80" t="b">
        <v>0</v>
      </c>
      <c r="J80">
        <v>0.60199999999999998</v>
      </c>
      <c r="K80">
        <v>0.33600000000000002</v>
      </c>
      <c r="L80">
        <v>8</v>
      </c>
      <c r="M80">
        <v>-11.106</v>
      </c>
      <c r="N80">
        <v>1</v>
      </c>
      <c r="O80">
        <v>3.6900000000000002E-2</v>
      </c>
      <c r="P80">
        <v>0.88300000000000001</v>
      </c>
      <c r="Q80">
        <v>1.6999999999999999E-3</v>
      </c>
      <c r="R80">
        <v>0.14299999999999999</v>
      </c>
      <c r="S80">
        <v>0.33500000000000002</v>
      </c>
      <c r="T80">
        <v>90.894000000000005</v>
      </c>
      <c r="U80">
        <v>4</v>
      </c>
      <c r="V80" t="s">
        <v>24</v>
      </c>
    </row>
    <row r="81" spans="3:22" x14ac:dyDescent="0.35">
      <c r="C81" t="s">
        <v>274</v>
      </c>
      <c r="D81" t="s">
        <v>50</v>
      </c>
      <c r="E81" t="s">
        <v>275</v>
      </c>
      <c r="F81" t="s">
        <v>276</v>
      </c>
      <c r="G81">
        <v>65</v>
      </c>
      <c r="H81">
        <v>226106</v>
      </c>
      <c r="I81" t="b">
        <v>0</v>
      </c>
      <c r="J81">
        <v>0.64300000000000002</v>
      </c>
      <c r="K81">
        <v>0.63800000000000001</v>
      </c>
      <c r="L81">
        <v>1</v>
      </c>
      <c r="M81">
        <v>-4.9470000000000001</v>
      </c>
      <c r="N81">
        <v>0</v>
      </c>
      <c r="O81">
        <v>4.07E-2</v>
      </c>
      <c r="P81">
        <v>0.20399999999999999</v>
      </c>
      <c r="Q81">
        <v>0</v>
      </c>
      <c r="R81">
        <v>7.0699999999999999E-2</v>
      </c>
      <c r="S81">
        <v>0.6</v>
      </c>
      <c r="T81">
        <v>82.001000000000005</v>
      </c>
      <c r="U81">
        <v>4</v>
      </c>
      <c r="V81" t="s">
        <v>24</v>
      </c>
    </row>
    <row r="82" spans="3:22" x14ac:dyDescent="0.35">
      <c r="C82" t="s">
        <v>277</v>
      </c>
      <c r="D82" t="s">
        <v>278</v>
      </c>
      <c r="E82" t="s">
        <v>109</v>
      </c>
      <c r="F82" t="s">
        <v>279</v>
      </c>
      <c r="G82">
        <v>0</v>
      </c>
      <c r="H82">
        <v>235173</v>
      </c>
      <c r="I82" t="b">
        <v>0</v>
      </c>
      <c r="J82">
        <v>0.45100000000000001</v>
      </c>
      <c r="K82">
        <v>0.7</v>
      </c>
      <c r="L82">
        <v>10</v>
      </c>
      <c r="M82">
        <v>-6.5970000000000004</v>
      </c>
      <c r="N82">
        <v>0</v>
      </c>
      <c r="O82">
        <v>4.3099999999999999E-2</v>
      </c>
      <c r="P82">
        <v>0.45500000000000002</v>
      </c>
      <c r="Q82">
        <v>2.33E-3</v>
      </c>
      <c r="R82">
        <v>0.40500000000000003</v>
      </c>
      <c r="S82">
        <v>0.37</v>
      </c>
      <c r="T82">
        <v>150.05500000000001</v>
      </c>
      <c r="U82">
        <v>4</v>
      </c>
      <c r="V82" t="s">
        <v>24</v>
      </c>
    </row>
    <row r="83" spans="3:22" x14ac:dyDescent="0.35">
      <c r="C83" t="s">
        <v>280</v>
      </c>
      <c r="D83" t="s">
        <v>278</v>
      </c>
      <c r="E83" t="s">
        <v>281</v>
      </c>
      <c r="F83" t="s">
        <v>282</v>
      </c>
      <c r="G83">
        <v>0</v>
      </c>
      <c r="H83">
        <v>195213</v>
      </c>
      <c r="I83" t="b">
        <v>0</v>
      </c>
      <c r="J83">
        <v>0.54600000000000004</v>
      </c>
      <c r="K83">
        <v>0.39100000000000001</v>
      </c>
      <c r="L83">
        <v>2</v>
      </c>
      <c r="M83">
        <v>-10.786</v>
      </c>
      <c r="N83">
        <v>0</v>
      </c>
      <c r="O83">
        <v>6.3E-2</v>
      </c>
      <c r="P83">
        <v>0.78400000000000003</v>
      </c>
      <c r="Q83" s="1" t="s">
        <v>283</v>
      </c>
      <c r="R83">
        <v>5.5199999999999999E-2</v>
      </c>
      <c r="S83">
        <v>0.20200000000000001</v>
      </c>
      <c r="T83">
        <v>139.66900000000001</v>
      </c>
      <c r="U83">
        <v>4</v>
      </c>
      <c r="V83" t="s">
        <v>24</v>
      </c>
    </row>
    <row r="84" spans="3:22" x14ac:dyDescent="0.35">
      <c r="C84" t="s">
        <v>284</v>
      </c>
      <c r="D84" t="s">
        <v>149</v>
      </c>
      <c r="E84" t="s">
        <v>285</v>
      </c>
      <c r="F84" t="s">
        <v>286</v>
      </c>
      <c r="G84">
        <v>68</v>
      </c>
      <c r="H84">
        <v>236306</v>
      </c>
      <c r="I84" t="b">
        <v>0</v>
      </c>
      <c r="J84">
        <v>0.56100000000000005</v>
      </c>
      <c r="K84">
        <v>0.32700000000000001</v>
      </c>
      <c r="L84">
        <v>11</v>
      </c>
      <c r="M84">
        <v>-10.835000000000001</v>
      </c>
      <c r="N84">
        <v>0</v>
      </c>
      <c r="O84">
        <v>3.27E-2</v>
      </c>
      <c r="P84">
        <v>0.90200000000000002</v>
      </c>
      <c r="Q84">
        <v>4.6900000000000002E-4</v>
      </c>
      <c r="R84">
        <v>0.111</v>
      </c>
      <c r="S84">
        <v>0.29799999999999999</v>
      </c>
      <c r="T84">
        <v>161.858</v>
      </c>
      <c r="U84">
        <v>4</v>
      </c>
      <c r="V84" t="s">
        <v>24</v>
      </c>
    </row>
    <row r="85" spans="3:22" x14ac:dyDescent="0.35">
      <c r="C85" t="s">
        <v>287</v>
      </c>
      <c r="D85" t="s">
        <v>278</v>
      </c>
      <c r="E85" t="s">
        <v>288</v>
      </c>
      <c r="F85" t="s">
        <v>289</v>
      </c>
      <c r="G85">
        <v>0</v>
      </c>
      <c r="H85">
        <v>181400</v>
      </c>
      <c r="I85" t="b">
        <v>0</v>
      </c>
      <c r="J85">
        <v>0.47899999999999998</v>
      </c>
      <c r="K85">
        <v>0.54100000000000004</v>
      </c>
      <c r="L85">
        <v>0</v>
      </c>
      <c r="M85">
        <v>-9.8620000000000001</v>
      </c>
      <c r="N85">
        <v>1</v>
      </c>
      <c r="O85">
        <v>5.4300000000000001E-2</v>
      </c>
      <c r="P85">
        <v>0.74</v>
      </c>
      <c r="Q85">
        <v>0</v>
      </c>
      <c r="R85">
        <v>0.108</v>
      </c>
      <c r="S85">
        <v>0.3</v>
      </c>
      <c r="T85">
        <v>85.994</v>
      </c>
      <c r="U85">
        <v>4</v>
      </c>
      <c r="V85" t="s">
        <v>24</v>
      </c>
    </row>
    <row r="86" spans="3:22" x14ac:dyDescent="0.35">
      <c r="C86" t="s">
        <v>290</v>
      </c>
      <c r="D86" t="s">
        <v>278</v>
      </c>
      <c r="E86" t="s">
        <v>102</v>
      </c>
      <c r="F86" t="s">
        <v>289</v>
      </c>
      <c r="G86">
        <v>0</v>
      </c>
      <c r="H86">
        <v>181400</v>
      </c>
      <c r="I86" t="b">
        <v>0</v>
      </c>
      <c r="J86">
        <v>0.47899999999999998</v>
      </c>
      <c r="K86">
        <v>0.54100000000000004</v>
      </c>
      <c r="L86">
        <v>0</v>
      </c>
      <c r="M86">
        <v>-9.8620000000000001</v>
      </c>
      <c r="N86">
        <v>1</v>
      </c>
      <c r="O86">
        <v>5.4300000000000001E-2</v>
      </c>
      <c r="P86">
        <v>0.74</v>
      </c>
      <c r="Q86">
        <v>0</v>
      </c>
      <c r="R86">
        <v>0.108</v>
      </c>
      <c r="S86">
        <v>0.3</v>
      </c>
      <c r="T86">
        <v>85.994</v>
      </c>
      <c r="U86">
        <v>4</v>
      </c>
      <c r="V86" t="s">
        <v>24</v>
      </c>
    </row>
    <row r="87" spans="3:22" x14ac:dyDescent="0.35">
      <c r="C87" t="s">
        <v>291</v>
      </c>
      <c r="D87" t="s">
        <v>149</v>
      </c>
      <c r="E87" t="s">
        <v>285</v>
      </c>
      <c r="F87" t="s">
        <v>292</v>
      </c>
      <c r="G87">
        <v>61</v>
      </c>
      <c r="H87">
        <v>164500</v>
      </c>
      <c r="I87" t="b">
        <v>0</v>
      </c>
      <c r="J87">
        <v>0.436</v>
      </c>
      <c r="K87">
        <v>0.4</v>
      </c>
      <c r="L87">
        <v>7</v>
      </c>
      <c r="M87">
        <v>-11.484999999999999</v>
      </c>
      <c r="N87">
        <v>1</v>
      </c>
      <c r="O87">
        <v>2.7199999999999998E-2</v>
      </c>
      <c r="P87">
        <v>0.90400000000000003</v>
      </c>
      <c r="Q87">
        <v>1.0499999999999999E-3</v>
      </c>
      <c r="R87">
        <v>0.125</v>
      </c>
      <c r="S87">
        <v>0.35099999999999998</v>
      </c>
      <c r="T87">
        <v>100.73399999999999</v>
      </c>
      <c r="U87">
        <v>4</v>
      </c>
      <c r="V87" t="s">
        <v>24</v>
      </c>
    </row>
    <row r="88" spans="3:22" x14ac:dyDescent="0.35">
      <c r="C88" t="s">
        <v>293</v>
      </c>
      <c r="D88" t="s">
        <v>204</v>
      </c>
      <c r="E88" t="s">
        <v>294</v>
      </c>
      <c r="F88" t="s">
        <v>295</v>
      </c>
      <c r="G88">
        <v>70</v>
      </c>
      <c r="H88">
        <v>220573</v>
      </c>
      <c r="I88" t="b">
        <v>0</v>
      </c>
      <c r="J88">
        <v>0.55100000000000005</v>
      </c>
      <c r="K88">
        <v>0.83599999999999997</v>
      </c>
      <c r="L88">
        <v>10</v>
      </c>
      <c r="M88">
        <v>-3.8380000000000001</v>
      </c>
      <c r="N88">
        <v>0</v>
      </c>
      <c r="O88">
        <v>5.2400000000000002E-2</v>
      </c>
      <c r="P88">
        <v>5.0200000000000002E-3</v>
      </c>
      <c r="Q88" s="1" t="s">
        <v>296</v>
      </c>
      <c r="R88">
        <v>4.2500000000000003E-2</v>
      </c>
      <c r="S88">
        <v>0.75800000000000001</v>
      </c>
      <c r="T88">
        <v>185.06299999999999</v>
      </c>
      <c r="U88">
        <v>4</v>
      </c>
      <c r="V88" t="s">
        <v>24</v>
      </c>
    </row>
    <row r="89" spans="3:22" x14ac:dyDescent="0.35">
      <c r="C89" t="s">
        <v>297</v>
      </c>
      <c r="D89" t="s">
        <v>135</v>
      </c>
      <c r="E89" t="s">
        <v>298</v>
      </c>
      <c r="F89" t="s">
        <v>137</v>
      </c>
      <c r="G89">
        <v>0</v>
      </c>
      <c r="H89">
        <v>257493</v>
      </c>
      <c r="I89" t="b">
        <v>0</v>
      </c>
      <c r="J89">
        <v>0.40899999999999997</v>
      </c>
      <c r="K89">
        <v>0.153</v>
      </c>
      <c r="L89">
        <v>6</v>
      </c>
      <c r="M89">
        <v>-10.74</v>
      </c>
      <c r="N89">
        <v>0</v>
      </c>
      <c r="O89">
        <v>3.0599999999999999E-2</v>
      </c>
      <c r="P89">
        <v>0.93899999999999995</v>
      </c>
      <c r="Q89" s="1" t="s">
        <v>138</v>
      </c>
      <c r="R89">
        <v>0.108</v>
      </c>
      <c r="S89">
        <v>0.18</v>
      </c>
      <c r="T89">
        <v>85.262</v>
      </c>
      <c r="U89">
        <v>4</v>
      </c>
      <c r="V89" t="s">
        <v>24</v>
      </c>
    </row>
    <row r="90" spans="3:22" x14ac:dyDescent="0.35">
      <c r="C90" t="s">
        <v>299</v>
      </c>
      <c r="D90" t="s">
        <v>135</v>
      </c>
      <c r="E90" t="s">
        <v>300</v>
      </c>
      <c r="F90" t="s">
        <v>137</v>
      </c>
      <c r="G90">
        <v>0</v>
      </c>
      <c r="H90">
        <v>257493</v>
      </c>
      <c r="I90" t="b">
        <v>0</v>
      </c>
      <c r="J90">
        <v>0.40899999999999997</v>
      </c>
      <c r="K90">
        <v>0.153</v>
      </c>
      <c r="L90">
        <v>6</v>
      </c>
      <c r="M90">
        <v>-10.74</v>
      </c>
      <c r="N90">
        <v>0</v>
      </c>
      <c r="O90">
        <v>3.0599999999999999E-2</v>
      </c>
      <c r="P90">
        <v>0.93899999999999995</v>
      </c>
      <c r="Q90" s="1" t="s">
        <v>138</v>
      </c>
      <c r="R90">
        <v>0.108</v>
      </c>
      <c r="S90">
        <v>0.18</v>
      </c>
      <c r="T90">
        <v>85.262</v>
      </c>
      <c r="U90">
        <v>4</v>
      </c>
      <c r="V90" t="s">
        <v>24</v>
      </c>
    </row>
    <row r="91" spans="3:22" x14ac:dyDescent="0.35">
      <c r="C91" t="s">
        <v>301</v>
      </c>
      <c r="D91" t="s">
        <v>248</v>
      </c>
      <c r="E91" t="s">
        <v>302</v>
      </c>
      <c r="F91" t="s">
        <v>303</v>
      </c>
      <c r="G91">
        <v>62</v>
      </c>
      <c r="H91">
        <v>210612</v>
      </c>
      <c r="I91" t="b">
        <v>0</v>
      </c>
      <c r="J91">
        <v>0.6</v>
      </c>
      <c r="K91">
        <v>0.84499999999999997</v>
      </c>
      <c r="L91">
        <v>10</v>
      </c>
      <c r="M91">
        <v>-7.0759999999999996</v>
      </c>
      <c r="N91">
        <v>1</v>
      </c>
      <c r="O91">
        <v>3.1099999999999999E-2</v>
      </c>
      <c r="P91">
        <v>4.8000000000000001E-2</v>
      </c>
      <c r="Q91">
        <v>0</v>
      </c>
      <c r="R91">
        <v>0.24</v>
      </c>
      <c r="S91">
        <v>0.39200000000000002</v>
      </c>
      <c r="T91">
        <v>97.631</v>
      </c>
      <c r="U91">
        <v>4</v>
      </c>
      <c r="V91" t="s">
        <v>24</v>
      </c>
    </row>
    <row r="92" spans="3:22" x14ac:dyDescent="0.35">
      <c r="C92" t="s">
        <v>304</v>
      </c>
      <c r="D92" t="s">
        <v>305</v>
      </c>
      <c r="E92" t="s">
        <v>298</v>
      </c>
      <c r="F92" t="s">
        <v>306</v>
      </c>
      <c r="G92">
        <v>0</v>
      </c>
      <c r="H92">
        <v>154440</v>
      </c>
      <c r="I92" t="b">
        <v>0</v>
      </c>
      <c r="J92">
        <v>0.49199999999999999</v>
      </c>
      <c r="K92">
        <v>0.14499999999999999</v>
      </c>
      <c r="L92">
        <v>2</v>
      </c>
      <c r="M92">
        <v>-14.504</v>
      </c>
      <c r="N92">
        <v>0</v>
      </c>
      <c r="O92">
        <v>4.2200000000000001E-2</v>
      </c>
      <c r="P92">
        <v>0.872</v>
      </c>
      <c r="Q92" s="1" t="s">
        <v>307</v>
      </c>
      <c r="R92">
        <v>0.107</v>
      </c>
      <c r="S92">
        <v>0.218</v>
      </c>
      <c r="T92">
        <v>90.078000000000003</v>
      </c>
      <c r="U92">
        <v>4</v>
      </c>
      <c r="V92" t="s">
        <v>24</v>
      </c>
    </row>
    <row r="93" spans="3:22" x14ac:dyDescent="0.35">
      <c r="C93" t="s">
        <v>308</v>
      </c>
      <c r="D93" t="s">
        <v>305</v>
      </c>
      <c r="E93" t="s">
        <v>309</v>
      </c>
      <c r="F93" t="s">
        <v>306</v>
      </c>
      <c r="G93">
        <v>0</v>
      </c>
      <c r="H93">
        <v>154440</v>
      </c>
      <c r="I93" t="b">
        <v>0</v>
      </c>
      <c r="J93">
        <v>0.49199999999999999</v>
      </c>
      <c r="K93">
        <v>0.14499999999999999</v>
      </c>
      <c r="L93">
        <v>2</v>
      </c>
      <c r="M93">
        <v>-14.504</v>
      </c>
      <c r="N93">
        <v>0</v>
      </c>
      <c r="O93">
        <v>4.2200000000000001E-2</v>
      </c>
      <c r="P93">
        <v>0.872</v>
      </c>
      <c r="Q93" s="1" t="s">
        <v>307</v>
      </c>
      <c r="R93">
        <v>0.107</v>
      </c>
      <c r="S93">
        <v>0.218</v>
      </c>
      <c r="T93">
        <v>90.078000000000003</v>
      </c>
      <c r="U93">
        <v>4</v>
      </c>
      <c r="V93" t="s">
        <v>24</v>
      </c>
    </row>
    <row r="94" spans="3:22" x14ac:dyDescent="0.35">
      <c r="C94" t="s">
        <v>310</v>
      </c>
      <c r="D94" t="s">
        <v>135</v>
      </c>
      <c r="E94" t="s">
        <v>309</v>
      </c>
      <c r="F94" t="s">
        <v>311</v>
      </c>
      <c r="G94">
        <v>0</v>
      </c>
      <c r="H94">
        <v>263866</v>
      </c>
      <c r="I94" t="b">
        <v>0</v>
      </c>
      <c r="J94">
        <v>0.44700000000000001</v>
      </c>
      <c r="K94">
        <v>0.55500000000000005</v>
      </c>
      <c r="L94">
        <v>2</v>
      </c>
      <c r="M94">
        <v>-6.0179999999999998</v>
      </c>
      <c r="N94">
        <v>1</v>
      </c>
      <c r="O94">
        <v>3.49E-2</v>
      </c>
      <c r="P94">
        <v>0.218</v>
      </c>
      <c r="Q94" s="1" t="s">
        <v>312</v>
      </c>
      <c r="R94">
        <v>0.124</v>
      </c>
      <c r="S94">
        <v>0.33</v>
      </c>
      <c r="T94">
        <v>117.88800000000001</v>
      </c>
      <c r="U94">
        <v>3</v>
      </c>
      <c r="V94" t="s">
        <v>24</v>
      </c>
    </row>
    <row r="95" spans="3:22" x14ac:dyDescent="0.35">
      <c r="C95" t="s">
        <v>313</v>
      </c>
      <c r="D95" t="s">
        <v>305</v>
      </c>
      <c r="E95" t="s">
        <v>314</v>
      </c>
      <c r="F95" t="s">
        <v>306</v>
      </c>
      <c r="G95">
        <v>0</v>
      </c>
      <c r="H95">
        <v>154440</v>
      </c>
      <c r="I95" t="b">
        <v>0</v>
      </c>
      <c r="J95">
        <v>0.49199999999999999</v>
      </c>
      <c r="K95">
        <v>0.14499999999999999</v>
      </c>
      <c r="L95">
        <v>2</v>
      </c>
      <c r="M95">
        <v>-14.504</v>
      </c>
      <c r="N95">
        <v>0</v>
      </c>
      <c r="O95">
        <v>4.2200000000000001E-2</v>
      </c>
      <c r="P95">
        <v>0.872</v>
      </c>
      <c r="Q95" s="1" t="s">
        <v>307</v>
      </c>
      <c r="R95">
        <v>0.107</v>
      </c>
      <c r="S95">
        <v>0.218</v>
      </c>
      <c r="T95">
        <v>90.078000000000003</v>
      </c>
      <c r="U95">
        <v>4</v>
      </c>
      <c r="V95" t="s">
        <v>24</v>
      </c>
    </row>
    <row r="96" spans="3:22" x14ac:dyDescent="0.35">
      <c r="C96" t="s">
        <v>315</v>
      </c>
      <c r="D96" t="s">
        <v>305</v>
      </c>
      <c r="E96" t="s">
        <v>300</v>
      </c>
      <c r="F96" t="s">
        <v>306</v>
      </c>
      <c r="G96">
        <v>0</v>
      </c>
      <c r="H96">
        <v>154440</v>
      </c>
      <c r="I96" t="b">
        <v>0</v>
      </c>
      <c r="J96">
        <v>0.49199999999999999</v>
      </c>
      <c r="K96">
        <v>0.14499999999999999</v>
      </c>
      <c r="L96">
        <v>2</v>
      </c>
      <c r="M96">
        <v>-14.504</v>
      </c>
      <c r="N96">
        <v>0</v>
      </c>
      <c r="O96">
        <v>4.2200000000000001E-2</v>
      </c>
      <c r="P96">
        <v>0.872</v>
      </c>
      <c r="Q96" s="1" t="s">
        <v>307</v>
      </c>
      <c r="R96">
        <v>0.107</v>
      </c>
      <c r="S96">
        <v>0.218</v>
      </c>
      <c r="T96">
        <v>90.078000000000003</v>
      </c>
      <c r="U96">
        <v>4</v>
      </c>
      <c r="V96" t="s">
        <v>24</v>
      </c>
    </row>
    <row r="97" spans="3:22" x14ac:dyDescent="0.35">
      <c r="C97" t="s">
        <v>316</v>
      </c>
      <c r="D97" t="s">
        <v>305</v>
      </c>
      <c r="E97" t="s">
        <v>136</v>
      </c>
      <c r="F97" t="s">
        <v>306</v>
      </c>
      <c r="G97">
        <v>0</v>
      </c>
      <c r="H97">
        <v>154440</v>
      </c>
      <c r="I97" t="b">
        <v>0</v>
      </c>
      <c r="J97">
        <v>0.49199999999999999</v>
      </c>
      <c r="K97">
        <v>0.14499999999999999</v>
      </c>
      <c r="L97">
        <v>2</v>
      </c>
      <c r="M97">
        <v>-14.504</v>
      </c>
      <c r="N97">
        <v>0</v>
      </c>
      <c r="O97">
        <v>4.2200000000000001E-2</v>
      </c>
      <c r="P97">
        <v>0.872</v>
      </c>
      <c r="Q97" s="1" t="s">
        <v>307</v>
      </c>
      <c r="R97">
        <v>0.107</v>
      </c>
      <c r="S97">
        <v>0.218</v>
      </c>
      <c r="T97">
        <v>90.078000000000003</v>
      </c>
      <c r="U97">
        <v>4</v>
      </c>
      <c r="V97" t="s">
        <v>24</v>
      </c>
    </row>
    <row r="98" spans="3:22" x14ac:dyDescent="0.35">
      <c r="C98" t="s">
        <v>317</v>
      </c>
      <c r="D98" t="s">
        <v>305</v>
      </c>
      <c r="E98" t="s">
        <v>147</v>
      </c>
      <c r="F98" t="s">
        <v>306</v>
      </c>
      <c r="G98">
        <v>0</v>
      </c>
      <c r="H98">
        <v>154440</v>
      </c>
      <c r="I98" t="b">
        <v>0</v>
      </c>
      <c r="J98">
        <v>0.49199999999999999</v>
      </c>
      <c r="K98">
        <v>0.14499999999999999</v>
      </c>
      <c r="L98">
        <v>2</v>
      </c>
      <c r="M98">
        <v>-14.504</v>
      </c>
      <c r="N98">
        <v>0</v>
      </c>
      <c r="O98">
        <v>4.2200000000000001E-2</v>
      </c>
      <c r="P98">
        <v>0.872</v>
      </c>
      <c r="Q98" s="1" t="s">
        <v>307</v>
      </c>
      <c r="R98">
        <v>0.107</v>
      </c>
      <c r="S98">
        <v>0.218</v>
      </c>
      <c r="T98">
        <v>90.078000000000003</v>
      </c>
      <c r="U98">
        <v>4</v>
      </c>
      <c r="V98" t="s">
        <v>24</v>
      </c>
    </row>
    <row r="99" spans="3:22" x14ac:dyDescent="0.35">
      <c r="C99" t="s">
        <v>318</v>
      </c>
      <c r="D99" t="s">
        <v>305</v>
      </c>
      <c r="E99" t="s">
        <v>126</v>
      </c>
      <c r="F99" t="s">
        <v>306</v>
      </c>
      <c r="G99">
        <v>0</v>
      </c>
      <c r="H99">
        <v>154440</v>
      </c>
      <c r="I99" t="b">
        <v>0</v>
      </c>
      <c r="J99">
        <v>0.49199999999999999</v>
      </c>
      <c r="K99">
        <v>0.14499999999999999</v>
      </c>
      <c r="L99">
        <v>2</v>
      </c>
      <c r="M99">
        <v>-14.504</v>
      </c>
      <c r="N99">
        <v>0</v>
      </c>
      <c r="O99">
        <v>4.2200000000000001E-2</v>
      </c>
      <c r="P99">
        <v>0.872</v>
      </c>
      <c r="Q99" s="1" t="s">
        <v>307</v>
      </c>
      <c r="R99">
        <v>0.107</v>
      </c>
      <c r="S99">
        <v>0.218</v>
      </c>
      <c r="T99">
        <v>90.078000000000003</v>
      </c>
      <c r="U99">
        <v>4</v>
      </c>
      <c r="V99" t="s">
        <v>24</v>
      </c>
    </row>
    <row r="100" spans="3:22" x14ac:dyDescent="0.35">
      <c r="C100" t="s">
        <v>319</v>
      </c>
      <c r="D100" t="s">
        <v>135</v>
      </c>
      <c r="E100" t="s">
        <v>320</v>
      </c>
      <c r="F100" t="s">
        <v>40</v>
      </c>
      <c r="G100">
        <v>0</v>
      </c>
      <c r="H100">
        <v>177613</v>
      </c>
      <c r="I100" t="b">
        <v>0</v>
      </c>
      <c r="J100">
        <v>0.66100000000000003</v>
      </c>
      <c r="K100">
        <v>0.93700000000000006</v>
      </c>
      <c r="L100">
        <v>4</v>
      </c>
      <c r="M100">
        <v>-5.157</v>
      </c>
      <c r="N100">
        <v>0</v>
      </c>
      <c r="O100">
        <v>9.7900000000000001E-2</v>
      </c>
      <c r="P100">
        <v>0.32200000000000001</v>
      </c>
      <c r="Q100" s="1" t="s">
        <v>321</v>
      </c>
      <c r="R100">
        <v>0.19</v>
      </c>
      <c r="S100">
        <v>0.80500000000000005</v>
      </c>
      <c r="T100">
        <v>105.54900000000001</v>
      </c>
      <c r="U100">
        <v>4</v>
      </c>
      <c r="V100" t="s">
        <v>24</v>
      </c>
    </row>
    <row r="101" spans="3:22" x14ac:dyDescent="0.35">
      <c r="C101" t="s">
        <v>322</v>
      </c>
      <c r="D101" t="s">
        <v>135</v>
      </c>
      <c r="E101" t="s">
        <v>323</v>
      </c>
      <c r="F101" t="s">
        <v>324</v>
      </c>
      <c r="G101">
        <v>0</v>
      </c>
      <c r="H101">
        <v>199040</v>
      </c>
      <c r="I101" t="b">
        <v>0</v>
      </c>
      <c r="J101">
        <v>0.60299999999999998</v>
      </c>
      <c r="K101">
        <v>0.78</v>
      </c>
      <c r="L101">
        <v>0</v>
      </c>
      <c r="M101">
        <v>-5.5309999999999997</v>
      </c>
      <c r="N101">
        <v>1</v>
      </c>
      <c r="O101">
        <v>4.3799999999999999E-2</v>
      </c>
      <c r="P101">
        <v>0.13900000000000001</v>
      </c>
      <c r="Q101">
        <v>0</v>
      </c>
      <c r="R101">
        <v>0.16400000000000001</v>
      </c>
      <c r="S101">
        <v>0.69299999999999995</v>
      </c>
      <c r="T101">
        <v>100.499</v>
      </c>
      <c r="U101">
        <v>4</v>
      </c>
      <c r="V101" t="s">
        <v>24</v>
      </c>
    </row>
    <row r="102" spans="3:22" x14ac:dyDescent="0.35">
      <c r="C102" t="s">
        <v>325</v>
      </c>
      <c r="D102" t="s">
        <v>180</v>
      </c>
      <c r="E102" t="s">
        <v>326</v>
      </c>
      <c r="F102" t="s">
        <v>327</v>
      </c>
      <c r="G102">
        <v>58</v>
      </c>
      <c r="H102">
        <v>293040</v>
      </c>
      <c r="I102" t="b">
        <v>0</v>
      </c>
      <c r="J102">
        <v>0.626</v>
      </c>
      <c r="K102">
        <v>0.65500000000000003</v>
      </c>
      <c r="L102">
        <v>9</v>
      </c>
      <c r="M102">
        <v>-6.69</v>
      </c>
      <c r="N102">
        <v>1</v>
      </c>
      <c r="O102">
        <v>2.63E-2</v>
      </c>
      <c r="P102">
        <v>0.503</v>
      </c>
      <c r="Q102">
        <v>0</v>
      </c>
      <c r="R102">
        <v>0.13</v>
      </c>
      <c r="S102">
        <v>0.54200000000000004</v>
      </c>
      <c r="T102">
        <v>92.003</v>
      </c>
      <c r="U102">
        <v>4</v>
      </c>
      <c r="V102" t="s">
        <v>24</v>
      </c>
    </row>
    <row r="103" spans="3:22" x14ac:dyDescent="0.35">
      <c r="C103" t="s">
        <v>328</v>
      </c>
      <c r="D103" t="s">
        <v>329</v>
      </c>
      <c r="E103" t="s">
        <v>330</v>
      </c>
      <c r="F103" t="s">
        <v>331</v>
      </c>
      <c r="G103">
        <v>50</v>
      </c>
      <c r="H103">
        <v>138495</v>
      </c>
      <c r="I103" t="b">
        <v>0</v>
      </c>
      <c r="J103">
        <v>0.79400000000000004</v>
      </c>
      <c r="K103">
        <v>0.38</v>
      </c>
      <c r="L103">
        <v>10</v>
      </c>
      <c r="M103">
        <v>-8.7690000000000001</v>
      </c>
      <c r="N103">
        <v>0</v>
      </c>
      <c r="O103">
        <v>4.7699999999999999E-2</v>
      </c>
      <c r="P103">
        <v>0.76200000000000001</v>
      </c>
      <c r="Q103">
        <v>0</v>
      </c>
      <c r="R103">
        <v>0.26200000000000001</v>
      </c>
      <c r="S103">
        <v>0.61699999999999999</v>
      </c>
      <c r="T103">
        <v>114.99</v>
      </c>
      <c r="U103">
        <v>4</v>
      </c>
      <c r="V103" t="s">
        <v>24</v>
      </c>
    </row>
    <row r="104" spans="3:22" x14ac:dyDescent="0.35">
      <c r="C104" t="s">
        <v>332</v>
      </c>
      <c r="D104" t="s">
        <v>184</v>
      </c>
      <c r="E104" t="s">
        <v>333</v>
      </c>
      <c r="F104" t="s">
        <v>334</v>
      </c>
      <c r="G104">
        <v>59</v>
      </c>
      <c r="H104">
        <v>198626</v>
      </c>
      <c r="I104" t="b">
        <v>0</v>
      </c>
      <c r="J104">
        <v>0.52</v>
      </c>
      <c r="K104">
        <v>0.27900000000000003</v>
      </c>
      <c r="L104">
        <v>5</v>
      </c>
      <c r="M104">
        <v>-10.739000000000001</v>
      </c>
      <c r="N104">
        <v>0</v>
      </c>
      <c r="O104">
        <v>5.4699999999999999E-2</v>
      </c>
      <c r="P104">
        <v>0.89400000000000002</v>
      </c>
      <c r="Q104">
        <v>1.05E-4</v>
      </c>
      <c r="R104">
        <v>0.10299999999999999</v>
      </c>
      <c r="S104">
        <v>9.5100000000000004E-2</v>
      </c>
      <c r="T104">
        <v>69.641999999999996</v>
      </c>
      <c r="U104">
        <v>4</v>
      </c>
      <c r="V104" t="s">
        <v>24</v>
      </c>
    </row>
    <row r="105" spans="3:22" x14ac:dyDescent="0.35">
      <c r="C105" t="s">
        <v>335</v>
      </c>
      <c r="D105" t="s">
        <v>336</v>
      </c>
      <c r="E105" t="s">
        <v>97</v>
      </c>
      <c r="F105" t="s">
        <v>337</v>
      </c>
      <c r="G105">
        <v>57</v>
      </c>
      <c r="H105">
        <v>292566</v>
      </c>
      <c r="I105" t="b">
        <v>0</v>
      </c>
      <c r="J105">
        <v>0.54500000000000004</v>
      </c>
      <c r="K105">
        <v>0.65800000000000003</v>
      </c>
      <c r="L105">
        <v>1</v>
      </c>
      <c r="M105">
        <v>-7.1740000000000004</v>
      </c>
      <c r="N105">
        <v>1</v>
      </c>
      <c r="O105">
        <v>4.7399999999999998E-2</v>
      </c>
      <c r="P105">
        <v>0.496</v>
      </c>
      <c r="Q105">
        <v>0</v>
      </c>
      <c r="R105">
        <v>0.105</v>
      </c>
      <c r="S105">
        <v>0.68300000000000005</v>
      </c>
      <c r="T105">
        <v>76.971000000000004</v>
      </c>
      <c r="U105">
        <v>4</v>
      </c>
      <c r="V105" t="s">
        <v>24</v>
      </c>
    </row>
    <row r="106" spans="3:22" x14ac:dyDescent="0.35">
      <c r="C106" t="s">
        <v>338</v>
      </c>
      <c r="D106" t="s">
        <v>339</v>
      </c>
      <c r="E106" t="s">
        <v>340</v>
      </c>
      <c r="F106" t="s">
        <v>340</v>
      </c>
      <c r="G106">
        <v>60</v>
      </c>
      <c r="H106">
        <v>199019</v>
      </c>
      <c r="I106" t="b">
        <v>0</v>
      </c>
      <c r="J106">
        <v>0.72799999999999998</v>
      </c>
      <c r="K106">
        <v>0.26600000000000001</v>
      </c>
      <c r="L106">
        <v>8</v>
      </c>
      <c r="M106">
        <v>-7.3220000000000001</v>
      </c>
      <c r="N106">
        <v>1</v>
      </c>
      <c r="O106">
        <v>2.93E-2</v>
      </c>
      <c r="P106">
        <v>0.872</v>
      </c>
      <c r="Q106" s="1" t="s">
        <v>341</v>
      </c>
      <c r="R106">
        <v>0.114</v>
      </c>
      <c r="S106">
        <v>0.307</v>
      </c>
      <c r="T106">
        <v>115.18899999999999</v>
      </c>
      <c r="U106">
        <v>4</v>
      </c>
      <c r="V106" t="s">
        <v>24</v>
      </c>
    </row>
    <row r="107" spans="3:22" x14ac:dyDescent="0.35">
      <c r="C107" t="s">
        <v>342</v>
      </c>
      <c r="D107" t="s">
        <v>343</v>
      </c>
      <c r="E107" t="s">
        <v>344</v>
      </c>
      <c r="F107" t="s">
        <v>345</v>
      </c>
      <c r="G107">
        <v>61</v>
      </c>
      <c r="H107">
        <v>181760</v>
      </c>
      <c r="I107" t="b">
        <v>0</v>
      </c>
      <c r="J107">
        <v>0.66</v>
      </c>
      <c r="K107">
        <v>0.40699999999999997</v>
      </c>
      <c r="L107">
        <v>7</v>
      </c>
      <c r="M107">
        <v>-8.3810000000000002</v>
      </c>
      <c r="N107">
        <v>1</v>
      </c>
      <c r="O107">
        <v>5.7099999999999998E-2</v>
      </c>
      <c r="P107">
        <v>0.23599999999999999</v>
      </c>
      <c r="Q107">
        <v>0</v>
      </c>
      <c r="R107">
        <v>0.109</v>
      </c>
      <c r="S107">
        <v>0.25700000000000001</v>
      </c>
      <c r="T107">
        <v>133.86000000000001</v>
      </c>
      <c r="U107">
        <v>4</v>
      </c>
      <c r="V107" t="s">
        <v>24</v>
      </c>
    </row>
    <row r="108" spans="3:22" x14ac:dyDescent="0.35">
      <c r="C108" t="s">
        <v>346</v>
      </c>
      <c r="D108" t="s">
        <v>347</v>
      </c>
      <c r="E108" t="s">
        <v>348</v>
      </c>
      <c r="F108" t="s">
        <v>349</v>
      </c>
      <c r="G108">
        <v>49</v>
      </c>
      <c r="H108">
        <v>349920</v>
      </c>
      <c r="I108" t="b">
        <v>0</v>
      </c>
      <c r="J108">
        <v>0.35699999999999998</v>
      </c>
      <c r="K108">
        <v>0.161</v>
      </c>
      <c r="L108">
        <v>8</v>
      </c>
      <c r="M108">
        <v>-10.667</v>
      </c>
      <c r="N108">
        <v>1</v>
      </c>
      <c r="O108">
        <v>3.8800000000000001E-2</v>
      </c>
      <c r="P108">
        <v>0.97099999999999997</v>
      </c>
      <c r="Q108" s="1" t="s">
        <v>350</v>
      </c>
      <c r="R108">
        <v>0.35799999999999998</v>
      </c>
      <c r="S108">
        <v>0.32500000000000001</v>
      </c>
      <c r="T108">
        <v>83.448999999999998</v>
      </c>
      <c r="U108">
        <v>4</v>
      </c>
      <c r="V108" t="s">
        <v>24</v>
      </c>
    </row>
    <row r="109" spans="3:22" x14ac:dyDescent="0.35">
      <c r="C109" t="s">
        <v>351</v>
      </c>
      <c r="D109" t="s">
        <v>352</v>
      </c>
      <c r="E109" t="s">
        <v>353</v>
      </c>
      <c r="F109" t="s">
        <v>354</v>
      </c>
      <c r="G109">
        <v>55</v>
      </c>
      <c r="H109">
        <v>204973</v>
      </c>
      <c r="I109" t="b">
        <v>0</v>
      </c>
      <c r="J109">
        <v>0.47899999999999998</v>
      </c>
      <c r="K109">
        <v>0.154</v>
      </c>
      <c r="L109">
        <v>2</v>
      </c>
      <c r="M109">
        <v>-11.282</v>
      </c>
      <c r="N109">
        <v>1</v>
      </c>
      <c r="O109">
        <v>3.5200000000000002E-2</v>
      </c>
      <c r="P109">
        <v>0.91500000000000004</v>
      </c>
      <c r="Q109">
        <v>0</v>
      </c>
      <c r="R109">
        <v>9.74E-2</v>
      </c>
      <c r="S109">
        <v>0.36</v>
      </c>
      <c r="T109">
        <v>147.20699999999999</v>
      </c>
      <c r="U109">
        <v>4</v>
      </c>
      <c r="V109" t="s">
        <v>24</v>
      </c>
    </row>
    <row r="110" spans="3:22" x14ac:dyDescent="0.35">
      <c r="C110" t="s">
        <v>355</v>
      </c>
      <c r="D110" t="s">
        <v>356</v>
      </c>
      <c r="E110" t="s">
        <v>357</v>
      </c>
      <c r="F110" t="s">
        <v>357</v>
      </c>
      <c r="G110">
        <v>51</v>
      </c>
      <c r="H110">
        <v>322146</v>
      </c>
      <c r="I110" t="b">
        <v>0</v>
      </c>
      <c r="J110">
        <v>0.59199999999999997</v>
      </c>
      <c r="K110">
        <v>0.76900000000000002</v>
      </c>
      <c r="L110">
        <v>2</v>
      </c>
      <c r="M110">
        <v>-5.2679999999999998</v>
      </c>
      <c r="N110">
        <v>1</v>
      </c>
      <c r="O110">
        <v>3.1099999999999999E-2</v>
      </c>
      <c r="P110">
        <v>0.31900000000000001</v>
      </c>
      <c r="Q110" s="1" t="s">
        <v>358</v>
      </c>
      <c r="R110">
        <v>0.13700000000000001</v>
      </c>
      <c r="S110">
        <v>0.38500000000000001</v>
      </c>
      <c r="T110">
        <v>102.033</v>
      </c>
      <c r="U110">
        <v>4</v>
      </c>
      <c r="V110" t="s">
        <v>24</v>
      </c>
    </row>
    <row r="111" spans="3:22" x14ac:dyDescent="0.35">
      <c r="C111" t="s">
        <v>359</v>
      </c>
      <c r="D111" t="s">
        <v>240</v>
      </c>
      <c r="E111" t="s">
        <v>360</v>
      </c>
      <c r="F111" t="s">
        <v>361</v>
      </c>
      <c r="G111">
        <v>46</v>
      </c>
      <c r="H111">
        <v>210375</v>
      </c>
      <c r="I111" t="b">
        <v>0</v>
      </c>
      <c r="J111">
        <v>0.7</v>
      </c>
      <c r="K111">
        <v>0.45400000000000001</v>
      </c>
      <c r="L111">
        <v>7</v>
      </c>
      <c r="M111">
        <v>-10.39</v>
      </c>
      <c r="N111">
        <v>0</v>
      </c>
      <c r="O111">
        <v>3.8800000000000001E-2</v>
      </c>
      <c r="P111">
        <v>0.55000000000000004</v>
      </c>
      <c r="Q111">
        <v>2.2000000000000001E-3</v>
      </c>
      <c r="R111">
        <v>0.121</v>
      </c>
      <c r="S111">
        <v>0.34</v>
      </c>
      <c r="T111">
        <v>80.010999999999996</v>
      </c>
      <c r="U111">
        <v>3</v>
      </c>
      <c r="V111" t="s">
        <v>24</v>
      </c>
    </row>
    <row r="112" spans="3:22" x14ac:dyDescent="0.35">
      <c r="C112" t="s">
        <v>362</v>
      </c>
      <c r="D112" t="s">
        <v>339</v>
      </c>
      <c r="E112" t="s">
        <v>363</v>
      </c>
      <c r="F112" t="s">
        <v>364</v>
      </c>
      <c r="G112">
        <v>57</v>
      </c>
      <c r="H112">
        <v>131000</v>
      </c>
      <c r="I112" t="b">
        <v>0</v>
      </c>
      <c r="J112">
        <v>0.40200000000000002</v>
      </c>
      <c r="K112">
        <v>0.19700000000000001</v>
      </c>
      <c r="L112">
        <v>5</v>
      </c>
      <c r="M112">
        <v>-10.775</v>
      </c>
      <c r="N112">
        <v>1</v>
      </c>
      <c r="O112">
        <v>2.9499999999999998E-2</v>
      </c>
      <c r="P112">
        <v>0.85799999999999998</v>
      </c>
      <c r="Q112" s="1" t="s">
        <v>365</v>
      </c>
      <c r="R112">
        <v>0.114</v>
      </c>
      <c r="S112">
        <v>0.14799999999999999</v>
      </c>
      <c r="T112">
        <v>100.044</v>
      </c>
      <c r="U112">
        <v>3</v>
      </c>
      <c r="V112" t="s">
        <v>24</v>
      </c>
    </row>
    <row r="113" spans="3:22" x14ac:dyDescent="0.35">
      <c r="C113" t="s">
        <v>366</v>
      </c>
      <c r="D113" t="s">
        <v>184</v>
      </c>
      <c r="E113" t="s">
        <v>367</v>
      </c>
      <c r="F113" t="s">
        <v>367</v>
      </c>
      <c r="G113">
        <v>58</v>
      </c>
      <c r="H113">
        <v>218531</v>
      </c>
      <c r="I113" t="b">
        <v>0</v>
      </c>
      <c r="J113">
        <v>0.50700000000000001</v>
      </c>
      <c r="K113">
        <v>0.378</v>
      </c>
      <c r="L113">
        <v>9</v>
      </c>
      <c r="M113">
        <v>-9.0190000000000001</v>
      </c>
      <c r="N113">
        <v>1</v>
      </c>
      <c r="O113">
        <v>3.32E-2</v>
      </c>
      <c r="P113">
        <v>0.85199999999999998</v>
      </c>
      <c r="Q113">
        <v>2.12E-4</v>
      </c>
      <c r="R113">
        <v>9.3700000000000006E-2</v>
      </c>
      <c r="S113">
        <v>8.5000000000000006E-2</v>
      </c>
      <c r="T113">
        <v>135.86000000000001</v>
      </c>
      <c r="U113">
        <v>4</v>
      </c>
      <c r="V113" t="s">
        <v>24</v>
      </c>
    </row>
    <row r="114" spans="3:22" x14ac:dyDescent="0.35">
      <c r="C114" t="s">
        <v>368</v>
      </c>
      <c r="D114" t="s">
        <v>26</v>
      </c>
      <c r="E114" t="s">
        <v>369</v>
      </c>
      <c r="F114" t="s">
        <v>369</v>
      </c>
      <c r="G114">
        <v>51</v>
      </c>
      <c r="H114">
        <v>195945</v>
      </c>
      <c r="I114" t="b">
        <v>0</v>
      </c>
      <c r="J114">
        <v>0.61899999999999999</v>
      </c>
      <c r="K114">
        <v>0.22600000000000001</v>
      </c>
      <c r="L114">
        <v>4</v>
      </c>
      <c r="M114">
        <v>-13.452999999999999</v>
      </c>
      <c r="N114">
        <v>1</v>
      </c>
      <c r="O114">
        <v>6.4100000000000004E-2</v>
      </c>
      <c r="P114">
        <v>0.95899999999999996</v>
      </c>
      <c r="Q114" s="1" t="s">
        <v>370</v>
      </c>
      <c r="R114">
        <v>0.106</v>
      </c>
      <c r="S114">
        <v>0.188</v>
      </c>
      <c r="T114">
        <v>124.96</v>
      </c>
      <c r="U114">
        <v>3</v>
      </c>
      <c r="V114" t="s">
        <v>24</v>
      </c>
    </row>
    <row r="115" spans="3:22" x14ac:dyDescent="0.35">
      <c r="C115" t="s">
        <v>371</v>
      </c>
      <c r="D115" t="s">
        <v>372</v>
      </c>
      <c r="E115" t="s">
        <v>373</v>
      </c>
      <c r="F115" t="s">
        <v>374</v>
      </c>
      <c r="G115">
        <v>63</v>
      </c>
      <c r="H115">
        <v>245933</v>
      </c>
      <c r="I115" t="b">
        <v>0</v>
      </c>
      <c r="J115">
        <v>0.40400000000000003</v>
      </c>
      <c r="K115">
        <v>0.57099999999999995</v>
      </c>
      <c r="L115">
        <v>0</v>
      </c>
      <c r="M115">
        <v>-5.069</v>
      </c>
      <c r="N115">
        <v>1</v>
      </c>
      <c r="O115">
        <v>3.0300000000000001E-2</v>
      </c>
      <c r="P115">
        <v>0.182</v>
      </c>
      <c r="Q115" s="1" t="s">
        <v>375</v>
      </c>
      <c r="R115">
        <v>0.129</v>
      </c>
      <c r="S115">
        <v>0.28999999999999998</v>
      </c>
      <c r="T115">
        <v>147.01</v>
      </c>
      <c r="U115">
        <v>4</v>
      </c>
      <c r="V115" t="s">
        <v>24</v>
      </c>
    </row>
    <row r="116" spans="3:22" x14ac:dyDescent="0.35">
      <c r="C116" t="s">
        <v>376</v>
      </c>
      <c r="D116" t="s">
        <v>377</v>
      </c>
      <c r="E116" t="s">
        <v>378</v>
      </c>
      <c r="F116" t="s">
        <v>378</v>
      </c>
      <c r="G116">
        <v>53</v>
      </c>
      <c r="H116">
        <v>212386</v>
      </c>
      <c r="I116" t="b">
        <v>0</v>
      </c>
      <c r="J116">
        <v>0.41799999999999998</v>
      </c>
      <c r="K116">
        <v>0.79</v>
      </c>
      <c r="L116">
        <v>4</v>
      </c>
      <c r="M116">
        <v>-6.5990000000000002</v>
      </c>
      <c r="N116">
        <v>0</v>
      </c>
      <c r="O116">
        <v>5.0599999999999999E-2</v>
      </c>
      <c r="P116">
        <v>2.8400000000000002E-2</v>
      </c>
      <c r="Q116" s="1" t="s">
        <v>379</v>
      </c>
      <c r="R116">
        <v>0.11700000000000001</v>
      </c>
      <c r="S116">
        <v>0.19700000000000001</v>
      </c>
      <c r="T116">
        <v>175.97499999999999</v>
      </c>
      <c r="U116">
        <v>4</v>
      </c>
      <c r="V116" t="s">
        <v>24</v>
      </c>
    </row>
    <row r="117" spans="3:22" x14ac:dyDescent="0.35">
      <c r="C117" t="s">
        <v>380</v>
      </c>
      <c r="D117" t="s">
        <v>339</v>
      </c>
      <c r="E117" t="s">
        <v>92</v>
      </c>
      <c r="F117" t="s">
        <v>381</v>
      </c>
      <c r="G117">
        <v>60</v>
      </c>
      <c r="H117">
        <v>225165</v>
      </c>
      <c r="I117" t="b">
        <v>0</v>
      </c>
      <c r="J117">
        <v>0.63300000000000001</v>
      </c>
      <c r="K117">
        <v>0.29899999999999999</v>
      </c>
      <c r="L117">
        <v>11</v>
      </c>
      <c r="M117">
        <v>-7.798</v>
      </c>
      <c r="N117">
        <v>1</v>
      </c>
      <c r="O117">
        <v>3.5299999999999998E-2</v>
      </c>
      <c r="P117">
        <v>0.83299999999999996</v>
      </c>
      <c r="Q117">
        <v>0</v>
      </c>
      <c r="R117">
        <v>0.109</v>
      </c>
      <c r="S117">
        <v>0.34100000000000003</v>
      </c>
      <c r="T117">
        <v>147.54900000000001</v>
      </c>
      <c r="U117">
        <v>4</v>
      </c>
      <c r="V117" t="s">
        <v>24</v>
      </c>
    </row>
    <row r="118" spans="3:22" x14ac:dyDescent="0.35">
      <c r="C118" t="s">
        <v>382</v>
      </c>
      <c r="D118" t="s">
        <v>83</v>
      </c>
      <c r="E118" t="s">
        <v>383</v>
      </c>
      <c r="F118" t="s">
        <v>383</v>
      </c>
      <c r="G118">
        <v>47</v>
      </c>
      <c r="H118">
        <v>112008</v>
      </c>
      <c r="I118" t="b">
        <v>0</v>
      </c>
      <c r="J118">
        <v>0.56499999999999995</v>
      </c>
      <c r="K118">
        <v>3.9199999999999999E-2</v>
      </c>
      <c r="L118">
        <v>1</v>
      </c>
      <c r="M118">
        <v>-28.276</v>
      </c>
      <c r="N118">
        <v>1</v>
      </c>
      <c r="O118">
        <v>4.4999999999999998E-2</v>
      </c>
      <c r="P118">
        <v>0.83499999999999996</v>
      </c>
      <c r="Q118">
        <v>0.183</v>
      </c>
      <c r="R118">
        <v>0.11700000000000001</v>
      </c>
      <c r="S118">
        <v>0.60099999999999998</v>
      </c>
      <c r="T118">
        <v>125.399</v>
      </c>
      <c r="U118">
        <v>4</v>
      </c>
      <c r="V118" t="s">
        <v>24</v>
      </c>
    </row>
    <row r="119" spans="3:22" x14ac:dyDescent="0.35">
      <c r="C119" t="s">
        <v>384</v>
      </c>
      <c r="D119" t="s">
        <v>34</v>
      </c>
      <c r="E119" t="s">
        <v>385</v>
      </c>
      <c r="F119" t="s">
        <v>385</v>
      </c>
      <c r="G119">
        <v>60</v>
      </c>
      <c r="H119">
        <v>123609</v>
      </c>
      <c r="I119" t="b">
        <v>0</v>
      </c>
      <c r="J119">
        <v>0.66400000000000003</v>
      </c>
      <c r="K119">
        <v>7.5499999999999998E-2</v>
      </c>
      <c r="L119">
        <v>10</v>
      </c>
      <c r="M119">
        <v>-19.835999999999999</v>
      </c>
      <c r="N119">
        <v>1</v>
      </c>
      <c r="O119">
        <v>3.8899999999999997E-2</v>
      </c>
      <c r="P119">
        <v>0.91</v>
      </c>
      <c r="Q119">
        <v>0</v>
      </c>
      <c r="R119">
        <v>0.16400000000000001</v>
      </c>
      <c r="S119">
        <v>0.57499999999999996</v>
      </c>
      <c r="T119">
        <v>80.004000000000005</v>
      </c>
      <c r="U119">
        <v>1</v>
      </c>
      <c r="V119" t="s">
        <v>24</v>
      </c>
    </row>
    <row r="120" spans="3:22" x14ac:dyDescent="0.35">
      <c r="C120" t="s">
        <v>386</v>
      </c>
      <c r="D120" t="s">
        <v>50</v>
      </c>
      <c r="E120" t="s">
        <v>65</v>
      </c>
      <c r="F120" t="s">
        <v>65</v>
      </c>
      <c r="G120">
        <v>66</v>
      </c>
      <c r="H120">
        <v>240165</v>
      </c>
      <c r="I120" t="b">
        <v>0</v>
      </c>
      <c r="J120">
        <v>0.58499999999999996</v>
      </c>
      <c r="K120">
        <v>0.30299999999999999</v>
      </c>
      <c r="L120">
        <v>4</v>
      </c>
      <c r="M120">
        <v>-10.058</v>
      </c>
      <c r="N120">
        <v>1</v>
      </c>
      <c r="O120">
        <v>3.9800000000000002E-2</v>
      </c>
      <c r="P120">
        <v>0.69399999999999995</v>
      </c>
      <c r="Q120">
        <v>0</v>
      </c>
      <c r="R120">
        <v>0.115</v>
      </c>
      <c r="S120">
        <v>0.14199999999999999</v>
      </c>
      <c r="T120">
        <v>136.703</v>
      </c>
      <c r="U120">
        <v>3</v>
      </c>
      <c r="V120" t="s">
        <v>24</v>
      </c>
    </row>
    <row r="121" spans="3:22" x14ac:dyDescent="0.35">
      <c r="C121" t="s">
        <v>387</v>
      </c>
      <c r="D121" t="s">
        <v>388</v>
      </c>
      <c r="E121" t="s">
        <v>389</v>
      </c>
      <c r="F121" t="s">
        <v>389</v>
      </c>
      <c r="G121">
        <v>67</v>
      </c>
      <c r="H121">
        <v>265843</v>
      </c>
      <c r="I121" t="b">
        <v>0</v>
      </c>
      <c r="J121">
        <v>0.65</v>
      </c>
      <c r="K121">
        <v>0.27100000000000002</v>
      </c>
      <c r="L121">
        <v>9</v>
      </c>
      <c r="M121">
        <v>-11.081</v>
      </c>
      <c r="N121">
        <v>1</v>
      </c>
      <c r="O121">
        <v>3.1399999999999997E-2</v>
      </c>
      <c r="P121">
        <v>0.79400000000000004</v>
      </c>
      <c r="Q121" s="1" t="s">
        <v>390</v>
      </c>
      <c r="R121">
        <v>0.19600000000000001</v>
      </c>
      <c r="S121">
        <v>0.21</v>
      </c>
      <c r="T121">
        <v>78.036000000000001</v>
      </c>
      <c r="U121">
        <v>4</v>
      </c>
      <c r="V121" t="s">
        <v>24</v>
      </c>
    </row>
    <row r="122" spans="3:22" x14ac:dyDescent="0.35">
      <c r="C122" t="s">
        <v>391</v>
      </c>
      <c r="D122" t="s">
        <v>392</v>
      </c>
      <c r="E122" t="s">
        <v>393</v>
      </c>
      <c r="F122" t="s">
        <v>394</v>
      </c>
      <c r="G122">
        <v>43</v>
      </c>
      <c r="H122">
        <v>194194</v>
      </c>
      <c r="I122" t="b">
        <v>0</v>
      </c>
      <c r="J122">
        <v>0.53400000000000003</v>
      </c>
      <c r="K122">
        <v>0.21299999999999999</v>
      </c>
      <c r="L122">
        <v>1</v>
      </c>
      <c r="M122">
        <v>-8.64</v>
      </c>
      <c r="N122">
        <v>1</v>
      </c>
      <c r="O122">
        <v>2.8299999999999999E-2</v>
      </c>
      <c r="P122">
        <v>0.88400000000000001</v>
      </c>
      <c r="Q122">
        <v>0</v>
      </c>
      <c r="R122">
        <v>0.107</v>
      </c>
      <c r="S122">
        <v>9.98E-2</v>
      </c>
      <c r="T122">
        <v>98.385000000000005</v>
      </c>
      <c r="U122">
        <v>4</v>
      </c>
      <c r="V122" t="s">
        <v>24</v>
      </c>
    </row>
    <row r="123" spans="3:22" x14ac:dyDescent="0.35">
      <c r="C123" t="s">
        <v>395</v>
      </c>
      <c r="D123" t="s">
        <v>396</v>
      </c>
      <c r="E123" t="s">
        <v>397</v>
      </c>
      <c r="F123" t="s">
        <v>398</v>
      </c>
      <c r="G123">
        <v>54</v>
      </c>
      <c r="H123">
        <v>154600</v>
      </c>
      <c r="I123" t="b">
        <v>0</v>
      </c>
      <c r="J123">
        <v>0.45600000000000002</v>
      </c>
      <c r="K123">
        <v>0.38600000000000001</v>
      </c>
      <c r="L123">
        <v>10</v>
      </c>
      <c r="M123">
        <v>-10.292999999999999</v>
      </c>
      <c r="N123">
        <v>1</v>
      </c>
      <c r="O123">
        <v>3.2000000000000001E-2</v>
      </c>
      <c r="P123">
        <v>0.83499999999999996</v>
      </c>
      <c r="Q123">
        <v>0.108</v>
      </c>
      <c r="R123">
        <v>0.38900000000000001</v>
      </c>
      <c r="S123">
        <v>0.61199999999999999</v>
      </c>
      <c r="T123">
        <v>165.733</v>
      </c>
      <c r="U123">
        <v>4</v>
      </c>
      <c r="V123" t="s">
        <v>24</v>
      </c>
    </row>
    <row r="124" spans="3:22" x14ac:dyDescent="0.35">
      <c r="C124" t="s">
        <v>399</v>
      </c>
      <c r="D124" t="s">
        <v>400</v>
      </c>
      <c r="E124" t="s">
        <v>401</v>
      </c>
      <c r="F124" t="s">
        <v>402</v>
      </c>
      <c r="G124">
        <v>60</v>
      </c>
      <c r="H124">
        <v>158960</v>
      </c>
      <c r="I124" t="b">
        <v>0</v>
      </c>
      <c r="J124">
        <v>0.40899999999999997</v>
      </c>
      <c r="K124">
        <v>0.23400000000000001</v>
      </c>
      <c r="L124">
        <v>3</v>
      </c>
      <c r="M124">
        <v>-13.711</v>
      </c>
      <c r="N124">
        <v>1</v>
      </c>
      <c r="O124">
        <v>3.2300000000000002E-2</v>
      </c>
      <c r="P124">
        <v>0.33800000000000002</v>
      </c>
      <c r="Q124" s="1" t="s">
        <v>403</v>
      </c>
      <c r="R124">
        <v>8.9499999999999996E-2</v>
      </c>
      <c r="S124">
        <v>0.14499999999999999</v>
      </c>
      <c r="T124">
        <v>139.83199999999999</v>
      </c>
      <c r="U124">
        <v>4</v>
      </c>
      <c r="V124" t="s">
        <v>24</v>
      </c>
    </row>
    <row r="125" spans="3:22" x14ac:dyDescent="0.35">
      <c r="C125" t="s">
        <v>404</v>
      </c>
      <c r="D125" t="s">
        <v>57</v>
      </c>
      <c r="E125" t="s">
        <v>405</v>
      </c>
      <c r="F125" t="s">
        <v>406</v>
      </c>
      <c r="G125">
        <v>49</v>
      </c>
      <c r="H125">
        <v>319000</v>
      </c>
      <c r="I125" t="b">
        <v>0</v>
      </c>
      <c r="J125">
        <v>0.502</v>
      </c>
      <c r="K125">
        <v>0.53</v>
      </c>
      <c r="L125">
        <v>2</v>
      </c>
      <c r="M125">
        <v>-9.5730000000000004</v>
      </c>
      <c r="N125">
        <v>1</v>
      </c>
      <c r="O125">
        <v>2.6599999999999999E-2</v>
      </c>
      <c r="P125">
        <v>0.80500000000000005</v>
      </c>
      <c r="Q125">
        <v>7.3800000000000005E-4</v>
      </c>
      <c r="R125">
        <v>7.2800000000000004E-2</v>
      </c>
      <c r="S125">
        <v>0.10199999999999999</v>
      </c>
      <c r="T125">
        <v>78.046000000000006</v>
      </c>
      <c r="U125">
        <v>4</v>
      </c>
      <c r="V125" t="s">
        <v>24</v>
      </c>
    </row>
    <row r="126" spans="3:22" x14ac:dyDescent="0.35">
      <c r="C126" t="s">
        <v>407</v>
      </c>
      <c r="D126" t="s">
        <v>408</v>
      </c>
      <c r="E126" t="s">
        <v>409</v>
      </c>
      <c r="F126" t="s">
        <v>409</v>
      </c>
      <c r="G126">
        <v>57</v>
      </c>
      <c r="H126">
        <v>214360</v>
      </c>
      <c r="I126" t="b">
        <v>0</v>
      </c>
      <c r="J126">
        <v>0.496</v>
      </c>
      <c r="K126">
        <v>0.11700000000000001</v>
      </c>
      <c r="L126">
        <v>0</v>
      </c>
      <c r="M126">
        <v>-12.884</v>
      </c>
      <c r="N126">
        <v>1</v>
      </c>
      <c r="O126">
        <v>3.0099999999999998E-2</v>
      </c>
      <c r="P126">
        <v>0.93300000000000005</v>
      </c>
      <c r="Q126">
        <v>0</v>
      </c>
      <c r="R126">
        <v>0.126</v>
      </c>
      <c r="S126">
        <v>0.318</v>
      </c>
      <c r="T126">
        <v>78.067999999999998</v>
      </c>
      <c r="U126">
        <v>4</v>
      </c>
      <c r="V126" t="s">
        <v>24</v>
      </c>
    </row>
    <row r="127" spans="3:22" x14ac:dyDescent="0.35">
      <c r="C127" t="s">
        <v>410</v>
      </c>
      <c r="D127" t="s">
        <v>26</v>
      </c>
      <c r="E127" t="s">
        <v>411</v>
      </c>
      <c r="F127" t="s">
        <v>411</v>
      </c>
      <c r="G127">
        <v>42</v>
      </c>
      <c r="H127">
        <v>204480</v>
      </c>
      <c r="I127" t="b">
        <v>0</v>
      </c>
      <c r="J127">
        <v>0.58499999999999996</v>
      </c>
      <c r="K127">
        <v>0.72399999999999998</v>
      </c>
      <c r="L127">
        <v>1</v>
      </c>
      <c r="M127">
        <v>-6.5129999999999999</v>
      </c>
      <c r="N127">
        <v>0</v>
      </c>
      <c r="O127">
        <v>7.4499999999999997E-2</v>
      </c>
      <c r="P127">
        <v>0.315</v>
      </c>
      <c r="Q127">
        <v>6.8099999999999994E-2</v>
      </c>
      <c r="R127">
        <v>4.48E-2</v>
      </c>
      <c r="S127">
        <v>0.33300000000000002</v>
      </c>
      <c r="T127">
        <v>187.48400000000001</v>
      </c>
      <c r="U127">
        <v>3</v>
      </c>
      <c r="V127" t="s">
        <v>24</v>
      </c>
    </row>
    <row r="128" spans="3:22" x14ac:dyDescent="0.35">
      <c r="C128" t="s">
        <v>412</v>
      </c>
      <c r="D128" t="s">
        <v>413</v>
      </c>
      <c r="E128" t="s">
        <v>414</v>
      </c>
      <c r="F128" t="s">
        <v>415</v>
      </c>
      <c r="G128">
        <v>67</v>
      </c>
      <c r="H128">
        <v>277000</v>
      </c>
      <c r="I128" t="b">
        <v>0</v>
      </c>
      <c r="J128">
        <v>0.58199999999999996</v>
      </c>
      <c r="K128">
        <v>0.253</v>
      </c>
      <c r="L128">
        <v>10</v>
      </c>
      <c r="M128">
        <v>-11.43</v>
      </c>
      <c r="N128">
        <v>1</v>
      </c>
      <c r="O128">
        <v>2.5899999999999999E-2</v>
      </c>
      <c r="P128">
        <v>0.82699999999999996</v>
      </c>
      <c r="Q128" s="1" t="s">
        <v>416</v>
      </c>
      <c r="R128">
        <v>9.0999999999999998E-2</v>
      </c>
      <c r="S128">
        <v>0.29399999999999998</v>
      </c>
      <c r="T128">
        <v>90.186000000000007</v>
      </c>
      <c r="U128">
        <v>4</v>
      </c>
      <c r="V128" t="s">
        <v>24</v>
      </c>
    </row>
    <row r="129" spans="3:22" x14ac:dyDescent="0.35">
      <c r="C129" t="s">
        <v>417</v>
      </c>
      <c r="D129" t="s">
        <v>418</v>
      </c>
      <c r="E129" t="s">
        <v>419</v>
      </c>
      <c r="F129" t="s">
        <v>420</v>
      </c>
      <c r="G129">
        <v>61</v>
      </c>
      <c r="H129">
        <v>214240</v>
      </c>
      <c r="I129" t="b">
        <v>0</v>
      </c>
      <c r="J129">
        <v>0.63700000000000001</v>
      </c>
      <c r="K129">
        <v>0.14000000000000001</v>
      </c>
      <c r="L129">
        <v>2</v>
      </c>
      <c r="M129">
        <v>-11.472</v>
      </c>
      <c r="N129">
        <v>1</v>
      </c>
      <c r="O129">
        <v>4.07E-2</v>
      </c>
      <c r="P129">
        <v>0.90300000000000002</v>
      </c>
      <c r="Q129">
        <v>0</v>
      </c>
      <c r="R129">
        <v>0.107</v>
      </c>
      <c r="S129">
        <v>0.39200000000000002</v>
      </c>
      <c r="T129">
        <v>139.78</v>
      </c>
      <c r="U129">
        <v>4</v>
      </c>
      <c r="V129" t="s">
        <v>24</v>
      </c>
    </row>
    <row r="130" spans="3:22" x14ac:dyDescent="0.35">
      <c r="C130" t="s">
        <v>421</v>
      </c>
      <c r="D130" t="s">
        <v>422</v>
      </c>
      <c r="E130" t="s">
        <v>423</v>
      </c>
      <c r="F130" t="s">
        <v>424</v>
      </c>
      <c r="G130">
        <v>71</v>
      </c>
      <c r="H130">
        <v>215173</v>
      </c>
      <c r="I130" t="b">
        <v>0</v>
      </c>
      <c r="J130">
        <v>0.67200000000000004</v>
      </c>
      <c r="K130">
        <v>0.623</v>
      </c>
      <c r="L130">
        <v>9</v>
      </c>
      <c r="M130">
        <v>-5.6989999999999998</v>
      </c>
      <c r="N130">
        <v>1</v>
      </c>
      <c r="O130">
        <v>2.9700000000000001E-2</v>
      </c>
      <c r="P130">
        <v>0.24099999999999999</v>
      </c>
      <c r="Q130">
        <v>0</v>
      </c>
      <c r="R130">
        <v>8.48E-2</v>
      </c>
      <c r="S130">
        <v>0.61699999999999999</v>
      </c>
      <c r="T130">
        <v>92.018000000000001</v>
      </c>
      <c r="U130">
        <v>4</v>
      </c>
      <c r="V130" t="s">
        <v>24</v>
      </c>
    </row>
    <row r="131" spans="3:22" x14ac:dyDescent="0.35">
      <c r="C131" t="s">
        <v>425</v>
      </c>
      <c r="D131" t="s">
        <v>426</v>
      </c>
      <c r="E131" t="s">
        <v>427</v>
      </c>
      <c r="F131" t="s">
        <v>428</v>
      </c>
      <c r="G131">
        <v>49</v>
      </c>
      <c r="H131">
        <v>296862</v>
      </c>
      <c r="I131" t="b">
        <v>0</v>
      </c>
      <c r="J131">
        <v>0.42199999999999999</v>
      </c>
      <c r="K131">
        <v>0.27200000000000002</v>
      </c>
      <c r="L131">
        <v>4</v>
      </c>
      <c r="M131">
        <v>-10.772</v>
      </c>
      <c r="N131">
        <v>0</v>
      </c>
      <c r="O131">
        <v>3.5299999999999998E-2</v>
      </c>
      <c r="P131">
        <v>0.496</v>
      </c>
      <c r="Q131" s="1" t="s">
        <v>429</v>
      </c>
      <c r="R131">
        <v>7.0400000000000004E-2</v>
      </c>
      <c r="S131">
        <v>0.113</v>
      </c>
      <c r="T131">
        <v>143.41300000000001</v>
      </c>
      <c r="U131">
        <v>4</v>
      </c>
      <c r="V131" t="s">
        <v>24</v>
      </c>
    </row>
    <row r="132" spans="3:22" x14ac:dyDescent="0.35">
      <c r="C132" t="s">
        <v>430</v>
      </c>
      <c r="D132" t="s">
        <v>431</v>
      </c>
      <c r="E132" t="s">
        <v>432</v>
      </c>
      <c r="F132" t="s">
        <v>433</v>
      </c>
      <c r="G132">
        <v>61</v>
      </c>
      <c r="H132">
        <v>235813</v>
      </c>
      <c r="I132" t="b">
        <v>0</v>
      </c>
      <c r="J132">
        <v>0.47</v>
      </c>
      <c r="K132">
        <v>0.80100000000000005</v>
      </c>
      <c r="L132">
        <v>9</v>
      </c>
      <c r="M132">
        <v>-6.4260000000000002</v>
      </c>
      <c r="N132">
        <v>1</v>
      </c>
      <c r="O132">
        <v>3.5200000000000002E-2</v>
      </c>
      <c r="P132">
        <v>7.5800000000000006E-2</v>
      </c>
      <c r="Q132" s="1" t="s">
        <v>434</v>
      </c>
      <c r="R132">
        <v>0.218</v>
      </c>
      <c r="S132">
        <v>0.43099999999999999</v>
      </c>
      <c r="T132">
        <v>173.92</v>
      </c>
      <c r="U132">
        <v>4</v>
      </c>
      <c r="V132" t="s">
        <v>24</v>
      </c>
    </row>
    <row r="133" spans="3:22" x14ac:dyDescent="0.35">
      <c r="C133" t="s">
        <v>435</v>
      </c>
      <c r="D133" t="s">
        <v>431</v>
      </c>
      <c r="E133" t="s">
        <v>436</v>
      </c>
      <c r="F133" t="s">
        <v>437</v>
      </c>
      <c r="G133">
        <v>61</v>
      </c>
      <c r="H133">
        <v>228933</v>
      </c>
      <c r="I133" t="b">
        <v>0</v>
      </c>
      <c r="J133">
        <v>0.56399999999999995</v>
      </c>
      <c r="K133">
        <v>0.86399999999999999</v>
      </c>
      <c r="L133">
        <v>4</v>
      </c>
      <c r="M133">
        <v>-5.1210000000000004</v>
      </c>
      <c r="N133">
        <v>1</v>
      </c>
      <c r="O133">
        <v>3.4099999999999998E-2</v>
      </c>
      <c r="P133">
        <v>7.6100000000000001E-2</v>
      </c>
      <c r="Q133">
        <v>0</v>
      </c>
      <c r="R133">
        <v>0.182</v>
      </c>
      <c r="S133">
        <v>0.53400000000000003</v>
      </c>
      <c r="T133">
        <v>95.983999999999995</v>
      </c>
      <c r="U133">
        <v>4</v>
      </c>
      <c r="V133" t="s">
        <v>24</v>
      </c>
    </row>
    <row r="134" spans="3:22" x14ac:dyDescent="0.35">
      <c r="C134" t="s">
        <v>438</v>
      </c>
      <c r="D134" t="s">
        <v>50</v>
      </c>
      <c r="E134" t="s">
        <v>439</v>
      </c>
      <c r="F134" t="s">
        <v>440</v>
      </c>
      <c r="G134">
        <v>20</v>
      </c>
      <c r="H134">
        <v>339196</v>
      </c>
      <c r="I134" t="b">
        <v>0</v>
      </c>
      <c r="J134">
        <v>0.52100000000000002</v>
      </c>
      <c r="K134">
        <v>0.495</v>
      </c>
      <c r="L134">
        <v>5</v>
      </c>
      <c r="M134">
        <v>-7.7560000000000002</v>
      </c>
      <c r="N134">
        <v>1</v>
      </c>
      <c r="O134">
        <v>2.7E-2</v>
      </c>
      <c r="P134">
        <v>0.128</v>
      </c>
      <c r="Q134">
        <v>0</v>
      </c>
      <c r="R134">
        <v>0.29599999999999999</v>
      </c>
      <c r="S134">
        <v>0.11600000000000001</v>
      </c>
      <c r="T134">
        <v>135.06100000000001</v>
      </c>
      <c r="U134">
        <v>4</v>
      </c>
      <c r="V134" t="s">
        <v>24</v>
      </c>
    </row>
    <row r="135" spans="3:22" x14ac:dyDescent="0.35">
      <c r="C135" t="s">
        <v>441</v>
      </c>
      <c r="D135" t="s">
        <v>50</v>
      </c>
      <c r="E135" t="s">
        <v>439</v>
      </c>
      <c r="F135" t="s">
        <v>442</v>
      </c>
      <c r="G135">
        <v>22</v>
      </c>
      <c r="H135">
        <v>296843</v>
      </c>
      <c r="I135" t="b">
        <v>0</v>
      </c>
      <c r="J135">
        <v>0.61599999999999999</v>
      </c>
      <c r="K135">
        <v>0.81</v>
      </c>
      <c r="L135">
        <v>2</v>
      </c>
      <c r="M135">
        <v>-6.51</v>
      </c>
      <c r="N135">
        <v>1</v>
      </c>
      <c r="O135">
        <v>6.6799999999999998E-2</v>
      </c>
      <c r="P135">
        <v>0.36899999999999999</v>
      </c>
      <c r="Q135">
        <v>0</v>
      </c>
      <c r="R135">
        <v>0.107</v>
      </c>
      <c r="S135">
        <v>0.79</v>
      </c>
      <c r="T135">
        <v>97.994</v>
      </c>
      <c r="U135">
        <v>4</v>
      </c>
      <c r="V135" t="s">
        <v>24</v>
      </c>
    </row>
    <row r="136" spans="3:22" x14ac:dyDescent="0.35">
      <c r="C136" t="s">
        <v>443</v>
      </c>
      <c r="D136" t="s">
        <v>50</v>
      </c>
      <c r="E136" t="s">
        <v>439</v>
      </c>
      <c r="F136" t="s">
        <v>444</v>
      </c>
      <c r="G136">
        <v>35</v>
      </c>
      <c r="H136">
        <v>218240</v>
      </c>
      <c r="I136" t="b">
        <v>0</v>
      </c>
      <c r="J136">
        <v>0.61499999999999999</v>
      </c>
      <c r="K136">
        <v>0.81200000000000006</v>
      </c>
      <c r="L136">
        <v>7</v>
      </c>
      <c r="M136">
        <v>-6.5730000000000004</v>
      </c>
      <c r="N136">
        <v>1</v>
      </c>
      <c r="O136">
        <v>4.58E-2</v>
      </c>
      <c r="P136">
        <v>0.184</v>
      </c>
      <c r="Q136">
        <v>0</v>
      </c>
      <c r="R136">
        <v>0.32800000000000001</v>
      </c>
      <c r="S136">
        <v>0.74</v>
      </c>
      <c r="T136">
        <v>98.953999999999994</v>
      </c>
      <c r="U136">
        <v>4</v>
      </c>
      <c r="V136" t="s">
        <v>24</v>
      </c>
    </row>
    <row r="137" spans="3:22" x14ac:dyDescent="0.35">
      <c r="C137" t="s">
        <v>445</v>
      </c>
      <c r="D137" t="s">
        <v>149</v>
      </c>
      <c r="E137" t="s">
        <v>285</v>
      </c>
      <c r="F137" t="s">
        <v>446</v>
      </c>
      <c r="G137">
        <v>60</v>
      </c>
      <c r="H137">
        <v>151773</v>
      </c>
      <c r="I137" t="b">
        <v>0</v>
      </c>
      <c r="J137">
        <v>0.47799999999999998</v>
      </c>
      <c r="K137">
        <v>0.30499999999999999</v>
      </c>
      <c r="L137">
        <v>5</v>
      </c>
      <c r="M137">
        <v>-13.061999999999999</v>
      </c>
      <c r="N137">
        <v>1</v>
      </c>
      <c r="O137">
        <v>3.0599999999999999E-2</v>
      </c>
      <c r="P137">
        <v>0.67500000000000004</v>
      </c>
      <c r="Q137">
        <v>1.39E-3</v>
      </c>
      <c r="R137">
        <v>0.16900000000000001</v>
      </c>
      <c r="S137">
        <v>9.74E-2</v>
      </c>
      <c r="T137">
        <v>108.66</v>
      </c>
      <c r="U137">
        <v>4</v>
      </c>
      <c r="V137" t="s">
        <v>24</v>
      </c>
    </row>
    <row r="138" spans="3:22" x14ac:dyDescent="0.35">
      <c r="C138" t="s">
        <v>447</v>
      </c>
      <c r="D138" t="s">
        <v>278</v>
      </c>
      <c r="E138" t="s">
        <v>448</v>
      </c>
      <c r="F138" t="s">
        <v>289</v>
      </c>
      <c r="G138">
        <v>59</v>
      </c>
      <c r="H138">
        <v>181400</v>
      </c>
      <c r="I138" t="b">
        <v>0</v>
      </c>
      <c r="J138">
        <v>0.47899999999999998</v>
      </c>
      <c r="K138">
        <v>0.54100000000000004</v>
      </c>
      <c r="L138">
        <v>0</v>
      </c>
      <c r="M138">
        <v>-9.8620000000000001</v>
      </c>
      <c r="N138">
        <v>1</v>
      </c>
      <c r="O138">
        <v>5.45E-2</v>
      </c>
      <c r="P138">
        <v>0.73699999999999999</v>
      </c>
      <c r="Q138">
        <v>0</v>
      </c>
      <c r="R138">
        <v>0.108</v>
      </c>
      <c r="S138">
        <v>0.32100000000000001</v>
      </c>
      <c r="T138">
        <v>85.994</v>
      </c>
      <c r="U138">
        <v>4</v>
      </c>
      <c r="V138" t="s">
        <v>24</v>
      </c>
    </row>
    <row r="139" spans="3:22" x14ac:dyDescent="0.35">
      <c r="C139" t="s">
        <v>449</v>
      </c>
      <c r="D139" t="s">
        <v>135</v>
      </c>
      <c r="E139" t="s">
        <v>450</v>
      </c>
      <c r="F139" t="s">
        <v>324</v>
      </c>
      <c r="G139">
        <v>73</v>
      </c>
      <c r="H139">
        <v>201706</v>
      </c>
      <c r="I139" t="b">
        <v>0</v>
      </c>
      <c r="J139">
        <v>0.58699999999999997</v>
      </c>
      <c r="K139">
        <v>0.76700000000000002</v>
      </c>
      <c r="L139">
        <v>0</v>
      </c>
      <c r="M139">
        <v>-5.7130000000000001</v>
      </c>
      <c r="N139">
        <v>1</v>
      </c>
      <c r="O139">
        <v>4.4900000000000002E-2</v>
      </c>
      <c r="P139">
        <v>0.22500000000000001</v>
      </c>
      <c r="Q139">
        <v>0</v>
      </c>
      <c r="R139">
        <v>0.112</v>
      </c>
      <c r="S139">
        <v>0.66400000000000003</v>
      </c>
      <c r="T139">
        <v>100.38</v>
      </c>
      <c r="U139">
        <v>4</v>
      </c>
      <c r="V139" t="s">
        <v>24</v>
      </c>
    </row>
    <row r="140" spans="3:22" x14ac:dyDescent="0.35">
      <c r="C140" t="s">
        <v>451</v>
      </c>
      <c r="D140" t="s">
        <v>50</v>
      </c>
      <c r="E140" t="s">
        <v>439</v>
      </c>
      <c r="F140" t="s">
        <v>452</v>
      </c>
      <c r="G140">
        <v>22</v>
      </c>
      <c r="H140">
        <v>192260</v>
      </c>
      <c r="I140" t="b">
        <v>0</v>
      </c>
      <c r="J140">
        <v>0.51400000000000001</v>
      </c>
      <c r="K140">
        <v>0.56899999999999995</v>
      </c>
      <c r="L140">
        <v>6</v>
      </c>
      <c r="M140">
        <v>-7.8659999999999997</v>
      </c>
      <c r="N140">
        <v>0</v>
      </c>
      <c r="O140">
        <v>0.03</v>
      </c>
      <c r="P140">
        <v>0.60099999999999998</v>
      </c>
      <c r="Q140" s="1" t="s">
        <v>453</v>
      </c>
      <c r="R140">
        <v>0.218</v>
      </c>
      <c r="S140">
        <v>0.26400000000000001</v>
      </c>
      <c r="T140">
        <v>142.59700000000001</v>
      </c>
      <c r="U140">
        <v>4</v>
      </c>
      <c r="V140" t="s">
        <v>24</v>
      </c>
    </row>
    <row r="141" spans="3:22" x14ac:dyDescent="0.35">
      <c r="C141" t="s">
        <v>454</v>
      </c>
      <c r="D141" t="s">
        <v>50</v>
      </c>
      <c r="E141" t="s">
        <v>439</v>
      </c>
      <c r="F141" t="s">
        <v>455</v>
      </c>
      <c r="G141">
        <v>19</v>
      </c>
      <c r="H141">
        <v>198855</v>
      </c>
      <c r="I141" t="b">
        <v>0</v>
      </c>
      <c r="J141">
        <v>0.64600000000000002</v>
      </c>
      <c r="K141">
        <v>0.83599999999999997</v>
      </c>
      <c r="L141">
        <v>1</v>
      </c>
      <c r="M141">
        <v>-6.2030000000000003</v>
      </c>
      <c r="N141">
        <v>1</v>
      </c>
      <c r="O141">
        <v>3.27E-2</v>
      </c>
      <c r="P141">
        <v>0.30099999999999999</v>
      </c>
      <c r="Q141" s="1" t="s">
        <v>456</v>
      </c>
      <c r="R141">
        <v>0.28999999999999998</v>
      </c>
      <c r="S141">
        <v>0.72699999999999998</v>
      </c>
      <c r="T141">
        <v>105.991</v>
      </c>
      <c r="U141">
        <v>4</v>
      </c>
      <c r="V141" t="s">
        <v>24</v>
      </c>
    </row>
    <row r="142" spans="3:22" x14ac:dyDescent="0.35">
      <c r="C142" t="s">
        <v>457</v>
      </c>
      <c r="D142" t="s">
        <v>50</v>
      </c>
      <c r="E142" t="s">
        <v>439</v>
      </c>
      <c r="F142" t="s">
        <v>458</v>
      </c>
      <c r="G142">
        <v>24</v>
      </c>
      <c r="H142">
        <v>191889</v>
      </c>
      <c r="I142" t="b">
        <v>0</v>
      </c>
      <c r="J142">
        <v>0.56999999999999995</v>
      </c>
      <c r="K142">
        <v>0.71099999999999997</v>
      </c>
      <c r="L142">
        <v>9</v>
      </c>
      <c r="M142">
        <v>-4.1550000000000002</v>
      </c>
      <c r="N142">
        <v>1</v>
      </c>
      <c r="O142">
        <v>7.0300000000000001E-2</v>
      </c>
      <c r="P142">
        <v>0.11899999999999999</v>
      </c>
      <c r="Q142">
        <v>0</v>
      </c>
      <c r="R142">
        <v>0.35199999999999998</v>
      </c>
      <c r="S142">
        <v>0.64800000000000002</v>
      </c>
      <c r="T142">
        <v>163.11699999999999</v>
      </c>
      <c r="U142">
        <v>4</v>
      </c>
      <c r="V142" t="s">
        <v>24</v>
      </c>
    </row>
    <row r="143" spans="3:22" x14ac:dyDescent="0.35">
      <c r="C143" t="s">
        <v>459</v>
      </c>
      <c r="D143" t="s">
        <v>408</v>
      </c>
      <c r="E143" t="s">
        <v>460</v>
      </c>
      <c r="F143" t="s">
        <v>461</v>
      </c>
      <c r="G143">
        <v>57</v>
      </c>
      <c r="H143">
        <v>171293</v>
      </c>
      <c r="I143" t="b">
        <v>0</v>
      </c>
      <c r="J143">
        <v>0.67800000000000005</v>
      </c>
      <c r="K143">
        <v>0.19900000000000001</v>
      </c>
      <c r="L143">
        <v>9</v>
      </c>
      <c r="M143">
        <v>-9.7850000000000001</v>
      </c>
      <c r="N143">
        <v>1</v>
      </c>
      <c r="O143">
        <v>3.0700000000000002E-2</v>
      </c>
      <c r="P143">
        <v>0.95699999999999996</v>
      </c>
      <c r="Q143" s="1" t="s">
        <v>462</v>
      </c>
      <c r="R143">
        <v>9.6799999999999997E-2</v>
      </c>
      <c r="S143">
        <v>0.26200000000000001</v>
      </c>
      <c r="T143">
        <v>72.006</v>
      </c>
      <c r="U143">
        <v>4</v>
      </c>
      <c r="V143" t="s">
        <v>24</v>
      </c>
    </row>
    <row r="144" spans="3:22" x14ac:dyDescent="0.35">
      <c r="C144" t="s">
        <v>463</v>
      </c>
      <c r="D144" t="s">
        <v>50</v>
      </c>
      <c r="E144" t="s">
        <v>439</v>
      </c>
      <c r="F144" t="s">
        <v>464</v>
      </c>
      <c r="G144">
        <v>35</v>
      </c>
      <c r="H144">
        <v>256440</v>
      </c>
      <c r="I144" t="b">
        <v>0</v>
      </c>
      <c r="J144">
        <v>0.58899999999999997</v>
      </c>
      <c r="K144">
        <v>0.86699999999999999</v>
      </c>
      <c r="L144">
        <v>10</v>
      </c>
      <c r="M144">
        <v>-4.5229999999999997</v>
      </c>
      <c r="N144">
        <v>1</v>
      </c>
      <c r="O144">
        <v>3.85E-2</v>
      </c>
      <c r="P144">
        <v>4.1000000000000002E-2</v>
      </c>
      <c r="Q144">
        <v>0</v>
      </c>
      <c r="R144">
        <v>0.30599999999999999</v>
      </c>
      <c r="S144">
        <v>0.79500000000000004</v>
      </c>
      <c r="T144">
        <v>94.52</v>
      </c>
      <c r="U144">
        <v>4</v>
      </c>
      <c r="V144" t="s">
        <v>24</v>
      </c>
    </row>
    <row r="145" spans="3:22" x14ac:dyDescent="0.35">
      <c r="C145" t="s">
        <v>465</v>
      </c>
      <c r="D145" t="s">
        <v>50</v>
      </c>
      <c r="E145" t="s">
        <v>439</v>
      </c>
      <c r="F145" t="s">
        <v>466</v>
      </c>
      <c r="G145">
        <v>20</v>
      </c>
      <c r="H145">
        <v>221425</v>
      </c>
      <c r="I145" t="b">
        <v>0</v>
      </c>
      <c r="J145">
        <v>0.626</v>
      </c>
      <c r="K145">
        <v>0.92600000000000005</v>
      </c>
      <c r="L145">
        <v>2</v>
      </c>
      <c r="M145">
        <v>-4.4409999999999998</v>
      </c>
      <c r="N145">
        <v>1</v>
      </c>
      <c r="O145">
        <v>4.7699999999999999E-2</v>
      </c>
      <c r="P145">
        <v>2.6499999999999999E-2</v>
      </c>
      <c r="Q145">
        <v>0</v>
      </c>
      <c r="R145">
        <v>0.159</v>
      </c>
      <c r="S145">
        <v>0.54800000000000004</v>
      </c>
      <c r="T145">
        <v>99.997</v>
      </c>
      <c r="U145">
        <v>4</v>
      </c>
      <c r="V145" t="s">
        <v>24</v>
      </c>
    </row>
    <row r="146" spans="3:22" x14ac:dyDescent="0.35">
      <c r="C146" t="s">
        <v>467</v>
      </c>
      <c r="D146" t="s">
        <v>50</v>
      </c>
      <c r="E146" t="s">
        <v>439</v>
      </c>
      <c r="F146" t="s">
        <v>468</v>
      </c>
      <c r="G146">
        <v>18</v>
      </c>
      <c r="H146">
        <v>255047</v>
      </c>
      <c r="I146" t="b">
        <v>0</v>
      </c>
      <c r="J146">
        <v>0.68600000000000005</v>
      </c>
      <c r="K146">
        <v>0.55600000000000005</v>
      </c>
      <c r="L146">
        <v>1</v>
      </c>
      <c r="M146">
        <v>-8.5</v>
      </c>
      <c r="N146">
        <v>0</v>
      </c>
      <c r="O146">
        <v>2.7099999999999999E-2</v>
      </c>
      <c r="P146">
        <v>0.53200000000000003</v>
      </c>
      <c r="Q146">
        <v>0</v>
      </c>
      <c r="R146">
        <v>9.2200000000000004E-2</v>
      </c>
      <c r="S146">
        <v>0.36</v>
      </c>
      <c r="T146">
        <v>112.997</v>
      </c>
      <c r="U146">
        <v>4</v>
      </c>
      <c r="V146" t="s">
        <v>24</v>
      </c>
    </row>
    <row r="147" spans="3:22" x14ac:dyDescent="0.35">
      <c r="C147" t="s">
        <v>469</v>
      </c>
      <c r="D147" t="s">
        <v>50</v>
      </c>
      <c r="E147" t="s">
        <v>439</v>
      </c>
      <c r="F147" t="s">
        <v>470</v>
      </c>
      <c r="G147">
        <v>19</v>
      </c>
      <c r="H147">
        <v>208793</v>
      </c>
      <c r="I147" t="b">
        <v>0</v>
      </c>
      <c r="J147">
        <v>0.56000000000000005</v>
      </c>
      <c r="K147">
        <v>0.83199999999999996</v>
      </c>
      <c r="L147">
        <v>9</v>
      </c>
      <c r="M147">
        <v>-5.5949999999999998</v>
      </c>
      <c r="N147">
        <v>1</v>
      </c>
      <c r="O147">
        <v>3.5200000000000002E-2</v>
      </c>
      <c r="P147">
        <v>0.108</v>
      </c>
      <c r="Q147">
        <v>0</v>
      </c>
      <c r="R147">
        <v>0.23200000000000001</v>
      </c>
      <c r="S147">
        <v>0.80200000000000005</v>
      </c>
      <c r="T147">
        <v>100.95699999999999</v>
      </c>
      <c r="U147">
        <v>4</v>
      </c>
      <c r="V147" t="s">
        <v>24</v>
      </c>
    </row>
    <row r="148" spans="3:22" x14ac:dyDescent="0.35">
      <c r="C148" t="s">
        <v>471</v>
      </c>
      <c r="D148" t="s">
        <v>50</v>
      </c>
      <c r="E148" t="s">
        <v>439</v>
      </c>
      <c r="F148" t="s">
        <v>472</v>
      </c>
      <c r="G148">
        <v>23</v>
      </c>
      <c r="H148">
        <v>214552</v>
      </c>
      <c r="I148" t="b">
        <v>0</v>
      </c>
      <c r="J148">
        <v>0.61899999999999999</v>
      </c>
      <c r="K148">
        <v>0.79300000000000004</v>
      </c>
      <c r="L148">
        <v>5</v>
      </c>
      <c r="M148">
        <v>-5.9640000000000004</v>
      </c>
      <c r="N148">
        <v>1</v>
      </c>
      <c r="O148">
        <v>6.6100000000000006E-2</v>
      </c>
      <c r="P148">
        <v>0.26300000000000001</v>
      </c>
      <c r="Q148">
        <v>0</v>
      </c>
      <c r="R148">
        <v>8.2799999999999999E-2</v>
      </c>
      <c r="S148">
        <v>0.89200000000000002</v>
      </c>
      <c r="T148">
        <v>177.99100000000001</v>
      </c>
      <c r="U148">
        <v>4</v>
      </c>
      <c r="V148" t="s">
        <v>24</v>
      </c>
    </row>
    <row r="149" spans="3:22" x14ac:dyDescent="0.35">
      <c r="C149" t="s">
        <v>473</v>
      </c>
      <c r="D149" t="s">
        <v>50</v>
      </c>
      <c r="E149" t="s">
        <v>439</v>
      </c>
      <c r="F149" t="s">
        <v>474</v>
      </c>
      <c r="G149">
        <v>19</v>
      </c>
      <c r="H149">
        <v>264280</v>
      </c>
      <c r="I149" t="b">
        <v>0</v>
      </c>
      <c r="J149">
        <v>0.56000000000000005</v>
      </c>
      <c r="K149">
        <v>0.27800000000000002</v>
      </c>
      <c r="L149">
        <v>3</v>
      </c>
      <c r="M149">
        <v>-12.500999999999999</v>
      </c>
      <c r="N149">
        <v>1</v>
      </c>
      <c r="O149">
        <v>9.2100000000000001E-2</v>
      </c>
      <c r="P149">
        <v>0.73299999999999998</v>
      </c>
      <c r="Q149">
        <v>0</v>
      </c>
      <c r="R149">
        <v>0.112</v>
      </c>
      <c r="S149">
        <v>0.59399999999999997</v>
      </c>
      <c r="T149">
        <v>102.187</v>
      </c>
      <c r="U149">
        <v>4</v>
      </c>
      <c r="V149" t="s">
        <v>24</v>
      </c>
    </row>
    <row r="150" spans="3:22" x14ac:dyDescent="0.35">
      <c r="C150" t="s">
        <v>475</v>
      </c>
      <c r="D150" t="s">
        <v>50</v>
      </c>
      <c r="E150" t="s">
        <v>439</v>
      </c>
      <c r="F150" t="s">
        <v>476</v>
      </c>
      <c r="G150">
        <v>18</v>
      </c>
      <c r="H150">
        <v>289041</v>
      </c>
      <c r="I150" t="b">
        <v>0</v>
      </c>
      <c r="J150">
        <v>0.59499999999999997</v>
      </c>
      <c r="K150">
        <v>0.80500000000000005</v>
      </c>
      <c r="L150">
        <v>8</v>
      </c>
      <c r="M150">
        <v>-7.9260000000000002</v>
      </c>
      <c r="N150">
        <v>1</v>
      </c>
      <c r="O150">
        <v>5.4300000000000001E-2</v>
      </c>
      <c r="P150">
        <v>1.67E-2</v>
      </c>
      <c r="Q150" s="1" t="s">
        <v>477</v>
      </c>
      <c r="R150">
        <v>6.9099999999999995E-2</v>
      </c>
      <c r="S150">
        <v>0.35899999999999999</v>
      </c>
      <c r="T150">
        <v>102.44</v>
      </c>
      <c r="U150">
        <v>4</v>
      </c>
      <c r="V150" t="s">
        <v>24</v>
      </c>
    </row>
    <row r="151" spans="3:22" x14ac:dyDescent="0.35">
      <c r="C151" t="s">
        <v>478</v>
      </c>
      <c r="D151" t="s">
        <v>149</v>
      </c>
      <c r="E151" t="s">
        <v>285</v>
      </c>
      <c r="F151" t="s">
        <v>479</v>
      </c>
      <c r="G151">
        <v>65</v>
      </c>
      <c r="H151">
        <v>322080</v>
      </c>
      <c r="I151" t="b">
        <v>0</v>
      </c>
      <c r="J151">
        <v>0.438</v>
      </c>
      <c r="K151">
        <v>0.82699999999999996</v>
      </c>
      <c r="L151">
        <v>8</v>
      </c>
      <c r="M151">
        <v>-6.5309999999999997</v>
      </c>
      <c r="N151">
        <v>1</v>
      </c>
      <c r="O151">
        <v>3.2800000000000003E-2</v>
      </c>
      <c r="P151">
        <v>5.1200000000000002E-2</v>
      </c>
      <c r="Q151">
        <v>4.0200000000000001E-4</v>
      </c>
      <c r="R151">
        <v>0.31900000000000001</v>
      </c>
      <c r="S151">
        <v>0.64500000000000002</v>
      </c>
      <c r="T151">
        <v>143.37700000000001</v>
      </c>
      <c r="U151">
        <v>4</v>
      </c>
      <c r="V151" t="s">
        <v>24</v>
      </c>
    </row>
    <row r="152" spans="3:22" x14ac:dyDescent="0.35">
      <c r="C152" t="s">
        <v>480</v>
      </c>
      <c r="D152" t="s">
        <v>481</v>
      </c>
      <c r="E152" t="s">
        <v>482</v>
      </c>
      <c r="F152" t="s">
        <v>482</v>
      </c>
      <c r="G152">
        <v>55</v>
      </c>
      <c r="H152">
        <v>238971</v>
      </c>
      <c r="I152" t="b">
        <v>0</v>
      </c>
      <c r="J152">
        <v>0.58199999999999996</v>
      </c>
      <c r="K152">
        <v>0.375</v>
      </c>
      <c r="L152">
        <v>1</v>
      </c>
      <c r="M152">
        <v>-13.276999999999999</v>
      </c>
      <c r="N152">
        <v>0</v>
      </c>
      <c r="O152">
        <v>3.2899999999999999E-2</v>
      </c>
      <c r="P152">
        <v>0.70199999999999996</v>
      </c>
      <c r="Q152">
        <v>6.3100000000000003E-2</v>
      </c>
      <c r="R152">
        <v>0.13600000000000001</v>
      </c>
      <c r="S152">
        <v>0.106</v>
      </c>
      <c r="T152">
        <v>129.90899999999999</v>
      </c>
      <c r="U152">
        <v>4</v>
      </c>
      <c r="V152" t="s">
        <v>24</v>
      </c>
    </row>
    <row r="153" spans="3:22" x14ac:dyDescent="0.35">
      <c r="C153" t="s">
        <v>483</v>
      </c>
      <c r="D153" t="s">
        <v>484</v>
      </c>
      <c r="E153" t="s">
        <v>485</v>
      </c>
      <c r="F153" t="s">
        <v>486</v>
      </c>
      <c r="G153">
        <v>47</v>
      </c>
      <c r="H153">
        <v>276575</v>
      </c>
      <c r="I153" t="b">
        <v>0</v>
      </c>
      <c r="J153">
        <v>0.45300000000000001</v>
      </c>
      <c r="K153">
        <v>0.29499999999999998</v>
      </c>
      <c r="L153">
        <v>7</v>
      </c>
      <c r="M153">
        <v>-12.881</v>
      </c>
      <c r="N153">
        <v>1</v>
      </c>
      <c r="O153">
        <v>2.9100000000000001E-2</v>
      </c>
      <c r="P153">
        <v>0.51800000000000002</v>
      </c>
      <c r="Q153">
        <v>1.1E-4</v>
      </c>
      <c r="R153">
        <v>0.29299999999999998</v>
      </c>
      <c r="S153">
        <v>0.14000000000000001</v>
      </c>
      <c r="T153">
        <v>146.02199999999999</v>
      </c>
      <c r="U153">
        <v>4</v>
      </c>
      <c r="V153" t="s">
        <v>24</v>
      </c>
    </row>
    <row r="154" spans="3:22" x14ac:dyDescent="0.35">
      <c r="C154" t="s">
        <v>487</v>
      </c>
      <c r="D154" t="s">
        <v>413</v>
      </c>
      <c r="E154" t="s">
        <v>488</v>
      </c>
      <c r="F154" t="s">
        <v>489</v>
      </c>
      <c r="G154">
        <v>56</v>
      </c>
      <c r="H154">
        <v>249120</v>
      </c>
      <c r="I154" t="b">
        <v>0</v>
      </c>
      <c r="J154">
        <v>0.63600000000000001</v>
      </c>
      <c r="K154">
        <v>0.625</v>
      </c>
      <c r="L154">
        <v>11</v>
      </c>
      <c r="M154">
        <v>-7.8949999999999996</v>
      </c>
      <c r="N154">
        <v>1</v>
      </c>
      <c r="O154">
        <v>2.7699999999999999E-2</v>
      </c>
      <c r="P154">
        <v>0.222</v>
      </c>
      <c r="Q154" s="1" t="s">
        <v>490</v>
      </c>
      <c r="R154">
        <v>0.11899999999999999</v>
      </c>
      <c r="S154">
        <v>0.34200000000000003</v>
      </c>
      <c r="T154">
        <v>93.930999999999997</v>
      </c>
      <c r="U154">
        <v>4</v>
      </c>
      <c r="V154" t="s">
        <v>24</v>
      </c>
    </row>
    <row r="155" spans="3:22" x14ac:dyDescent="0.35">
      <c r="C155" t="s">
        <v>491</v>
      </c>
      <c r="D155" t="s">
        <v>492</v>
      </c>
      <c r="E155" t="s">
        <v>493</v>
      </c>
      <c r="F155" t="s">
        <v>493</v>
      </c>
      <c r="G155">
        <v>53</v>
      </c>
      <c r="H155">
        <v>111734</v>
      </c>
      <c r="I155" t="b">
        <v>0</v>
      </c>
      <c r="J155">
        <v>0.63900000000000001</v>
      </c>
      <c r="K155">
        <v>0.20100000000000001</v>
      </c>
      <c r="L155">
        <v>7</v>
      </c>
      <c r="M155">
        <v>-16.613</v>
      </c>
      <c r="N155">
        <v>0</v>
      </c>
      <c r="O155">
        <v>5.2600000000000001E-2</v>
      </c>
      <c r="P155">
        <v>0.90700000000000003</v>
      </c>
      <c r="Q155" s="1" t="s">
        <v>494</v>
      </c>
      <c r="R155">
        <v>0.124</v>
      </c>
      <c r="S155">
        <v>0.4</v>
      </c>
      <c r="T155">
        <v>88.106999999999999</v>
      </c>
      <c r="U155">
        <v>4</v>
      </c>
      <c r="V155" t="s">
        <v>24</v>
      </c>
    </row>
    <row r="156" spans="3:22" x14ac:dyDescent="0.35">
      <c r="C156" t="s">
        <v>495</v>
      </c>
      <c r="D156" t="s">
        <v>356</v>
      </c>
      <c r="E156" t="s">
        <v>357</v>
      </c>
      <c r="F156" t="s">
        <v>496</v>
      </c>
      <c r="G156">
        <v>49</v>
      </c>
      <c r="H156">
        <v>210760</v>
      </c>
      <c r="I156" t="b">
        <v>0</v>
      </c>
      <c r="J156">
        <v>0.69</v>
      </c>
      <c r="K156">
        <v>0.42299999999999999</v>
      </c>
      <c r="L156">
        <v>2</v>
      </c>
      <c r="M156">
        <v>-9.1940000000000008</v>
      </c>
      <c r="N156">
        <v>0</v>
      </c>
      <c r="O156">
        <v>2.9399999999999999E-2</v>
      </c>
      <c r="P156">
        <v>0.88300000000000001</v>
      </c>
      <c r="Q156">
        <v>1.23E-2</v>
      </c>
      <c r="R156">
        <v>0.111</v>
      </c>
      <c r="S156">
        <v>0.59</v>
      </c>
      <c r="T156">
        <v>130.12100000000001</v>
      </c>
      <c r="U156">
        <v>4</v>
      </c>
      <c r="V156" t="s">
        <v>24</v>
      </c>
    </row>
    <row r="157" spans="3:22" x14ac:dyDescent="0.35">
      <c r="C157" t="s">
        <v>497</v>
      </c>
      <c r="D157" t="s">
        <v>498</v>
      </c>
      <c r="E157" t="s">
        <v>499</v>
      </c>
      <c r="F157" t="s">
        <v>499</v>
      </c>
      <c r="G157">
        <v>51</v>
      </c>
      <c r="H157">
        <v>255688</v>
      </c>
      <c r="I157" t="b">
        <v>0</v>
      </c>
      <c r="J157">
        <v>0.59899999999999998</v>
      </c>
      <c r="K157">
        <v>0.34899999999999998</v>
      </c>
      <c r="L157">
        <v>1</v>
      </c>
      <c r="M157">
        <v>-9.2690000000000001</v>
      </c>
      <c r="N157">
        <v>1</v>
      </c>
      <c r="O157">
        <v>3.0099999999999998E-2</v>
      </c>
      <c r="P157">
        <v>0.81899999999999995</v>
      </c>
      <c r="Q157">
        <v>0</v>
      </c>
      <c r="R157">
        <v>0.112</v>
      </c>
      <c r="S157">
        <v>0.44400000000000001</v>
      </c>
      <c r="T157">
        <v>147.91300000000001</v>
      </c>
      <c r="U157">
        <v>4</v>
      </c>
      <c r="V157" t="s">
        <v>24</v>
      </c>
    </row>
    <row r="158" spans="3:22" x14ac:dyDescent="0.35">
      <c r="C158" t="s">
        <v>500</v>
      </c>
      <c r="D158" t="s">
        <v>39</v>
      </c>
      <c r="E158" t="s">
        <v>501</v>
      </c>
      <c r="F158" t="s">
        <v>501</v>
      </c>
      <c r="G158">
        <v>53</v>
      </c>
      <c r="H158">
        <v>181786</v>
      </c>
      <c r="I158" t="b">
        <v>0</v>
      </c>
      <c r="J158">
        <v>0.51900000000000002</v>
      </c>
      <c r="K158">
        <v>0.26400000000000001</v>
      </c>
      <c r="L158">
        <v>0</v>
      </c>
      <c r="M158">
        <v>-11.170999999999999</v>
      </c>
      <c r="N158">
        <v>1</v>
      </c>
      <c r="O158">
        <v>6.0100000000000001E-2</v>
      </c>
      <c r="P158">
        <v>0.91800000000000004</v>
      </c>
      <c r="Q158">
        <v>2.5300000000000002E-4</v>
      </c>
      <c r="R158">
        <v>0.23699999999999999</v>
      </c>
      <c r="S158">
        <v>0.192</v>
      </c>
      <c r="T158">
        <v>140.35400000000001</v>
      </c>
      <c r="U158">
        <v>4</v>
      </c>
      <c r="V158" t="s">
        <v>24</v>
      </c>
    </row>
    <row r="159" spans="3:22" x14ac:dyDescent="0.35">
      <c r="C159" t="s">
        <v>502</v>
      </c>
      <c r="D159" t="s">
        <v>248</v>
      </c>
      <c r="E159" t="s">
        <v>503</v>
      </c>
      <c r="F159" t="s">
        <v>504</v>
      </c>
      <c r="G159">
        <v>66</v>
      </c>
      <c r="H159">
        <v>244600</v>
      </c>
      <c r="I159" t="b">
        <v>0</v>
      </c>
      <c r="J159">
        <v>0.64300000000000002</v>
      </c>
      <c r="K159">
        <v>0.56899999999999995</v>
      </c>
      <c r="L159">
        <v>7</v>
      </c>
      <c r="M159">
        <v>-7.4589999999999996</v>
      </c>
      <c r="N159">
        <v>1</v>
      </c>
      <c r="O159">
        <v>2.76E-2</v>
      </c>
      <c r="P159">
        <v>0.54400000000000004</v>
      </c>
      <c r="Q159" s="1" t="s">
        <v>505</v>
      </c>
      <c r="R159">
        <v>0.17799999999999999</v>
      </c>
      <c r="S159">
        <v>0.27500000000000002</v>
      </c>
      <c r="T159">
        <v>120.50700000000001</v>
      </c>
      <c r="U159">
        <v>4</v>
      </c>
      <c r="V159" t="s">
        <v>24</v>
      </c>
    </row>
    <row r="160" spans="3:22" x14ac:dyDescent="0.35">
      <c r="C160" t="s">
        <v>506</v>
      </c>
      <c r="D160" t="s">
        <v>184</v>
      </c>
      <c r="E160" t="s">
        <v>507</v>
      </c>
      <c r="F160" t="s">
        <v>508</v>
      </c>
      <c r="G160">
        <v>56</v>
      </c>
      <c r="H160">
        <v>174546</v>
      </c>
      <c r="I160" t="b">
        <v>0</v>
      </c>
      <c r="J160">
        <v>0.57299999999999995</v>
      </c>
      <c r="K160">
        <v>0.624</v>
      </c>
      <c r="L160">
        <v>1</v>
      </c>
      <c r="M160">
        <v>-9.0760000000000005</v>
      </c>
      <c r="N160">
        <v>0</v>
      </c>
      <c r="O160">
        <v>3.2399999999999998E-2</v>
      </c>
      <c r="P160">
        <v>0.47099999999999997</v>
      </c>
      <c r="Q160">
        <v>0.11700000000000001</v>
      </c>
      <c r="R160">
        <v>0.114</v>
      </c>
      <c r="S160">
        <v>0.52900000000000003</v>
      </c>
      <c r="T160">
        <v>161.02500000000001</v>
      </c>
      <c r="U160">
        <v>4</v>
      </c>
      <c r="V160" t="s">
        <v>24</v>
      </c>
    </row>
    <row r="161" spans="3:22" x14ac:dyDescent="0.35">
      <c r="C161" t="s">
        <v>509</v>
      </c>
      <c r="D161" t="s">
        <v>426</v>
      </c>
      <c r="E161" t="s">
        <v>510</v>
      </c>
      <c r="F161" t="s">
        <v>511</v>
      </c>
      <c r="G161">
        <v>47</v>
      </c>
      <c r="H161">
        <v>234330</v>
      </c>
      <c r="I161" t="b">
        <v>0</v>
      </c>
      <c r="J161">
        <v>0.65400000000000003</v>
      </c>
      <c r="K161">
        <v>0.82099999999999995</v>
      </c>
      <c r="L161">
        <v>7</v>
      </c>
      <c r="M161">
        <v>-5.4720000000000004</v>
      </c>
      <c r="N161">
        <v>1</v>
      </c>
      <c r="O161">
        <v>2.64E-2</v>
      </c>
      <c r="P161">
        <v>6.6600000000000001E-3</v>
      </c>
      <c r="Q161">
        <v>2.99E-3</v>
      </c>
      <c r="R161">
        <v>0.22800000000000001</v>
      </c>
      <c r="S161">
        <v>0.61299999999999999</v>
      </c>
      <c r="T161">
        <v>111.958</v>
      </c>
      <c r="U161">
        <v>4</v>
      </c>
      <c r="V161" t="s">
        <v>24</v>
      </c>
    </row>
    <row r="162" spans="3:22" x14ac:dyDescent="0.35">
      <c r="C162" t="s">
        <v>512</v>
      </c>
      <c r="D162" t="s">
        <v>513</v>
      </c>
      <c r="E162" t="s">
        <v>514</v>
      </c>
      <c r="F162" t="s">
        <v>515</v>
      </c>
      <c r="G162">
        <v>51</v>
      </c>
      <c r="H162">
        <v>255600</v>
      </c>
      <c r="I162" t="b">
        <v>0</v>
      </c>
      <c r="J162">
        <v>0.42599999999999999</v>
      </c>
      <c r="K162">
        <v>0.39900000000000002</v>
      </c>
      <c r="L162">
        <v>0</v>
      </c>
      <c r="M162">
        <v>-8.4469999999999992</v>
      </c>
      <c r="N162">
        <v>1</v>
      </c>
      <c r="O162">
        <v>3.4000000000000002E-2</v>
      </c>
      <c r="P162">
        <v>0.76100000000000001</v>
      </c>
      <c r="Q162">
        <v>1.1199999999999999E-3</v>
      </c>
      <c r="R162">
        <v>0.11799999999999999</v>
      </c>
      <c r="S162">
        <v>0.217</v>
      </c>
      <c r="T162">
        <v>115.979</v>
      </c>
      <c r="U162">
        <v>4</v>
      </c>
      <c r="V162" t="s">
        <v>24</v>
      </c>
    </row>
    <row r="163" spans="3:22" x14ac:dyDescent="0.35">
      <c r="C163" t="s">
        <v>516</v>
      </c>
      <c r="D163" t="s">
        <v>517</v>
      </c>
      <c r="E163" t="s">
        <v>518</v>
      </c>
      <c r="F163" t="s">
        <v>518</v>
      </c>
      <c r="G163">
        <v>55</v>
      </c>
      <c r="H163">
        <v>176542</v>
      </c>
      <c r="I163" t="b">
        <v>0</v>
      </c>
      <c r="J163">
        <v>0.505</v>
      </c>
      <c r="K163">
        <v>0.21</v>
      </c>
      <c r="L163">
        <v>11</v>
      </c>
      <c r="M163">
        <v>-11.349</v>
      </c>
      <c r="N163">
        <v>1</v>
      </c>
      <c r="O163">
        <v>2.9499999999999998E-2</v>
      </c>
      <c r="P163">
        <v>0.90700000000000003</v>
      </c>
      <c r="Q163">
        <v>0</v>
      </c>
      <c r="R163">
        <v>0.11</v>
      </c>
      <c r="S163">
        <v>0.32300000000000001</v>
      </c>
      <c r="T163">
        <v>80.721000000000004</v>
      </c>
      <c r="U163">
        <v>4</v>
      </c>
      <c r="V163" t="s">
        <v>24</v>
      </c>
    </row>
    <row r="164" spans="3:22" x14ac:dyDescent="0.35">
      <c r="C164" t="s">
        <v>519</v>
      </c>
      <c r="D164" t="s">
        <v>50</v>
      </c>
      <c r="E164" t="s">
        <v>52</v>
      </c>
      <c r="F164" t="s">
        <v>52</v>
      </c>
      <c r="G164">
        <v>60</v>
      </c>
      <c r="H164">
        <v>243494</v>
      </c>
      <c r="I164" t="b">
        <v>0</v>
      </c>
      <c r="J164">
        <v>0.69299999999999995</v>
      </c>
      <c r="K164">
        <v>0.43</v>
      </c>
      <c r="L164">
        <v>11</v>
      </c>
      <c r="M164">
        <v>-9.3949999999999996</v>
      </c>
      <c r="N164">
        <v>1</v>
      </c>
      <c r="O164">
        <v>4.4200000000000003E-2</v>
      </c>
      <c r="P164">
        <v>0.56499999999999995</v>
      </c>
      <c r="Q164">
        <v>0</v>
      </c>
      <c r="R164">
        <v>9.2799999999999994E-2</v>
      </c>
      <c r="S164">
        <v>0.73099999999999998</v>
      </c>
      <c r="T164">
        <v>151.001</v>
      </c>
      <c r="U164">
        <v>4</v>
      </c>
      <c r="V164" t="s">
        <v>24</v>
      </c>
    </row>
    <row r="165" spans="3:22" x14ac:dyDescent="0.35">
      <c r="C165" t="s">
        <v>520</v>
      </c>
      <c r="D165" t="s">
        <v>521</v>
      </c>
      <c r="E165" t="s">
        <v>522</v>
      </c>
      <c r="F165" t="s">
        <v>522</v>
      </c>
      <c r="G165">
        <v>40</v>
      </c>
      <c r="H165">
        <v>188695</v>
      </c>
      <c r="I165" t="b">
        <v>0</v>
      </c>
      <c r="J165">
        <v>0.73899999999999999</v>
      </c>
      <c r="K165">
        <v>0.28699999999999998</v>
      </c>
      <c r="L165">
        <v>6</v>
      </c>
      <c r="M165">
        <v>-14.007</v>
      </c>
      <c r="N165">
        <v>0</v>
      </c>
      <c r="O165">
        <v>5.8999999999999997E-2</v>
      </c>
      <c r="P165">
        <v>0.96899999999999997</v>
      </c>
      <c r="Q165">
        <v>0.96099999999999997</v>
      </c>
      <c r="R165">
        <v>0.111</v>
      </c>
      <c r="S165">
        <v>0.55700000000000005</v>
      </c>
      <c r="T165">
        <v>80.64</v>
      </c>
      <c r="U165">
        <v>4</v>
      </c>
      <c r="V165" t="s">
        <v>24</v>
      </c>
    </row>
    <row r="166" spans="3:22" x14ac:dyDescent="0.35">
      <c r="C166" t="s">
        <v>523</v>
      </c>
      <c r="D166" t="s">
        <v>45</v>
      </c>
      <c r="E166" t="s">
        <v>47</v>
      </c>
      <c r="F166" t="s">
        <v>47</v>
      </c>
      <c r="G166">
        <v>58</v>
      </c>
      <c r="H166">
        <v>229400</v>
      </c>
      <c r="I166" t="b">
        <v>0</v>
      </c>
      <c r="J166">
        <v>0.45300000000000001</v>
      </c>
      <c r="K166">
        <v>0.14599999999999999</v>
      </c>
      <c r="L166">
        <v>2</v>
      </c>
      <c r="M166">
        <v>-8.9760000000000009</v>
      </c>
      <c r="N166">
        <v>1</v>
      </c>
      <c r="O166">
        <v>3.4299999999999997E-2</v>
      </c>
      <c r="P166">
        <v>0.86699999999999999</v>
      </c>
      <c r="Q166" s="1" t="s">
        <v>524</v>
      </c>
      <c r="R166">
        <v>9.4500000000000001E-2</v>
      </c>
      <c r="S166">
        <v>9.1499999999999998E-2</v>
      </c>
      <c r="T166">
        <v>137.905</v>
      </c>
      <c r="U166">
        <v>3</v>
      </c>
      <c r="V166" t="s">
        <v>24</v>
      </c>
    </row>
    <row r="167" spans="3:22" x14ac:dyDescent="0.35">
      <c r="C167" t="s">
        <v>525</v>
      </c>
      <c r="D167" t="s">
        <v>431</v>
      </c>
      <c r="E167" t="s">
        <v>431</v>
      </c>
      <c r="F167" t="s">
        <v>526</v>
      </c>
      <c r="G167">
        <v>55</v>
      </c>
      <c r="H167">
        <v>216853</v>
      </c>
      <c r="I167" t="b">
        <v>0</v>
      </c>
      <c r="J167">
        <v>0.60599999999999998</v>
      </c>
      <c r="K167">
        <v>0.54</v>
      </c>
      <c r="L167">
        <v>7</v>
      </c>
      <c r="M167">
        <v>-6.2709999999999999</v>
      </c>
      <c r="N167">
        <v>0</v>
      </c>
      <c r="O167">
        <v>3.39E-2</v>
      </c>
      <c r="P167">
        <v>0.182</v>
      </c>
      <c r="Q167">
        <v>1.44E-4</v>
      </c>
      <c r="R167">
        <v>0.14399999999999999</v>
      </c>
      <c r="S167">
        <v>0.249</v>
      </c>
      <c r="T167">
        <v>79.951999999999998</v>
      </c>
      <c r="U167">
        <v>4</v>
      </c>
      <c r="V167" t="s">
        <v>24</v>
      </c>
    </row>
    <row r="168" spans="3:22" x14ac:dyDescent="0.35">
      <c r="C168" t="s">
        <v>527</v>
      </c>
      <c r="D168" t="s">
        <v>528</v>
      </c>
      <c r="E168" t="s">
        <v>529</v>
      </c>
      <c r="F168" t="s">
        <v>530</v>
      </c>
      <c r="G168">
        <v>50</v>
      </c>
      <c r="H168">
        <v>149000</v>
      </c>
      <c r="I168" t="b">
        <v>0</v>
      </c>
      <c r="J168">
        <v>0.59499999999999997</v>
      </c>
      <c r="K168">
        <v>0.64600000000000002</v>
      </c>
      <c r="L168">
        <v>0</v>
      </c>
      <c r="M168">
        <v>-5.4950000000000001</v>
      </c>
      <c r="N168">
        <v>1</v>
      </c>
      <c r="O168">
        <v>3.27E-2</v>
      </c>
      <c r="P168">
        <v>0.11</v>
      </c>
      <c r="Q168">
        <v>0</v>
      </c>
      <c r="R168">
        <v>0.25800000000000001</v>
      </c>
      <c r="S168">
        <v>0.56299999999999994</v>
      </c>
      <c r="T168">
        <v>120.04900000000001</v>
      </c>
      <c r="U168">
        <v>4</v>
      </c>
      <c r="V168" t="s">
        <v>24</v>
      </c>
    </row>
    <row r="169" spans="3:22" x14ac:dyDescent="0.35">
      <c r="C169" t="s">
        <v>531</v>
      </c>
      <c r="D169" t="s">
        <v>532</v>
      </c>
      <c r="E169" t="s">
        <v>533</v>
      </c>
      <c r="F169" t="s">
        <v>534</v>
      </c>
      <c r="G169">
        <v>52</v>
      </c>
      <c r="H169">
        <v>157231</v>
      </c>
      <c r="I169" t="b">
        <v>0</v>
      </c>
      <c r="J169">
        <v>0.73599999999999999</v>
      </c>
      <c r="K169">
        <v>0.14499999999999999</v>
      </c>
      <c r="L169">
        <v>11</v>
      </c>
      <c r="M169">
        <v>-9.2149999999999999</v>
      </c>
      <c r="N169">
        <v>1</v>
      </c>
      <c r="O169">
        <v>3.3599999999999998E-2</v>
      </c>
      <c r="P169">
        <v>0.85499999999999998</v>
      </c>
      <c r="Q169">
        <v>0</v>
      </c>
      <c r="R169">
        <v>0.108</v>
      </c>
      <c r="S169">
        <v>0.23499999999999999</v>
      </c>
      <c r="T169">
        <v>129.83199999999999</v>
      </c>
      <c r="U169">
        <v>4</v>
      </c>
      <c r="V169" t="s">
        <v>24</v>
      </c>
    </row>
    <row r="170" spans="3:22" x14ac:dyDescent="0.35">
      <c r="C170" t="s">
        <v>535</v>
      </c>
      <c r="D170" t="s">
        <v>517</v>
      </c>
      <c r="E170" t="s">
        <v>536</v>
      </c>
      <c r="F170" t="s">
        <v>536</v>
      </c>
      <c r="G170">
        <v>54</v>
      </c>
      <c r="H170">
        <v>226603</v>
      </c>
      <c r="I170" t="b">
        <v>0</v>
      </c>
      <c r="J170">
        <v>0.47899999999999998</v>
      </c>
      <c r="K170">
        <v>0.126</v>
      </c>
      <c r="L170">
        <v>1</v>
      </c>
      <c r="M170">
        <v>-13.974</v>
      </c>
      <c r="N170">
        <v>1</v>
      </c>
      <c r="O170">
        <v>3.0300000000000001E-2</v>
      </c>
      <c r="P170">
        <v>0.96599999999999997</v>
      </c>
      <c r="Q170">
        <v>0</v>
      </c>
      <c r="R170">
        <v>0.113</v>
      </c>
      <c r="S170">
        <v>0.27900000000000003</v>
      </c>
      <c r="T170">
        <v>96.326999999999998</v>
      </c>
      <c r="U170">
        <v>4</v>
      </c>
      <c r="V170" t="s">
        <v>24</v>
      </c>
    </row>
    <row r="171" spans="3:22" x14ac:dyDescent="0.35">
      <c r="C171" t="s">
        <v>537</v>
      </c>
      <c r="D171" t="s">
        <v>204</v>
      </c>
      <c r="E171" t="s">
        <v>205</v>
      </c>
      <c r="F171" t="s">
        <v>538</v>
      </c>
      <c r="G171">
        <v>73</v>
      </c>
      <c r="H171">
        <v>258826</v>
      </c>
      <c r="I171" t="b">
        <v>0</v>
      </c>
      <c r="J171">
        <v>0.58299999999999996</v>
      </c>
      <c r="K171">
        <v>0.78600000000000003</v>
      </c>
      <c r="L171">
        <v>2</v>
      </c>
      <c r="M171">
        <v>-3.1419999999999999</v>
      </c>
      <c r="N171">
        <v>0</v>
      </c>
      <c r="O171">
        <v>3.0099999999999998E-2</v>
      </c>
      <c r="P171">
        <v>2.0799999999999999E-2</v>
      </c>
      <c r="Q171">
        <v>0</v>
      </c>
      <c r="R171">
        <v>0.188</v>
      </c>
      <c r="S171">
        <v>0.57299999999999995</v>
      </c>
      <c r="T171">
        <v>123.05500000000001</v>
      </c>
      <c r="U171">
        <v>4</v>
      </c>
      <c r="V171" t="s">
        <v>24</v>
      </c>
    </row>
    <row r="172" spans="3:22" x14ac:dyDescent="0.35">
      <c r="C172" t="s">
        <v>539</v>
      </c>
      <c r="D172" t="s">
        <v>83</v>
      </c>
      <c r="E172" t="s">
        <v>540</v>
      </c>
      <c r="F172" t="s">
        <v>540</v>
      </c>
      <c r="G172">
        <v>38</v>
      </c>
      <c r="H172">
        <v>194013</v>
      </c>
      <c r="I172" t="b">
        <v>0</v>
      </c>
      <c r="J172">
        <v>0.54900000000000004</v>
      </c>
      <c r="K172">
        <v>0.29099999999999998</v>
      </c>
      <c r="L172">
        <v>2</v>
      </c>
      <c r="M172">
        <v>-13.457000000000001</v>
      </c>
      <c r="N172">
        <v>1</v>
      </c>
      <c r="O172">
        <v>3.8800000000000001E-2</v>
      </c>
      <c r="P172">
        <v>0.85799999999999998</v>
      </c>
      <c r="Q172">
        <v>8.4599999999999996E-4</v>
      </c>
      <c r="R172">
        <v>0.129</v>
      </c>
      <c r="S172">
        <v>0.376</v>
      </c>
      <c r="T172">
        <v>75.153000000000006</v>
      </c>
      <c r="U172">
        <v>4</v>
      </c>
      <c r="V172" t="s">
        <v>24</v>
      </c>
    </row>
    <row r="173" spans="3:22" x14ac:dyDescent="0.35">
      <c r="C173" t="s">
        <v>541</v>
      </c>
      <c r="D173" t="s">
        <v>542</v>
      </c>
      <c r="E173" t="s">
        <v>543</v>
      </c>
      <c r="F173" t="s">
        <v>544</v>
      </c>
      <c r="G173">
        <v>53</v>
      </c>
      <c r="H173">
        <v>242439</v>
      </c>
      <c r="I173" t="b">
        <v>0</v>
      </c>
      <c r="J173">
        <v>0.41799999999999998</v>
      </c>
      <c r="K173">
        <v>0.48899999999999999</v>
      </c>
      <c r="L173">
        <v>6</v>
      </c>
      <c r="M173">
        <v>-8.3729999999999993</v>
      </c>
      <c r="N173">
        <v>0</v>
      </c>
      <c r="O173">
        <v>3.2300000000000002E-2</v>
      </c>
      <c r="P173">
        <v>0.28699999999999998</v>
      </c>
      <c r="Q173">
        <v>2.8799999999999999E-2</v>
      </c>
      <c r="R173">
        <v>0.42</v>
      </c>
      <c r="S173">
        <v>0.39800000000000002</v>
      </c>
      <c r="T173">
        <v>72.891000000000005</v>
      </c>
      <c r="U173">
        <v>4</v>
      </c>
      <c r="V173" t="s">
        <v>24</v>
      </c>
    </row>
    <row r="174" spans="3:22" x14ac:dyDescent="0.35">
      <c r="C174" t="s">
        <v>545</v>
      </c>
      <c r="D174" t="s">
        <v>546</v>
      </c>
      <c r="E174" t="s">
        <v>547</v>
      </c>
      <c r="F174" t="s">
        <v>547</v>
      </c>
      <c r="G174">
        <v>55</v>
      </c>
      <c r="H174">
        <v>232500</v>
      </c>
      <c r="I174" t="b">
        <v>0</v>
      </c>
      <c r="J174">
        <v>0.498</v>
      </c>
      <c r="K174">
        <v>0.12</v>
      </c>
      <c r="L174">
        <v>0</v>
      </c>
      <c r="M174">
        <v>-17.721</v>
      </c>
      <c r="N174">
        <v>1</v>
      </c>
      <c r="O174">
        <v>4.87E-2</v>
      </c>
      <c r="P174">
        <v>0.85099999999999998</v>
      </c>
      <c r="Q174">
        <v>0</v>
      </c>
      <c r="R174">
        <v>0.17100000000000001</v>
      </c>
      <c r="S174">
        <v>0.33800000000000002</v>
      </c>
      <c r="T174">
        <v>121.187</v>
      </c>
      <c r="U174">
        <v>4</v>
      </c>
      <c r="V174" t="s">
        <v>24</v>
      </c>
    </row>
    <row r="175" spans="3:22" x14ac:dyDescent="0.35">
      <c r="C175" t="s">
        <v>548</v>
      </c>
      <c r="D175" t="s">
        <v>549</v>
      </c>
      <c r="E175" t="s">
        <v>550</v>
      </c>
      <c r="F175" t="s">
        <v>550</v>
      </c>
      <c r="G175">
        <v>41</v>
      </c>
      <c r="H175">
        <v>156787</v>
      </c>
      <c r="I175" t="b">
        <v>0</v>
      </c>
      <c r="J175">
        <v>0.76900000000000002</v>
      </c>
      <c r="K175">
        <v>0.13500000000000001</v>
      </c>
      <c r="L175">
        <v>5</v>
      </c>
      <c r="M175">
        <v>-12.048999999999999</v>
      </c>
      <c r="N175">
        <v>0</v>
      </c>
      <c r="O175">
        <v>6.0999999999999999E-2</v>
      </c>
      <c r="P175">
        <v>0.98599999999999999</v>
      </c>
      <c r="Q175">
        <v>0.90500000000000003</v>
      </c>
      <c r="R175">
        <v>0.106</v>
      </c>
      <c r="S175">
        <v>0.47099999999999997</v>
      </c>
      <c r="T175">
        <v>103.93899999999999</v>
      </c>
      <c r="U175">
        <v>4</v>
      </c>
      <c r="V175" t="s">
        <v>24</v>
      </c>
    </row>
    <row r="176" spans="3:22" x14ac:dyDescent="0.35">
      <c r="C176" t="s">
        <v>551</v>
      </c>
      <c r="D176" t="s">
        <v>552</v>
      </c>
      <c r="E176" t="s">
        <v>553</v>
      </c>
      <c r="F176" t="s">
        <v>553</v>
      </c>
      <c r="G176">
        <v>46</v>
      </c>
      <c r="H176">
        <v>263823</v>
      </c>
      <c r="I176" t="b">
        <v>0</v>
      </c>
      <c r="J176">
        <v>0.434</v>
      </c>
      <c r="K176">
        <v>0.46899999999999997</v>
      </c>
      <c r="L176">
        <v>0</v>
      </c>
      <c r="M176">
        <v>-7.8490000000000002</v>
      </c>
      <c r="N176">
        <v>0</v>
      </c>
      <c r="O176">
        <v>2.6499999999999999E-2</v>
      </c>
      <c r="P176">
        <v>0.52</v>
      </c>
      <c r="Q176">
        <v>3.28E-4</v>
      </c>
      <c r="R176">
        <v>0.108</v>
      </c>
      <c r="S176">
        <v>5.6800000000000003E-2</v>
      </c>
      <c r="T176">
        <v>136.28200000000001</v>
      </c>
      <c r="U176">
        <v>4</v>
      </c>
      <c r="V176" t="s">
        <v>24</v>
      </c>
    </row>
    <row r="177" spans="3:22" x14ac:dyDescent="0.35">
      <c r="C177" t="s">
        <v>554</v>
      </c>
      <c r="D177" t="s">
        <v>555</v>
      </c>
      <c r="E177" t="s">
        <v>556</v>
      </c>
      <c r="F177" t="s">
        <v>556</v>
      </c>
      <c r="G177">
        <v>63</v>
      </c>
      <c r="H177">
        <v>250916</v>
      </c>
      <c r="I177" t="b">
        <v>0</v>
      </c>
      <c r="J177">
        <v>0.45200000000000001</v>
      </c>
      <c r="K177">
        <v>0.19800000000000001</v>
      </c>
      <c r="L177">
        <v>10</v>
      </c>
      <c r="M177">
        <v>-9.3740000000000006</v>
      </c>
      <c r="N177">
        <v>1</v>
      </c>
      <c r="O177">
        <v>3.3500000000000002E-2</v>
      </c>
      <c r="P177">
        <v>0.93100000000000005</v>
      </c>
      <c r="Q177" s="1" t="s">
        <v>557</v>
      </c>
      <c r="R177">
        <v>0.1</v>
      </c>
      <c r="S177">
        <v>0.217</v>
      </c>
      <c r="T177">
        <v>119.499</v>
      </c>
      <c r="U177">
        <v>4</v>
      </c>
      <c r="V177" t="s">
        <v>24</v>
      </c>
    </row>
    <row r="178" spans="3:22" x14ac:dyDescent="0.35">
      <c r="C178" t="s">
        <v>558</v>
      </c>
      <c r="D178" t="s">
        <v>140</v>
      </c>
      <c r="E178" t="s">
        <v>559</v>
      </c>
      <c r="F178" t="s">
        <v>559</v>
      </c>
      <c r="G178">
        <v>66</v>
      </c>
      <c r="H178">
        <v>238493</v>
      </c>
      <c r="I178" t="b">
        <v>0</v>
      </c>
      <c r="J178">
        <v>0.54400000000000004</v>
      </c>
      <c r="K178">
        <v>0.5</v>
      </c>
      <c r="L178">
        <v>11</v>
      </c>
      <c r="M178">
        <v>-8.2530000000000001</v>
      </c>
      <c r="N178">
        <v>1</v>
      </c>
      <c r="O178">
        <v>2.5999999999999999E-2</v>
      </c>
      <c r="P178">
        <v>3.2500000000000001E-2</v>
      </c>
      <c r="Q178" s="1" t="s">
        <v>560</v>
      </c>
      <c r="R178">
        <v>0.109</v>
      </c>
      <c r="S178">
        <v>0.17699999999999999</v>
      </c>
      <c r="T178">
        <v>93.620999999999995</v>
      </c>
      <c r="U178">
        <v>4</v>
      </c>
      <c r="V178" t="s">
        <v>24</v>
      </c>
    </row>
    <row r="179" spans="3:22" x14ac:dyDescent="0.35">
      <c r="C179" t="s">
        <v>561</v>
      </c>
      <c r="D179" t="s">
        <v>408</v>
      </c>
      <c r="E179" t="s">
        <v>562</v>
      </c>
      <c r="F179" t="s">
        <v>562</v>
      </c>
      <c r="G179">
        <v>54</v>
      </c>
      <c r="H179">
        <v>215906</v>
      </c>
      <c r="I179" t="b">
        <v>0</v>
      </c>
      <c r="J179">
        <v>0.66200000000000003</v>
      </c>
      <c r="K179">
        <v>0.187</v>
      </c>
      <c r="L179">
        <v>2</v>
      </c>
      <c r="M179">
        <v>-9.0030000000000001</v>
      </c>
      <c r="N179">
        <v>1</v>
      </c>
      <c r="O179">
        <v>2.6800000000000001E-2</v>
      </c>
      <c r="P179">
        <v>0.96899999999999997</v>
      </c>
      <c r="Q179">
        <v>2.7300000000000002E-4</v>
      </c>
      <c r="R179">
        <v>9.2200000000000004E-2</v>
      </c>
      <c r="S179">
        <v>0.23300000000000001</v>
      </c>
      <c r="T179">
        <v>104.988</v>
      </c>
      <c r="U179">
        <v>4</v>
      </c>
      <c r="V179" t="s">
        <v>24</v>
      </c>
    </row>
    <row r="180" spans="3:22" x14ac:dyDescent="0.35">
      <c r="C180" t="s">
        <v>563</v>
      </c>
      <c r="D180" t="s">
        <v>34</v>
      </c>
      <c r="E180" t="s">
        <v>564</v>
      </c>
      <c r="F180" t="s">
        <v>564</v>
      </c>
      <c r="G180">
        <v>62</v>
      </c>
      <c r="H180">
        <v>181136</v>
      </c>
      <c r="I180" t="b">
        <v>0</v>
      </c>
      <c r="J180">
        <v>0.497</v>
      </c>
      <c r="K180">
        <v>0.13</v>
      </c>
      <c r="L180">
        <v>6</v>
      </c>
      <c r="M180">
        <v>-15.571</v>
      </c>
      <c r="N180">
        <v>1</v>
      </c>
      <c r="O180">
        <v>4.36E-2</v>
      </c>
      <c r="P180">
        <v>0.84099999999999997</v>
      </c>
      <c r="Q180">
        <v>0</v>
      </c>
      <c r="R180">
        <v>0.111</v>
      </c>
      <c r="S180">
        <v>0.17899999999999999</v>
      </c>
      <c r="T180">
        <v>130.76900000000001</v>
      </c>
      <c r="U180">
        <v>3</v>
      </c>
      <c r="V180" t="s">
        <v>24</v>
      </c>
    </row>
    <row r="181" spans="3:22" x14ac:dyDescent="0.35">
      <c r="C181" t="s">
        <v>565</v>
      </c>
      <c r="D181" t="s">
        <v>517</v>
      </c>
      <c r="E181" t="s">
        <v>566</v>
      </c>
      <c r="F181" t="s">
        <v>567</v>
      </c>
      <c r="G181">
        <v>57</v>
      </c>
      <c r="H181">
        <v>157466</v>
      </c>
      <c r="I181" t="b">
        <v>0</v>
      </c>
      <c r="J181">
        <v>0.52800000000000002</v>
      </c>
      <c r="K181">
        <v>0.29099999999999998</v>
      </c>
      <c r="L181">
        <v>10</v>
      </c>
      <c r="M181">
        <v>-9.6959999999999997</v>
      </c>
      <c r="N181">
        <v>1</v>
      </c>
      <c r="O181">
        <v>4.0099999999999997E-2</v>
      </c>
      <c r="P181">
        <v>0.91400000000000003</v>
      </c>
      <c r="Q181">
        <v>0</v>
      </c>
      <c r="R181">
        <v>0.121</v>
      </c>
      <c r="S181">
        <v>0.35499999999999998</v>
      </c>
      <c r="T181">
        <v>76.805000000000007</v>
      </c>
      <c r="U181">
        <v>4</v>
      </c>
      <c r="V181" t="s">
        <v>24</v>
      </c>
    </row>
    <row r="182" spans="3:22" x14ac:dyDescent="0.35">
      <c r="C182" t="s">
        <v>568</v>
      </c>
      <c r="D182" t="s">
        <v>569</v>
      </c>
      <c r="E182" t="s">
        <v>570</v>
      </c>
      <c r="F182" t="s">
        <v>570</v>
      </c>
      <c r="G182">
        <v>68</v>
      </c>
      <c r="H182">
        <v>233728</v>
      </c>
      <c r="I182" t="b">
        <v>0</v>
      </c>
      <c r="J182">
        <v>0.46100000000000002</v>
      </c>
      <c r="K182">
        <v>0.52200000000000002</v>
      </c>
      <c r="L182">
        <v>11</v>
      </c>
      <c r="M182">
        <v>-7.5129999999999999</v>
      </c>
      <c r="N182">
        <v>1</v>
      </c>
      <c r="O182">
        <v>4.2999999999999997E-2</v>
      </c>
      <c r="P182">
        <v>0.36</v>
      </c>
      <c r="Q182">
        <v>0</v>
      </c>
      <c r="R182">
        <v>0.123</v>
      </c>
      <c r="S182">
        <v>0.44600000000000001</v>
      </c>
      <c r="T182">
        <v>157.768</v>
      </c>
      <c r="U182">
        <v>4</v>
      </c>
      <c r="V182" t="s">
        <v>24</v>
      </c>
    </row>
    <row r="183" spans="3:22" x14ac:dyDescent="0.35">
      <c r="C183" t="s">
        <v>571</v>
      </c>
      <c r="D183" t="s">
        <v>339</v>
      </c>
      <c r="E183" t="s">
        <v>92</v>
      </c>
      <c r="F183" t="s">
        <v>572</v>
      </c>
      <c r="G183">
        <v>62</v>
      </c>
      <c r="H183">
        <v>216612</v>
      </c>
      <c r="I183" t="b">
        <v>0</v>
      </c>
      <c r="J183">
        <v>0.48299999999999998</v>
      </c>
      <c r="K183">
        <v>0.50600000000000001</v>
      </c>
      <c r="L183">
        <v>9</v>
      </c>
      <c r="M183">
        <v>-6.0579999999999998</v>
      </c>
      <c r="N183">
        <v>1</v>
      </c>
      <c r="O183">
        <v>3.4700000000000002E-2</v>
      </c>
      <c r="P183">
        <v>0.39400000000000002</v>
      </c>
      <c r="Q183">
        <v>0</v>
      </c>
      <c r="R183">
        <v>9.4600000000000004E-2</v>
      </c>
      <c r="S183">
        <v>0.70499999999999996</v>
      </c>
      <c r="T183">
        <v>87.337000000000003</v>
      </c>
      <c r="U183">
        <v>4</v>
      </c>
      <c r="V183" t="s">
        <v>24</v>
      </c>
    </row>
    <row r="184" spans="3:22" x14ac:dyDescent="0.35">
      <c r="C184" t="s">
        <v>573</v>
      </c>
      <c r="D184" t="s">
        <v>50</v>
      </c>
      <c r="E184" t="s">
        <v>275</v>
      </c>
      <c r="F184" t="s">
        <v>574</v>
      </c>
      <c r="G184">
        <v>53</v>
      </c>
      <c r="H184">
        <v>245186</v>
      </c>
      <c r="I184" t="b">
        <v>0</v>
      </c>
      <c r="J184">
        <v>0.39200000000000002</v>
      </c>
      <c r="K184">
        <v>0.42299999999999999</v>
      </c>
      <c r="L184">
        <v>7</v>
      </c>
      <c r="M184">
        <v>-7.8129999999999997</v>
      </c>
      <c r="N184">
        <v>1</v>
      </c>
      <c r="O184">
        <v>3.4799999999999998E-2</v>
      </c>
      <c r="P184">
        <v>0.27</v>
      </c>
      <c r="Q184">
        <v>0</v>
      </c>
      <c r="R184">
        <v>0.11700000000000001</v>
      </c>
      <c r="S184">
        <v>0.28799999999999998</v>
      </c>
      <c r="T184">
        <v>113.53700000000001</v>
      </c>
      <c r="U184">
        <v>4</v>
      </c>
      <c r="V184" t="s">
        <v>24</v>
      </c>
    </row>
    <row r="185" spans="3:22" x14ac:dyDescent="0.35">
      <c r="C185" t="s">
        <v>575</v>
      </c>
      <c r="D185" t="s">
        <v>426</v>
      </c>
      <c r="E185" t="s">
        <v>427</v>
      </c>
      <c r="F185" t="s">
        <v>576</v>
      </c>
      <c r="G185">
        <v>44</v>
      </c>
      <c r="H185">
        <v>219613</v>
      </c>
      <c r="I185" t="b">
        <v>0</v>
      </c>
      <c r="J185">
        <v>0.42</v>
      </c>
      <c r="K185">
        <v>0.2</v>
      </c>
      <c r="L185">
        <v>7</v>
      </c>
      <c r="M185">
        <v>-18.827000000000002</v>
      </c>
      <c r="N185">
        <v>1</v>
      </c>
      <c r="O185">
        <v>4.9200000000000001E-2</v>
      </c>
      <c r="P185">
        <v>0.92900000000000005</v>
      </c>
      <c r="Q185">
        <v>0.49</v>
      </c>
      <c r="R185">
        <v>7.5800000000000006E-2</v>
      </c>
      <c r="S185">
        <v>0.16400000000000001</v>
      </c>
      <c r="T185">
        <v>87.248000000000005</v>
      </c>
      <c r="U185">
        <v>4</v>
      </c>
      <c r="V185" t="s">
        <v>24</v>
      </c>
    </row>
    <row r="186" spans="3:22" x14ac:dyDescent="0.35">
      <c r="C186" t="s">
        <v>577</v>
      </c>
      <c r="D186" t="s">
        <v>431</v>
      </c>
      <c r="E186" t="s">
        <v>432</v>
      </c>
      <c r="F186" t="s">
        <v>578</v>
      </c>
      <c r="G186">
        <v>57</v>
      </c>
      <c r="H186">
        <v>248960</v>
      </c>
      <c r="I186" t="b">
        <v>0</v>
      </c>
      <c r="J186">
        <v>0.65700000000000003</v>
      </c>
      <c r="K186">
        <v>0.71599999999999997</v>
      </c>
      <c r="L186">
        <v>2</v>
      </c>
      <c r="M186">
        <v>-5.6749999999999998</v>
      </c>
      <c r="N186">
        <v>1</v>
      </c>
      <c r="O186">
        <v>3.0099999999999998E-2</v>
      </c>
      <c r="P186">
        <v>1.4E-2</v>
      </c>
      <c r="Q186">
        <v>0</v>
      </c>
      <c r="R186">
        <v>4.8300000000000003E-2</v>
      </c>
      <c r="S186">
        <v>0.435</v>
      </c>
      <c r="T186">
        <v>93.924000000000007</v>
      </c>
      <c r="U186">
        <v>4</v>
      </c>
      <c r="V186" t="s">
        <v>24</v>
      </c>
    </row>
    <row r="187" spans="3:22" x14ac:dyDescent="0.35">
      <c r="C187" t="s">
        <v>579</v>
      </c>
      <c r="D187" t="s">
        <v>580</v>
      </c>
      <c r="E187" t="s">
        <v>581</v>
      </c>
      <c r="F187" t="s">
        <v>582</v>
      </c>
      <c r="G187">
        <v>52</v>
      </c>
      <c r="H187">
        <v>252466</v>
      </c>
      <c r="I187" t="b">
        <v>0</v>
      </c>
      <c r="J187">
        <v>0.495</v>
      </c>
      <c r="K187">
        <v>0.185</v>
      </c>
      <c r="L187">
        <v>9</v>
      </c>
      <c r="M187">
        <v>-13.824</v>
      </c>
      <c r="N187">
        <v>1</v>
      </c>
      <c r="O187">
        <v>2.8799999999999999E-2</v>
      </c>
      <c r="P187">
        <v>0.69199999999999995</v>
      </c>
      <c r="Q187">
        <v>4.0299999999999997E-3</v>
      </c>
      <c r="R187">
        <v>0.109</v>
      </c>
      <c r="S187">
        <v>0.19600000000000001</v>
      </c>
      <c r="T187">
        <v>101.89</v>
      </c>
      <c r="U187">
        <v>4</v>
      </c>
      <c r="V187" t="s">
        <v>24</v>
      </c>
    </row>
    <row r="188" spans="3:22" x14ac:dyDescent="0.35">
      <c r="C188" t="s">
        <v>583</v>
      </c>
      <c r="D188" t="s">
        <v>39</v>
      </c>
      <c r="E188" t="s">
        <v>584</v>
      </c>
      <c r="F188" t="s">
        <v>585</v>
      </c>
      <c r="G188">
        <v>53</v>
      </c>
      <c r="H188">
        <v>246613</v>
      </c>
      <c r="I188" t="b">
        <v>0</v>
      </c>
      <c r="J188">
        <v>0.55000000000000004</v>
      </c>
      <c r="K188">
        <v>0.499</v>
      </c>
      <c r="L188">
        <v>4</v>
      </c>
      <c r="M188">
        <v>-9.5020000000000007</v>
      </c>
      <c r="N188">
        <v>1</v>
      </c>
      <c r="O188">
        <v>3.3799999999999997E-2</v>
      </c>
      <c r="P188">
        <v>0.47199999999999998</v>
      </c>
      <c r="Q188" s="1" t="s">
        <v>586</v>
      </c>
      <c r="R188">
        <v>7.9799999999999996E-2</v>
      </c>
      <c r="S188">
        <v>0.14399999999999999</v>
      </c>
      <c r="T188">
        <v>86.965999999999994</v>
      </c>
      <c r="U188">
        <v>1</v>
      </c>
      <c r="V188" t="s">
        <v>24</v>
      </c>
    </row>
    <row r="189" spans="3:22" x14ac:dyDescent="0.35">
      <c r="C189" t="s">
        <v>587</v>
      </c>
      <c r="D189" t="s">
        <v>408</v>
      </c>
      <c r="E189" t="s">
        <v>588</v>
      </c>
      <c r="F189" t="s">
        <v>588</v>
      </c>
      <c r="G189">
        <v>53</v>
      </c>
      <c r="H189">
        <v>198786</v>
      </c>
      <c r="I189" t="b">
        <v>0</v>
      </c>
      <c r="J189">
        <v>0.53400000000000003</v>
      </c>
      <c r="K189">
        <v>0.35899999999999999</v>
      </c>
      <c r="L189">
        <v>0</v>
      </c>
      <c r="M189">
        <v>-9.3109999999999999</v>
      </c>
      <c r="N189">
        <v>1</v>
      </c>
      <c r="O189">
        <v>2.9600000000000001E-2</v>
      </c>
      <c r="P189">
        <v>0.44900000000000001</v>
      </c>
      <c r="Q189" s="1" t="s">
        <v>589</v>
      </c>
      <c r="R189">
        <v>0.33100000000000002</v>
      </c>
      <c r="S189">
        <v>0.26700000000000002</v>
      </c>
      <c r="T189">
        <v>131.804</v>
      </c>
      <c r="U189">
        <v>4</v>
      </c>
      <c r="V189" t="s">
        <v>24</v>
      </c>
    </row>
    <row r="190" spans="3:22" x14ac:dyDescent="0.35">
      <c r="C190" t="s">
        <v>590</v>
      </c>
      <c r="D190" t="s">
        <v>591</v>
      </c>
      <c r="E190" t="s">
        <v>592</v>
      </c>
      <c r="F190" t="s">
        <v>593</v>
      </c>
      <c r="G190">
        <v>55</v>
      </c>
      <c r="H190">
        <v>226640</v>
      </c>
      <c r="I190" t="b">
        <v>0</v>
      </c>
      <c r="J190">
        <v>0.378</v>
      </c>
      <c r="K190">
        <v>0.52</v>
      </c>
      <c r="L190">
        <v>11</v>
      </c>
      <c r="M190">
        <v>-10.965</v>
      </c>
      <c r="N190">
        <v>1</v>
      </c>
      <c r="O190">
        <v>3.8199999999999998E-2</v>
      </c>
      <c r="P190">
        <v>0.77700000000000002</v>
      </c>
      <c r="Q190">
        <v>8.8800000000000004E-2</v>
      </c>
      <c r="R190">
        <v>9.7900000000000001E-2</v>
      </c>
      <c r="S190">
        <v>0.35699999999999998</v>
      </c>
      <c r="T190">
        <v>73.744</v>
      </c>
      <c r="U190">
        <v>4</v>
      </c>
      <c r="V190" t="s">
        <v>24</v>
      </c>
    </row>
    <row r="191" spans="3:22" x14ac:dyDescent="0.35">
      <c r="C191" t="s">
        <v>594</v>
      </c>
      <c r="D191" t="s">
        <v>595</v>
      </c>
      <c r="E191" t="s">
        <v>596</v>
      </c>
      <c r="F191" t="s">
        <v>597</v>
      </c>
      <c r="G191">
        <v>66</v>
      </c>
      <c r="H191">
        <v>203869</v>
      </c>
      <c r="I191" t="b">
        <v>0</v>
      </c>
      <c r="J191">
        <v>0.60599999999999998</v>
      </c>
      <c r="K191">
        <v>0.34899999999999998</v>
      </c>
      <c r="L191">
        <v>4</v>
      </c>
      <c r="M191">
        <v>-13.967000000000001</v>
      </c>
      <c r="N191">
        <v>1</v>
      </c>
      <c r="O191">
        <v>3.1899999999999998E-2</v>
      </c>
      <c r="P191">
        <v>0.76400000000000001</v>
      </c>
      <c r="Q191">
        <v>0.30599999999999999</v>
      </c>
      <c r="R191">
        <v>0.112</v>
      </c>
      <c r="S191">
        <v>0.156</v>
      </c>
      <c r="T191">
        <v>80.070999999999998</v>
      </c>
      <c r="U191">
        <v>4</v>
      </c>
      <c r="V191" t="s">
        <v>24</v>
      </c>
    </row>
    <row r="192" spans="3:22" x14ac:dyDescent="0.35">
      <c r="C192" t="s">
        <v>598</v>
      </c>
      <c r="D192" t="s">
        <v>57</v>
      </c>
      <c r="E192" t="s">
        <v>599</v>
      </c>
      <c r="F192" t="s">
        <v>600</v>
      </c>
      <c r="G192">
        <v>49</v>
      </c>
      <c r="H192">
        <v>317441</v>
      </c>
      <c r="I192" t="b">
        <v>0</v>
      </c>
      <c r="J192">
        <v>0.48599999999999999</v>
      </c>
      <c r="K192">
        <v>0.55500000000000005</v>
      </c>
      <c r="L192">
        <v>2</v>
      </c>
      <c r="M192">
        <v>-9.4659999999999993</v>
      </c>
      <c r="N192">
        <v>1</v>
      </c>
      <c r="O192">
        <v>2.7099999999999999E-2</v>
      </c>
      <c r="P192">
        <v>0.81799999999999995</v>
      </c>
      <c r="Q192">
        <v>2.6900000000000001E-3</v>
      </c>
      <c r="R192">
        <v>0.109</v>
      </c>
      <c r="S192">
        <v>9.9199999999999997E-2</v>
      </c>
      <c r="T192">
        <v>77.986999999999995</v>
      </c>
      <c r="U192">
        <v>4</v>
      </c>
      <c r="V192" t="s">
        <v>24</v>
      </c>
    </row>
    <row r="193" spans="3:22" x14ac:dyDescent="0.35">
      <c r="C193" t="s">
        <v>601</v>
      </c>
      <c r="D193" t="s">
        <v>400</v>
      </c>
      <c r="E193" t="s">
        <v>602</v>
      </c>
      <c r="F193" t="s">
        <v>603</v>
      </c>
      <c r="G193">
        <v>60</v>
      </c>
      <c r="H193">
        <v>261640</v>
      </c>
      <c r="I193" t="b">
        <v>0</v>
      </c>
      <c r="J193">
        <v>0.57699999999999996</v>
      </c>
      <c r="K193">
        <v>0.44600000000000001</v>
      </c>
      <c r="L193">
        <v>6</v>
      </c>
      <c r="M193">
        <v>-11.343</v>
      </c>
      <c r="N193">
        <v>1</v>
      </c>
      <c r="O193">
        <v>3.1300000000000001E-2</v>
      </c>
      <c r="P193">
        <v>0.55400000000000005</v>
      </c>
      <c r="Q193">
        <v>7.8200000000000006E-2</v>
      </c>
      <c r="R193">
        <v>0.11600000000000001</v>
      </c>
      <c r="S193">
        <v>0.26200000000000001</v>
      </c>
      <c r="T193">
        <v>81.004999999999995</v>
      </c>
      <c r="U193">
        <v>4</v>
      </c>
      <c r="V193" t="s">
        <v>24</v>
      </c>
    </row>
    <row r="194" spans="3:22" x14ac:dyDescent="0.35">
      <c r="C194" t="s">
        <v>604</v>
      </c>
      <c r="D194" t="s">
        <v>605</v>
      </c>
      <c r="E194" t="s">
        <v>606</v>
      </c>
      <c r="F194" t="s">
        <v>606</v>
      </c>
      <c r="G194">
        <v>38</v>
      </c>
      <c r="H194">
        <v>211933</v>
      </c>
      <c r="I194" t="b">
        <v>0</v>
      </c>
      <c r="J194">
        <v>0.59</v>
      </c>
      <c r="K194">
        <v>0.40699999999999997</v>
      </c>
      <c r="L194">
        <v>4</v>
      </c>
      <c r="M194">
        <v>-9.0790000000000006</v>
      </c>
      <c r="N194">
        <v>1</v>
      </c>
      <c r="O194">
        <v>3.61E-2</v>
      </c>
      <c r="P194">
        <v>0.86099999999999999</v>
      </c>
      <c r="Q194" s="1" t="s">
        <v>607</v>
      </c>
      <c r="R194">
        <v>9.4E-2</v>
      </c>
      <c r="S194">
        <v>0.27600000000000002</v>
      </c>
      <c r="T194">
        <v>145.852</v>
      </c>
      <c r="U194">
        <v>4</v>
      </c>
      <c r="V194" t="s">
        <v>24</v>
      </c>
    </row>
    <row r="195" spans="3:22" x14ac:dyDescent="0.35">
      <c r="C195" t="s">
        <v>608</v>
      </c>
      <c r="D195" t="s">
        <v>609</v>
      </c>
      <c r="E195" t="s">
        <v>610</v>
      </c>
      <c r="F195" t="s">
        <v>611</v>
      </c>
      <c r="G195">
        <v>67</v>
      </c>
      <c r="H195">
        <v>218800</v>
      </c>
      <c r="I195" t="b">
        <v>0</v>
      </c>
      <c r="J195">
        <v>0.53800000000000003</v>
      </c>
      <c r="K195">
        <v>0.315</v>
      </c>
      <c r="L195">
        <v>0</v>
      </c>
      <c r="M195">
        <v>-10.057</v>
      </c>
      <c r="N195">
        <v>1</v>
      </c>
      <c r="O195">
        <v>2.9100000000000001E-2</v>
      </c>
      <c r="P195">
        <v>0.96</v>
      </c>
      <c r="Q195">
        <v>5.96E-3</v>
      </c>
      <c r="R195">
        <v>9.7900000000000001E-2</v>
      </c>
      <c r="S195">
        <v>0.4</v>
      </c>
      <c r="T195">
        <v>91.921000000000006</v>
      </c>
      <c r="U195">
        <v>3</v>
      </c>
      <c r="V195" t="s">
        <v>24</v>
      </c>
    </row>
    <row r="196" spans="3:22" x14ac:dyDescent="0.35">
      <c r="C196" t="s">
        <v>612</v>
      </c>
      <c r="D196" t="s">
        <v>263</v>
      </c>
      <c r="E196" t="s">
        <v>100</v>
      </c>
      <c r="F196" t="s">
        <v>47</v>
      </c>
      <c r="G196">
        <v>57</v>
      </c>
      <c r="H196">
        <v>233266</v>
      </c>
      <c r="I196" t="b">
        <v>0</v>
      </c>
      <c r="J196">
        <v>0.44700000000000001</v>
      </c>
      <c r="K196">
        <v>0.158</v>
      </c>
      <c r="L196">
        <v>2</v>
      </c>
      <c r="M196">
        <v>-7.5709999999999997</v>
      </c>
      <c r="N196">
        <v>1</v>
      </c>
      <c r="O196">
        <v>3.5999999999999997E-2</v>
      </c>
      <c r="P196">
        <v>0.872</v>
      </c>
      <c r="Q196" s="1" t="s">
        <v>613</v>
      </c>
      <c r="R196">
        <v>8.1600000000000006E-2</v>
      </c>
      <c r="S196">
        <v>0.14199999999999999</v>
      </c>
      <c r="T196">
        <v>140.94200000000001</v>
      </c>
      <c r="U196">
        <v>3</v>
      </c>
      <c r="V196" t="s">
        <v>24</v>
      </c>
    </row>
    <row r="197" spans="3:22" x14ac:dyDescent="0.35">
      <c r="C197" t="s">
        <v>614</v>
      </c>
      <c r="D197" t="s">
        <v>149</v>
      </c>
      <c r="E197" t="s">
        <v>285</v>
      </c>
      <c r="F197" t="s">
        <v>615</v>
      </c>
      <c r="G197">
        <v>60</v>
      </c>
      <c r="H197">
        <v>156453</v>
      </c>
      <c r="I197" t="b">
        <v>0</v>
      </c>
      <c r="J197">
        <v>0.40100000000000002</v>
      </c>
      <c r="K197">
        <v>0.57999999999999996</v>
      </c>
      <c r="L197">
        <v>7</v>
      </c>
      <c r="M197">
        <v>-6.86</v>
      </c>
      <c r="N197">
        <v>1</v>
      </c>
      <c r="O197">
        <v>5.4100000000000002E-2</v>
      </c>
      <c r="P197">
        <v>0.90600000000000003</v>
      </c>
      <c r="Q197">
        <v>0.217</v>
      </c>
      <c r="R197">
        <v>0.13400000000000001</v>
      </c>
      <c r="S197">
        <v>0.52600000000000002</v>
      </c>
      <c r="T197">
        <v>173.27699999999999</v>
      </c>
      <c r="U197">
        <v>3</v>
      </c>
      <c r="V197" t="s">
        <v>24</v>
      </c>
    </row>
    <row r="198" spans="3:22" x14ac:dyDescent="0.35">
      <c r="C198" t="s">
        <v>616</v>
      </c>
      <c r="D198" t="s">
        <v>617</v>
      </c>
      <c r="E198" t="s">
        <v>618</v>
      </c>
      <c r="F198" t="s">
        <v>619</v>
      </c>
      <c r="G198">
        <v>64</v>
      </c>
      <c r="H198">
        <v>165133</v>
      </c>
      <c r="I198" t="b">
        <v>0</v>
      </c>
      <c r="J198">
        <v>0.502</v>
      </c>
      <c r="K198">
        <v>0.311</v>
      </c>
      <c r="L198">
        <v>1</v>
      </c>
      <c r="M198">
        <v>-13.420999999999999</v>
      </c>
      <c r="N198">
        <v>1</v>
      </c>
      <c r="O198">
        <v>2.8500000000000001E-2</v>
      </c>
      <c r="P198">
        <v>0.61699999999999999</v>
      </c>
      <c r="Q198" s="1" t="s">
        <v>620</v>
      </c>
      <c r="R198">
        <v>0.129</v>
      </c>
      <c r="S198">
        <v>0.4</v>
      </c>
      <c r="T198">
        <v>107.61199999999999</v>
      </c>
      <c r="U198">
        <v>4</v>
      </c>
      <c r="V198" t="s">
        <v>24</v>
      </c>
    </row>
    <row r="199" spans="3:22" x14ac:dyDescent="0.35">
      <c r="C199" t="s">
        <v>621</v>
      </c>
      <c r="D199" t="s">
        <v>622</v>
      </c>
      <c r="E199" t="s">
        <v>623</v>
      </c>
      <c r="F199" t="s">
        <v>624</v>
      </c>
      <c r="G199">
        <v>0</v>
      </c>
      <c r="H199">
        <v>216626</v>
      </c>
      <c r="I199" t="b">
        <v>0</v>
      </c>
      <c r="J199">
        <v>0.67800000000000005</v>
      </c>
      <c r="K199">
        <v>0.61199999999999999</v>
      </c>
      <c r="L199">
        <v>4</v>
      </c>
      <c r="M199">
        <v>-9.7639999999999993</v>
      </c>
      <c r="N199">
        <v>1</v>
      </c>
      <c r="O199">
        <v>3.39E-2</v>
      </c>
      <c r="P199">
        <v>0.1</v>
      </c>
      <c r="Q199">
        <v>0.316</v>
      </c>
      <c r="R199">
        <v>0.16400000000000001</v>
      </c>
      <c r="S199">
        <v>0.85699999999999998</v>
      </c>
      <c r="T199">
        <v>118.381</v>
      </c>
      <c r="U199">
        <v>4</v>
      </c>
      <c r="V199" t="s">
        <v>24</v>
      </c>
    </row>
    <row r="200" spans="3:22" x14ac:dyDescent="0.35">
      <c r="C200" t="s">
        <v>625</v>
      </c>
      <c r="D200" t="s">
        <v>626</v>
      </c>
      <c r="E200" t="s">
        <v>627</v>
      </c>
      <c r="F200" t="s">
        <v>628</v>
      </c>
      <c r="G200">
        <v>0</v>
      </c>
      <c r="H200">
        <v>251426</v>
      </c>
      <c r="I200" t="b">
        <v>0</v>
      </c>
      <c r="J200">
        <v>0.65</v>
      </c>
      <c r="K200">
        <v>0.40600000000000003</v>
      </c>
      <c r="L200">
        <v>7</v>
      </c>
      <c r="M200">
        <v>-13.492000000000001</v>
      </c>
      <c r="N200">
        <v>1</v>
      </c>
      <c r="O200">
        <v>7.6100000000000001E-2</v>
      </c>
      <c r="P200">
        <v>0.56799999999999995</v>
      </c>
      <c r="Q200">
        <v>0</v>
      </c>
      <c r="R200">
        <v>0.48399999999999999</v>
      </c>
      <c r="S200">
        <v>0.86199999999999999</v>
      </c>
      <c r="T200">
        <v>79.641999999999996</v>
      </c>
      <c r="U200">
        <v>4</v>
      </c>
      <c r="V200" t="s">
        <v>24</v>
      </c>
    </row>
    <row r="201" spans="3:22" x14ac:dyDescent="0.35">
      <c r="C201" t="s">
        <v>629</v>
      </c>
      <c r="D201" t="s">
        <v>630</v>
      </c>
      <c r="E201" t="s">
        <v>631</v>
      </c>
      <c r="F201" t="s">
        <v>632</v>
      </c>
      <c r="G201">
        <v>0</v>
      </c>
      <c r="H201">
        <v>209293</v>
      </c>
      <c r="I201" t="b">
        <v>0</v>
      </c>
      <c r="J201">
        <v>0.64900000000000002</v>
      </c>
      <c r="K201">
        <v>0.39900000000000002</v>
      </c>
      <c r="L201">
        <v>6</v>
      </c>
      <c r="M201">
        <v>-7.8940000000000001</v>
      </c>
      <c r="N201">
        <v>1</v>
      </c>
      <c r="O201">
        <v>2.5600000000000001E-2</v>
      </c>
      <c r="P201">
        <v>0.184</v>
      </c>
      <c r="Q201">
        <v>1.08E-4</v>
      </c>
      <c r="R201">
        <v>0.113</v>
      </c>
      <c r="S201">
        <v>0.34200000000000003</v>
      </c>
      <c r="T201">
        <v>97.498000000000005</v>
      </c>
      <c r="U201">
        <v>3</v>
      </c>
      <c r="V201" t="s">
        <v>24</v>
      </c>
    </row>
    <row r="202" spans="3:22" x14ac:dyDescent="0.35">
      <c r="C202" t="s">
        <v>633</v>
      </c>
      <c r="D202" t="s">
        <v>180</v>
      </c>
      <c r="E202" t="s">
        <v>634</v>
      </c>
      <c r="F202" t="s">
        <v>635</v>
      </c>
      <c r="G202">
        <v>61</v>
      </c>
      <c r="H202">
        <v>308146</v>
      </c>
      <c r="I202" t="b">
        <v>0</v>
      </c>
      <c r="J202">
        <v>0.52300000000000002</v>
      </c>
      <c r="K202">
        <v>0.44500000000000001</v>
      </c>
      <c r="L202">
        <v>10</v>
      </c>
      <c r="M202">
        <v>-6.359</v>
      </c>
      <c r="N202">
        <v>1</v>
      </c>
      <c r="O202">
        <v>3.2899999999999999E-2</v>
      </c>
      <c r="P202">
        <v>0.188</v>
      </c>
      <c r="Q202">
        <v>0</v>
      </c>
      <c r="R202">
        <v>0.18</v>
      </c>
      <c r="S202">
        <v>0.33600000000000002</v>
      </c>
      <c r="T202">
        <v>78.956999999999994</v>
      </c>
      <c r="U202">
        <v>4</v>
      </c>
      <c r="V202" t="s">
        <v>24</v>
      </c>
    </row>
    <row r="203" spans="3:22" x14ac:dyDescent="0.35">
      <c r="C203" t="s">
        <v>636</v>
      </c>
      <c r="D203" t="s">
        <v>637</v>
      </c>
      <c r="E203" t="s">
        <v>638</v>
      </c>
      <c r="F203" t="s">
        <v>639</v>
      </c>
      <c r="G203">
        <v>50</v>
      </c>
      <c r="H203">
        <v>221170</v>
      </c>
      <c r="I203" t="b">
        <v>0</v>
      </c>
      <c r="J203">
        <v>0.53800000000000003</v>
      </c>
      <c r="K203">
        <v>0.16200000000000001</v>
      </c>
      <c r="L203">
        <v>5</v>
      </c>
      <c r="M203">
        <v>-13.31</v>
      </c>
      <c r="N203">
        <v>1</v>
      </c>
      <c r="O203">
        <v>2.9899999999999999E-2</v>
      </c>
      <c r="P203">
        <v>0.84699999999999998</v>
      </c>
      <c r="Q203">
        <v>0</v>
      </c>
      <c r="R203">
        <v>0.114</v>
      </c>
      <c r="S203">
        <v>0.36599999999999999</v>
      </c>
      <c r="T203">
        <v>94.980999999999995</v>
      </c>
      <c r="U203">
        <v>4</v>
      </c>
      <c r="V203" t="s">
        <v>24</v>
      </c>
    </row>
    <row r="204" spans="3:22" x14ac:dyDescent="0.35">
      <c r="C204" t="s">
        <v>640</v>
      </c>
      <c r="D204" t="s">
        <v>641</v>
      </c>
      <c r="E204" t="s">
        <v>642</v>
      </c>
      <c r="F204" t="s">
        <v>642</v>
      </c>
      <c r="G204">
        <v>47</v>
      </c>
      <c r="H204">
        <v>330786</v>
      </c>
      <c r="I204" t="b">
        <v>0</v>
      </c>
      <c r="J204">
        <v>0.51900000000000002</v>
      </c>
      <c r="K204">
        <v>0.42899999999999999</v>
      </c>
      <c r="L204">
        <v>11</v>
      </c>
      <c r="M204">
        <v>-7.7069999999999999</v>
      </c>
      <c r="N204">
        <v>0</v>
      </c>
      <c r="O204">
        <v>3.1699999999999999E-2</v>
      </c>
      <c r="P204">
        <v>0.65800000000000003</v>
      </c>
      <c r="Q204">
        <v>0</v>
      </c>
      <c r="R204">
        <v>0.111</v>
      </c>
      <c r="S204">
        <v>0.39600000000000002</v>
      </c>
      <c r="T204">
        <v>129.49100000000001</v>
      </c>
      <c r="U204">
        <v>4</v>
      </c>
      <c r="V204" t="s">
        <v>24</v>
      </c>
    </row>
    <row r="205" spans="3:22" x14ac:dyDescent="0.35">
      <c r="C205" t="s">
        <v>643</v>
      </c>
      <c r="D205" t="s">
        <v>34</v>
      </c>
      <c r="E205" t="s">
        <v>644</v>
      </c>
      <c r="F205" t="s">
        <v>644</v>
      </c>
      <c r="G205">
        <v>58</v>
      </c>
      <c r="H205">
        <v>234135</v>
      </c>
      <c r="I205" t="b">
        <v>0</v>
      </c>
      <c r="J205">
        <v>0.58499999999999996</v>
      </c>
      <c r="K205">
        <v>0.10299999999999999</v>
      </c>
      <c r="L205">
        <v>7</v>
      </c>
      <c r="M205">
        <v>-12.682</v>
      </c>
      <c r="N205">
        <v>1</v>
      </c>
      <c r="O205">
        <v>3.09E-2</v>
      </c>
      <c r="P205">
        <v>0.80100000000000005</v>
      </c>
      <c r="Q205">
        <v>0</v>
      </c>
      <c r="R205">
        <v>0.126</v>
      </c>
      <c r="S205">
        <v>0.17899999999999999</v>
      </c>
      <c r="T205">
        <v>133.05699999999999</v>
      </c>
      <c r="U205">
        <v>4</v>
      </c>
      <c r="V205" t="s">
        <v>24</v>
      </c>
    </row>
    <row r="206" spans="3:22" x14ac:dyDescent="0.35">
      <c r="C206" t="s">
        <v>645</v>
      </c>
      <c r="D206" t="s">
        <v>646</v>
      </c>
      <c r="E206" t="s">
        <v>647</v>
      </c>
      <c r="F206" t="s">
        <v>647</v>
      </c>
      <c r="G206">
        <v>30</v>
      </c>
      <c r="H206">
        <v>173250</v>
      </c>
      <c r="I206" t="b">
        <v>0</v>
      </c>
      <c r="J206">
        <v>0.57799999999999996</v>
      </c>
      <c r="K206">
        <v>0.76300000000000001</v>
      </c>
      <c r="L206">
        <v>2</v>
      </c>
      <c r="M206">
        <v>-4.8239999999999998</v>
      </c>
      <c r="N206">
        <v>1</v>
      </c>
      <c r="O206">
        <v>9.98E-2</v>
      </c>
      <c r="P206">
        <v>9.1600000000000001E-2</v>
      </c>
      <c r="Q206" s="1" t="s">
        <v>648</v>
      </c>
      <c r="R206">
        <v>7.4300000000000005E-2</v>
      </c>
      <c r="S206">
        <v>0.39400000000000002</v>
      </c>
      <c r="T206">
        <v>96.808000000000007</v>
      </c>
      <c r="U206">
        <v>4</v>
      </c>
      <c r="V206" t="s">
        <v>24</v>
      </c>
    </row>
    <row r="207" spans="3:22" x14ac:dyDescent="0.35">
      <c r="C207" t="s">
        <v>649</v>
      </c>
      <c r="D207" t="s">
        <v>650</v>
      </c>
      <c r="E207" t="s">
        <v>651</v>
      </c>
      <c r="F207" t="s">
        <v>652</v>
      </c>
      <c r="G207">
        <v>52</v>
      </c>
      <c r="H207">
        <v>336619</v>
      </c>
      <c r="I207" t="b">
        <v>0</v>
      </c>
      <c r="J207">
        <v>0.223</v>
      </c>
      <c r="K207">
        <v>0.89100000000000001</v>
      </c>
      <c r="L207">
        <v>1</v>
      </c>
      <c r="M207">
        <v>-3.6259999999999999</v>
      </c>
      <c r="N207">
        <v>0</v>
      </c>
      <c r="O207">
        <v>0.13800000000000001</v>
      </c>
      <c r="P207">
        <v>0.32500000000000001</v>
      </c>
      <c r="Q207">
        <v>0</v>
      </c>
      <c r="R207">
        <v>0.28699999999999998</v>
      </c>
      <c r="S207">
        <v>0.33300000000000002</v>
      </c>
      <c r="T207">
        <v>159.88800000000001</v>
      </c>
      <c r="U207">
        <v>4</v>
      </c>
      <c r="V207" t="s">
        <v>24</v>
      </c>
    </row>
    <row r="208" spans="3:22" x14ac:dyDescent="0.35">
      <c r="C208" t="s">
        <v>653</v>
      </c>
      <c r="D208" t="s">
        <v>225</v>
      </c>
      <c r="E208" t="s">
        <v>654</v>
      </c>
      <c r="F208" t="s">
        <v>654</v>
      </c>
      <c r="G208">
        <v>55</v>
      </c>
      <c r="H208">
        <v>144830</v>
      </c>
      <c r="I208" t="b">
        <v>0</v>
      </c>
      <c r="J208">
        <v>0.38200000000000001</v>
      </c>
      <c r="K208">
        <v>0.157</v>
      </c>
      <c r="L208">
        <v>1</v>
      </c>
      <c r="M208">
        <v>-16.157</v>
      </c>
      <c r="N208">
        <v>1</v>
      </c>
      <c r="O208">
        <v>3.61E-2</v>
      </c>
      <c r="P208">
        <v>0.878</v>
      </c>
      <c r="Q208">
        <v>4.73E-4</v>
      </c>
      <c r="R208">
        <v>0.112</v>
      </c>
      <c r="S208">
        <v>0.224</v>
      </c>
      <c r="T208">
        <v>136.11000000000001</v>
      </c>
      <c r="U208">
        <v>4</v>
      </c>
      <c r="V208" t="s">
        <v>24</v>
      </c>
    </row>
    <row r="209" spans="3:22" x14ac:dyDescent="0.35">
      <c r="C209" t="s">
        <v>655</v>
      </c>
      <c r="D209" t="s">
        <v>60</v>
      </c>
      <c r="E209" t="s">
        <v>656</v>
      </c>
      <c r="F209" t="s">
        <v>656</v>
      </c>
      <c r="G209">
        <v>67</v>
      </c>
      <c r="H209">
        <v>221538</v>
      </c>
      <c r="I209" t="b">
        <v>0</v>
      </c>
      <c r="J209">
        <v>0.64200000000000002</v>
      </c>
      <c r="K209">
        <v>0.374</v>
      </c>
      <c r="L209">
        <v>5</v>
      </c>
      <c r="M209">
        <v>-10.606</v>
      </c>
      <c r="N209">
        <v>1</v>
      </c>
      <c r="O209">
        <v>3.2000000000000001E-2</v>
      </c>
      <c r="P209">
        <v>0.42299999999999999</v>
      </c>
      <c r="Q209" s="1" t="s">
        <v>657</v>
      </c>
      <c r="R209">
        <v>0.435</v>
      </c>
      <c r="S209">
        <v>9.7900000000000001E-2</v>
      </c>
      <c r="T209">
        <v>129.863</v>
      </c>
      <c r="U209">
        <v>4</v>
      </c>
      <c r="V209" t="s">
        <v>24</v>
      </c>
    </row>
    <row r="210" spans="3:22" x14ac:dyDescent="0.35">
      <c r="C210" t="s">
        <v>658</v>
      </c>
      <c r="D210" t="s">
        <v>199</v>
      </c>
      <c r="E210" t="s">
        <v>659</v>
      </c>
      <c r="F210" t="s">
        <v>659</v>
      </c>
      <c r="G210">
        <v>45</v>
      </c>
      <c r="H210">
        <v>192972</v>
      </c>
      <c r="I210" t="b">
        <v>0</v>
      </c>
      <c r="J210">
        <v>0.436</v>
      </c>
      <c r="K210">
        <v>0.23899999999999999</v>
      </c>
      <c r="L210">
        <v>7</v>
      </c>
      <c r="M210">
        <v>-12.83</v>
      </c>
      <c r="N210">
        <v>1</v>
      </c>
      <c r="O210">
        <v>2.8199999999999999E-2</v>
      </c>
      <c r="P210">
        <v>0.86099999999999999</v>
      </c>
      <c r="Q210" s="1" t="s">
        <v>660</v>
      </c>
      <c r="R210">
        <v>9.0200000000000002E-2</v>
      </c>
      <c r="S210">
        <v>0.13700000000000001</v>
      </c>
      <c r="T210">
        <v>73.760999999999996</v>
      </c>
      <c r="U210">
        <v>4</v>
      </c>
      <c r="V210" t="s">
        <v>24</v>
      </c>
    </row>
    <row r="211" spans="3:22" x14ac:dyDescent="0.35">
      <c r="C211" t="s">
        <v>661</v>
      </c>
      <c r="D211" t="s">
        <v>339</v>
      </c>
      <c r="E211" t="s">
        <v>97</v>
      </c>
      <c r="F211" t="s">
        <v>662</v>
      </c>
      <c r="G211">
        <v>56</v>
      </c>
      <c r="H211">
        <v>278640</v>
      </c>
      <c r="I211" t="b">
        <v>0</v>
      </c>
      <c r="J211">
        <v>0.70199999999999996</v>
      </c>
      <c r="K211">
        <v>0.32600000000000001</v>
      </c>
      <c r="L211">
        <v>1</v>
      </c>
      <c r="M211">
        <v>-6.6379999999999999</v>
      </c>
      <c r="N211">
        <v>1</v>
      </c>
      <c r="O211">
        <v>2.7199999999999998E-2</v>
      </c>
      <c r="P211">
        <v>0.70499999999999996</v>
      </c>
      <c r="Q211">
        <v>0</v>
      </c>
      <c r="R211">
        <v>0.16800000000000001</v>
      </c>
      <c r="S211">
        <v>0.628</v>
      </c>
      <c r="T211">
        <v>79.903999999999996</v>
      </c>
      <c r="U211">
        <v>4</v>
      </c>
      <c r="V211" t="s">
        <v>24</v>
      </c>
    </row>
    <row r="212" spans="3:22" x14ac:dyDescent="0.35">
      <c r="C212" t="s">
        <v>663</v>
      </c>
      <c r="D212" t="s">
        <v>664</v>
      </c>
      <c r="E212" t="s">
        <v>222</v>
      </c>
      <c r="F212" t="s">
        <v>665</v>
      </c>
      <c r="G212">
        <v>37</v>
      </c>
      <c r="H212">
        <v>212864</v>
      </c>
      <c r="I212" t="b">
        <v>0</v>
      </c>
      <c r="J212">
        <v>0.59299999999999997</v>
      </c>
      <c r="K212">
        <v>0.29199999999999998</v>
      </c>
      <c r="L212">
        <v>11</v>
      </c>
      <c r="M212">
        <v>-12.755000000000001</v>
      </c>
      <c r="N212">
        <v>1</v>
      </c>
      <c r="O212">
        <v>3.6400000000000002E-2</v>
      </c>
      <c r="P212">
        <v>0.82799999999999996</v>
      </c>
      <c r="Q212">
        <v>0</v>
      </c>
      <c r="R212">
        <v>0.17399999999999999</v>
      </c>
      <c r="S212">
        <v>0.375</v>
      </c>
      <c r="T212">
        <v>111.121</v>
      </c>
      <c r="U212">
        <v>4</v>
      </c>
      <c r="V212" t="s">
        <v>24</v>
      </c>
    </row>
    <row r="213" spans="3:22" x14ac:dyDescent="0.35">
      <c r="C213" t="s">
        <v>666</v>
      </c>
      <c r="D213" t="s">
        <v>305</v>
      </c>
      <c r="E213" t="s">
        <v>667</v>
      </c>
      <c r="F213" t="s">
        <v>668</v>
      </c>
      <c r="G213">
        <v>54</v>
      </c>
      <c r="H213">
        <v>219466</v>
      </c>
      <c r="I213" t="b">
        <v>0</v>
      </c>
      <c r="J213">
        <v>0.28499999999999998</v>
      </c>
      <c r="K213">
        <v>0.186</v>
      </c>
      <c r="L213">
        <v>1</v>
      </c>
      <c r="M213">
        <v>-12.728999999999999</v>
      </c>
      <c r="N213">
        <v>1</v>
      </c>
      <c r="O213">
        <v>2.8799999999999999E-2</v>
      </c>
      <c r="P213">
        <v>0.76</v>
      </c>
      <c r="Q213" s="1" t="s">
        <v>669</v>
      </c>
      <c r="R213">
        <v>0.104</v>
      </c>
      <c r="S213">
        <v>0.20300000000000001</v>
      </c>
      <c r="T213">
        <v>153.84800000000001</v>
      </c>
      <c r="U213">
        <v>4</v>
      </c>
      <c r="V213" t="s">
        <v>24</v>
      </c>
    </row>
    <row r="214" spans="3:22" x14ac:dyDescent="0.35">
      <c r="C214" t="s">
        <v>670</v>
      </c>
      <c r="D214" t="s">
        <v>413</v>
      </c>
      <c r="E214" t="s">
        <v>488</v>
      </c>
      <c r="F214" t="s">
        <v>489</v>
      </c>
      <c r="G214">
        <v>66</v>
      </c>
      <c r="H214">
        <v>249120</v>
      </c>
      <c r="I214" t="b">
        <v>0</v>
      </c>
      <c r="J214">
        <v>0.63600000000000001</v>
      </c>
      <c r="K214">
        <v>0.625</v>
      </c>
      <c r="L214">
        <v>11</v>
      </c>
      <c r="M214">
        <v>-7.8949999999999996</v>
      </c>
      <c r="N214">
        <v>1</v>
      </c>
      <c r="O214">
        <v>2.7699999999999999E-2</v>
      </c>
      <c r="P214">
        <v>0.222</v>
      </c>
      <c r="Q214" s="1" t="s">
        <v>490</v>
      </c>
      <c r="R214">
        <v>0.11899999999999999</v>
      </c>
      <c r="S214">
        <v>0.34200000000000003</v>
      </c>
      <c r="T214">
        <v>93.930999999999997</v>
      </c>
      <c r="U214">
        <v>4</v>
      </c>
      <c r="V214" t="s">
        <v>24</v>
      </c>
    </row>
    <row r="215" spans="3:22" x14ac:dyDescent="0.35">
      <c r="C215" t="s">
        <v>671</v>
      </c>
      <c r="D215" t="s">
        <v>258</v>
      </c>
      <c r="E215" t="s">
        <v>672</v>
      </c>
      <c r="F215" t="s">
        <v>673</v>
      </c>
      <c r="G215">
        <v>63</v>
      </c>
      <c r="H215">
        <v>148400</v>
      </c>
      <c r="I215" t="b">
        <v>0</v>
      </c>
      <c r="J215">
        <v>0.69799999999999995</v>
      </c>
      <c r="K215">
        <v>0.28499999999999998</v>
      </c>
      <c r="L215">
        <v>0</v>
      </c>
      <c r="M215">
        <v>-7.6319999999999997</v>
      </c>
      <c r="N215">
        <v>1</v>
      </c>
      <c r="O215">
        <v>5.5300000000000002E-2</v>
      </c>
      <c r="P215">
        <v>0.92700000000000005</v>
      </c>
      <c r="Q215">
        <v>0</v>
      </c>
      <c r="R215">
        <v>8.8300000000000003E-2</v>
      </c>
      <c r="S215">
        <v>0.53</v>
      </c>
      <c r="T215">
        <v>135.02699999999999</v>
      </c>
      <c r="U215">
        <v>4</v>
      </c>
      <c r="V215" t="s">
        <v>24</v>
      </c>
    </row>
    <row r="216" spans="3:22" x14ac:dyDescent="0.35">
      <c r="C216" t="s">
        <v>674</v>
      </c>
      <c r="D216" t="s">
        <v>675</v>
      </c>
      <c r="E216" t="s">
        <v>62</v>
      </c>
      <c r="F216" t="s">
        <v>676</v>
      </c>
      <c r="G216">
        <v>58</v>
      </c>
      <c r="H216">
        <v>244800</v>
      </c>
      <c r="I216" t="b">
        <v>0</v>
      </c>
      <c r="J216">
        <v>0.60099999999999998</v>
      </c>
      <c r="K216">
        <v>0.439</v>
      </c>
      <c r="L216">
        <v>8</v>
      </c>
      <c r="M216">
        <v>-7.5890000000000004</v>
      </c>
      <c r="N216">
        <v>1</v>
      </c>
      <c r="O216">
        <v>2.69E-2</v>
      </c>
      <c r="P216">
        <v>6.4199999999999993E-2</v>
      </c>
      <c r="Q216">
        <v>0</v>
      </c>
      <c r="R216">
        <v>9.4200000000000006E-2</v>
      </c>
      <c r="S216">
        <v>0.27500000000000002</v>
      </c>
      <c r="T216">
        <v>99.975999999999999</v>
      </c>
      <c r="U216">
        <v>4</v>
      </c>
      <c r="V216" t="s">
        <v>24</v>
      </c>
    </row>
    <row r="217" spans="3:22" x14ac:dyDescent="0.35">
      <c r="C217" t="s">
        <v>677</v>
      </c>
      <c r="D217" t="s">
        <v>78</v>
      </c>
      <c r="E217" t="s">
        <v>678</v>
      </c>
      <c r="F217" t="s">
        <v>80</v>
      </c>
      <c r="G217">
        <v>55</v>
      </c>
      <c r="H217">
        <v>270840</v>
      </c>
      <c r="I217" t="b">
        <v>0</v>
      </c>
      <c r="J217">
        <v>0.33200000000000002</v>
      </c>
      <c r="K217">
        <v>0.29799999999999999</v>
      </c>
      <c r="L217">
        <v>4</v>
      </c>
      <c r="M217">
        <v>-14.173999999999999</v>
      </c>
      <c r="N217">
        <v>1</v>
      </c>
      <c r="O217">
        <v>5.6899999999999999E-2</v>
      </c>
      <c r="P217">
        <v>0.875</v>
      </c>
      <c r="Q217">
        <v>7.8399999999999997E-3</v>
      </c>
      <c r="R217">
        <v>0.114</v>
      </c>
      <c r="S217">
        <v>0.24299999999999999</v>
      </c>
      <c r="T217">
        <v>83.555000000000007</v>
      </c>
      <c r="U217">
        <v>4</v>
      </c>
      <c r="V217" t="s">
        <v>24</v>
      </c>
    </row>
    <row r="218" spans="3:22" x14ac:dyDescent="0.35">
      <c r="C218" t="s">
        <v>679</v>
      </c>
      <c r="D218" t="s">
        <v>680</v>
      </c>
      <c r="E218" t="s">
        <v>681</v>
      </c>
      <c r="F218" t="s">
        <v>682</v>
      </c>
      <c r="G218">
        <v>65</v>
      </c>
      <c r="H218">
        <v>279826</v>
      </c>
      <c r="I218" t="b">
        <v>0</v>
      </c>
      <c r="J218">
        <v>0.38600000000000001</v>
      </c>
      <c r="K218">
        <v>0.45200000000000001</v>
      </c>
      <c r="L218">
        <v>2</v>
      </c>
      <c r="M218">
        <v>-7.7149999999999999</v>
      </c>
      <c r="N218">
        <v>1</v>
      </c>
      <c r="O218">
        <v>2.7799999999999998E-2</v>
      </c>
      <c r="P218">
        <v>0.41699999999999998</v>
      </c>
      <c r="Q218">
        <v>0</v>
      </c>
      <c r="R218">
        <v>8.8099999999999998E-2</v>
      </c>
      <c r="S218">
        <v>0.28699999999999998</v>
      </c>
      <c r="T218">
        <v>169.83699999999999</v>
      </c>
      <c r="U218">
        <v>3</v>
      </c>
      <c r="V218" t="s">
        <v>24</v>
      </c>
    </row>
    <row r="219" spans="3:22" x14ac:dyDescent="0.35">
      <c r="C219" t="s">
        <v>683</v>
      </c>
      <c r="D219" t="s">
        <v>60</v>
      </c>
      <c r="E219" t="s">
        <v>61</v>
      </c>
      <c r="F219" t="s">
        <v>684</v>
      </c>
      <c r="G219">
        <v>69</v>
      </c>
      <c r="H219">
        <v>244067</v>
      </c>
      <c r="I219" t="b">
        <v>0</v>
      </c>
      <c r="J219">
        <v>0.62</v>
      </c>
      <c r="K219">
        <v>0.66800000000000004</v>
      </c>
      <c r="L219">
        <v>9</v>
      </c>
      <c r="M219">
        <v>-5.7190000000000003</v>
      </c>
      <c r="N219">
        <v>1</v>
      </c>
      <c r="O219">
        <v>3.0499999999999999E-2</v>
      </c>
      <c r="P219">
        <v>8.7999999999999995E-2</v>
      </c>
      <c r="Q219">
        <v>0</v>
      </c>
      <c r="R219">
        <v>0.36199999999999999</v>
      </c>
      <c r="S219">
        <v>0.183</v>
      </c>
      <c r="T219">
        <v>118.01300000000001</v>
      </c>
      <c r="U219">
        <v>4</v>
      </c>
      <c r="V219" t="s">
        <v>24</v>
      </c>
    </row>
    <row r="220" spans="3:22" x14ac:dyDescent="0.35">
      <c r="C220" t="s">
        <v>685</v>
      </c>
      <c r="D220" t="s">
        <v>664</v>
      </c>
      <c r="E220" t="s">
        <v>572</v>
      </c>
      <c r="F220" t="s">
        <v>572</v>
      </c>
      <c r="G220">
        <v>44</v>
      </c>
      <c r="H220">
        <v>214738</v>
      </c>
      <c r="I220" t="b">
        <v>0</v>
      </c>
      <c r="J220">
        <v>0.39400000000000002</v>
      </c>
      <c r="K220">
        <v>0.28100000000000003</v>
      </c>
      <c r="L220">
        <v>9</v>
      </c>
      <c r="M220">
        <v>-11.12</v>
      </c>
      <c r="N220">
        <v>1</v>
      </c>
      <c r="O220">
        <v>4.1399999999999999E-2</v>
      </c>
      <c r="P220">
        <v>0.82599999999999996</v>
      </c>
      <c r="Q220">
        <v>0</v>
      </c>
      <c r="R220">
        <v>8.5400000000000004E-2</v>
      </c>
      <c r="S220">
        <v>0.48499999999999999</v>
      </c>
      <c r="T220">
        <v>90.043999999999997</v>
      </c>
      <c r="U220">
        <v>4</v>
      </c>
      <c r="V220" t="s">
        <v>24</v>
      </c>
    </row>
    <row r="221" spans="3:22" x14ac:dyDescent="0.35">
      <c r="C221" t="s">
        <v>686</v>
      </c>
      <c r="D221" t="s">
        <v>26</v>
      </c>
      <c r="E221" t="s">
        <v>687</v>
      </c>
      <c r="F221" t="s">
        <v>687</v>
      </c>
      <c r="G221">
        <v>39</v>
      </c>
      <c r="H221">
        <v>207677</v>
      </c>
      <c r="I221" t="b">
        <v>0</v>
      </c>
      <c r="J221">
        <v>0.59</v>
      </c>
      <c r="K221">
        <v>0.55200000000000005</v>
      </c>
      <c r="L221">
        <v>7</v>
      </c>
      <c r="M221">
        <v>-10.496</v>
      </c>
      <c r="N221">
        <v>1</v>
      </c>
      <c r="O221">
        <v>4.07E-2</v>
      </c>
      <c r="P221">
        <v>0.65400000000000003</v>
      </c>
      <c r="Q221">
        <v>3.59E-4</v>
      </c>
      <c r="R221">
        <v>0.128</v>
      </c>
      <c r="S221">
        <v>0.63500000000000001</v>
      </c>
      <c r="T221">
        <v>155.101</v>
      </c>
      <c r="U221">
        <v>5</v>
      </c>
      <c r="V221" t="s">
        <v>24</v>
      </c>
    </row>
    <row r="222" spans="3:22" x14ac:dyDescent="0.35">
      <c r="C222" t="s">
        <v>688</v>
      </c>
      <c r="D222" t="s">
        <v>184</v>
      </c>
      <c r="E222" t="s">
        <v>507</v>
      </c>
      <c r="F222" t="s">
        <v>689</v>
      </c>
      <c r="G222">
        <v>54</v>
      </c>
      <c r="H222">
        <v>265506</v>
      </c>
      <c r="I222" t="b">
        <v>0</v>
      </c>
      <c r="J222">
        <v>0.53900000000000003</v>
      </c>
      <c r="K222">
        <v>0.71699999999999997</v>
      </c>
      <c r="L222">
        <v>3</v>
      </c>
      <c r="M222">
        <v>-7.3849999999999998</v>
      </c>
      <c r="N222">
        <v>1</v>
      </c>
      <c r="O222">
        <v>3.1E-2</v>
      </c>
      <c r="P222">
        <v>2.9799999999999998E-4</v>
      </c>
      <c r="Q222">
        <v>0.111</v>
      </c>
      <c r="R222">
        <v>0.125</v>
      </c>
      <c r="S222">
        <v>0.21199999999999999</v>
      </c>
      <c r="T222">
        <v>117.973</v>
      </c>
      <c r="U222">
        <v>4</v>
      </c>
      <c r="V222" t="s">
        <v>24</v>
      </c>
    </row>
    <row r="223" spans="3:22" x14ac:dyDescent="0.35">
      <c r="C223" t="s">
        <v>690</v>
      </c>
      <c r="D223" t="s">
        <v>664</v>
      </c>
      <c r="E223" t="s">
        <v>691</v>
      </c>
      <c r="F223" t="s">
        <v>692</v>
      </c>
      <c r="G223">
        <v>44</v>
      </c>
      <c r="H223">
        <v>188494</v>
      </c>
      <c r="I223" t="b">
        <v>0</v>
      </c>
      <c r="J223">
        <v>0.54300000000000004</v>
      </c>
      <c r="K223">
        <v>0.13800000000000001</v>
      </c>
      <c r="L223">
        <v>0</v>
      </c>
      <c r="M223">
        <v>-14.331</v>
      </c>
      <c r="N223">
        <v>1</v>
      </c>
      <c r="O223">
        <v>5.3100000000000001E-2</v>
      </c>
      <c r="P223">
        <v>0.79100000000000004</v>
      </c>
      <c r="Q223">
        <v>0</v>
      </c>
      <c r="R223">
        <v>0.185</v>
      </c>
      <c r="S223">
        <v>0.3</v>
      </c>
      <c r="T223">
        <v>115.65</v>
      </c>
      <c r="U223">
        <v>4</v>
      </c>
      <c r="V223" t="s">
        <v>24</v>
      </c>
    </row>
    <row r="224" spans="3:22" x14ac:dyDescent="0.35">
      <c r="C224" t="s">
        <v>693</v>
      </c>
      <c r="D224" t="s">
        <v>60</v>
      </c>
      <c r="E224" t="s">
        <v>694</v>
      </c>
      <c r="F224" t="s">
        <v>694</v>
      </c>
      <c r="G224">
        <v>70</v>
      </c>
      <c r="H224">
        <v>210354</v>
      </c>
      <c r="I224" t="b">
        <v>0</v>
      </c>
      <c r="J224">
        <v>0.62</v>
      </c>
      <c r="K224">
        <v>0.54700000000000004</v>
      </c>
      <c r="L224">
        <v>1</v>
      </c>
      <c r="M224">
        <v>-6.7720000000000002</v>
      </c>
      <c r="N224">
        <v>1</v>
      </c>
      <c r="O224">
        <v>2.4799999999999999E-2</v>
      </c>
      <c r="P224">
        <v>0.112</v>
      </c>
      <c r="Q224">
        <v>0</v>
      </c>
      <c r="R224">
        <v>0.19</v>
      </c>
      <c r="S224">
        <v>0.20799999999999999</v>
      </c>
      <c r="T224">
        <v>98.031999999999996</v>
      </c>
      <c r="U224">
        <v>4</v>
      </c>
      <c r="V224" t="s">
        <v>24</v>
      </c>
    </row>
    <row r="225" spans="3:22" x14ac:dyDescent="0.35">
      <c r="C225" t="s">
        <v>695</v>
      </c>
      <c r="D225" t="s">
        <v>696</v>
      </c>
      <c r="E225" t="s">
        <v>697</v>
      </c>
      <c r="F225" t="s">
        <v>697</v>
      </c>
      <c r="G225">
        <v>64</v>
      </c>
      <c r="H225">
        <v>200706</v>
      </c>
      <c r="I225" t="b">
        <v>0</v>
      </c>
      <c r="J225">
        <v>0.76100000000000001</v>
      </c>
      <c r="K225">
        <v>0.311</v>
      </c>
      <c r="L225">
        <v>5</v>
      </c>
      <c r="M225">
        <v>-10.597</v>
      </c>
      <c r="N225">
        <v>1</v>
      </c>
      <c r="O225">
        <v>6.9199999999999998E-2</v>
      </c>
      <c r="P225">
        <v>0.64700000000000002</v>
      </c>
      <c r="Q225">
        <v>0</v>
      </c>
      <c r="R225">
        <v>0.15</v>
      </c>
      <c r="S225">
        <v>0.55300000000000005</v>
      </c>
      <c r="T225">
        <v>109.89100000000001</v>
      </c>
      <c r="U225">
        <v>4</v>
      </c>
      <c r="V225" t="s">
        <v>24</v>
      </c>
    </row>
    <row r="226" spans="3:22" x14ac:dyDescent="0.35">
      <c r="C226" t="s">
        <v>698</v>
      </c>
      <c r="D226" t="s">
        <v>83</v>
      </c>
      <c r="E226" t="s">
        <v>699</v>
      </c>
      <c r="F226" t="s">
        <v>699</v>
      </c>
      <c r="G226">
        <v>40</v>
      </c>
      <c r="H226">
        <v>199256</v>
      </c>
      <c r="I226" t="b">
        <v>0</v>
      </c>
      <c r="J226">
        <v>0.67400000000000004</v>
      </c>
      <c r="K226">
        <v>0.122</v>
      </c>
      <c r="L226">
        <v>1</v>
      </c>
      <c r="M226">
        <v>-17.963000000000001</v>
      </c>
      <c r="N226">
        <v>1</v>
      </c>
      <c r="O226">
        <v>4.2700000000000002E-2</v>
      </c>
      <c r="P226">
        <v>0.88200000000000001</v>
      </c>
      <c r="Q226">
        <v>0</v>
      </c>
      <c r="R226">
        <v>0.13900000000000001</v>
      </c>
      <c r="S226">
        <v>0.33900000000000002</v>
      </c>
      <c r="T226">
        <v>130.01400000000001</v>
      </c>
      <c r="U226">
        <v>4</v>
      </c>
      <c r="V226" t="s">
        <v>24</v>
      </c>
    </row>
    <row r="227" spans="3:22" x14ac:dyDescent="0.35">
      <c r="C227" t="s">
        <v>700</v>
      </c>
      <c r="D227" t="s">
        <v>546</v>
      </c>
      <c r="E227" t="s">
        <v>701</v>
      </c>
      <c r="F227" t="s">
        <v>701</v>
      </c>
      <c r="G227">
        <v>47</v>
      </c>
      <c r="H227">
        <v>205666</v>
      </c>
      <c r="I227" t="b">
        <v>0</v>
      </c>
      <c r="J227">
        <v>0.42899999999999999</v>
      </c>
      <c r="K227">
        <v>0.35799999999999998</v>
      </c>
      <c r="L227">
        <v>0</v>
      </c>
      <c r="M227">
        <v>-9.0760000000000005</v>
      </c>
      <c r="N227">
        <v>1</v>
      </c>
      <c r="O227">
        <v>3.4599999999999999E-2</v>
      </c>
      <c r="P227">
        <v>0.61399999999999999</v>
      </c>
      <c r="Q227">
        <v>0</v>
      </c>
      <c r="R227">
        <v>8.7499999999999994E-2</v>
      </c>
      <c r="S227">
        <v>0.187</v>
      </c>
      <c r="T227">
        <v>134.279</v>
      </c>
      <c r="U227">
        <v>4</v>
      </c>
      <c r="V227" t="s">
        <v>24</v>
      </c>
    </row>
    <row r="228" spans="3:22" x14ac:dyDescent="0.35">
      <c r="C228" t="s">
        <v>702</v>
      </c>
      <c r="D228" t="s">
        <v>263</v>
      </c>
      <c r="E228" t="s">
        <v>703</v>
      </c>
      <c r="F228" t="s">
        <v>47</v>
      </c>
      <c r="G228">
        <v>40</v>
      </c>
      <c r="H228">
        <v>229573</v>
      </c>
      <c r="I228" t="b">
        <v>0</v>
      </c>
      <c r="J228">
        <v>0.45600000000000002</v>
      </c>
      <c r="K228">
        <v>0.10100000000000001</v>
      </c>
      <c r="L228">
        <v>2</v>
      </c>
      <c r="M228">
        <v>-11.75</v>
      </c>
      <c r="N228">
        <v>1</v>
      </c>
      <c r="O228">
        <v>3.7999999999999999E-2</v>
      </c>
      <c r="P228">
        <v>0.876</v>
      </c>
      <c r="Q228" s="1" t="s">
        <v>704</v>
      </c>
      <c r="R228">
        <v>7.7600000000000002E-2</v>
      </c>
      <c r="S228">
        <v>0.155</v>
      </c>
      <c r="T228">
        <v>139.89599999999999</v>
      </c>
      <c r="U228">
        <v>3</v>
      </c>
      <c r="V228" t="s">
        <v>24</v>
      </c>
    </row>
    <row r="229" spans="3:22" x14ac:dyDescent="0.35">
      <c r="C229" t="s">
        <v>705</v>
      </c>
      <c r="D229" t="s">
        <v>60</v>
      </c>
      <c r="E229" t="s">
        <v>61</v>
      </c>
      <c r="F229" t="s">
        <v>706</v>
      </c>
      <c r="G229">
        <v>55</v>
      </c>
      <c r="H229">
        <v>240952</v>
      </c>
      <c r="I229" t="b">
        <v>0</v>
      </c>
      <c r="J229">
        <v>0.64700000000000002</v>
      </c>
      <c r="K229">
        <v>0.56699999999999995</v>
      </c>
      <c r="L229">
        <v>1</v>
      </c>
      <c r="M229">
        <v>-8.9710000000000001</v>
      </c>
      <c r="N229">
        <v>1</v>
      </c>
      <c r="O229">
        <v>3.2800000000000003E-2</v>
      </c>
      <c r="P229">
        <v>3.1800000000000002E-2</v>
      </c>
      <c r="Q229">
        <v>0</v>
      </c>
      <c r="R229">
        <v>0.13300000000000001</v>
      </c>
      <c r="S229">
        <v>0.374</v>
      </c>
      <c r="T229">
        <v>125.871</v>
      </c>
      <c r="U229">
        <v>4</v>
      </c>
      <c r="V229" t="s">
        <v>24</v>
      </c>
    </row>
    <row r="230" spans="3:22" x14ac:dyDescent="0.35">
      <c r="C230" t="s">
        <v>707</v>
      </c>
      <c r="D230" t="s">
        <v>708</v>
      </c>
      <c r="E230" t="s">
        <v>709</v>
      </c>
      <c r="F230" t="s">
        <v>710</v>
      </c>
      <c r="G230">
        <v>57</v>
      </c>
      <c r="H230">
        <v>199594</v>
      </c>
      <c r="I230" t="b">
        <v>0</v>
      </c>
      <c r="J230">
        <v>0.32200000000000001</v>
      </c>
      <c r="K230">
        <v>0.21299999999999999</v>
      </c>
      <c r="L230">
        <v>10</v>
      </c>
      <c r="M230">
        <v>-14.914999999999999</v>
      </c>
      <c r="N230">
        <v>0</v>
      </c>
      <c r="O230">
        <v>3.1800000000000002E-2</v>
      </c>
      <c r="P230">
        <v>0.61099999999999999</v>
      </c>
      <c r="Q230">
        <v>0</v>
      </c>
      <c r="R230">
        <v>0.113</v>
      </c>
      <c r="S230">
        <v>0.16</v>
      </c>
      <c r="T230">
        <v>160.38900000000001</v>
      </c>
      <c r="U230">
        <v>4</v>
      </c>
      <c r="V230" t="s">
        <v>24</v>
      </c>
    </row>
    <row r="231" spans="3:22" x14ac:dyDescent="0.35">
      <c r="C231" t="s">
        <v>711</v>
      </c>
      <c r="D231" t="s">
        <v>712</v>
      </c>
      <c r="E231" t="s">
        <v>713</v>
      </c>
      <c r="F231" t="s">
        <v>714</v>
      </c>
      <c r="G231">
        <v>48</v>
      </c>
      <c r="H231">
        <v>317280</v>
      </c>
      <c r="I231" t="b">
        <v>0</v>
      </c>
      <c r="J231">
        <v>0.48199999999999998</v>
      </c>
      <c r="K231">
        <v>0.38100000000000001</v>
      </c>
      <c r="L231">
        <v>2</v>
      </c>
      <c r="M231">
        <v>-13.93</v>
      </c>
      <c r="N231">
        <v>1</v>
      </c>
      <c r="O231">
        <v>3.1099999999999999E-2</v>
      </c>
      <c r="P231">
        <v>0.45500000000000002</v>
      </c>
      <c r="Q231">
        <v>2.9499999999999999E-3</v>
      </c>
      <c r="R231">
        <v>0.114</v>
      </c>
      <c r="S231">
        <v>0.42</v>
      </c>
      <c r="T231">
        <v>81.712000000000003</v>
      </c>
      <c r="U231">
        <v>4</v>
      </c>
      <c r="V231" t="s">
        <v>24</v>
      </c>
    </row>
    <row r="232" spans="3:22" x14ac:dyDescent="0.35">
      <c r="C232" t="s">
        <v>715</v>
      </c>
      <c r="D232" t="s">
        <v>716</v>
      </c>
      <c r="E232" t="s">
        <v>717</v>
      </c>
      <c r="F232" t="s">
        <v>718</v>
      </c>
      <c r="G232">
        <v>54</v>
      </c>
      <c r="H232">
        <v>231965</v>
      </c>
      <c r="I232" t="b">
        <v>0</v>
      </c>
      <c r="J232">
        <v>0.39300000000000002</v>
      </c>
      <c r="K232">
        <v>0.20699999999999999</v>
      </c>
      <c r="L232">
        <v>10</v>
      </c>
      <c r="M232">
        <v>-11.865</v>
      </c>
      <c r="N232">
        <v>1</v>
      </c>
      <c r="O232">
        <v>3.9199999999999999E-2</v>
      </c>
      <c r="P232">
        <v>0.877</v>
      </c>
      <c r="Q232">
        <v>0</v>
      </c>
      <c r="R232">
        <v>0.104</v>
      </c>
      <c r="S232">
        <v>0.26200000000000001</v>
      </c>
      <c r="T232">
        <v>163.99</v>
      </c>
      <c r="U232">
        <v>4</v>
      </c>
      <c r="V232" t="s">
        <v>24</v>
      </c>
    </row>
    <row r="233" spans="3:22" x14ac:dyDescent="0.35">
      <c r="C233" t="s">
        <v>719</v>
      </c>
      <c r="D233" t="s">
        <v>221</v>
      </c>
      <c r="E233" t="s">
        <v>222</v>
      </c>
      <c r="F233" t="s">
        <v>720</v>
      </c>
      <c r="G233">
        <v>53</v>
      </c>
      <c r="H233">
        <v>200800</v>
      </c>
      <c r="I233" t="b">
        <v>0</v>
      </c>
      <c r="J233">
        <v>0.42299999999999999</v>
      </c>
      <c r="K233">
        <v>0.20699999999999999</v>
      </c>
      <c r="L233">
        <v>7</v>
      </c>
      <c r="M233">
        <v>-8.8109999999999999</v>
      </c>
      <c r="N233">
        <v>1</v>
      </c>
      <c r="O233">
        <v>2.8899999999999999E-2</v>
      </c>
      <c r="P233">
        <v>0.88700000000000001</v>
      </c>
      <c r="Q233">
        <v>0</v>
      </c>
      <c r="R233">
        <v>9.4799999999999995E-2</v>
      </c>
      <c r="S233">
        <v>0.20899999999999999</v>
      </c>
      <c r="T233">
        <v>149.66399999999999</v>
      </c>
      <c r="U233">
        <v>4</v>
      </c>
      <c r="V233" t="s">
        <v>24</v>
      </c>
    </row>
    <row r="234" spans="3:22" x14ac:dyDescent="0.35">
      <c r="C234" t="s">
        <v>721</v>
      </c>
      <c r="D234" t="s">
        <v>225</v>
      </c>
      <c r="E234" t="s">
        <v>722</v>
      </c>
      <c r="F234" t="s">
        <v>723</v>
      </c>
      <c r="G234">
        <v>60</v>
      </c>
      <c r="H234">
        <v>261665</v>
      </c>
      <c r="I234" t="b">
        <v>0</v>
      </c>
      <c r="J234">
        <v>0.52200000000000002</v>
      </c>
      <c r="K234">
        <v>0.152</v>
      </c>
      <c r="L234">
        <v>2</v>
      </c>
      <c r="M234">
        <v>-14.996</v>
      </c>
      <c r="N234">
        <v>1</v>
      </c>
      <c r="O234">
        <v>3.0300000000000001E-2</v>
      </c>
      <c r="P234">
        <v>0.78800000000000003</v>
      </c>
      <c r="Q234" s="1" t="s">
        <v>724</v>
      </c>
      <c r="R234">
        <v>0.14799999999999999</v>
      </c>
      <c r="S234">
        <v>0.13300000000000001</v>
      </c>
      <c r="T234">
        <v>144.05500000000001</v>
      </c>
      <c r="U234">
        <v>4</v>
      </c>
      <c r="V234" t="s">
        <v>24</v>
      </c>
    </row>
    <row r="235" spans="3:22" x14ac:dyDescent="0.35">
      <c r="C235" t="s">
        <v>725</v>
      </c>
      <c r="D235" t="s">
        <v>408</v>
      </c>
      <c r="E235" t="s">
        <v>726</v>
      </c>
      <c r="F235" t="s">
        <v>726</v>
      </c>
      <c r="G235">
        <v>54</v>
      </c>
      <c r="H235">
        <v>231605</v>
      </c>
      <c r="I235" t="b">
        <v>0</v>
      </c>
      <c r="J235">
        <v>0.54700000000000004</v>
      </c>
      <c r="K235">
        <v>0.313</v>
      </c>
      <c r="L235">
        <v>0</v>
      </c>
      <c r="M235">
        <v>-7.9820000000000002</v>
      </c>
      <c r="N235">
        <v>1</v>
      </c>
      <c r="O235">
        <v>3.15E-2</v>
      </c>
      <c r="P235">
        <v>0.61199999999999999</v>
      </c>
      <c r="Q235" s="1" t="s">
        <v>727</v>
      </c>
      <c r="R235">
        <v>0.111</v>
      </c>
      <c r="S235">
        <v>0.26100000000000001</v>
      </c>
      <c r="T235">
        <v>133.73699999999999</v>
      </c>
      <c r="U235">
        <v>4</v>
      </c>
      <c r="V235" t="s">
        <v>24</v>
      </c>
    </row>
    <row r="236" spans="3:22" x14ac:dyDescent="0.35">
      <c r="C236" t="s">
        <v>728</v>
      </c>
      <c r="D236" t="s">
        <v>712</v>
      </c>
      <c r="E236" t="s">
        <v>729</v>
      </c>
      <c r="F236" t="s">
        <v>730</v>
      </c>
      <c r="G236">
        <v>62</v>
      </c>
      <c r="H236">
        <v>306200</v>
      </c>
      <c r="I236" t="b">
        <v>0</v>
      </c>
      <c r="J236">
        <v>0.504</v>
      </c>
      <c r="K236">
        <v>0.32100000000000001</v>
      </c>
      <c r="L236">
        <v>7</v>
      </c>
      <c r="M236">
        <v>-13.807</v>
      </c>
      <c r="N236">
        <v>1</v>
      </c>
      <c r="O236">
        <v>3.1600000000000003E-2</v>
      </c>
      <c r="P236">
        <v>0.14899999999999999</v>
      </c>
      <c r="Q236">
        <v>1.07E-4</v>
      </c>
      <c r="R236">
        <v>0.14699999999999999</v>
      </c>
      <c r="S236">
        <v>0.57699999999999996</v>
      </c>
      <c r="T236">
        <v>170.13399999999999</v>
      </c>
      <c r="U236">
        <v>3</v>
      </c>
      <c r="V236" t="s">
        <v>24</v>
      </c>
    </row>
    <row r="237" spans="3:22" x14ac:dyDescent="0.35">
      <c r="C237" t="s">
        <v>731</v>
      </c>
      <c r="D237" t="s">
        <v>696</v>
      </c>
      <c r="E237" t="s">
        <v>732</v>
      </c>
      <c r="F237" t="s">
        <v>733</v>
      </c>
      <c r="G237">
        <v>51</v>
      </c>
      <c r="H237">
        <v>224847</v>
      </c>
      <c r="I237" t="b">
        <v>0</v>
      </c>
      <c r="J237">
        <v>0.46600000000000003</v>
      </c>
      <c r="K237">
        <v>0.161</v>
      </c>
      <c r="L237">
        <v>7</v>
      </c>
      <c r="M237">
        <v>-14.497999999999999</v>
      </c>
      <c r="N237">
        <v>1</v>
      </c>
      <c r="O237">
        <v>4.9200000000000001E-2</v>
      </c>
      <c r="P237">
        <v>0.97899999999999998</v>
      </c>
      <c r="Q237">
        <v>2.3800000000000001E-4</v>
      </c>
      <c r="R237">
        <v>0.23100000000000001</v>
      </c>
      <c r="S237">
        <v>0.17100000000000001</v>
      </c>
      <c r="T237">
        <v>139.167</v>
      </c>
      <c r="U237">
        <v>3</v>
      </c>
      <c r="V237" t="s">
        <v>24</v>
      </c>
    </row>
    <row r="238" spans="3:22" x14ac:dyDescent="0.35">
      <c r="C238" t="s">
        <v>734</v>
      </c>
      <c r="D238" t="s">
        <v>735</v>
      </c>
      <c r="E238" t="s">
        <v>736</v>
      </c>
      <c r="F238" t="s">
        <v>737</v>
      </c>
      <c r="G238">
        <v>61</v>
      </c>
      <c r="H238">
        <v>250063</v>
      </c>
      <c r="I238" t="b">
        <v>0</v>
      </c>
      <c r="J238">
        <v>0.61899999999999999</v>
      </c>
      <c r="K238">
        <v>0.28000000000000003</v>
      </c>
      <c r="L238">
        <v>8</v>
      </c>
      <c r="M238">
        <v>-10.238</v>
      </c>
      <c r="N238">
        <v>0</v>
      </c>
      <c r="O238">
        <v>3.1699999999999999E-2</v>
      </c>
      <c r="P238">
        <v>0.73</v>
      </c>
      <c r="Q238">
        <v>0</v>
      </c>
      <c r="R238">
        <v>0.10299999999999999</v>
      </c>
      <c r="S238">
        <v>0.29199999999999998</v>
      </c>
      <c r="T238">
        <v>129.94800000000001</v>
      </c>
      <c r="U238">
        <v>4</v>
      </c>
      <c r="V238" t="s">
        <v>24</v>
      </c>
    </row>
    <row r="239" spans="3:22" x14ac:dyDescent="0.35">
      <c r="C239" t="s">
        <v>738</v>
      </c>
      <c r="D239" t="s">
        <v>400</v>
      </c>
      <c r="E239" t="s">
        <v>602</v>
      </c>
      <c r="F239" t="s">
        <v>739</v>
      </c>
      <c r="G239">
        <v>51</v>
      </c>
      <c r="H239">
        <v>201933</v>
      </c>
      <c r="I239" t="b">
        <v>0</v>
      </c>
      <c r="J239">
        <v>0.59599999999999997</v>
      </c>
      <c r="K239">
        <v>0.42899999999999999</v>
      </c>
      <c r="L239">
        <v>3</v>
      </c>
      <c r="M239">
        <v>-10.16</v>
      </c>
      <c r="N239">
        <v>1</v>
      </c>
      <c r="O239">
        <v>3.7699999999999997E-2</v>
      </c>
      <c r="P239">
        <v>0.77500000000000002</v>
      </c>
      <c r="Q239">
        <v>1.0699999999999999E-2</v>
      </c>
      <c r="R239">
        <v>9.6199999999999994E-2</v>
      </c>
      <c r="S239">
        <v>0.22900000000000001</v>
      </c>
      <c r="T239">
        <v>148.08600000000001</v>
      </c>
      <c r="U239">
        <v>4</v>
      </c>
      <c r="V239" t="s">
        <v>24</v>
      </c>
    </row>
    <row r="240" spans="3:22" x14ac:dyDescent="0.35">
      <c r="C240" t="s">
        <v>740</v>
      </c>
      <c r="D240" t="s">
        <v>271</v>
      </c>
      <c r="E240" t="s">
        <v>741</v>
      </c>
      <c r="F240" t="s">
        <v>742</v>
      </c>
      <c r="G240">
        <v>63</v>
      </c>
      <c r="H240">
        <v>158013</v>
      </c>
      <c r="I240" t="b">
        <v>0</v>
      </c>
      <c r="J240">
        <v>0.64500000000000002</v>
      </c>
      <c r="K240">
        <v>0.16900000000000001</v>
      </c>
      <c r="L240">
        <v>9</v>
      </c>
      <c r="M240">
        <v>-15.744</v>
      </c>
      <c r="N240">
        <v>1</v>
      </c>
      <c r="O240">
        <v>3.1699999999999999E-2</v>
      </c>
      <c r="P240">
        <v>0.84399999999999997</v>
      </c>
      <c r="Q240">
        <v>1.9000000000000001E-4</v>
      </c>
      <c r="R240">
        <v>0.109</v>
      </c>
      <c r="S240">
        <v>0.17799999999999999</v>
      </c>
      <c r="T240">
        <v>167.82599999999999</v>
      </c>
      <c r="U240">
        <v>4</v>
      </c>
      <c r="V240" t="s">
        <v>24</v>
      </c>
    </row>
    <row r="241" spans="3:22" x14ac:dyDescent="0.35">
      <c r="C241" t="s">
        <v>743</v>
      </c>
      <c r="D241" t="s">
        <v>712</v>
      </c>
      <c r="E241" t="s">
        <v>744</v>
      </c>
      <c r="F241" t="s">
        <v>745</v>
      </c>
      <c r="G241">
        <v>65</v>
      </c>
      <c r="H241">
        <v>296386</v>
      </c>
      <c r="I241" t="b">
        <v>0</v>
      </c>
      <c r="J241">
        <v>0.52200000000000002</v>
      </c>
      <c r="K241">
        <v>0.25600000000000001</v>
      </c>
      <c r="L241">
        <v>10</v>
      </c>
      <c r="M241">
        <v>-11.215999999999999</v>
      </c>
      <c r="N241">
        <v>1</v>
      </c>
      <c r="O241">
        <v>2.58E-2</v>
      </c>
      <c r="P241">
        <v>0.86</v>
      </c>
      <c r="Q241">
        <v>8.0599999999999997E-4</v>
      </c>
      <c r="R241">
        <v>0.14199999999999999</v>
      </c>
      <c r="S241">
        <v>0.13</v>
      </c>
      <c r="T241">
        <v>76.349000000000004</v>
      </c>
      <c r="U241">
        <v>4</v>
      </c>
      <c r="V241" t="s">
        <v>24</v>
      </c>
    </row>
    <row r="242" spans="3:22" x14ac:dyDescent="0.35">
      <c r="C242" t="s">
        <v>746</v>
      </c>
      <c r="D242" t="s">
        <v>747</v>
      </c>
      <c r="E242" t="s">
        <v>747</v>
      </c>
      <c r="F242" t="s">
        <v>748</v>
      </c>
      <c r="G242">
        <v>64</v>
      </c>
      <c r="H242">
        <v>160453</v>
      </c>
      <c r="I242" t="b">
        <v>0</v>
      </c>
      <c r="J242">
        <v>0.68100000000000005</v>
      </c>
      <c r="K242">
        <v>0.16800000000000001</v>
      </c>
      <c r="L242">
        <v>7</v>
      </c>
      <c r="M242">
        <v>-13.397</v>
      </c>
      <c r="N242">
        <v>1</v>
      </c>
      <c r="O242">
        <v>2.9100000000000001E-2</v>
      </c>
      <c r="P242">
        <v>0.79300000000000004</v>
      </c>
      <c r="Q242">
        <v>1.34E-4</v>
      </c>
      <c r="R242">
        <v>0.109</v>
      </c>
      <c r="S242">
        <v>0.28999999999999998</v>
      </c>
      <c r="T242">
        <v>128.61500000000001</v>
      </c>
      <c r="U242">
        <v>4</v>
      </c>
      <c r="V242" t="s">
        <v>24</v>
      </c>
    </row>
    <row r="243" spans="3:22" x14ac:dyDescent="0.35">
      <c r="C243" t="s">
        <v>749</v>
      </c>
      <c r="D243" t="s">
        <v>339</v>
      </c>
      <c r="E243" t="s">
        <v>363</v>
      </c>
      <c r="F243" t="s">
        <v>750</v>
      </c>
      <c r="G243">
        <v>57</v>
      </c>
      <c r="H243">
        <v>182442</v>
      </c>
      <c r="I243" t="b">
        <v>0</v>
      </c>
      <c r="J243">
        <v>0.73599999999999999</v>
      </c>
      <c r="K243">
        <v>0.36399999999999999</v>
      </c>
      <c r="L243">
        <v>1</v>
      </c>
      <c r="M243">
        <v>-5.9660000000000002</v>
      </c>
      <c r="N243">
        <v>1</v>
      </c>
      <c r="O243">
        <v>3.49E-2</v>
      </c>
      <c r="P243">
        <v>0.74099999999999999</v>
      </c>
      <c r="Q243">
        <v>0</v>
      </c>
      <c r="R243">
        <v>9.3200000000000005E-2</v>
      </c>
      <c r="S243">
        <v>0.371</v>
      </c>
      <c r="T243">
        <v>110.023</v>
      </c>
      <c r="U243">
        <v>4</v>
      </c>
      <c r="V243" t="s">
        <v>24</v>
      </c>
    </row>
    <row r="244" spans="3:22" x14ac:dyDescent="0.35">
      <c r="C244" t="s">
        <v>751</v>
      </c>
      <c r="D244" t="s">
        <v>752</v>
      </c>
      <c r="E244" t="s">
        <v>275</v>
      </c>
      <c r="F244" t="s">
        <v>753</v>
      </c>
      <c r="G244">
        <v>54</v>
      </c>
      <c r="H244">
        <v>181360</v>
      </c>
      <c r="I244" t="b">
        <v>0</v>
      </c>
      <c r="J244">
        <v>0.45100000000000001</v>
      </c>
      <c r="K244">
        <v>0.52800000000000002</v>
      </c>
      <c r="L244">
        <v>2</v>
      </c>
      <c r="M244">
        <v>-6.984</v>
      </c>
      <c r="N244">
        <v>1</v>
      </c>
      <c r="O244">
        <v>3.6400000000000002E-2</v>
      </c>
      <c r="P244">
        <v>0.36599999999999999</v>
      </c>
      <c r="Q244">
        <v>0</v>
      </c>
      <c r="R244">
        <v>8.1100000000000005E-2</v>
      </c>
      <c r="S244">
        <v>0.52700000000000002</v>
      </c>
      <c r="T244">
        <v>139.28</v>
      </c>
      <c r="U244">
        <v>5</v>
      </c>
      <c r="V244" t="s">
        <v>24</v>
      </c>
    </row>
    <row r="245" spans="3:22" x14ac:dyDescent="0.35">
      <c r="C245" t="s">
        <v>754</v>
      </c>
      <c r="D245" t="s">
        <v>755</v>
      </c>
      <c r="E245" t="s">
        <v>756</v>
      </c>
      <c r="F245" t="s">
        <v>757</v>
      </c>
      <c r="G245">
        <v>37</v>
      </c>
      <c r="H245">
        <v>169318</v>
      </c>
      <c r="I245" t="b">
        <v>1</v>
      </c>
      <c r="J245">
        <v>0.371</v>
      </c>
      <c r="K245">
        <v>0.67400000000000004</v>
      </c>
      <c r="L245">
        <v>9</v>
      </c>
      <c r="M245">
        <v>-3.72</v>
      </c>
      <c r="N245">
        <v>1</v>
      </c>
      <c r="O245">
        <v>4.8800000000000003E-2</v>
      </c>
      <c r="P245">
        <v>0.16900000000000001</v>
      </c>
      <c r="Q245">
        <v>0</v>
      </c>
      <c r="R245">
        <v>8.8900000000000007E-2</v>
      </c>
      <c r="S245">
        <v>0.92</v>
      </c>
      <c r="T245">
        <v>87.602999999999994</v>
      </c>
      <c r="U245">
        <v>4</v>
      </c>
      <c r="V245" t="s">
        <v>24</v>
      </c>
    </row>
    <row r="246" spans="3:22" x14ac:dyDescent="0.35">
      <c r="C246" t="s">
        <v>758</v>
      </c>
      <c r="D246" t="s">
        <v>204</v>
      </c>
      <c r="E246" t="s">
        <v>294</v>
      </c>
      <c r="F246" t="s">
        <v>759</v>
      </c>
      <c r="G246">
        <v>63</v>
      </c>
      <c r="H246">
        <v>218573</v>
      </c>
      <c r="I246" t="b">
        <v>0</v>
      </c>
      <c r="J246">
        <v>0.73099999999999998</v>
      </c>
      <c r="K246">
        <v>0.57199999999999995</v>
      </c>
      <c r="L246">
        <v>6</v>
      </c>
      <c r="M246">
        <v>-7.8890000000000002</v>
      </c>
      <c r="N246">
        <v>0</v>
      </c>
      <c r="O246">
        <v>4.4499999999999998E-2</v>
      </c>
      <c r="P246">
        <v>0.105</v>
      </c>
      <c r="Q246">
        <v>1.2E-4</v>
      </c>
      <c r="R246">
        <v>0.13300000000000001</v>
      </c>
      <c r="S246">
        <v>0.94699999999999995</v>
      </c>
      <c r="T246">
        <v>154.03800000000001</v>
      </c>
      <c r="U246">
        <v>4</v>
      </c>
      <c r="V246" t="s">
        <v>24</v>
      </c>
    </row>
    <row r="247" spans="3:22" x14ac:dyDescent="0.35">
      <c r="C247" t="s">
        <v>760</v>
      </c>
      <c r="D247" t="s">
        <v>761</v>
      </c>
      <c r="E247" t="s">
        <v>762</v>
      </c>
      <c r="F247" t="s">
        <v>763</v>
      </c>
      <c r="G247">
        <v>53</v>
      </c>
      <c r="H247">
        <v>149160</v>
      </c>
      <c r="I247" t="b">
        <v>0</v>
      </c>
      <c r="J247">
        <v>0.69</v>
      </c>
      <c r="K247">
        <v>0.33400000000000002</v>
      </c>
      <c r="L247">
        <v>9</v>
      </c>
      <c r="M247">
        <v>-5.6260000000000003</v>
      </c>
      <c r="N247">
        <v>1</v>
      </c>
      <c r="O247">
        <v>6.6000000000000003E-2</v>
      </c>
      <c r="P247">
        <v>0.94699999999999995</v>
      </c>
      <c r="Q247">
        <v>0</v>
      </c>
      <c r="R247">
        <v>8.9499999999999996E-2</v>
      </c>
      <c r="S247">
        <v>0.8</v>
      </c>
      <c r="T247">
        <v>74.721000000000004</v>
      </c>
      <c r="U247">
        <v>4</v>
      </c>
      <c r="V247" t="s">
        <v>24</v>
      </c>
    </row>
    <row r="248" spans="3:22" x14ac:dyDescent="0.35">
      <c r="C248" t="s">
        <v>764</v>
      </c>
      <c r="D248" t="s">
        <v>765</v>
      </c>
      <c r="E248" t="s">
        <v>766</v>
      </c>
      <c r="F248" t="s">
        <v>767</v>
      </c>
      <c r="G248">
        <v>0</v>
      </c>
      <c r="H248">
        <v>183293</v>
      </c>
      <c r="I248" t="b">
        <v>0</v>
      </c>
      <c r="J248">
        <v>0.59399999999999997</v>
      </c>
      <c r="K248">
        <v>0.307</v>
      </c>
      <c r="L248">
        <v>10</v>
      </c>
      <c r="M248">
        <v>-13.061999999999999</v>
      </c>
      <c r="N248">
        <v>1</v>
      </c>
      <c r="O248">
        <v>2.4899999999999999E-2</v>
      </c>
      <c r="P248">
        <v>0.79600000000000004</v>
      </c>
      <c r="Q248">
        <v>4.1399999999999999E-2</v>
      </c>
      <c r="R248">
        <v>0.15</v>
      </c>
      <c r="S248">
        <v>0.24</v>
      </c>
      <c r="T248">
        <v>94.025999999999996</v>
      </c>
      <c r="U248">
        <v>3</v>
      </c>
      <c r="V248" t="s">
        <v>24</v>
      </c>
    </row>
    <row r="249" spans="3:22" x14ac:dyDescent="0.35">
      <c r="C249" t="s">
        <v>768</v>
      </c>
      <c r="D249" t="s">
        <v>769</v>
      </c>
      <c r="E249" t="s">
        <v>770</v>
      </c>
      <c r="F249" t="s">
        <v>771</v>
      </c>
      <c r="G249">
        <v>36</v>
      </c>
      <c r="H249">
        <v>169266</v>
      </c>
      <c r="I249" t="b">
        <v>1</v>
      </c>
      <c r="J249">
        <v>0.60799999999999998</v>
      </c>
      <c r="K249">
        <v>0.91700000000000004</v>
      </c>
      <c r="L249">
        <v>11</v>
      </c>
      <c r="M249">
        <v>-5.3410000000000002</v>
      </c>
      <c r="N249">
        <v>1</v>
      </c>
      <c r="O249">
        <v>6.0100000000000001E-2</v>
      </c>
      <c r="P249">
        <v>0.23599999999999999</v>
      </c>
      <c r="Q249">
        <v>0</v>
      </c>
      <c r="R249">
        <v>0.13</v>
      </c>
      <c r="S249">
        <v>0.93600000000000005</v>
      </c>
      <c r="T249">
        <v>117.875</v>
      </c>
      <c r="U249">
        <v>4</v>
      </c>
      <c r="V249" t="s">
        <v>24</v>
      </c>
    </row>
    <row r="250" spans="3:22" x14ac:dyDescent="0.35">
      <c r="C250" t="s">
        <v>772</v>
      </c>
      <c r="D250" t="s">
        <v>773</v>
      </c>
      <c r="E250" t="s">
        <v>774</v>
      </c>
      <c r="F250" t="s">
        <v>775</v>
      </c>
      <c r="G250">
        <v>0</v>
      </c>
      <c r="H250">
        <v>272640</v>
      </c>
      <c r="I250" t="b">
        <v>0</v>
      </c>
      <c r="J250">
        <v>0.68700000000000006</v>
      </c>
      <c r="K250">
        <v>0.49399999999999999</v>
      </c>
      <c r="L250">
        <v>1</v>
      </c>
      <c r="M250">
        <v>-9.4209999999999994</v>
      </c>
      <c r="N250">
        <v>1</v>
      </c>
      <c r="O250">
        <v>5.0500000000000003E-2</v>
      </c>
      <c r="P250">
        <v>0.32400000000000001</v>
      </c>
      <c r="Q250" s="1" t="s">
        <v>776</v>
      </c>
      <c r="R250">
        <v>8.6699999999999999E-2</v>
      </c>
      <c r="S250">
        <v>0.621</v>
      </c>
      <c r="T250">
        <v>93.269000000000005</v>
      </c>
      <c r="U250">
        <v>1</v>
      </c>
      <c r="V250" t="s">
        <v>24</v>
      </c>
    </row>
    <row r="251" spans="3:22" x14ac:dyDescent="0.35">
      <c r="C251" t="s">
        <v>777</v>
      </c>
      <c r="D251" t="s">
        <v>773</v>
      </c>
      <c r="E251" t="s">
        <v>778</v>
      </c>
      <c r="F251" t="s">
        <v>775</v>
      </c>
      <c r="G251">
        <v>0</v>
      </c>
      <c r="H251">
        <v>272640</v>
      </c>
      <c r="I251" t="b">
        <v>0</v>
      </c>
      <c r="J251">
        <v>0.68700000000000006</v>
      </c>
      <c r="K251">
        <v>0.49399999999999999</v>
      </c>
      <c r="L251">
        <v>1</v>
      </c>
      <c r="M251">
        <v>-9.4209999999999994</v>
      </c>
      <c r="N251">
        <v>1</v>
      </c>
      <c r="O251">
        <v>5.0500000000000003E-2</v>
      </c>
      <c r="P251">
        <v>0.32400000000000001</v>
      </c>
      <c r="Q251" s="1" t="s">
        <v>776</v>
      </c>
      <c r="R251">
        <v>8.6699999999999999E-2</v>
      </c>
      <c r="S251">
        <v>0.621</v>
      </c>
      <c r="T251">
        <v>93.269000000000005</v>
      </c>
      <c r="U251">
        <v>1</v>
      </c>
      <c r="V251" t="s">
        <v>24</v>
      </c>
    </row>
    <row r="252" spans="3:22" x14ac:dyDescent="0.35">
      <c r="C252" t="s">
        <v>779</v>
      </c>
      <c r="D252" t="s">
        <v>352</v>
      </c>
      <c r="E252" t="s">
        <v>780</v>
      </c>
      <c r="F252" t="s">
        <v>781</v>
      </c>
      <c r="G252">
        <v>55</v>
      </c>
      <c r="H252">
        <v>176509</v>
      </c>
      <c r="I252" t="b">
        <v>0</v>
      </c>
      <c r="J252">
        <v>0.65200000000000002</v>
      </c>
      <c r="K252">
        <v>0.15</v>
      </c>
      <c r="L252">
        <v>5</v>
      </c>
      <c r="M252">
        <v>-12.699</v>
      </c>
      <c r="N252">
        <v>1</v>
      </c>
      <c r="O252">
        <v>3.6299999999999999E-2</v>
      </c>
      <c r="P252">
        <v>0.92300000000000004</v>
      </c>
      <c r="Q252">
        <v>0</v>
      </c>
      <c r="R252">
        <v>0.10199999999999999</v>
      </c>
      <c r="S252">
        <v>0.36099999999999999</v>
      </c>
      <c r="T252">
        <v>104.018</v>
      </c>
      <c r="U252">
        <v>3</v>
      </c>
      <c r="V252" t="s">
        <v>24</v>
      </c>
    </row>
    <row r="253" spans="3:22" x14ac:dyDescent="0.35">
      <c r="C253" t="s">
        <v>782</v>
      </c>
      <c r="D253" t="s">
        <v>352</v>
      </c>
      <c r="E253" t="s">
        <v>783</v>
      </c>
      <c r="F253" t="s">
        <v>784</v>
      </c>
      <c r="G253">
        <v>57</v>
      </c>
      <c r="H253">
        <v>179886</v>
      </c>
      <c r="I253" t="b">
        <v>0</v>
      </c>
      <c r="J253">
        <v>0.76500000000000001</v>
      </c>
      <c r="K253">
        <v>0.24099999999999999</v>
      </c>
      <c r="L253">
        <v>4</v>
      </c>
      <c r="M253">
        <v>-8.8650000000000002</v>
      </c>
      <c r="N253">
        <v>1</v>
      </c>
      <c r="O253">
        <v>3.73E-2</v>
      </c>
      <c r="P253">
        <v>0.873</v>
      </c>
      <c r="Q253">
        <v>0</v>
      </c>
      <c r="R253">
        <v>0.111</v>
      </c>
      <c r="S253">
        <v>0.182</v>
      </c>
      <c r="T253">
        <v>123.95</v>
      </c>
      <c r="U253">
        <v>4</v>
      </c>
      <c r="V253" t="s">
        <v>24</v>
      </c>
    </row>
    <row r="254" spans="3:22" x14ac:dyDescent="0.35">
      <c r="C254" t="s">
        <v>785</v>
      </c>
      <c r="D254" t="s">
        <v>192</v>
      </c>
      <c r="E254" t="s">
        <v>786</v>
      </c>
      <c r="F254" t="s">
        <v>787</v>
      </c>
      <c r="G254">
        <v>54</v>
      </c>
      <c r="H254">
        <v>184200</v>
      </c>
      <c r="I254" t="b">
        <v>0</v>
      </c>
      <c r="J254">
        <v>0.58899999999999997</v>
      </c>
      <c r="K254">
        <v>0.249</v>
      </c>
      <c r="L254">
        <v>2</v>
      </c>
      <c r="M254">
        <v>-10.086</v>
      </c>
      <c r="N254">
        <v>1</v>
      </c>
      <c r="O254">
        <v>3.2899999999999999E-2</v>
      </c>
      <c r="P254">
        <v>0.71699999999999997</v>
      </c>
      <c r="Q254">
        <v>0</v>
      </c>
      <c r="R254">
        <v>0.106</v>
      </c>
      <c r="S254">
        <v>0.36299999999999999</v>
      </c>
      <c r="T254">
        <v>150.096</v>
      </c>
      <c r="U254">
        <v>3</v>
      </c>
      <c r="V254" t="s">
        <v>24</v>
      </c>
    </row>
    <row r="255" spans="3:22" x14ac:dyDescent="0.35">
      <c r="C255" t="s">
        <v>788</v>
      </c>
      <c r="D255" t="s">
        <v>180</v>
      </c>
      <c r="E255" t="s">
        <v>326</v>
      </c>
      <c r="F255" t="s">
        <v>789</v>
      </c>
      <c r="G255">
        <v>44</v>
      </c>
      <c r="H255">
        <v>447306</v>
      </c>
      <c r="I255" t="b">
        <v>0</v>
      </c>
      <c r="J255">
        <v>0.58799999999999997</v>
      </c>
      <c r="K255">
        <v>0.60399999999999998</v>
      </c>
      <c r="L255">
        <v>9</v>
      </c>
      <c r="M255">
        <v>-7.6020000000000003</v>
      </c>
      <c r="N255">
        <v>1</v>
      </c>
      <c r="O255">
        <v>2.4E-2</v>
      </c>
      <c r="P255">
        <v>0.34300000000000003</v>
      </c>
      <c r="Q255" s="1" t="s">
        <v>790</v>
      </c>
      <c r="R255">
        <v>0.252</v>
      </c>
      <c r="S255">
        <v>0.35099999999999998</v>
      </c>
      <c r="T255">
        <v>92.02</v>
      </c>
      <c r="U255">
        <v>4</v>
      </c>
      <c r="V255" t="s">
        <v>24</v>
      </c>
    </row>
    <row r="256" spans="3:22" x14ac:dyDescent="0.35">
      <c r="C256" t="s">
        <v>791</v>
      </c>
      <c r="D256" t="s">
        <v>792</v>
      </c>
      <c r="E256" t="s">
        <v>793</v>
      </c>
      <c r="F256" t="s">
        <v>794</v>
      </c>
      <c r="G256">
        <v>51</v>
      </c>
      <c r="H256">
        <v>108346</v>
      </c>
      <c r="I256" t="b">
        <v>0</v>
      </c>
      <c r="J256">
        <v>0.73499999999999999</v>
      </c>
      <c r="K256">
        <v>0.20300000000000001</v>
      </c>
      <c r="L256">
        <v>9</v>
      </c>
      <c r="M256">
        <v>-13.237</v>
      </c>
      <c r="N256">
        <v>0</v>
      </c>
      <c r="O256">
        <v>5.3900000000000003E-2</v>
      </c>
      <c r="P256">
        <v>0.85399999999999998</v>
      </c>
      <c r="Q256">
        <v>1.64E-3</v>
      </c>
      <c r="R256">
        <v>0.105</v>
      </c>
      <c r="S256">
        <v>0.47899999999999998</v>
      </c>
      <c r="T256">
        <v>113.913</v>
      </c>
      <c r="U256">
        <v>4</v>
      </c>
      <c r="V256" t="s">
        <v>24</v>
      </c>
    </row>
    <row r="257" spans="3:22" x14ac:dyDescent="0.35">
      <c r="C257" t="s">
        <v>795</v>
      </c>
      <c r="D257" t="s">
        <v>664</v>
      </c>
      <c r="E257" t="s">
        <v>796</v>
      </c>
      <c r="F257" t="s">
        <v>796</v>
      </c>
      <c r="G257">
        <v>42</v>
      </c>
      <c r="H257">
        <v>160768</v>
      </c>
      <c r="I257" t="b">
        <v>0</v>
      </c>
      <c r="J257">
        <v>0.65500000000000003</v>
      </c>
      <c r="K257">
        <v>0.14699999999999999</v>
      </c>
      <c r="L257">
        <v>8</v>
      </c>
      <c r="M257">
        <v>-14.409000000000001</v>
      </c>
      <c r="N257">
        <v>1</v>
      </c>
      <c r="O257">
        <v>3.7100000000000001E-2</v>
      </c>
      <c r="P257">
        <v>0.88</v>
      </c>
      <c r="Q257">
        <v>0</v>
      </c>
      <c r="R257">
        <v>0.26600000000000001</v>
      </c>
      <c r="S257">
        <v>0.32800000000000001</v>
      </c>
      <c r="T257">
        <v>116.10299999999999</v>
      </c>
      <c r="U257">
        <v>4</v>
      </c>
      <c r="V257" t="s">
        <v>24</v>
      </c>
    </row>
    <row r="258" spans="3:22" x14ac:dyDescent="0.35">
      <c r="C258" t="s">
        <v>797</v>
      </c>
      <c r="D258" t="s">
        <v>650</v>
      </c>
      <c r="E258" t="s">
        <v>798</v>
      </c>
      <c r="F258" t="s">
        <v>799</v>
      </c>
      <c r="G258">
        <v>47</v>
      </c>
      <c r="H258">
        <v>304320</v>
      </c>
      <c r="I258" t="b">
        <v>0</v>
      </c>
      <c r="J258">
        <v>0.36299999999999999</v>
      </c>
      <c r="K258">
        <v>0.81899999999999995</v>
      </c>
      <c r="L258">
        <v>7</v>
      </c>
      <c r="M258">
        <v>-3.1280000000000001</v>
      </c>
      <c r="N258">
        <v>1</v>
      </c>
      <c r="O258">
        <v>6.3399999999999998E-2</v>
      </c>
      <c r="P258">
        <v>5.91E-2</v>
      </c>
      <c r="Q258">
        <v>0</v>
      </c>
      <c r="R258">
        <v>9.8799999999999999E-2</v>
      </c>
      <c r="S258">
        <v>0.46800000000000003</v>
      </c>
      <c r="T258">
        <v>122.527</v>
      </c>
      <c r="U258">
        <v>4</v>
      </c>
      <c r="V258" t="s">
        <v>24</v>
      </c>
    </row>
    <row r="259" spans="3:22" x14ac:dyDescent="0.35">
      <c r="C259" t="s">
        <v>800</v>
      </c>
      <c r="D259" t="s">
        <v>801</v>
      </c>
      <c r="E259" t="s">
        <v>802</v>
      </c>
      <c r="F259" t="s">
        <v>802</v>
      </c>
      <c r="G259">
        <v>54</v>
      </c>
      <c r="H259">
        <v>201508</v>
      </c>
      <c r="I259" t="b">
        <v>0</v>
      </c>
      <c r="J259">
        <v>0.47299999999999998</v>
      </c>
      <c r="K259">
        <v>0.26300000000000001</v>
      </c>
      <c r="L259">
        <v>9</v>
      </c>
      <c r="M259">
        <v>-8.609</v>
      </c>
      <c r="N259">
        <v>1</v>
      </c>
      <c r="O259">
        <v>3.3000000000000002E-2</v>
      </c>
      <c r="P259">
        <v>0.81399999999999995</v>
      </c>
      <c r="Q259">
        <v>0</v>
      </c>
      <c r="R259">
        <v>0.14199999999999999</v>
      </c>
      <c r="S259">
        <v>0.315</v>
      </c>
      <c r="T259">
        <v>87.144999999999996</v>
      </c>
      <c r="U259">
        <v>4</v>
      </c>
      <c r="V259" t="s">
        <v>24</v>
      </c>
    </row>
    <row r="260" spans="3:22" x14ac:dyDescent="0.35">
      <c r="C260" t="s">
        <v>803</v>
      </c>
      <c r="D260" t="s">
        <v>60</v>
      </c>
      <c r="E260" t="s">
        <v>804</v>
      </c>
      <c r="F260" t="s">
        <v>804</v>
      </c>
      <c r="G260">
        <v>73</v>
      </c>
      <c r="H260">
        <v>241132</v>
      </c>
      <c r="I260" t="b">
        <v>0</v>
      </c>
      <c r="J260">
        <v>0.67600000000000005</v>
      </c>
      <c r="K260">
        <v>0.76800000000000002</v>
      </c>
      <c r="L260">
        <v>5</v>
      </c>
      <c r="M260">
        <v>-5.6950000000000003</v>
      </c>
      <c r="N260">
        <v>0</v>
      </c>
      <c r="O260">
        <v>2.9399999999999999E-2</v>
      </c>
      <c r="P260">
        <v>0.14899999999999999</v>
      </c>
      <c r="Q260">
        <v>1.47E-3</v>
      </c>
      <c r="R260">
        <v>0.34499999999999997</v>
      </c>
      <c r="S260">
        <v>0.49299999999999999</v>
      </c>
      <c r="T260">
        <v>105.999</v>
      </c>
      <c r="U260">
        <v>4</v>
      </c>
      <c r="V260" t="s">
        <v>24</v>
      </c>
    </row>
    <row r="261" spans="3:22" x14ac:dyDescent="0.35">
      <c r="C261" t="s">
        <v>805</v>
      </c>
      <c r="D261" t="s">
        <v>339</v>
      </c>
      <c r="E261" t="s">
        <v>97</v>
      </c>
      <c r="F261" t="s">
        <v>806</v>
      </c>
      <c r="G261">
        <v>56</v>
      </c>
      <c r="H261">
        <v>263710</v>
      </c>
      <c r="I261" t="b">
        <v>0</v>
      </c>
      <c r="J261">
        <v>0.41</v>
      </c>
      <c r="K261">
        <v>0.221</v>
      </c>
      <c r="L261">
        <v>5</v>
      </c>
      <c r="M261">
        <v>-11.673</v>
      </c>
      <c r="N261">
        <v>1</v>
      </c>
      <c r="O261">
        <v>3.15E-2</v>
      </c>
      <c r="P261">
        <v>0.76800000000000002</v>
      </c>
      <c r="Q261">
        <v>0</v>
      </c>
      <c r="R261">
        <v>0.106</v>
      </c>
      <c r="S261">
        <v>0.22800000000000001</v>
      </c>
      <c r="T261">
        <v>139.529</v>
      </c>
      <c r="U261">
        <v>3</v>
      </c>
      <c r="V261" t="s">
        <v>24</v>
      </c>
    </row>
    <row r="262" spans="3:22" x14ac:dyDescent="0.35">
      <c r="C262" t="s">
        <v>807</v>
      </c>
      <c r="D262" t="s">
        <v>637</v>
      </c>
      <c r="E262" t="s">
        <v>808</v>
      </c>
      <c r="F262" t="s">
        <v>808</v>
      </c>
      <c r="G262">
        <v>56</v>
      </c>
      <c r="H262">
        <v>246345</v>
      </c>
      <c r="I262" t="b">
        <v>0</v>
      </c>
      <c r="J262">
        <v>0.439</v>
      </c>
      <c r="K262">
        <v>0.217</v>
      </c>
      <c r="L262">
        <v>2</v>
      </c>
      <c r="M262">
        <v>-13.166</v>
      </c>
      <c r="N262">
        <v>1</v>
      </c>
      <c r="O262">
        <v>4.1300000000000003E-2</v>
      </c>
      <c r="P262">
        <v>0.93300000000000005</v>
      </c>
      <c r="Q262">
        <v>0</v>
      </c>
      <c r="R262">
        <v>0.126</v>
      </c>
      <c r="S262">
        <v>0.373</v>
      </c>
      <c r="T262">
        <v>144.41300000000001</v>
      </c>
      <c r="U262">
        <v>4</v>
      </c>
      <c r="V262" t="s">
        <v>24</v>
      </c>
    </row>
    <row r="263" spans="3:22" x14ac:dyDescent="0.35">
      <c r="C263" t="s">
        <v>809</v>
      </c>
      <c r="D263" t="s">
        <v>50</v>
      </c>
      <c r="E263" t="s">
        <v>810</v>
      </c>
      <c r="F263" t="s">
        <v>811</v>
      </c>
      <c r="G263">
        <v>59</v>
      </c>
      <c r="H263">
        <v>257173</v>
      </c>
      <c r="I263" t="b">
        <v>0</v>
      </c>
      <c r="J263">
        <v>0.58199999999999996</v>
      </c>
      <c r="K263">
        <v>0.34699999999999998</v>
      </c>
      <c r="L263">
        <v>7</v>
      </c>
      <c r="M263">
        <v>-14.769</v>
      </c>
      <c r="N263">
        <v>1</v>
      </c>
      <c r="O263">
        <v>3.0499999999999999E-2</v>
      </c>
      <c r="P263">
        <v>0.317</v>
      </c>
      <c r="Q263">
        <v>6.7799999999999996E-3</v>
      </c>
      <c r="R263">
        <v>0.111</v>
      </c>
      <c r="S263">
        <v>7.9699999999999993E-2</v>
      </c>
      <c r="T263">
        <v>97.956999999999994</v>
      </c>
      <c r="U263">
        <v>4</v>
      </c>
      <c r="V263" t="s">
        <v>24</v>
      </c>
    </row>
    <row r="264" spans="3:22" x14ac:dyDescent="0.35">
      <c r="C264" t="s">
        <v>812</v>
      </c>
      <c r="D264" t="s">
        <v>813</v>
      </c>
      <c r="E264" t="s">
        <v>814</v>
      </c>
      <c r="F264" t="s">
        <v>815</v>
      </c>
      <c r="G264">
        <v>57</v>
      </c>
      <c r="H264">
        <v>159012</v>
      </c>
      <c r="I264" t="b">
        <v>0</v>
      </c>
      <c r="J264">
        <v>0.42599999999999999</v>
      </c>
      <c r="K264">
        <v>0.127</v>
      </c>
      <c r="L264">
        <v>6</v>
      </c>
      <c r="M264">
        <v>-13.287000000000001</v>
      </c>
      <c r="N264">
        <v>1</v>
      </c>
      <c r="O264">
        <v>6.4799999999999996E-2</v>
      </c>
      <c r="P264">
        <v>0.86299999999999999</v>
      </c>
      <c r="Q264" s="1" t="s">
        <v>816</v>
      </c>
      <c r="R264">
        <v>9.9299999999999999E-2</v>
      </c>
      <c r="S264">
        <v>0.14899999999999999</v>
      </c>
      <c r="T264">
        <v>62.534999999999997</v>
      </c>
      <c r="U264">
        <v>5</v>
      </c>
      <c r="V264" t="s">
        <v>24</v>
      </c>
    </row>
    <row r="265" spans="3:22" x14ac:dyDescent="0.35">
      <c r="C265" t="s">
        <v>817</v>
      </c>
      <c r="D265" t="s">
        <v>230</v>
      </c>
      <c r="E265" t="s">
        <v>818</v>
      </c>
      <c r="F265" t="s">
        <v>818</v>
      </c>
      <c r="G265">
        <v>56</v>
      </c>
      <c r="H265">
        <v>178546</v>
      </c>
      <c r="I265" t="b">
        <v>0</v>
      </c>
      <c r="J265">
        <v>0.69599999999999995</v>
      </c>
      <c r="K265">
        <v>0.26100000000000001</v>
      </c>
      <c r="L265">
        <v>9</v>
      </c>
      <c r="M265">
        <v>-12.106999999999999</v>
      </c>
      <c r="N265">
        <v>0</v>
      </c>
      <c r="O265">
        <v>3.61E-2</v>
      </c>
      <c r="P265">
        <v>0.73699999999999999</v>
      </c>
      <c r="Q265" s="1" t="s">
        <v>819</v>
      </c>
      <c r="R265">
        <v>0.11</v>
      </c>
      <c r="S265">
        <v>0.36099999999999999</v>
      </c>
      <c r="T265">
        <v>136.053</v>
      </c>
      <c r="U265">
        <v>3</v>
      </c>
      <c r="V265" t="s">
        <v>24</v>
      </c>
    </row>
    <row r="266" spans="3:22" x14ac:dyDescent="0.35">
      <c r="C266" t="s">
        <v>820</v>
      </c>
      <c r="D266" t="s">
        <v>821</v>
      </c>
      <c r="E266" t="s">
        <v>822</v>
      </c>
      <c r="F266" t="s">
        <v>823</v>
      </c>
      <c r="G266">
        <v>57</v>
      </c>
      <c r="H266">
        <v>268800</v>
      </c>
      <c r="I266" t="b">
        <v>0</v>
      </c>
      <c r="J266">
        <v>0.54900000000000004</v>
      </c>
      <c r="K266">
        <v>0.24</v>
      </c>
      <c r="L266">
        <v>0</v>
      </c>
      <c r="M266">
        <v>-7.7779999999999996</v>
      </c>
      <c r="N266">
        <v>1</v>
      </c>
      <c r="O266">
        <v>3.3799999999999997E-2</v>
      </c>
      <c r="P266">
        <v>0.94699999999999995</v>
      </c>
      <c r="Q266">
        <v>0</v>
      </c>
      <c r="R266">
        <v>0.106</v>
      </c>
      <c r="S266">
        <v>0.16700000000000001</v>
      </c>
      <c r="T266">
        <v>119.58</v>
      </c>
      <c r="U266">
        <v>4</v>
      </c>
      <c r="V266" t="s">
        <v>24</v>
      </c>
    </row>
    <row r="267" spans="3:22" x14ac:dyDescent="0.35">
      <c r="C267" t="s">
        <v>824</v>
      </c>
      <c r="D267" t="s">
        <v>825</v>
      </c>
      <c r="E267" t="s">
        <v>826</v>
      </c>
      <c r="F267" t="s">
        <v>826</v>
      </c>
      <c r="G267">
        <v>51</v>
      </c>
      <c r="H267">
        <v>197850</v>
      </c>
      <c r="I267" t="b">
        <v>0</v>
      </c>
      <c r="J267">
        <v>0.54100000000000004</v>
      </c>
      <c r="K267">
        <v>0.192</v>
      </c>
      <c r="L267">
        <v>0</v>
      </c>
      <c r="M267">
        <v>-13.994999999999999</v>
      </c>
      <c r="N267">
        <v>0</v>
      </c>
      <c r="O267">
        <v>2.8199999999999999E-2</v>
      </c>
      <c r="P267">
        <v>0.89300000000000002</v>
      </c>
      <c r="Q267">
        <v>0</v>
      </c>
      <c r="R267">
        <v>0.193</v>
      </c>
      <c r="S267">
        <v>0.317</v>
      </c>
      <c r="T267">
        <v>139.93799999999999</v>
      </c>
      <c r="U267">
        <v>4</v>
      </c>
      <c r="V267" t="s">
        <v>24</v>
      </c>
    </row>
    <row r="268" spans="3:22" x14ac:dyDescent="0.35">
      <c r="C268" t="s">
        <v>827</v>
      </c>
      <c r="D268" t="s">
        <v>431</v>
      </c>
      <c r="E268" t="s">
        <v>431</v>
      </c>
      <c r="F268" t="s">
        <v>828</v>
      </c>
      <c r="G268">
        <v>48</v>
      </c>
      <c r="H268">
        <v>222400</v>
      </c>
      <c r="I268" t="b">
        <v>0</v>
      </c>
      <c r="J268">
        <v>0.66200000000000003</v>
      </c>
      <c r="K268">
        <v>0.71099999999999997</v>
      </c>
      <c r="L268">
        <v>5</v>
      </c>
      <c r="M268">
        <v>-4.9240000000000004</v>
      </c>
      <c r="N268">
        <v>1</v>
      </c>
      <c r="O268">
        <v>2.7900000000000001E-2</v>
      </c>
      <c r="P268">
        <v>6.8599999999999994E-2</v>
      </c>
      <c r="Q268" s="1" t="s">
        <v>88</v>
      </c>
      <c r="R268">
        <v>8.5000000000000006E-2</v>
      </c>
      <c r="S268">
        <v>0.35199999999999998</v>
      </c>
      <c r="T268">
        <v>119.989</v>
      </c>
      <c r="U268">
        <v>4</v>
      </c>
      <c r="V268" t="s">
        <v>24</v>
      </c>
    </row>
    <row r="269" spans="3:22" x14ac:dyDescent="0.35">
      <c r="C269" t="s">
        <v>829</v>
      </c>
      <c r="D269" t="s">
        <v>34</v>
      </c>
      <c r="E269" t="s">
        <v>830</v>
      </c>
      <c r="F269" t="s">
        <v>830</v>
      </c>
      <c r="G269">
        <v>52</v>
      </c>
      <c r="H269">
        <v>142379</v>
      </c>
      <c r="I269" t="b">
        <v>0</v>
      </c>
      <c r="J269">
        <v>0.66500000000000004</v>
      </c>
      <c r="K269">
        <v>0.185</v>
      </c>
      <c r="L269">
        <v>1</v>
      </c>
      <c r="M269">
        <v>-13.852</v>
      </c>
      <c r="N269">
        <v>1</v>
      </c>
      <c r="O269">
        <v>3.8100000000000002E-2</v>
      </c>
      <c r="P269">
        <v>0.91300000000000003</v>
      </c>
      <c r="Q269">
        <v>0</v>
      </c>
      <c r="R269">
        <v>0.33400000000000002</v>
      </c>
      <c r="S269">
        <v>0.45800000000000002</v>
      </c>
      <c r="T269">
        <v>82.474000000000004</v>
      </c>
      <c r="U269">
        <v>4</v>
      </c>
      <c r="V269" t="s">
        <v>24</v>
      </c>
    </row>
    <row r="270" spans="3:22" x14ac:dyDescent="0.35">
      <c r="C270" t="s">
        <v>831</v>
      </c>
      <c r="D270" t="s">
        <v>517</v>
      </c>
      <c r="E270" t="s">
        <v>832</v>
      </c>
      <c r="F270" t="s">
        <v>832</v>
      </c>
      <c r="G270">
        <v>54</v>
      </c>
      <c r="H270">
        <v>194667</v>
      </c>
      <c r="I270" t="b">
        <v>0</v>
      </c>
      <c r="J270">
        <v>0.59099999999999997</v>
      </c>
      <c r="K270">
        <v>0.17499999999999999</v>
      </c>
      <c r="L270">
        <v>6</v>
      </c>
      <c r="M270">
        <v>-12.959</v>
      </c>
      <c r="N270">
        <v>1</v>
      </c>
      <c r="O270">
        <v>3.7999999999999999E-2</v>
      </c>
      <c r="P270">
        <v>0.92700000000000005</v>
      </c>
      <c r="Q270">
        <v>0</v>
      </c>
      <c r="R270">
        <v>0.13300000000000001</v>
      </c>
      <c r="S270">
        <v>0.35199999999999998</v>
      </c>
      <c r="T270">
        <v>139.90199999999999</v>
      </c>
      <c r="U270">
        <v>4</v>
      </c>
      <c r="V270" t="s">
        <v>24</v>
      </c>
    </row>
    <row r="271" spans="3:22" x14ac:dyDescent="0.35">
      <c r="C271" t="s">
        <v>833</v>
      </c>
      <c r="D271" t="s">
        <v>225</v>
      </c>
      <c r="E271" t="s">
        <v>834</v>
      </c>
      <c r="F271" t="s">
        <v>834</v>
      </c>
      <c r="G271">
        <v>55</v>
      </c>
      <c r="H271">
        <v>212400</v>
      </c>
      <c r="I271" t="b">
        <v>0</v>
      </c>
      <c r="J271">
        <v>0.48899999999999999</v>
      </c>
      <c r="K271">
        <v>0.183</v>
      </c>
      <c r="L271">
        <v>0</v>
      </c>
      <c r="M271">
        <v>-14.769</v>
      </c>
      <c r="N271">
        <v>1</v>
      </c>
      <c r="O271">
        <v>3.3000000000000002E-2</v>
      </c>
      <c r="P271">
        <v>0.90700000000000003</v>
      </c>
      <c r="Q271" s="1" t="s">
        <v>835</v>
      </c>
      <c r="R271">
        <v>0.106</v>
      </c>
      <c r="S271">
        <v>0.48599999999999999</v>
      </c>
      <c r="T271">
        <v>79.960999999999999</v>
      </c>
      <c r="U271">
        <v>4</v>
      </c>
      <c r="V271" t="s">
        <v>24</v>
      </c>
    </row>
    <row r="272" spans="3:22" x14ac:dyDescent="0.35">
      <c r="C272" t="s">
        <v>836</v>
      </c>
      <c r="D272" t="s">
        <v>83</v>
      </c>
      <c r="E272" t="s">
        <v>837</v>
      </c>
      <c r="F272" t="s">
        <v>837</v>
      </c>
      <c r="G272">
        <v>41</v>
      </c>
      <c r="H272">
        <v>196304</v>
      </c>
      <c r="I272" t="b">
        <v>0</v>
      </c>
      <c r="J272">
        <v>0.61799999999999999</v>
      </c>
      <c r="K272">
        <v>8.3000000000000004E-2</v>
      </c>
      <c r="L272">
        <v>4</v>
      </c>
      <c r="M272">
        <v>-23.664999999999999</v>
      </c>
      <c r="N272">
        <v>1</v>
      </c>
      <c r="O272">
        <v>5.7000000000000002E-2</v>
      </c>
      <c r="P272">
        <v>0.745</v>
      </c>
      <c r="Q272">
        <v>1.2300000000000001E-4</v>
      </c>
      <c r="R272">
        <v>0.14599999999999999</v>
      </c>
      <c r="S272">
        <v>0.59699999999999998</v>
      </c>
      <c r="T272">
        <v>90.864999999999995</v>
      </c>
      <c r="U272">
        <v>4</v>
      </c>
      <c r="V272" t="s">
        <v>24</v>
      </c>
    </row>
    <row r="273" spans="3:22" x14ac:dyDescent="0.35">
      <c r="C273" t="s">
        <v>838</v>
      </c>
      <c r="D273" t="s">
        <v>339</v>
      </c>
      <c r="E273" t="s">
        <v>363</v>
      </c>
      <c r="F273" t="s">
        <v>839</v>
      </c>
      <c r="G273">
        <v>49</v>
      </c>
      <c r="H273">
        <v>230868</v>
      </c>
      <c r="I273" t="b">
        <v>0</v>
      </c>
      <c r="J273">
        <v>0.66400000000000003</v>
      </c>
      <c r="K273">
        <v>0.31900000000000001</v>
      </c>
      <c r="L273">
        <v>0</v>
      </c>
      <c r="M273">
        <v>-8.1489999999999991</v>
      </c>
      <c r="N273">
        <v>0</v>
      </c>
      <c r="O273">
        <v>2.7099999999999999E-2</v>
      </c>
      <c r="P273">
        <v>0.86199999999999999</v>
      </c>
      <c r="Q273">
        <v>0</v>
      </c>
      <c r="R273">
        <v>0.121</v>
      </c>
      <c r="S273">
        <v>0.25800000000000001</v>
      </c>
      <c r="T273">
        <v>105.036</v>
      </c>
      <c r="U273">
        <v>4</v>
      </c>
      <c r="V273" t="s">
        <v>24</v>
      </c>
    </row>
    <row r="274" spans="3:22" x14ac:dyDescent="0.35">
      <c r="C274" t="s">
        <v>840</v>
      </c>
      <c r="D274" t="s">
        <v>83</v>
      </c>
      <c r="E274" t="s">
        <v>841</v>
      </c>
      <c r="F274" t="s">
        <v>841</v>
      </c>
      <c r="G274">
        <v>37</v>
      </c>
      <c r="H274">
        <v>186738</v>
      </c>
      <c r="I274" t="b">
        <v>0</v>
      </c>
      <c r="J274">
        <v>0.40799999999999997</v>
      </c>
      <c r="K274">
        <v>0.26600000000000001</v>
      </c>
      <c r="L274">
        <v>10</v>
      </c>
      <c r="M274">
        <v>-12.9</v>
      </c>
      <c r="N274">
        <v>0</v>
      </c>
      <c r="O274">
        <v>4.0399999999999998E-2</v>
      </c>
      <c r="P274">
        <v>0.875</v>
      </c>
      <c r="Q274">
        <v>4.9799999999999996E-4</v>
      </c>
      <c r="R274">
        <v>0.104</v>
      </c>
      <c r="S274">
        <v>0.35</v>
      </c>
      <c r="T274">
        <v>143.65100000000001</v>
      </c>
      <c r="U274">
        <v>4</v>
      </c>
      <c r="V274" t="s">
        <v>24</v>
      </c>
    </row>
    <row r="275" spans="3:22" x14ac:dyDescent="0.35">
      <c r="C275" t="s">
        <v>842</v>
      </c>
      <c r="D275" t="s">
        <v>34</v>
      </c>
      <c r="E275" t="s">
        <v>843</v>
      </c>
      <c r="F275" t="s">
        <v>843</v>
      </c>
      <c r="G275">
        <v>52</v>
      </c>
      <c r="H275">
        <v>193536</v>
      </c>
      <c r="I275" t="b">
        <v>0</v>
      </c>
      <c r="J275">
        <v>0.623</v>
      </c>
      <c r="K275">
        <v>0.13200000000000001</v>
      </c>
      <c r="L275">
        <v>0</v>
      </c>
      <c r="M275">
        <v>-13.667999999999999</v>
      </c>
      <c r="N275">
        <v>1</v>
      </c>
      <c r="O275">
        <v>3.5000000000000003E-2</v>
      </c>
      <c r="P275">
        <v>0.89300000000000002</v>
      </c>
      <c r="Q275">
        <v>0</v>
      </c>
      <c r="R275">
        <v>0.217</v>
      </c>
      <c r="S275">
        <v>0.26600000000000001</v>
      </c>
      <c r="T275">
        <v>82.105000000000004</v>
      </c>
      <c r="U275">
        <v>4</v>
      </c>
      <c r="V275" t="s">
        <v>24</v>
      </c>
    </row>
    <row r="276" spans="3:22" x14ac:dyDescent="0.35">
      <c r="C276" t="s">
        <v>844</v>
      </c>
      <c r="D276" t="s">
        <v>825</v>
      </c>
      <c r="E276" t="s">
        <v>845</v>
      </c>
      <c r="F276" t="s">
        <v>845</v>
      </c>
      <c r="G276">
        <v>58</v>
      </c>
      <c r="H276">
        <v>196819</v>
      </c>
      <c r="I276" t="b">
        <v>0</v>
      </c>
      <c r="J276">
        <v>0.49399999999999999</v>
      </c>
      <c r="K276">
        <v>0.214</v>
      </c>
      <c r="L276">
        <v>7</v>
      </c>
      <c r="M276">
        <v>-11.041</v>
      </c>
      <c r="N276">
        <v>1</v>
      </c>
      <c r="O276">
        <v>3.6299999999999999E-2</v>
      </c>
      <c r="P276">
        <v>0.92</v>
      </c>
      <c r="Q276" s="1" t="s">
        <v>429</v>
      </c>
      <c r="R276">
        <v>0.107</v>
      </c>
      <c r="S276">
        <v>0.35</v>
      </c>
      <c r="T276">
        <v>125.98099999999999</v>
      </c>
      <c r="U276">
        <v>3</v>
      </c>
      <c r="V276" t="s">
        <v>24</v>
      </c>
    </row>
    <row r="277" spans="3:22" x14ac:dyDescent="0.35">
      <c r="C277" t="s">
        <v>846</v>
      </c>
      <c r="D277" t="s">
        <v>847</v>
      </c>
      <c r="E277" t="s">
        <v>848</v>
      </c>
      <c r="F277" t="s">
        <v>849</v>
      </c>
      <c r="G277">
        <v>48</v>
      </c>
      <c r="H277">
        <v>201440</v>
      </c>
      <c r="I277" t="b">
        <v>0</v>
      </c>
      <c r="J277">
        <v>0.374</v>
      </c>
      <c r="K277">
        <v>0.183</v>
      </c>
      <c r="L277">
        <v>9</v>
      </c>
      <c r="M277">
        <v>-13.225</v>
      </c>
      <c r="N277">
        <v>1</v>
      </c>
      <c r="O277">
        <v>2.81E-2</v>
      </c>
      <c r="P277">
        <v>0.89700000000000002</v>
      </c>
      <c r="Q277">
        <v>3.8699999999999998E-2</v>
      </c>
      <c r="R277">
        <v>0.109</v>
      </c>
      <c r="S277">
        <v>0.13400000000000001</v>
      </c>
      <c r="T277">
        <v>82.042000000000002</v>
      </c>
      <c r="U277">
        <v>4</v>
      </c>
      <c r="V277" t="s">
        <v>24</v>
      </c>
    </row>
    <row r="278" spans="3:22" x14ac:dyDescent="0.35">
      <c r="C278" t="s">
        <v>850</v>
      </c>
      <c r="D278" t="s">
        <v>591</v>
      </c>
      <c r="E278" t="s">
        <v>851</v>
      </c>
      <c r="F278" t="s">
        <v>851</v>
      </c>
      <c r="G278">
        <v>56</v>
      </c>
      <c r="H278">
        <v>204998</v>
      </c>
      <c r="I278" t="b">
        <v>0</v>
      </c>
      <c r="J278">
        <v>0.55900000000000005</v>
      </c>
      <c r="K278">
        <v>0.45500000000000002</v>
      </c>
      <c r="L278">
        <v>5</v>
      </c>
      <c r="M278">
        <v>-8.9369999999999994</v>
      </c>
      <c r="N278">
        <v>1</v>
      </c>
      <c r="O278">
        <v>3.0599999999999999E-2</v>
      </c>
      <c r="P278">
        <v>0.42099999999999999</v>
      </c>
      <c r="Q278" s="1" t="s">
        <v>852</v>
      </c>
      <c r="R278">
        <v>0.10299999999999999</v>
      </c>
      <c r="S278">
        <v>0.39600000000000002</v>
      </c>
      <c r="T278">
        <v>159.98500000000001</v>
      </c>
      <c r="U278">
        <v>4</v>
      </c>
      <c r="V278" t="s">
        <v>24</v>
      </c>
    </row>
    <row r="279" spans="3:22" x14ac:dyDescent="0.35">
      <c r="C279" t="s">
        <v>853</v>
      </c>
      <c r="D279" t="s">
        <v>854</v>
      </c>
      <c r="E279" t="s">
        <v>855</v>
      </c>
      <c r="F279" t="s">
        <v>855</v>
      </c>
      <c r="G279">
        <v>46</v>
      </c>
      <c r="H279">
        <v>219093</v>
      </c>
      <c r="I279" t="b">
        <v>0</v>
      </c>
      <c r="J279">
        <v>0.64200000000000002</v>
      </c>
      <c r="K279">
        <v>0.40799999999999997</v>
      </c>
      <c r="L279">
        <v>10</v>
      </c>
      <c r="M279">
        <v>-8.1679999999999993</v>
      </c>
      <c r="N279">
        <v>1</v>
      </c>
      <c r="O279">
        <v>3.9600000000000003E-2</v>
      </c>
      <c r="P279">
        <v>0.72899999999999998</v>
      </c>
      <c r="Q279">
        <v>0</v>
      </c>
      <c r="R279">
        <v>0.185</v>
      </c>
      <c r="S279">
        <v>0.41099999999999998</v>
      </c>
      <c r="T279">
        <v>119.81</v>
      </c>
      <c r="U279">
        <v>4</v>
      </c>
      <c r="V279" t="s">
        <v>24</v>
      </c>
    </row>
    <row r="280" spans="3:22" x14ac:dyDescent="0.35">
      <c r="C280" t="s">
        <v>856</v>
      </c>
      <c r="D280" t="s">
        <v>857</v>
      </c>
      <c r="E280" t="s">
        <v>858</v>
      </c>
      <c r="F280" t="s">
        <v>858</v>
      </c>
      <c r="G280">
        <v>55</v>
      </c>
      <c r="H280">
        <v>171800</v>
      </c>
      <c r="I280" t="b">
        <v>0</v>
      </c>
      <c r="J280">
        <v>0.48</v>
      </c>
      <c r="K280">
        <v>0.61799999999999999</v>
      </c>
      <c r="L280">
        <v>2</v>
      </c>
      <c r="M280">
        <v>-7.335</v>
      </c>
      <c r="N280">
        <v>1</v>
      </c>
      <c r="O280">
        <v>5.0099999999999999E-2</v>
      </c>
      <c r="P280">
        <v>0.84399999999999997</v>
      </c>
      <c r="Q280" s="1" t="s">
        <v>859</v>
      </c>
      <c r="R280">
        <v>0.32500000000000001</v>
      </c>
      <c r="S280">
        <v>0.34399999999999997</v>
      </c>
      <c r="T280">
        <v>82.051000000000002</v>
      </c>
      <c r="U280">
        <v>4</v>
      </c>
      <c r="V280" t="s">
        <v>24</v>
      </c>
    </row>
    <row r="281" spans="3:22" x14ac:dyDescent="0.35">
      <c r="C281" t="s">
        <v>860</v>
      </c>
      <c r="D281" t="s">
        <v>34</v>
      </c>
      <c r="E281" t="s">
        <v>861</v>
      </c>
      <c r="F281" t="s">
        <v>862</v>
      </c>
      <c r="G281">
        <v>54</v>
      </c>
      <c r="H281">
        <v>211624</v>
      </c>
      <c r="I281" t="b">
        <v>0</v>
      </c>
      <c r="J281">
        <v>0.27100000000000002</v>
      </c>
      <c r="K281">
        <v>9.3700000000000006E-2</v>
      </c>
      <c r="L281">
        <v>0</v>
      </c>
      <c r="M281">
        <v>-15.035</v>
      </c>
      <c r="N281">
        <v>1</v>
      </c>
      <c r="O281">
        <v>3.6700000000000003E-2</v>
      </c>
      <c r="P281">
        <v>0.93899999999999995</v>
      </c>
      <c r="Q281">
        <v>0</v>
      </c>
      <c r="R281">
        <v>0.108</v>
      </c>
      <c r="S281">
        <v>0.14699999999999999</v>
      </c>
      <c r="T281">
        <v>164.721</v>
      </c>
      <c r="U281">
        <v>5</v>
      </c>
      <c r="V281" t="s">
        <v>24</v>
      </c>
    </row>
    <row r="282" spans="3:22" x14ac:dyDescent="0.35">
      <c r="C282" t="s">
        <v>863</v>
      </c>
      <c r="D282" t="s">
        <v>864</v>
      </c>
      <c r="E282" t="s">
        <v>864</v>
      </c>
      <c r="F282" t="s">
        <v>865</v>
      </c>
      <c r="G282">
        <v>57</v>
      </c>
      <c r="H282">
        <v>196240</v>
      </c>
      <c r="I282" t="b">
        <v>0</v>
      </c>
      <c r="J282">
        <v>0.59399999999999997</v>
      </c>
      <c r="K282">
        <v>0.69499999999999995</v>
      </c>
      <c r="L282">
        <v>8</v>
      </c>
      <c r="M282">
        <v>-8.8719999999999999</v>
      </c>
      <c r="N282">
        <v>1</v>
      </c>
      <c r="O282">
        <v>2.5899999999999999E-2</v>
      </c>
      <c r="P282">
        <v>0.19</v>
      </c>
      <c r="Q282" s="1" t="s">
        <v>866</v>
      </c>
      <c r="R282">
        <v>0.11899999999999999</v>
      </c>
      <c r="S282">
        <v>0.17199999999999999</v>
      </c>
      <c r="T282">
        <v>104.977</v>
      </c>
      <c r="U282">
        <v>4</v>
      </c>
      <c r="V282" t="s">
        <v>24</v>
      </c>
    </row>
    <row r="283" spans="3:22" x14ac:dyDescent="0.35">
      <c r="C283" t="s">
        <v>867</v>
      </c>
      <c r="D283" t="s">
        <v>39</v>
      </c>
      <c r="E283" t="s">
        <v>868</v>
      </c>
      <c r="F283" t="s">
        <v>868</v>
      </c>
      <c r="G283">
        <v>49</v>
      </c>
      <c r="H283">
        <v>199459</v>
      </c>
      <c r="I283" t="b">
        <v>0</v>
      </c>
      <c r="J283">
        <v>0.57399999999999995</v>
      </c>
      <c r="K283">
        <v>0.34399999999999997</v>
      </c>
      <c r="L283">
        <v>4</v>
      </c>
      <c r="M283">
        <v>-8.9949999999999992</v>
      </c>
      <c r="N283">
        <v>1</v>
      </c>
      <c r="O283">
        <v>3.4500000000000003E-2</v>
      </c>
      <c r="P283">
        <v>0.42099999999999999</v>
      </c>
      <c r="Q283">
        <v>0</v>
      </c>
      <c r="R283">
        <v>8.0399999999999999E-2</v>
      </c>
      <c r="S283">
        <v>9.8699999999999996E-2</v>
      </c>
      <c r="T283">
        <v>147.92400000000001</v>
      </c>
      <c r="U283">
        <v>3</v>
      </c>
      <c r="V283" t="s">
        <v>24</v>
      </c>
    </row>
    <row r="284" spans="3:22" x14ac:dyDescent="0.35">
      <c r="C284" t="s">
        <v>869</v>
      </c>
      <c r="D284" t="s">
        <v>870</v>
      </c>
      <c r="E284" t="s">
        <v>871</v>
      </c>
      <c r="F284" t="s">
        <v>872</v>
      </c>
      <c r="G284">
        <v>55</v>
      </c>
      <c r="H284">
        <v>169253</v>
      </c>
      <c r="I284" t="b">
        <v>0</v>
      </c>
      <c r="J284">
        <v>0.64700000000000002</v>
      </c>
      <c r="K284">
        <v>0.29799999999999999</v>
      </c>
      <c r="L284">
        <v>3</v>
      </c>
      <c r="M284">
        <v>-7.91</v>
      </c>
      <c r="N284">
        <v>1</v>
      </c>
      <c r="O284">
        <v>3.1099999999999999E-2</v>
      </c>
      <c r="P284">
        <v>0.86099999999999999</v>
      </c>
      <c r="Q284">
        <v>0</v>
      </c>
      <c r="R284">
        <v>0.12</v>
      </c>
      <c r="S284">
        <v>0.31</v>
      </c>
      <c r="T284">
        <v>106.244</v>
      </c>
      <c r="U284">
        <v>4</v>
      </c>
      <c r="V284" t="s">
        <v>24</v>
      </c>
    </row>
    <row r="285" spans="3:22" x14ac:dyDescent="0.35">
      <c r="C285" t="s">
        <v>873</v>
      </c>
      <c r="D285" t="s">
        <v>874</v>
      </c>
      <c r="E285" t="s">
        <v>875</v>
      </c>
      <c r="F285" t="s">
        <v>875</v>
      </c>
      <c r="G285">
        <v>51</v>
      </c>
      <c r="H285">
        <v>137066</v>
      </c>
      <c r="I285" t="b">
        <v>0</v>
      </c>
      <c r="J285">
        <v>0.48599999999999999</v>
      </c>
      <c r="K285">
        <v>3.9899999999999998E-2</v>
      </c>
      <c r="L285">
        <v>0</v>
      </c>
      <c r="M285">
        <v>-21.56</v>
      </c>
      <c r="N285">
        <v>1</v>
      </c>
      <c r="O285">
        <v>4.0500000000000001E-2</v>
      </c>
      <c r="P285">
        <v>0.95299999999999996</v>
      </c>
      <c r="Q285" s="1" t="s">
        <v>876</v>
      </c>
      <c r="R285">
        <v>0.115</v>
      </c>
      <c r="S285">
        <v>0.155</v>
      </c>
      <c r="T285">
        <v>95.066000000000003</v>
      </c>
      <c r="U285">
        <v>3</v>
      </c>
      <c r="V285" t="s">
        <v>24</v>
      </c>
    </row>
    <row r="286" spans="3:22" x14ac:dyDescent="0.35">
      <c r="C286" t="s">
        <v>877</v>
      </c>
      <c r="D286" t="s">
        <v>83</v>
      </c>
      <c r="E286" t="s">
        <v>878</v>
      </c>
      <c r="F286" t="s">
        <v>878</v>
      </c>
      <c r="G286">
        <v>39</v>
      </c>
      <c r="H286">
        <v>128798</v>
      </c>
      <c r="I286" t="b">
        <v>1</v>
      </c>
      <c r="J286">
        <v>0.73399999999999999</v>
      </c>
      <c r="K286">
        <v>4.2299999999999997E-2</v>
      </c>
      <c r="L286">
        <v>4</v>
      </c>
      <c r="M286">
        <v>-24.831</v>
      </c>
      <c r="N286">
        <v>1</v>
      </c>
      <c r="O286">
        <v>5.8299999999999998E-2</v>
      </c>
      <c r="P286">
        <v>0.91600000000000004</v>
      </c>
      <c r="Q286">
        <v>0</v>
      </c>
      <c r="R286">
        <v>0.108</v>
      </c>
      <c r="S286">
        <v>0.14000000000000001</v>
      </c>
      <c r="T286">
        <v>123.905</v>
      </c>
      <c r="U286">
        <v>4</v>
      </c>
      <c r="V286" t="s">
        <v>24</v>
      </c>
    </row>
    <row r="287" spans="3:22" x14ac:dyDescent="0.35">
      <c r="C287" t="s">
        <v>879</v>
      </c>
      <c r="D287" t="s">
        <v>400</v>
      </c>
      <c r="E287" t="s">
        <v>880</v>
      </c>
      <c r="F287" t="s">
        <v>881</v>
      </c>
      <c r="G287">
        <v>60</v>
      </c>
      <c r="H287">
        <v>257972</v>
      </c>
      <c r="I287" t="b">
        <v>0</v>
      </c>
      <c r="J287">
        <v>0.71099999999999997</v>
      </c>
      <c r="K287">
        <v>0.23100000000000001</v>
      </c>
      <c r="L287">
        <v>2</v>
      </c>
      <c r="M287">
        <v>-13.032999999999999</v>
      </c>
      <c r="N287">
        <v>1</v>
      </c>
      <c r="O287">
        <v>3.4599999999999999E-2</v>
      </c>
      <c r="P287">
        <v>0.83199999999999996</v>
      </c>
      <c r="Q287">
        <v>1.15E-3</v>
      </c>
      <c r="R287">
        <v>0.105</v>
      </c>
      <c r="S287">
        <v>0.186</v>
      </c>
      <c r="T287">
        <v>125.062</v>
      </c>
      <c r="U287">
        <v>4</v>
      </c>
      <c r="V287" t="s">
        <v>24</v>
      </c>
    </row>
    <row r="288" spans="3:22" x14ac:dyDescent="0.35">
      <c r="C288" t="s">
        <v>882</v>
      </c>
      <c r="D288" t="s">
        <v>431</v>
      </c>
      <c r="E288" t="s">
        <v>883</v>
      </c>
      <c r="F288" t="s">
        <v>884</v>
      </c>
      <c r="G288">
        <v>60</v>
      </c>
      <c r="H288">
        <v>146066</v>
      </c>
      <c r="I288" t="b">
        <v>0</v>
      </c>
      <c r="J288">
        <v>0.629</v>
      </c>
      <c r="K288">
        <v>0.17399999999999999</v>
      </c>
      <c r="L288">
        <v>6</v>
      </c>
      <c r="M288">
        <v>-9.6969999999999992</v>
      </c>
      <c r="N288">
        <v>1</v>
      </c>
      <c r="O288">
        <v>0.14099999999999999</v>
      </c>
      <c r="P288">
        <v>0.61599999999999999</v>
      </c>
      <c r="Q288">
        <v>0</v>
      </c>
      <c r="R288">
        <v>0.11799999999999999</v>
      </c>
      <c r="S288">
        <v>0.30499999999999999</v>
      </c>
      <c r="T288">
        <v>134.29499999999999</v>
      </c>
      <c r="U288">
        <v>1</v>
      </c>
      <c r="V288" t="s">
        <v>24</v>
      </c>
    </row>
    <row r="289" spans="3:22" x14ac:dyDescent="0.35">
      <c r="C289" t="s">
        <v>885</v>
      </c>
      <c r="D289" t="s">
        <v>886</v>
      </c>
      <c r="E289" t="s">
        <v>887</v>
      </c>
      <c r="F289" t="s">
        <v>888</v>
      </c>
      <c r="G289">
        <v>53</v>
      </c>
      <c r="H289">
        <v>172708</v>
      </c>
      <c r="I289" t="b">
        <v>0</v>
      </c>
      <c r="J289">
        <v>0.61499999999999999</v>
      </c>
      <c r="K289">
        <v>0.40600000000000003</v>
      </c>
      <c r="L289">
        <v>6</v>
      </c>
      <c r="M289">
        <v>-12.619</v>
      </c>
      <c r="N289">
        <v>1</v>
      </c>
      <c r="O289">
        <v>3.5799999999999998E-2</v>
      </c>
      <c r="P289">
        <v>0.54100000000000004</v>
      </c>
      <c r="Q289" s="1" t="s">
        <v>889</v>
      </c>
      <c r="R289">
        <v>9.8199999999999996E-2</v>
      </c>
      <c r="S289">
        <v>0.54100000000000004</v>
      </c>
      <c r="T289">
        <v>166.035</v>
      </c>
      <c r="U289">
        <v>4</v>
      </c>
      <c r="V289" t="s">
        <v>24</v>
      </c>
    </row>
    <row r="290" spans="3:22" x14ac:dyDescent="0.35">
      <c r="C290" t="s">
        <v>890</v>
      </c>
      <c r="D290" t="s">
        <v>891</v>
      </c>
      <c r="E290" t="s">
        <v>892</v>
      </c>
      <c r="F290" s="2">
        <v>0.53541666666666665</v>
      </c>
      <c r="G290">
        <v>64</v>
      </c>
      <c r="H290">
        <v>246280</v>
      </c>
      <c r="I290" t="b">
        <v>0</v>
      </c>
      <c r="J290">
        <v>0.503</v>
      </c>
      <c r="K290">
        <v>0.35699999999999998</v>
      </c>
      <c r="L290">
        <v>3</v>
      </c>
      <c r="M290">
        <v>-9.36</v>
      </c>
      <c r="N290">
        <v>1</v>
      </c>
      <c r="O290">
        <v>2.7199999999999998E-2</v>
      </c>
      <c r="P290">
        <v>0.72699999999999998</v>
      </c>
      <c r="Q290">
        <v>0</v>
      </c>
      <c r="R290">
        <v>0.128</v>
      </c>
      <c r="S290">
        <v>0.438</v>
      </c>
      <c r="T290">
        <v>136.13499999999999</v>
      </c>
      <c r="U290">
        <v>4</v>
      </c>
      <c r="V290" t="s">
        <v>24</v>
      </c>
    </row>
    <row r="291" spans="3:22" x14ac:dyDescent="0.35">
      <c r="C291" t="s">
        <v>893</v>
      </c>
      <c r="D291" t="s">
        <v>894</v>
      </c>
      <c r="E291" t="s">
        <v>895</v>
      </c>
      <c r="F291" t="s">
        <v>896</v>
      </c>
      <c r="G291">
        <v>34</v>
      </c>
      <c r="H291">
        <v>331984</v>
      </c>
      <c r="I291" t="b">
        <v>0</v>
      </c>
      <c r="J291">
        <v>0.45</v>
      </c>
      <c r="K291">
        <v>0.183</v>
      </c>
      <c r="L291">
        <v>2</v>
      </c>
      <c r="M291">
        <v>-9.0030000000000001</v>
      </c>
      <c r="N291">
        <v>1</v>
      </c>
      <c r="O291">
        <v>3.09E-2</v>
      </c>
      <c r="P291">
        <v>0.76200000000000001</v>
      </c>
      <c r="Q291" s="1" t="s">
        <v>897</v>
      </c>
      <c r="R291">
        <v>0.11</v>
      </c>
      <c r="S291">
        <v>0.219</v>
      </c>
      <c r="T291">
        <v>61.192</v>
      </c>
      <c r="U291">
        <v>4</v>
      </c>
      <c r="V291" t="s">
        <v>24</v>
      </c>
    </row>
    <row r="292" spans="3:22" x14ac:dyDescent="0.35">
      <c r="C292" t="s">
        <v>898</v>
      </c>
      <c r="D292" t="s">
        <v>899</v>
      </c>
      <c r="E292" t="s">
        <v>900</v>
      </c>
      <c r="F292" t="s">
        <v>901</v>
      </c>
      <c r="G292">
        <v>50</v>
      </c>
      <c r="H292">
        <v>216052</v>
      </c>
      <c r="I292" t="b">
        <v>0</v>
      </c>
      <c r="J292">
        <v>0.52500000000000002</v>
      </c>
      <c r="K292">
        <v>0.46100000000000002</v>
      </c>
      <c r="L292">
        <v>5</v>
      </c>
      <c r="M292">
        <v>-9.4890000000000008</v>
      </c>
      <c r="N292">
        <v>0</v>
      </c>
      <c r="O292">
        <v>8.7800000000000003E-2</v>
      </c>
      <c r="P292">
        <v>0.77500000000000002</v>
      </c>
      <c r="Q292" s="1" t="s">
        <v>902</v>
      </c>
      <c r="R292">
        <v>0.36199999999999999</v>
      </c>
      <c r="S292">
        <v>0.20200000000000001</v>
      </c>
      <c r="T292">
        <v>147.99700000000001</v>
      </c>
      <c r="U292">
        <v>4</v>
      </c>
      <c r="V292" t="s">
        <v>24</v>
      </c>
    </row>
    <row r="293" spans="3:22" x14ac:dyDescent="0.35">
      <c r="C293" t="s">
        <v>903</v>
      </c>
      <c r="D293" t="s">
        <v>418</v>
      </c>
      <c r="E293" t="s">
        <v>904</v>
      </c>
      <c r="F293" t="s">
        <v>904</v>
      </c>
      <c r="G293">
        <v>65</v>
      </c>
      <c r="H293">
        <v>243933</v>
      </c>
      <c r="I293" t="b">
        <v>0</v>
      </c>
      <c r="J293">
        <v>0.55500000000000005</v>
      </c>
      <c r="K293">
        <v>0.93400000000000005</v>
      </c>
      <c r="L293">
        <v>9</v>
      </c>
      <c r="M293">
        <v>-5.04</v>
      </c>
      <c r="N293">
        <v>1</v>
      </c>
      <c r="O293">
        <v>0.113</v>
      </c>
      <c r="P293">
        <v>2.6800000000000001E-3</v>
      </c>
      <c r="Q293">
        <v>0</v>
      </c>
      <c r="R293">
        <v>0.122</v>
      </c>
      <c r="S293">
        <v>0.42199999999999999</v>
      </c>
      <c r="T293">
        <v>144.874</v>
      </c>
      <c r="U293">
        <v>4</v>
      </c>
      <c r="V293" t="s">
        <v>24</v>
      </c>
    </row>
    <row r="294" spans="3:22" x14ac:dyDescent="0.35">
      <c r="C294" t="s">
        <v>905</v>
      </c>
      <c r="D294" t="s">
        <v>617</v>
      </c>
      <c r="E294" t="s">
        <v>618</v>
      </c>
      <c r="F294" t="s">
        <v>906</v>
      </c>
      <c r="G294">
        <v>56</v>
      </c>
      <c r="H294">
        <v>199786</v>
      </c>
      <c r="I294" t="b">
        <v>0</v>
      </c>
      <c r="J294">
        <v>0.67800000000000005</v>
      </c>
      <c r="K294">
        <v>0.36299999999999999</v>
      </c>
      <c r="L294">
        <v>11</v>
      </c>
      <c r="M294">
        <v>-10.9</v>
      </c>
      <c r="N294">
        <v>1</v>
      </c>
      <c r="O294">
        <v>3.1800000000000002E-2</v>
      </c>
      <c r="P294">
        <v>0.872</v>
      </c>
      <c r="Q294">
        <v>1.01E-4</v>
      </c>
      <c r="R294">
        <v>7.9799999999999996E-2</v>
      </c>
      <c r="S294">
        <v>0.54300000000000004</v>
      </c>
      <c r="T294">
        <v>75.004000000000005</v>
      </c>
      <c r="U294">
        <v>5</v>
      </c>
      <c r="V294" t="s">
        <v>24</v>
      </c>
    </row>
    <row r="295" spans="3:22" x14ac:dyDescent="0.35">
      <c r="C295" t="s">
        <v>907</v>
      </c>
      <c r="D295" t="s">
        <v>418</v>
      </c>
      <c r="E295" t="s">
        <v>904</v>
      </c>
      <c r="F295" t="s">
        <v>908</v>
      </c>
      <c r="G295">
        <v>57</v>
      </c>
      <c r="H295">
        <v>256933</v>
      </c>
      <c r="I295" t="b">
        <v>0</v>
      </c>
      <c r="J295">
        <v>0.55500000000000005</v>
      </c>
      <c r="K295">
        <v>0.45200000000000001</v>
      </c>
      <c r="L295">
        <v>0</v>
      </c>
      <c r="M295">
        <v>-9.6359999999999992</v>
      </c>
      <c r="N295">
        <v>1</v>
      </c>
      <c r="O295">
        <v>5.5399999999999998E-2</v>
      </c>
      <c r="P295">
        <v>0.69399999999999995</v>
      </c>
      <c r="Q295">
        <v>0</v>
      </c>
      <c r="R295">
        <v>5.9499999999999997E-2</v>
      </c>
      <c r="S295">
        <v>0.32100000000000001</v>
      </c>
      <c r="T295">
        <v>179.92099999999999</v>
      </c>
      <c r="U295">
        <v>4</v>
      </c>
      <c r="V295" t="s">
        <v>24</v>
      </c>
    </row>
    <row r="296" spans="3:22" x14ac:dyDescent="0.35">
      <c r="C296" t="s">
        <v>909</v>
      </c>
      <c r="D296" t="s">
        <v>910</v>
      </c>
      <c r="E296" t="s">
        <v>911</v>
      </c>
      <c r="F296" t="s">
        <v>806</v>
      </c>
      <c r="G296">
        <v>43</v>
      </c>
      <c r="H296">
        <v>279916</v>
      </c>
      <c r="I296" t="b">
        <v>0</v>
      </c>
      <c r="J296">
        <v>0.58599999999999997</v>
      </c>
      <c r="K296">
        <v>0.39600000000000002</v>
      </c>
      <c r="L296">
        <v>10</v>
      </c>
      <c r="M296">
        <v>-9.9529999999999994</v>
      </c>
      <c r="N296">
        <v>1</v>
      </c>
      <c r="O296">
        <v>3.1899999999999998E-2</v>
      </c>
      <c r="P296">
        <v>0.89600000000000002</v>
      </c>
      <c r="Q296">
        <v>0.54300000000000004</v>
      </c>
      <c r="R296">
        <v>9.9199999999999997E-2</v>
      </c>
      <c r="S296">
        <v>0.16</v>
      </c>
      <c r="T296">
        <v>142.59100000000001</v>
      </c>
      <c r="U296">
        <v>3</v>
      </c>
      <c r="V296" t="s">
        <v>24</v>
      </c>
    </row>
    <row r="297" spans="3:22" x14ac:dyDescent="0.35">
      <c r="C297" t="s">
        <v>912</v>
      </c>
      <c r="D297" t="s">
        <v>712</v>
      </c>
      <c r="E297" t="s">
        <v>729</v>
      </c>
      <c r="F297" t="s">
        <v>913</v>
      </c>
      <c r="G297">
        <v>64</v>
      </c>
      <c r="H297">
        <v>250866</v>
      </c>
      <c r="I297" t="b">
        <v>0</v>
      </c>
      <c r="J297">
        <v>0.58799999999999997</v>
      </c>
      <c r="K297">
        <v>0.14199999999999999</v>
      </c>
      <c r="L297">
        <v>7</v>
      </c>
      <c r="M297">
        <v>-15.196</v>
      </c>
      <c r="N297">
        <v>1</v>
      </c>
      <c r="O297">
        <v>3.2899999999999999E-2</v>
      </c>
      <c r="P297">
        <v>0.86299999999999999</v>
      </c>
      <c r="Q297">
        <v>1.6200000000000001E-4</v>
      </c>
      <c r="R297">
        <v>9.5299999999999996E-2</v>
      </c>
      <c r="S297">
        <v>0.28799999999999998</v>
      </c>
      <c r="T297">
        <v>119.65600000000001</v>
      </c>
      <c r="U297">
        <v>4</v>
      </c>
      <c r="V297" t="s">
        <v>24</v>
      </c>
    </row>
    <row r="298" spans="3:22" x14ac:dyDescent="0.35">
      <c r="C298" t="s">
        <v>914</v>
      </c>
      <c r="D298" t="s">
        <v>149</v>
      </c>
      <c r="E298" t="s">
        <v>285</v>
      </c>
      <c r="F298" t="s">
        <v>915</v>
      </c>
      <c r="G298">
        <v>58</v>
      </c>
      <c r="H298">
        <v>94053</v>
      </c>
      <c r="I298" t="b">
        <v>0</v>
      </c>
      <c r="J298">
        <v>0.72399999999999998</v>
      </c>
      <c r="K298">
        <v>0.65200000000000002</v>
      </c>
      <c r="L298">
        <v>3</v>
      </c>
      <c r="M298">
        <v>-6.8689999999999998</v>
      </c>
      <c r="N298">
        <v>1</v>
      </c>
      <c r="O298">
        <v>2.47E-2</v>
      </c>
      <c r="P298">
        <v>0.46</v>
      </c>
      <c r="Q298">
        <v>1.4200000000000001E-4</v>
      </c>
      <c r="R298">
        <v>0.10100000000000001</v>
      </c>
      <c r="S298">
        <v>0.75</v>
      </c>
      <c r="T298">
        <v>106.911</v>
      </c>
      <c r="U298">
        <v>4</v>
      </c>
      <c r="V298" t="s">
        <v>24</v>
      </c>
    </row>
    <row r="299" spans="3:22" x14ac:dyDescent="0.35">
      <c r="C299" t="s">
        <v>916</v>
      </c>
      <c r="D299" t="s">
        <v>917</v>
      </c>
      <c r="E299" t="s">
        <v>918</v>
      </c>
      <c r="F299" t="s">
        <v>918</v>
      </c>
      <c r="G299">
        <v>64</v>
      </c>
      <c r="H299">
        <v>231813</v>
      </c>
      <c r="I299" t="b">
        <v>0</v>
      </c>
      <c r="J299">
        <v>0.56699999999999995</v>
      </c>
      <c r="K299">
        <v>0.224</v>
      </c>
      <c r="L299">
        <v>1</v>
      </c>
      <c r="M299">
        <v>-10.023999999999999</v>
      </c>
      <c r="N299">
        <v>1</v>
      </c>
      <c r="O299">
        <v>2.9899999999999999E-2</v>
      </c>
      <c r="P299">
        <v>0.88700000000000001</v>
      </c>
      <c r="Q299">
        <v>0</v>
      </c>
      <c r="R299">
        <v>0.109</v>
      </c>
      <c r="S299">
        <v>0.2</v>
      </c>
      <c r="T299">
        <v>124.44</v>
      </c>
      <c r="U299">
        <v>4</v>
      </c>
      <c r="V299" t="s">
        <v>24</v>
      </c>
    </row>
    <row r="300" spans="3:22" x14ac:dyDescent="0.35">
      <c r="C300" t="s">
        <v>919</v>
      </c>
      <c r="D300" t="s">
        <v>755</v>
      </c>
      <c r="E300" t="s">
        <v>920</v>
      </c>
      <c r="F300" t="s">
        <v>921</v>
      </c>
      <c r="G300">
        <v>35</v>
      </c>
      <c r="H300">
        <v>150047</v>
      </c>
      <c r="I300" t="b">
        <v>1</v>
      </c>
      <c r="J300">
        <v>0.54400000000000004</v>
      </c>
      <c r="K300">
        <v>0.83899999999999997</v>
      </c>
      <c r="L300">
        <v>5</v>
      </c>
      <c r="M300">
        <v>-8.9909999999999997</v>
      </c>
      <c r="N300">
        <v>1</v>
      </c>
      <c r="O300">
        <v>5.6800000000000003E-2</v>
      </c>
      <c r="P300">
        <v>0.78400000000000003</v>
      </c>
      <c r="Q300">
        <v>0</v>
      </c>
      <c r="R300">
        <v>0.34100000000000003</v>
      </c>
      <c r="S300">
        <v>0.96699999999999997</v>
      </c>
      <c r="T300">
        <v>87.608999999999995</v>
      </c>
      <c r="U300">
        <v>4</v>
      </c>
      <c r="V300" t="s">
        <v>24</v>
      </c>
    </row>
    <row r="301" spans="3:22" x14ac:dyDescent="0.35">
      <c r="C301" t="s">
        <v>922</v>
      </c>
      <c r="D301" t="s">
        <v>712</v>
      </c>
      <c r="E301" t="s">
        <v>923</v>
      </c>
      <c r="F301" t="s">
        <v>924</v>
      </c>
      <c r="G301">
        <v>36</v>
      </c>
      <c r="H301">
        <v>216773</v>
      </c>
      <c r="I301" t="b">
        <v>0</v>
      </c>
      <c r="J301">
        <v>0.55500000000000005</v>
      </c>
      <c r="K301">
        <v>0.68</v>
      </c>
      <c r="L301">
        <v>10</v>
      </c>
      <c r="M301">
        <v>-8.3580000000000005</v>
      </c>
      <c r="N301">
        <v>0</v>
      </c>
      <c r="O301">
        <v>3.2300000000000002E-2</v>
      </c>
      <c r="P301">
        <v>0.126</v>
      </c>
      <c r="Q301">
        <v>9.0600000000000001E-4</v>
      </c>
      <c r="R301">
        <v>5.0599999999999999E-2</v>
      </c>
      <c r="S301">
        <v>0.90300000000000002</v>
      </c>
      <c r="T301">
        <v>84.518000000000001</v>
      </c>
      <c r="U301">
        <v>4</v>
      </c>
      <c r="V301" t="s">
        <v>24</v>
      </c>
    </row>
    <row r="302" spans="3:22" x14ac:dyDescent="0.35">
      <c r="C302" t="s">
        <v>925</v>
      </c>
      <c r="D302" t="s">
        <v>329</v>
      </c>
      <c r="E302" t="s">
        <v>926</v>
      </c>
      <c r="F302" t="s">
        <v>927</v>
      </c>
      <c r="G302">
        <v>54</v>
      </c>
      <c r="H302">
        <v>145771</v>
      </c>
      <c r="I302" t="b">
        <v>0</v>
      </c>
      <c r="J302">
        <v>0.69</v>
      </c>
      <c r="K302">
        <v>0.30599999999999999</v>
      </c>
      <c r="L302">
        <v>9</v>
      </c>
      <c r="M302">
        <v>-9.1929999999999996</v>
      </c>
      <c r="N302">
        <v>1</v>
      </c>
      <c r="O302">
        <v>3.56E-2</v>
      </c>
      <c r="P302">
        <v>0.80500000000000005</v>
      </c>
      <c r="Q302">
        <v>0</v>
      </c>
      <c r="R302">
        <v>9.6799999999999997E-2</v>
      </c>
      <c r="S302">
        <v>0.42399999999999999</v>
      </c>
      <c r="T302">
        <v>115.67100000000001</v>
      </c>
      <c r="U302">
        <v>4</v>
      </c>
      <c r="V302" t="s">
        <v>24</v>
      </c>
    </row>
    <row r="303" spans="3:22" x14ac:dyDescent="0.35">
      <c r="C303" t="s">
        <v>928</v>
      </c>
      <c r="D303" t="s">
        <v>426</v>
      </c>
      <c r="E303" t="s">
        <v>929</v>
      </c>
      <c r="F303" t="s">
        <v>930</v>
      </c>
      <c r="G303">
        <v>43</v>
      </c>
      <c r="H303">
        <v>279260</v>
      </c>
      <c r="I303" t="b">
        <v>0</v>
      </c>
      <c r="J303">
        <v>0.51300000000000001</v>
      </c>
      <c r="K303">
        <v>0.317</v>
      </c>
      <c r="L303">
        <v>10</v>
      </c>
      <c r="M303">
        <v>-17.036000000000001</v>
      </c>
      <c r="N303">
        <v>1</v>
      </c>
      <c r="O303">
        <v>3.6299999999999999E-2</v>
      </c>
      <c r="P303">
        <v>0.36499999999999999</v>
      </c>
      <c r="Q303">
        <v>3.0000000000000001E-3</v>
      </c>
      <c r="R303">
        <v>0.11799999999999999</v>
      </c>
      <c r="S303">
        <v>0.17699999999999999</v>
      </c>
      <c r="T303">
        <v>84.852999999999994</v>
      </c>
      <c r="U303">
        <v>4</v>
      </c>
      <c r="V303" t="s">
        <v>24</v>
      </c>
    </row>
    <row r="304" spans="3:22" x14ac:dyDescent="0.35">
      <c r="C304" t="s">
        <v>931</v>
      </c>
      <c r="D304" t="s">
        <v>352</v>
      </c>
      <c r="E304" t="s">
        <v>932</v>
      </c>
      <c r="F304" t="s">
        <v>933</v>
      </c>
      <c r="G304">
        <v>49</v>
      </c>
      <c r="H304">
        <v>162963</v>
      </c>
      <c r="I304" t="b">
        <v>0</v>
      </c>
      <c r="J304">
        <v>0.49399999999999999</v>
      </c>
      <c r="K304">
        <v>0.152</v>
      </c>
      <c r="L304">
        <v>3</v>
      </c>
      <c r="M304">
        <v>-9.843</v>
      </c>
      <c r="N304">
        <v>1</v>
      </c>
      <c r="O304">
        <v>3.1300000000000001E-2</v>
      </c>
      <c r="P304">
        <v>0.94699999999999995</v>
      </c>
      <c r="Q304">
        <v>0</v>
      </c>
      <c r="R304">
        <v>0.123</v>
      </c>
      <c r="S304">
        <v>0.30399999999999999</v>
      </c>
      <c r="T304">
        <v>134.178</v>
      </c>
      <c r="U304">
        <v>4</v>
      </c>
      <c r="V304" t="s">
        <v>24</v>
      </c>
    </row>
    <row r="305" spans="3:22" x14ac:dyDescent="0.35">
      <c r="C305" t="s">
        <v>934</v>
      </c>
      <c r="D305" t="s">
        <v>935</v>
      </c>
      <c r="E305" t="s">
        <v>936</v>
      </c>
      <c r="F305" t="s">
        <v>937</v>
      </c>
      <c r="G305">
        <v>55</v>
      </c>
      <c r="H305">
        <v>166189</v>
      </c>
      <c r="I305" t="b">
        <v>0</v>
      </c>
      <c r="J305">
        <v>0.63400000000000001</v>
      </c>
      <c r="K305">
        <v>0.26700000000000002</v>
      </c>
      <c r="L305">
        <v>11</v>
      </c>
      <c r="M305">
        <v>-7.3959999999999999</v>
      </c>
      <c r="N305">
        <v>1</v>
      </c>
      <c r="O305">
        <v>4.3999999999999997E-2</v>
      </c>
      <c r="P305">
        <v>0.84099999999999997</v>
      </c>
      <c r="Q305">
        <v>0</v>
      </c>
      <c r="R305">
        <v>0.11</v>
      </c>
      <c r="S305">
        <v>0.39100000000000001</v>
      </c>
      <c r="T305">
        <v>143.51400000000001</v>
      </c>
      <c r="U305">
        <v>4</v>
      </c>
      <c r="V305" t="s">
        <v>24</v>
      </c>
    </row>
    <row r="306" spans="3:22" x14ac:dyDescent="0.35">
      <c r="C306" t="s">
        <v>938</v>
      </c>
      <c r="D306" t="s">
        <v>939</v>
      </c>
      <c r="E306" t="s">
        <v>92</v>
      </c>
      <c r="F306" t="s">
        <v>940</v>
      </c>
      <c r="G306">
        <v>54</v>
      </c>
      <c r="H306">
        <v>244188</v>
      </c>
      <c r="I306" t="b">
        <v>0</v>
      </c>
      <c r="J306">
        <v>0.69399999999999995</v>
      </c>
      <c r="K306">
        <v>0.47099999999999997</v>
      </c>
      <c r="L306">
        <v>8</v>
      </c>
      <c r="M306">
        <v>-8.6199999999999992</v>
      </c>
      <c r="N306">
        <v>1</v>
      </c>
      <c r="O306">
        <v>2.81E-2</v>
      </c>
      <c r="P306">
        <v>0.41099999999999998</v>
      </c>
      <c r="Q306">
        <v>0</v>
      </c>
      <c r="R306">
        <v>0.23300000000000001</v>
      </c>
      <c r="S306">
        <v>0.46600000000000003</v>
      </c>
      <c r="T306">
        <v>95.003</v>
      </c>
      <c r="U306">
        <v>4</v>
      </c>
      <c r="V306" t="s">
        <v>24</v>
      </c>
    </row>
    <row r="307" spans="3:22" x14ac:dyDescent="0.35">
      <c r="C307" t="s">
        <v>941</v>
      </c>
      <c r="D307" t="s">
        <v>942</v>
      </c>
      <c r="E307" t="s">
        <v>943</v>
      </c>
      <c r="F307" t="s">
        <v>943</v>
      </c>
      <c r="G307">
        <v>55</v>
      </c>
      <c r="H307">
        <v>165067</v>
      </c>
      <c r="I307" t="b">
        <v>0</v>
      </c>
      <c r="J307">
        <v>0.64300000000000002</v>
      </c>
      <c r="K307">
        <v>0.11</v>
      </c>
      <c r="L307">
        <v>6</v>
      </c>
      <c r="M307">
        <v>-14.28</v>
      </c>
      <c r="N307">
        <v>1</v>
      </c>
      <c r="O307">
        <v>2.9399999999999999E-2</v>
      </c>
      <c r="P307">
        <v>0.876</v>
      </c>
      <c r="Q307" s="1" t="s">
        <v>944</v>
      </c>
      <c r="R307">
        <v>0.112</v>
      </c>
      <c r="S307">
        <v>0.152</v>
      </c>
      <c r="T307">
        <v>101.995</v>
      </c>
      <c r="U307">
        <v>4</v>
      </c>
      <c r="V307" t="s">
        <v>24</v>
      </c>
    </row>
    <row r="308" spans="3:22" x14ac:dyDescent="0.35">
      <c r="C308" t="s">
        <v>945</v>
      </c>
      <c r="D308" t="s">
        <v>199</v>
      </c>
      <c r="E308" t="s">
        <v>946</v>
      </c>
      <c r="F308" t="s">
        <v>946</v>
      </c>
      <c r="G308">
        <v>39</v>
      </c>
      <c r="H308">
        <v>208571</v>
      </c>
      <c r="I308" t="b">
        <v>0</v>
      </c>
      <c r="J308">
        <v>0.42199999999999999</v>
      </c>
      <c r="K308">
        <v>0.41</v>
      </c>
      <c r="L308">
        <v>6</v>
      </c>
      <c r="M308">
        <v>-14.151</v>
      </c>
      <c r="N308">
        <v>0</v>
      </c>
      <c r="O308">
        <v>4.6699999999999998E-2</v>
      </c>
      <c r="P308">
        <v>8.5500000000000003E-3</v>
      </c>
      <c r="Q308">
        <v>0</v>
      </c>
      <c r="R308">
        <v>0.104</v>
      </c>
      <c r="S308">
        <v>0.35399999999999998</v>
      </c>
      <c r="T308">
        <v>83.951999999999998</v>
      </c>
      <c r="U308">
        <v>4</v>
      </c>
      <c r="V308" t="s">
        <v>24</v>
      </c>
    </row>
    <row r="309" spans="3:22" x14ac:dyDescent="0.35">
      <c r="C309" t="s">
        <v>947</v>
      </c>
      <c r="D309" t="s">
        <v>948</v>
      </c>
      <c r="E309" t="s">
        <v>949</v>
      </c>
      <c r="F309" t="s">
        <v>950</v>
      </c>
      <c r="G309">
        <v>51</v>
      </c>
      <c r="H309">
        <v>189240</v>
      </c>
      <c r="I309" t="b">
        <v>0</v>
      </c>
      <c r="J309">
        <v>0.54300000000000004</v>
      </c>
      <c r="K309">
        <v>0.28799999999999998</v>
      </c>
      <c r="L309">
        <v>0</v>
      </c>
      <c r="M309">
        <v>-8.6080000000000005</v>
      </c>
      <c r="N309">
        <v>0</v>
      </c>
      <c r="O309">
        <v>2.58E-2</v>
      </c>
      <c r="P309">
        <v>0.66700000000000004</v>
      </c>
      <c r="Q309">
        <v>0</v>
      </c>
      <c r="R309">
        <v>0.113</v>
      </c>
      <c r="S309">
        <v>0.29299999999999998</v>
      </c>
      <c r="T309">
        <v>95.435000000000002</v>
      </c>
      <c r="U309">
        <v>4</v>
      </c>
      <c r="V309" t="s">
        <v>24</v>
      </c>
    </row>
    <row r="310" spans="3:22" x14ac:dyDescent="0.35">
      <c r="C310" t="s">
        <v>951</v>
      </c>
      <c r="D310" t="s">
        <v>952</v>
      </c>
      <c r="E310" t="s">
        <v>953</v>
      </c>
      <c r="F310" t="s">
        <v>954</v>
      </c>
      <c r="G310">
        <v>52</v>
      </c>
      <c r="H310">
        <v>182553</v>
      </c>
      <c r="I310" t="b">
        <v>0</v>
      </c>
      <c r="J310">
        <v>0.33200000000000002</v>
      </c>
      <c r="K310">
        <v>0.28199999999999997</v>
      </c>
      <c r="L310">
        <v>7</v>
      </c>
      <c r="M310">
        <v>-7.2569999999999997</v>
      </c>
      <c r="N310">
        <v>1</v>
      </c>
      <c r="O310">
        <v>4.3999999999999997E-2</v>
      </c>
      <c r="P310">
        <v>0.82499999999999996</v>
      </c>
      <c r="Q310">
        <v>0</v>
      </c>
      <c r="R310">
        <v>0.104</v>
      </c>
      <c r="S310">
        <v>0.23400000000000001</v>
      </c>
      <c r="T310">
        <v>187.05699999999999</v>
      </c>
      <c r="U310">
        <v>4</v>
      </c>
      <c r="V310" t="s">
        <v>24</v>
      </c>
    </row>
    <row r="311" spans="3:22" x14ac:dyDescent="0.35">
      <c r="C311" t="s">
        <v>955</v>
      </c>
      <c r="D311" t="s">
        <v>664</v>
      </c>
      <c r="E311" t="s">
        <v>956</v>
      </c>
      <c r="F311" t="s">
        <v>957</v>
      </c>
      <c r="G311">
        <v>56</v>
      </c>
      <c r="H311">
        <v>183093</v>
      </c>
      <c r="I311" t="b">
        <v>0</v>
      </c>
      <c r="J311">
        <v>0.43</v>
      </c>
      <c r="K311">
        <v>0.121</v>
      </c>
      <c r="L311">
        <v>10</v>
      </c>
      <c r="M311">
        <v>-15.148</v>
      </c>
      <c r="N311">
        <v>1</v>
      </c>
      <c r="O311">
        <v>4.0399999999999998E-2</v>
      </c>
      <c r="P311">
        <v>0.90800000000000003</v>
      </c>
      <c r="Q311">
        <v>0</v>
      </c>
      <c r="R311">
        <v>0.161</v>
      </c>
      <c r="S311">
        <v>0.46100000000000002</v>
      </c>
      <c r="T311">
        <v>91.210999999999999</v>
      </c>
      <c r="U311">
        <v>4</v>
      </c>
      <c r="V311" t="s">
        <v>24</v>
      </c>
    </row>
    <row r="312" spans="3:22" x14ac:dyDescent="0.35">
      <c r="C312" t="s">
        <v>958</v>
      </c>
      <c r="D312" t="s">
        <v>959</v>
      </c>
      <c r="E312" t="s">
        <v>960</v>
      </c>
      <c r="F312" t="s">
        <v>961</v>
      </c>
      <c r="G312">
        <v>48</v>
      </c>
      <c r="H312">
        <v>243724</v>
      </c>
      <c r="I312" t="b">
        <v>0</v>
      </c>
      <c r="J312">
        <v>0.432</v>
      </c>
      <c r="K312">
        <v>0.19700000000000001</v>
      </c>
      <c r="L312">
        <v>3</v>
      </c>
      <c r="M312">
        <v>-9.2509999999999994</v>
      </c>
      <c r="N312">
        <v>1</v>
      </c>
      <c r="O312">
        <v>4.1399999999999999E-2</v>
      </c>
      <c r="P312">
        <v>0.87</v>
      </c>
      <c r="Q312">
        <v>0</v>
      </c>
      <c r="R312">
        <v>0.11</v>
      </c>
      <c r="S312">
        <v>0.34799999999999998</v>
      </c>
      <c r="T312">
        <v>163.98500000000001</v>
      </c>
      <c r="U312">
        <v>4</v>
      </c>
      <c r="V312" t="s">
        <v>24</v>
      </c>
    </row>
    <row r="313" spans="3:22" x14ac:dyDescent="0.35">
      <c r="C313" t="s">
        <v>962</v>
      </c>
      <c r="D313" t="s">
        <v>356</v>
      </c>
      <c r="E313" t="s">
        <v>357</v>
      </c>
      <c r="F313" t="s">
        <v>357</v>
      </c>
      <c r="G313">
        <v>41</v>
      </c>
      <c r="H313">
        <v>322146</v>
      </c>
      <c r="I313" t="b">
        <v>0</v>
      </c>
      <c r="J313">
        <v>0.59199999999999997</v>
      </c>
      <c r="K313">
        <v>0.76900000000000002</v>
      </c>
      <c r="L313">
        <v>2</v>
      </c>
      <c r="M313">
        <v>-5.2679999999999998</v>
      </c>
      <c r="N313">
        <v>1</v>
      </c>
      <c r="O313">
        <v>3.1099999999999999E-2</v>
      </c>
      <c r="P313">
        <v>0.31900000000000001</v>
      </c>
      <c r="Q313" s="1" t="s">
        <v>358</v>
      </c>
      <c r="R313">
        <v>0.13700000000000001</v>
      </c>
      <c r="S313">
        <v>0.38500000000000001</v>
      </c>
      <c r="T313">
        <v>102.033</v>
      </c>
      <c r="U313">
        <v>4</v>
      </c>
      <c r="V313" t="s">
        <v>24</v>
      </c>
    </row>
    <row r="314" spans="3:22" x14ac:dyDescent="0.35">
      <c r="C314" t="s">
        <v>963</v>
      </c>
      <c r="D314" t="s">
        <v>26</v>
      </c>
      <c r="E314" t="s">
        <v>964</v>
      </c>
      <c r="F314" t="s">
        <v>964</v>
      </c>
      <c r="G314">
        <v>40</v>
      </c>
      <c r="H314">
        <v>209554</v>
      </c>
      <c r="I314" t="b">
        <v>0</v>
      </c>
      <c r="J314">
        <v>0.73299999999999998</v>
      </c>
      <c r="K314">
        <v>0.29699999999999999</v>
      </c>
      <c r="L314">
        <v>5</v>
      </c>
      <c r="M314">
        <v>-14.452</v>
      </c>
      <c r="N314">
        <v>1</v>
      </c>
      <c r="O314">
        <v>3.5900000000000001E-2</v>
      </c>
      <c r="P314">
        <v>0.93500000000000005</v>
      </c>
      <c r="Q314" s="1" t="s">
        <v>965</v>
      </c>
      <c r="R314">
        <v>0.108</v>
      </c>
      <c r="S314">
        <v>0.76600000000000001</v>
      </c>
      <c r="T314">
        <v>103.953</v>
      </c>
      <c r="U314">
        <v>4</v>
      </c>
      <c r="V314" t="s">
        <v>24</v>
      </c>
    </row>
    <row r="315" spans="3:22" x14ac:dyDescent="0.35">
      <c r="C315" t="s">
        <v>966</v>
      </c>
      <c r="D315" t="s">
        <v>34</v>
      </c>
      <c r="E315" t="s">
        <v>967</v>
      </c>
      <c r="F315" t="s">
        <v>968</v>
      </c>
      <c r="G315">
        <v>57</v>
      </c>
      <c r="H315">
        <v>198403</v>
      </c>
      <c r="I315" t="b">
        <v>0</v>
      </c>
      <c r="J315">
        <v>0.39400000000000002</v>
      </c>
      <c r="K315">
        <v>0.249</v>
      </c>
      <c r="L315">
        <v>5</v>
      </c>
      <c r="M315">
        <v>-10.484</v>
      </c>
      <c r="N315">
        <v>1</v>
      </c>
      <c r="O315">
        <v>3.9600000000000003E-2</v>
      </c>
      <c r="P315">
        <v>0.92700000000000005</v>
      </c>
      <c r="Q315">
        <v>0</v>
      </c>
      <c r="R315">
        <v>0.115</v>
      </c>
      <c r="S315">
        <v>0.32900000000000001</v>
      </c>
      <c r="T315">
        <v>79.549000000000007</v>
      </c>
      <c r="U315">
        <v>4</v>
      </c>
      <c r="V315" t="s">
        <v>24</v>
      </c>
    </row>
    <row r="316" spans="3:22" x14ac:dyDescent="0.35">
      <c r="C316" t="s">
        <v>969</v>
      </c>
      <c r="D316" t="s">
        <v>970</v>
      </c>
      <c r="E316" t="s">
        <v>971</v>
      </c>
      <c r="F316" t="s">
        <v>972</v>
      </c>
      <c r="G316">
        <v>53</v>
      </c>
      <c r="H316">
        <v>67746</v>
      </c>
      <c r="I316" t="b">
        <v>0</v>
      </c>
      <c r="J316">
        <v>0.41</v>
      </c>
      <c r="K316">
        <v>0.23400000000000001</v>
      </c>
      <c r="L316">
        <v>1</v>
      </c>
      <c r="M316">
        <v>-15.236000000000001</v>
      </c>
      <c r="N316">
        <v>1</v>
      </c>
      <c r="O316">
        <v>4.2099999999999999E-2</v>
      </c>
      <c r="P316">
        <v>0.79800000000000004</v>
      </c>
      <c r="Q316">
        <v>3.0400000000000002E-3</v>
      </c>
      <c r="R316">
        <v>0.108</v>
      </c>
      <c r="S316">
        <v>0.19</v>
      </c>
      <c r="T316">
        <v>93.72</v>
      </c>
      <c r="U316">
        <v>4</v>
      </c>
      <c r="V316" t="s">
        <v>24</v>
      </c>
    </row>
    <row r="317" spans="3:22" x14ac:dyDescent="0.35">
      <c r="C317" t="s">
        <v>973</v>
      </c>
      <c r="D317" t="s">
        <v>974</v>
      </c>
      <c r="E317" t="s">
        <v>975</v>
      </c>
      <c r="F317" t="s">
        <v>975</v>
      </c>
      <c r="G317">
        <v>30</v>
      </c>
      <c r="H317">
        <v>129032</v>
      </c>
      <c r="I317" t="b">
        <v>0</v>
      </c>
      <c r="J317">
        <v>0.48</v>
      </c>
      <c r="K317">
        <v>0.158</v>
      </c>
      <c r="L317">
        <v>8</v>
      </c>
      <c r="M317">
        <v>-15.239000000000001</v>
      </c>
      <c r="N317">
        <v>1</v>
      </c>
      <c r="O317">
        <v>8.0699999999999994E-2</v>
      </c>
      <c r="P317">
        <v>0.80900000000000005</v>
      </c>
      <c r="Q317">
        <v>0.88600000000000001</v>
      </c>
      <c r="R317">
        <v>0.11700000000000001</v>
      </c>
      <c r="S317">
        <v>0.498</v>
      </c>
      <c r="T317">
        <v>86.106999999999999</v>
      </c>
      <c r="U317">
        <v>4</v>
      </c>
      <c r="V317" t="s">
        <v>24</v>
      </c>
    </row>
    <row r="318" spans="3:22" x14ac:dyDescent="0.35">
      <c r="C318" t="s">
        <v>976</v>
      </c>
      <c r="D318" t="s">
        <v>57</v>
      </c>
      <c r="E318" t="s">
        <v>977</v>
      </c>
      <c r="F318" t="s">
        <v>977</v>
      </c>
      <c r="G318">
        <v>49</v>
      </c>
      <c r="H318">
        <v>218004</v>
      </c>
      <c r="I318" t="b">
        <v>0</v>
      </c>
      <c r="J318">
        <v>0.255</v>
      </c>
      <c r="K318">
        <v>0.625</v>
      </c>
      <c r="L318">
        <v>0</v>
      </c>
      <c r="M318">
        <v>-8.31</v>
      </c>
      <c r="N318">
        <v>1</v>
      </c>
      <c r="O318">
        <v>3.2300000000000002E-2</v>
      </c>
      <c r="P318">
        <v>0.63</v>
      </c>
      <c r="Q318">
        <v>2.1100000000000001E-4</v>
      </c>
      <c r="R318">
        <v>9.7600000000000006E-2</v>
      </c>
      <c r="S318">
        <v>0.191</v>
      </c>
      <c r="T318">
        <v>84.611000000000004</v>
      </c>
      <c r="U318">
        <v>4</v>
      </c>
      <c r="V318" t="s">
        <v>24</v>
      </c>
    </row>
    <row r="319" spans="3:22" x14ac:dyDescent="0.35">
      <c r="C319" t="s">
        <v>978</v>
      </c>
      <c r="D319" t="s">
        <v>979</v>
      </c>
      <c r="E319" t="s">
        <v>222</v>
      </c>
      <c r="F319" t="s">
        <v>980</v>
      </c>
      <c r="G319">
        <v>26</v>
      </c>
      <c r="H319">
        <v>222911</v>
      </c>
      <c r="I319" t="b">
        <v>0</v>
      </c>
      <c r="J319">
        <v>0.52400000000000002</v>
      </c>
      <c r="K319">
        <v>0.32800000000000001</v>
      </c>
      <c r="L319">
        <v>11</v>
      </c>
      <c r="M319">
        <v>-10.000999999999999</v>
      </c>
      <c r="N319">
        <v>1</v>
      </c>
      <c r="O319">
        <v>4.0300000000000002E-2</v>
      </c>
      <c r="P319">
        <v>0.81699999999999995</v>
      </c>
      <c r="Q319">
        <v>0</v>
      </c>
      <c r="R319">
        <v>0.11799999999999999</v>
      </c>
      <c r="S319">
        <v>0.59899999999999998</v>
      </c>
      <c r="T319">
        <v>99.941000000000003</v>
      </c>
      <c r="U319">
        <v>4</v>
      </c>
      <c r="V319" t="s">
        <v>24</v>
      </c>
    </row>
    <row r="320" spans="3:22" x14ac:dyDescent="0.35">
      <c r="C320" t="s">
        <v>981</v>
      </c>
      <c r="D320" t="s">
        <v>982</v>
      </c>
      <c r="E320" t="s">
        <v>983</v>
      </c>
      <c r="F320" t="s">
        <v>984</v>
      </c>
      <c r="G320">
        <v>53</v>
      </c>
      <c r="H320">
        <v>206693</v>
      </c>
      <c r="I320" t="b">
        <v>0</v>
      </c>
      <c r="J320">
        <v>0.46400000000000002</v>
      </c>
      <c r="K320">
        <v>0.65300000000000002</v>
      </c>
      <c r="L320">
        <v>6</v>
      </c>
      <c r="M320">
        <v>-7.5140000000000002</v>
      </c>
      <c r="N320">
        <v>1</v>
      </c>
      <c r="O320">
        <v>0.10100000000000001</v>
      </c>
      <c r="P320">
        <v>0.19900000000000001</v>
      </c>
      <c r="Q320">
        <v>0</v>
      </c>
      <c r="R320">
        <v>9.7900000000000001E-2</v>
      </c>
      <c r="S320">
        <v>0.41599999999999998</v>
      </c>
      <c r="T320">
        <v>162.196</v>
      </c>
      <c r="U320">
        <v>4</v>
      </c>
      <c r="V320" t="s">
        <v>24</v>
      </c>
    </row>
    <row r="321" spans="3:22" x14ac:dyDescent="0.35">
      <c r="C321" t="s">
        <v>985</v>
      </c>
      <c r="D321" t="s">
        <v>339</v>
      </c>
      <c r="E321" t="s">
        <v>986</v>
      </c>
      <c r="F321" t="s">
        <v>987</v>
      </c>
      <c r="G321">
        <v>52</v>
      </c>
      <c r="H321">
        <v>246979</v>
      </c>
      <c r="I321" t="b">
        <v>0</v>
      </c>
      <c r="J321">
        <v>0.65900000000000003</v>
      </c>
      <c r="K321">
        <v>0.33100000000000002</v>
      </c>
      <c r="L321">
        <v>10</v>
      </c>
      <c r="M321">
        <v>-8.9870000000000001</v>
      </c>
      <c r="N321">
        <v>1</v>
      </c>
      <c r="O321">
        <v>3.2099999999999997E-2</v>
      </c>
      <c r="P321">
        <v>0.80900000000000005</v>
      </c>
      <c r="Q321">
        <v>0</v>
      </c>
      <c r="R321">
        <v>9.9599999999999994E-2</v>
      </c>
      <c r="S321">
        <v>8.77E-2</v>
      </c>
      <c r="T321">
        <v>105.01</v>
      </c>
      <c r="U321">
        <v>4</v>
      </c>
      <c r="V321" t="s">
        <v>24</v>
      </c>
    </row>
    <row r="322" spans="3:22" x14ac:dyDescent="0.35">
      <c r="C322" t="s">
        <v>988</v>
      </c>
      <c r="D322" t="s">
        <v>60</v>
      </c>
      <c r="E322" t="s">
        <v>61</v>
      </c>
      <c r="F322" t="s">
        <v>989</v>
      </c>
      <c r="G322">
        <v>51</v>
      </c>
      <c r="H322">
        <v>282950</v>
      </c>
      <c r="I322" t="b">
        <v>0</v>
      </c>
      <c r="J322">
        <v>0.59199999999999997</v>
      </c>
      <c r="K322">
        <v>0.49</v>
      </c>
      <c r="L322">
        <v>10</v>
      </c>
      <c r="M322">
        <v>-8.5079999999999991</v>
      </c>
      <c r="N322">
        <v>1</v>
      </c>
      <c r="O322">
        <v>2.63E-2</v>
      </c>
      <c r="P322">
        <v>0.39500000000000002</v>
      </c>
      <c r="Q322">
        <v>0</v>
      </c>
      <c r="R322">
        <v>0.33300000000000002</v>
      </c>
      <c r="S322">
        <v>0.437</v>
      </c>
      <c r="T322">
        <v>99.994</v>
      </c>
      <c r="U322">
        <v>4</v>
      </c>
      <c r="V322" t="s">
        <v>24</v>
      </c>
    </row>
    <row r="323" spans="3:22" x14ac:dyDescent="0.35">
      <c r="C323" t="s">
        <v>990</v>
      </c>
      <c r="D323" t="s">
        <v>991</v>
      </c>
      <c r="E323" t="s">
        <v>992</v>
      </c>
      <c r="F323" t="s">
        <v>992</v>
      </c>
      <c r="G323">
        <v>35</v>
      </c>
      <c r="H323">
        <v>222626</v>
      </c>
      <c r="I323" t="b">
        <v>0</v>
      </c>
      <c r="J323">
        <v>0.46700000000000003</v>
      </c>
      <c r="K323">
        <v>0.85099999999999998</v>
      </c>
      <c r="L323">
        <v>6</v>
      </c>
      <c r="M323">
        <v>-4.2030000000000003</v>
      </c>
      <c r="N323">
        <v>1</v>
      </c>
      <c r="O323">
        <v>5.2600000000000001E-2</v>
      </c>
      <c r="P323">
        <v>3.5300000000000002E-4</v>
      </c>
      <c r="Q323">
        <v>0</v>
      </c>
      <c r="R323">
        <v>0.33</v>
      </c>
      <c r="S323">
        <v>0.64400000000000002</v>
      </c>
      <c r="T323">
        <v>93.873000000000005</v>
      </c>
      <c r="U323">
        <v>4</v>
      </c>
      <c r="V323" t="s">
        <v>24</v>
      </c>
    </row>
    <row r="324" spans="3:22" x14ac:dyDescent="0.35">
      <c r="C324" t="s">
        <v>993</v>
      </c>
      <c r="D324" t="s">
        <v>994</v>
      </c>
      <c r="E324" t="s">
        <v>995</v>
      </c>
      <c r="F324" t="s">
        <v>996</v>
      </c>
      <c r="G324">
        <v>54</v>
      </c>
      <c r="H324">
        <v>219692</v>
      </c>
      <c r="I324" t="b">
        <v>0</v>
      </c>
      <c r="J324">
        <v>0.56399999999999995</v>
      </c>
      <c r="K324">
        <v>0.39100000000000001</v>
      </c>
      <c r="L324">
        <v>5</v>
      </c>
      <c r="M324">
        <v>-7.6550000000000002</v>
      </c>
      <c r="N324">
        <v>1</v>
      </c>
      <c r="O324">
        <v>3.1099999999999999E-2</v>
      </c>
      <c r="P324">
        <v>0.47799999999999998</v>
      </c>
      <c r="Q324">
        <v>0</v>
      </c>
      <c r="R324">
        <v>0.127</v>
      </c>
      <c r="S324">
        <v>0.10100000000000001</v>
      </c>
      <c r="T324">
        <v>130.03</v>
      </c>
      <c r="U324">
        <v>4</v>
      </c>
      <c r="V324" t="s">
        <v>24</v>
      </c>
    </row>
    <row r="325" spans="3:22" x14ac:dyDescent="0.35">
      <c r="C325" t="s">
        <v>997</v>
      </c>
      <c r="D325" t="s">
        <v>998</v>
      </c>
      <c r="E325" t="s">
        <v>999</v>
      </c>
      <c r="F325" t="s">
        <v>1000</v>
      </c>
      <c r="G325">
        <v>50</v>
      </c>
      <c r="H325">
        <v>170786</v>
      </c>
      <c r="I325" t="b">
        <v>0</v>
      </c>
      <c r="J325">
        <v>0.498</v>
      </c>
      <c r="K325">
        <v>0.38400000000000001</v>
      </c>
      <c r="L325">
        <v>4</v>
      </c>
      <c r="M325">
        <v>-10.752000000000001</v>
      </c>
      <c r="N325">
        <v>1</v>
      </c>
      <c r="O325">
        <v>9.7600000000000006E-2</v>
      </c>
      <c r="P325">
        <v>0.81799999999999995</v>
      </c>
      <c r="Q325">
        <v>9.3700000000000001E-4</v>
      </c>
      <c r="R325">
        <v>0.13</v>
      </c>
      <c r="S325">
        <v>0.25</v>
      </c>
      <c r="T325">
        <v>79.855999999999995</v>
      </c>
      <c r="U325">
        <v>4</v>
      </c>
      <c r="V325" t="s">
        <v>24</v>
      </c>
    </row>
    <row r="326" spans="3:22" x14ac:dyDescent="0.35">
      <c r="C326" t="s">
        <v>1001</v>
      </c>
      <c r="D326" t="s">
        <v>1002</v>
      </c>
      <c r="E326" t="s">
        <v>1003</v>
      </c>
      <c r="F326" t="s">
        <v>1004</v>
      </c>
      <c r="G326">
        <v>53</v>
      </c>
      <c r="H326">
        <v>70133</v>
      </c>
      <c r="I326" t="b">
        <v>0</v>
      </c>
      <c r="J326">
        <v>0.38600000000000001</v>
      </c>
      <c r="K326">
        <v>0.42799999999999999</v>
      </c>
      <c r="L326">
        <v>10</v>
      </c>
      <c r="M326">
        <v>-9.9489999999999998</v>
      </c>
      <c r="N326">
        <v>0</v>
      </c>
      <c r="O326">
        <v>2.9499999999999998E-2</v>
      </c>
      <c r="P326">
        <v>0.95099999999999996</v>
      </c>
      <c r="Q326">
        <v>0.88200000000000001</v>
      </c>
      <c r="R326">
        <v>0.16200000000000001</v>
      </c>
      <c r="S326">
        <v>0.73</v>
      </c>
      <c r="T326">
        <v>172.31100000000001</v>
      </c>
      <c r="U326">
        <v>4</v>
      </c>
      <c r="V326" t="s">
        <v>24</v>
      </c>
    </row>
    <row r="327" spans="3:22" x14ac:dyDescent="0.35">
      <c r="C327" t="s">
        <v>1005</v>
      </c>
      <c r="D327" t="s">
        <v>39</v>
      </c>
      <c r="E327" t="s">
        <v>1006</v>
      </c>
      <c r="F327" t="s">
        <v>1007</v>
      </c>
      <c r="G327">
        <v>48</v>
      </c>
      <c r="H327">
        <v>200346</v>
      </c>
      <c r="I327" t="b">
        <v>0</v>
      </c>
      <c r="J327">
        <v>0.70199999999999996</v>
      </c>
      <c r="K327">
        <v>0.25900000000000001</v>
      </c>
      <c r="L327">
        <v>2</v>
      </c>
      <c r="M327">
        <v>-9.73</v>
      </c>
      <c r="N327">
        <v>1</v>
      </c>
      <c r="O327">
        <v>4.0300000000000002E-2</v>
      </c>
      <c r="P327">
        <v>0.878</v>
      </c>
      <c r="Q327" s="1" t="s">
        <v>1008</v>
      </c>
      <c r="R327">
        <v>0.108</v>
      </c>
      <c r="S327">
        <v>0.246</v>
      </c>
      <c r="T327">
        <v>120.102</v>
      </c>
      <c r="U327">
        <v>4</v>
      </c>
      <c r="V327" t="s">
        <v>24</v>
      </c>
    </row>
    <row r="328" spans="3:22" x14ac:dyDescent="0.35">
      <c r="C328" t="s">
        <v>1009</v>
      </c>
      <c r="D328" t="s">
        <v>305</v>
      </c>
      <c r="E328" t="s">
        <v>305</v>
      </c>
      <c r="F328" t="s">
        <v>1010</v>
      </c>
      <c r="G328">
        <v>49</v>
      </c>
      <c r="H328">
        <v>229653</v>
      </c>
      <c r="I328" t="b">
        <v>0</v>
      </c>
      <c r="J328">
        <v>0.747</v>
      </c>
      <c r="K328">
        <v>0.26500000000000001</v>
      </c>
      <c r="L328">
        <v>1</v>
      </c>
      <c r="M328">
        <v>-14.141</v>
      </c>
      <c r="N328">
        <v>1</v>
      </c>
      <c r="O328">
        <v>3.5400000000000001E-2</v>
      </c>
      <c r="P328">
        <v>0.745</v>
      </c>
      <c r="Q328">
        <v>1.6899999999999998E-2</v>
      </c>
      <c r="R328">
        <v>0.11</v>
      </c>
      <c r="S328">
        <v>0.2</v>
      </c>
      <c r="T328">
        <v>138.017</v>
      </c>
      <c r="U328">
        <v>4</v>
      </c>
      <c r="V328" t="s">
        <v>24</v>
      </c>
    </row>
    <row r="329" spans="3:22" x14ac:dyDescent="0.35">
      <c r="C329" t="s">
        <v>1011</v>
      </c>
      <c r="D329" t="s">
        <v>991</v>
      </c>
      <c r="E329" t="s">
        <v>1012</v>
      </c>
      <c r="F329" t="s">
        <v>1012</v>
      </c>
      <c r="G329">
        <v>35</v>
      </c>
      <c r="H329">
        <v>354213</v>
      </c>
      <c r="I329" t="b">
        <v>0</v>
      </c>
      <c r="J329">
        <v>0.52200000000000002</v>
      </c>
      <c r="K329">
        <v>0.498</v>
      </c>
      <c r="L329">
        <v>7</v>
      </c>
      <c r="M329">
        <v>-7.2469999999999999</v>
      </c>
      <c r="N329">
        <v>1</v>
      </c>
      <c r="O329">
        <v>2.5700000000000001E-2</v>
      </c>
      <c r="P329">
        <v>7.5800000000000006E-2</v>
      </c>
      <c r="Q329" s="1" t="s">
        <v>1013</v>
      </c>
      <c r="R329">
        <v>0.25</v>
      </c>
      <c r="S329">
        <v>0.221</v>
      </c>
      <c r="T329">
        <v>145.90799999999999</v>
      </c>
      <c r="U329">
        <v>4</v>
      </c>
      <c r="V329" t="s">
        <v>24</v>
      </c>
    </row>
    <row r="330" spans="3:22" x14ac:dyDescent="0.35">
      <c r="C330" t="s">
        <v>1014</v>
      </c>
      <c r="D330" t="s">
        <v>60</v>
      </c>
      <c r="E330" t="s">
        <v>1015</v>
      </c>
      <c r="F330" t="s">
        <v>1015</v>
      </c>
      <c r="G330">
        <v>60</v>
      </c>
      <c r="H330">
        <v>183969</v>
      </c>
      <c r="I330" t="b">
        <v>0</v>
      </c>
      <c r="J330">
        <v>0.71499999999999997</v>
      </c>
      <c r="K330">
        <v>0.438</v>
      </c>
      <c r="L330">
        <v>10</v>
      </c>
      <c r="M330">
        <v>-6.1470000000000002</v>
      </c>
      <c r="N330">
        <v>0</v>
      </c>
      <c r="O330">
        <v>3.73E-2</v>
      </c>
      <c r="P330">
        <v>0.35299999999999998</v>
      </c>
      <c r="Q330" s="1" t="s">
        <v>1016</v>
      </c>
      <c r="R330">
        <v>0.108</v>
      </c>
      <c r="S330">
        <v>0.44700000000000001</v>
      </c>
      <c r="T330">
        <v>81.069999999999993</v>
      </c>
      <c r="U330">
        <v>4</v>
      </c>
      <c r="V330" t="s">
        <v>24</v>
      </c>
    </row>
    <row r="331" spans="3:22" x14ac:dyDescent="0.35">
      <c r="C331" t="s">
        <v>1017</v>
      </c>
      <c r="D331" t="s">
        <v>60</v>
      </c>
      <c r="E331" t="s">
        <v>61</v>
      </c>
      <c r="F331" t="s">
        <v>656</v>
      </c>
      <c r="G331">
        <v>65</v>
      </c>
      <c r="H331">
        <v>221538</v>
      </c>
      <c r="I331" t="b">
        <v>0</v>
      </c>
      <c r="J331">
        <v>0.64200000000000002</v>
      </c>
      <c r="K331">
        <v>0.374</v>
      </c>
      <c r="L331">
        <v>5</v>
      </c>
      <c r="M331">
        <v>-10.606</v>
      </c>
      <c r="N331">
        <v>1</v>
      </c>
      <c r="O331">
        <v>3.2000000000000001E-2</v>
      </c>
      <c r="P331">
        <v>0.42299999999999999</v>
      </c>
      <c r="Q331" s="1" t="s">
        <v>657</v>
      </c>
      <c r="R331">
        <v>0.435</v>
      </c>
      <c r="S331">
        <v>9.7900000000000001E-2</v>
      </c>
      <c r="T331">
        <v>129.863</v>
      </c>
      <c r="U331">
        <v>4</v>
      </c>
      <c r="V331" t="s">
        <v>24</v>
      </c>
    </row>
    <row r="332" spans="3:22" x14ac:dyDescent="0.35">
      <c r="C332" t="s">
        <v>1018</v>
      </c>
      <c r="D332" t="s">
        <v>1019</v>
      </c>
      <c r="E332" t="s">
        <v>1020</v>
      </c>
      <c r="F332" t="s">
        <v>1021</v>
      </c>
      <c r="G332">
        <v>52</v>
      </c>
      <c r="H332">
        <v>192545</v>
      </c>
      <c r="I332" t="b">
        <v>0</v>
      </c>
      <c r="J332">
        <v>0.35399999999999998</v>
      </c>
      <c r="K332">
        <v>0.41499999999999998</v>
      </c>
      <c r="L332">
        <v>9</v>
      </c>
      <c r="M332">
        <v>-6.5780000000000003</v>
      </c>
      <c r="N332">
        <v>1</v>
      </c>
      <c r="O332">
        <v>2.8899999999999999E-2</v>
      </c>
      <c r="P332">
        <v>0.79700000000000004</v>
      </c>
      <c r="Q332">
        <v>0</v>
      </c>
      <c r="R332">
        <v>0.107</v>
      </c>
      <c r="S332">
        <v>0.42099999999999999</v>
      </c>
      <c r="T332">
        <v>175.53700000000001</v>
      </c>
      <c r="U332">
        <v>4</v>
      </c>
      <c r="V332" t="s">
        <v>24</v>
      </c>
    </row>
    <row r="333" spans="3:22" x14ac:dyDescent="0.35">
      <c r="C333" t="s">
        <v>1022</v>
      </c>
      <c r="D333" t="s">
        <v>263</v>
      </c>
      <c r="E333" t="s">
        <v>46</v>
      </c>
      <c r="F333" t="s">
        <v>47</v>
      </c>
      <c r="G333">
        <v>57</v>
      </c>
      <c r="H333">
        <v>233266</v>
      </c>
      <c r="I333" t="b">
        <v>0</v>
      </c>
      <c r="J333">
        <v>0.44700000000000001</v>
      </c>
      <c r="K333">
        <v>0.158</v>
      </c>
      <c r="L333">
        <v>2</v>
      </c>
      <c r="M333">
        <v>-7.5709999999999997</v>
      </c>
      <c r="N333">
        <v>1</v>
      </c>
      <c r="O333">
        <v>3.5999999999999997E-2</v>
      </c>
      <c r="P333">
        <v>0.872</v>
      </c>
      <c r="Q333" s="1" t="s">
        <v>613</v>
      </c>
      <c r="R333">
        <v>8.1600000000000006E-2</v>
      </c>
      <c r="S333">
        <v>0.14199999999999999</v>
      </c>
      <c r="T333">
        <v>140.94200000000001</v>
      </c>
      <c r="U333">
        <v>3</v>
      </c>
      <c r="V333" t="s">
        <v>24</v>
      </c>
    </row>
    <row r="334" spans="3:22" x14ac:dyDescent="0.35">
      <c r="C334" t="s">
        <v>1023</v>
      </c>
      <c r="D334" t="s">
        <v>1024</v>
      </c>
      <c r="E334" t="s">
        <v>1025</v>
      </c>
      <c r="F334" t="s">
        <v>1025</v>
      </c>
      <c r="G334">
        <v>59</v>
      </c>
      <c r="H334">
        <v>193695</v>
      </c>
      <c r="I334" t="b">
        <v>0</v>
      </c>
      <c r="J334">
        <v>0.68700000000000006</v>
      </c>
      <c r="K334">
        <v>0.748</v>
      </c>
      <c r="L334">
        <v>3</v>
      </c>
      <c r="M334">
        <v>-4.54</v>
      </c>
      <c r="N334">
        <v>1</v>
      </c>
      <c r="O334">
        <v>7.85E-2</v>
      </c>
      <c r="P334">
        <v>0.24</v>
      </c>
      <c r="Q334">
        <v>0</v>
      </c>
      <c r="R334">
        <v>0.373</v>
      </c>
      <c r="S334">
        <v>0.872</v>
      </c>
      <c r="T334">
        <v>88.944000000000003</v>
      </c>
      <c r="U334">
        <v>4</v>
      </c>
      <c r="V334" t="s">
        <v>24</v>
      </c>
    </row>
    <row r="335" spans="3:22" x14ac:dyDescent="0.35">
      <c r="C335" t="s">
        <v>1026</v>
      </c>
      <c r="D335" t="s">
        <v>1027</v>
      </c>
      <c r="E335" t="s">
        <v>1028</v>
      </c>
      <c r="F335" t="s">
        <v>1029</v>
      </c>
      <c r="G335">
        <v>50</v>
      </c>
      <c r="H335">
        <v>205800</v>
      </c>
      <c r="I335" t="b">
        <v>0</v>
      </c>
      <c r="J335">
        <v>0.58799999999999997</v>
      </c>
      <c r="K335">
        <v>0.91400000000000003</v>
      </c>
      <c r="L335">
        <v>7</v>
      </c>
      <c r="M335">
        <v>-7.4420000000000002</v>
      </c>
      <c r="N335">
        <v>1</v>
      </c>
      <c r="O335">
        <v>3.4099999999999998E-2</v>
      </c>
      <c r="P335">
        <v>0.83199999999999996</v>
      </c>
      <c r="Q335">
        <v>0.85599999999999998</v>
      </c>
      <c r="R335">
        <v>0.10299999999999999</v>
      </c>
      <c r="S335">
        <v>0.97099999999999997</v>
      </c>
      <c r="T335">
        <v>128.553</v>
      </c>
      <c r="U335">
        <v>4</v>
      </c>
      <c r="V335" t="s">
        <v>24</v>
      </c>
    </row>
    <row r="336" spans="3:22" x14ac:dyDescent="0.35">
      <c r="C336" t="s">
        <v>1030</v>
      </c>
      <c r="D336" t="s">
        <v>184</v>
      </c>
      <c r="E336" t="s">
        <v>1031</v>
      </c>
      <c r="F336" t="s">
        <v>1032</v>
      </c>
      <c r="G336">
        <v>49</v>
      </c>
      <c r="H336">
        <v>272612</v>
      </c>
      <c r="I336" t="b">
        <v>0</v>
      </c>
      <c r="J336">
        <v>0.45600000000000002</v>
      </c>
      <c r="K336">
        <v>0.20499999999999999</v>
      </c>
      <c r="L336">
        <v>1</v>
      </c>
      <c r="M336">
        <v>-8.4369999999999994</v>
      </c>
      <c r="N336">
        <v>1</v>
      </c>
      <c r="O336">
        <v>3.1300000000000001E-2</v>
      </c>
      <c r="P336">
        <v>0.92</v>
      </c>
      <c r="Q336">
        <v>1.1E-4</v>
      </c>
      <c r="R336">
        <v>0.14899999999999999</v>
      </c>
      <c r="S336">
        <v>0.161</v>
      </c>
      <c r="T336">
        <v>117.663</v>
      </c>
      <c r="U336">
        <v>4</v>
      </c>
      <c r="V336" t="s">
        <v>24</v>
      </c>
    </row>
    <row r="337" spans="3:22" x14ac:dyDescent="0.35">
      <c r="C337" t="s">
        <v>1033</v>
      </c>
      <c r="D337" t="s">
        <v>580</v>
      </c>
      <c r="E337" t="s">
        <v>1034</v>
      </c>
      <c r="F337" t="s">
        <v>1035</v>
      </c>
      <c r="G337">
        <v>54</v>
      </c>
      <c r="H337">
        <v>211240</v>
      </c>
      <c r="I337" t="b">
        <v>0</v>
      </c>
      <c r="J337">
        <v>0.51200000000000001</v>
      </c>
      <c r="K337">
        <v>0.248</v>
      </c>
      <c r="L337">
        <v>2</v>
      </c>
      <c r="M337">
        <v>-10.359</v>
      </c>
      <c r="N337">
        <v>1</v>
      </c>
      <c r="O337">
        <v>2.75E-2</v>
      </c>
      <c r="P337">
        <v>0.75</v>
      </c>
      <c r="Q337" s="1" t="s">
        <v>1036</v>
      </c>
      <c r="R337">
        <v>0.114</v>
      </c>
      <c r="S337">
        <v>0.158</v>
      </c>
      <c r="T337">
        <v>109.69199999999999</v>
      </c>
      <c r="U337">
        <v>3</v>
      </c>
      <c r="V337" t="s">
        <v>24</v>
      </c>
    </row>
    <row r="338" spans="3:22" x14ac:dyDescent="0.35">
      <c r="C338" t="s">
        <v>1037</v>
      </c>
      <c r="D338" t="s">
        <v>408</v>
      </c>
      <c r="E338" t="s">
        <v>1038</v>
      </c>
      <c r="F338" t="s">
        <v>1038</v>
      </c>
      <c r="G338">
        <v>52</v>
      </c>
      <c r="H338">
        <v>204293</v>
      </c>
      <c r="I338" t="b">
        <v>0</v>
      </c>
      <c r="J338">
        <v>0.58199999999999996</v>
      </c>
      <c r="K338">
        <v>0.28199999999999997</v>
      </c>
      <c r="L338">
        <v>0</v>
      </c>
      <c r="M338">
        <v>-9.2289999999999992</v>
      </c>
      <c r="N338">
        <v>1</v>
      </c>
      <c r="O338">
        <v>3.1600000000000003E-2</v>
      </c>
      <c r="P338">
        <v>0.79300000000000004</v>
      </c>
      <c r="Q338" s="1" t="s">
        <v>1039</v>
      </c>
      <c r="R338">
        <v>7.4399999999999994E-2</v>
      </c>
      <c r="S338">
        <v>0.27800000000000002</v>
      </c>
      <c r="T338">
        <v>118.01900000000001</v>
      </c>
      <c r="U338">
        <v>4</v>
      </c>
      <c r="V338" t="s">
        <v>24</v>
      </c>
    </row>
    <row r="339" spans="3:22" x14ac:dyDescent="0.35">
      <c r="C339" t="s">
        <v>1040</v>
      </c>
      <c r="D339" t="s">
        <v>580</v>
      </c>
      <c r="E339" t="s">
        <v>581</v>
      </c>
      <c r="F339" t="s">
        <v>1041</v>
      </c>
      <c r="G339">
        <v>46</v>
      </c>
      <c r="H339">
        <v>252386</v>
      </c>
      <c r="I339" t="b">
        <v>0</v>
      </c>
      <c r="J339">
        <v>0.56799999999999995</v>
      </c>
      <c r="K339">
        <v>0.18</v>
      </c>
      <c r="L339">
        <v>7</v>
      </c>
      <c r="M339">
        <v>-11.707000000000001</v>
      </c>
      <c r="N339">
        <v>1</v>
      </c>
      <c r="O339">
        <v>2.8400000000000002E-2</v>
      </c>
      <c r="P339">
        <v>0.75800000000000001</v>
      </c>
      <c r="Q339" s="1" t="s">
        <v>1042</v>
      </c>
      <c r="R339">
        <v>0.111</v>
      </c>
      <c r="S339">
        <v>0.22800000000000001</v>
      </c>
      <c r="T339">
        <v>112.033</v>
      </c>
      <c r="U339">
        <v>4</v>
      </c>
      <c r="V339" t="s">
        <v>24</v>
      </c>
    </row>
    <row r="340" spans="3:22" x14ac:dyDescent="0.35">
      <c r="C340" t="s">
        <v>1043</v>
      </c>
      <c r="D340" t="s">
        <v>400</v>
      </c>
      <c r="E340" t="s">
        <v>880</v>
      </c>
      <c r="F340" t="s">
        <v>1044</v>
      </c>
      <c r="G340">
        <v>62</v>
      </c>
      <c r="H340">
        <v>203253</v>
      </c>
      <c r="I340" t="b">
        <v>0</v>
      </c>
      <c r="J340">
        <v>0.71</v>
      </c>
      <c r="K340">
        <v>0.27100000000000002</v>
      </c>
      <c r="L340">
        <v>7</v>
      </c>
      <c r="M340">
        <v>-9.5410000000000004</v>
      </c>
      <c r="N340">
        <v>1</v>
      </c>
      <c r="O340">
        <v>2.8299999999999999E-2</v>
      </c>
      <c r="P340">
        <v>0.65800000000000003</v>
      </c>
      <c r="Q340" s="1" t="s">
        <v>1045</v>
      </c>
      <c r="R340">
        <v>0.115</v>
      </c>
      <c r="S340">
        <v>0.68600000000000005</v>
      </c>
      <c r="T340">
        <v>131.88</v>
      </c>
      <c r="U340">
        <v>4</v>
      </c>
      <c r="V340" t="s">
        <v>24</v>
      </c>
    </row>
    <row r="341" spans="3:22" x14ac:dyDescent="0.35">
      <c r="C341" t="s">
        <v>1046</v>
      </c>
      <c r="D341" t="s">
        <v>1047</v>
      </c>
      <c r="E341" t="s">
        <v>1048</v>
      </c>
      <c r="F341" t="s">
        <v>1049</v>
      </c>
      <c r="G341">
        <v>32</v>
      </c>
      <c r="H341">
        <v>291332</v>
      </c>
      <c r="I341" t="b">
        <v>0</v>
      </c>
      <c r="J341">
        <v>0.57399999999999995</v>
      </c>
      <c r="K341">
        <v>0.70399999999999996</v>
      </c>
      <c r="L341">
        <v>0</v>
      </c>
      <c r="M341">
        <v>-4.6500000000000004</v>
      </c>
      <c r="N341">
        <v>1</v>
      </c>
      <c r="O341">
        <v>3.1800000000000002E-2</v>
      </c>
      <c r="P341">
        <v>9.3100000000000002E-2</v>
      </c>
      <c r="Q341">
        <v>2.81E-4</v>
      </c>
      <c r="R341">
        <v>0.13600000000000001</v>
      </c>
      <c r="S341">
        <v>0.33800000000000002</v>
      </c>
      <c r="T341">
        <v>117.086</v>
      </c>
      <c r="U341">
        <v>4</v>
      </c>
      <c r="V341" t="s">
        <v>24</v>
      </c>
    </row>
    <row r="342" spans="3:22" x14ac:dyDescent="0.35">
      <c r="C342" t="s">
        <v>1050</v>
      </c>
      <c r="D342" t="s">
        <v>894</v>
      </c>
      <c r="E342" t="s">
        <v>1051</v>
      </c>
      <c r="F342" t="s">
        <v>1052</v>
      </c>
      <c r="G342">
        <v>33</v>
      </c>
      <c r="H342">
        <v>172373</v>
      </c>
      <c r="I342" t="b">
        <v>0</v>
      </c>
      <c r="J342">
        <v>0.64</v>
      </c>
      <c r="K342">
        <v>0.89500000000000002</v>
      </c>
      <c r="L342">
        <v>9</v>
      </c>
      <c r="M342">
        <v>-3.0680000000000001</v>
      </c>
      <c r="N342">
        <v>1</v>
      </c>
      <c r="O342">
        <v>3.1600000000000003E-2</v>
      </c>
      <c r="P342">
        <v>0.27300000000000002</v>
      </c>
      <c r="Q342">
        <v>0</v>
      </c>
      <c r="R342">
        <v>0.247</v>
      </c>
      <c r="S342">
        <v>0.94</v>
      </c>
      <c r="T342">
        <v>115.941</v>
      </c>
      <c r="U342">
        <v>4</v>
      </c>
      <c r="V342" t="s">
        <v>24</v>
      </c>
    </row>
    <row r="343" spans="3:22" x14ac:dyDescent="0.35">
      <c r="C343" t="s">
        <v>1053</v>
      </c>
      <c r="D343" t="s">
        <v>1054</v>
      </c>
      <c r="E343" t="s">
        <v>1055</v>
      </c>
      <c r="F343" t="s">
        <v>1056</v>
      </c>
      <c r="G343">
        <v>58</v>
      </c>
      <c r="H343">
        <v>161328</v>
      </c>
      <c r="I343" t="b">
        <v>0</v>
      </c>
      <c r="J343">
        <v>0.66900000000000004</v>
      </c>
      <c r="K343">
        <v>0.85399999999999998</v>
      </c>
      <c r="L343">
        <v>4</v>
      </c>
      <c r="M343">
        <v>-5.899</v>
      </c>
      <c r="N343">
        <v>1</v>
      </c>
      <c r="O343">
        <v>4.3099999999999999E-2</v>
      </c>
      <c r="P343">
        <v>6.5299999999999997E-2</v>
      </c>
      <c r="Q343">
        <v>0</v>
      </c>
      <c r="R343">
        <v>0.28799999999999998</v>
      </c>
      <c r="S343">
        <v>0.70599999999999996</v>
      </c>
      <c r="T343">
        <v>120.035</v>
      </c>
      <c r="U343">
        <v>4</v>
      </c>
      <c r="V343" t="s">
        <v>24</v>
      </c>
    </row>
    <row r="344" spans="3:22" x14ac:dyDescent="0.35">
      <c r="C344" t="s">
        <v>1057</v>
      </c>
      <c r="D344" t="s">
        <v>1058</v>
      </c>
      <c r="E344" t="s">
        <v>1059</v>
      </c>
      <c r="F344" t="s">
        <v>1060</v>
      </c>
      <c r="G344">
        <v>57</v>
      </c>
      <c r="H344">
        <v>220306</v>
      </c>
      <c r="I344" t="b">
        <v>0</v>
      </c>
      <c r="J344">
        <v>0.61499999999999999</v>
      </c>
      <c r="K344">
        <v>0.35799999999999998</v>
      </c>
      <c r="L344">
        <v>5</v>
      </c>
      <c r="M344">
        <v>-9.6940000000000008</v>
      </c>
      <c r="N344">
        <v>1</v>
      </c>
      <c r="O344">
        <v>5.5199999999999999E-2</v>
      </c>
      <c r="P344">
        <v>0.70499999999999996</v>
      </c>
      <c r="Q344">
        <v>0</v>
      </c>
      <c r="R344">
        <v>0.113</v>
      </c>
      <c r="S344">
        <v>0.432</v>
      </c>
      <c r="T344">
        <v>146.06</v>
      </c>
      <c r="U344">
        <v>4</v>
      </c>
      <c r="V344" t="s">
        <v>24</v>
      </c>
    </row>
    <row r="345" spans="3:22" x14ac:dyDescent="0.35">
      <c r="C345" t="s">
        <v>1061</v>
      </c>
      <c r="D345" t="s">
        <v>1062</v>
      </c>
      <c r="E345" t="s">
        <v>1063</v>
      </c>
      <c r="F345" t="s">
        <v>1064</v>
      </c>
      <c r="G345">
        <v>34</v>
      </c>
      <c r="H345">
        <v>192392</v>
      </c>
      <c r="I345" t="b">
        <v>0</v>
      </c>
      <c r="J345">
        <v>0.41499999999999998</v>
      </c>
      <c r="K345">
        <v>0.61899999999999999</v>
      </c>
      <c r="L345">
        <v>2</v>
      </c>
      <c r="M345">
        <v>-7.6239999999999997</v>
      </c>
      <c r="N345">
        <v>0</v>
      </c>
      <c r="O345">
        <v>0.123</v>
      </c>
      <c r="P345">
        <v>0.94599999999999995</v>
      </c>
      <c r="Q345" s="1" t="s">
        <v>1065</v>
      </c>
      <c r="R345">
        <v>0.79900000000000004</v>
      </c>
      <c r="S345">
        <v>0.73899999999999999</v>
      </c>
      <c r="T345">
        <v>77.009</v>
      </c>
      <c r="U345">
        <v>4</v>
      </c>
      <c r="V345" t="s">
        <v>24</v>
      </c>
    </row>
    <row r="346" spans="3:22" x14ac:dyDescent="0.35">
      <c r="C346" t="s">
        <v>1066</v>
      </c>
      <c r="D346" t="s">
        <v>248</v>
      </c>
      <c r="E346" t="s">
        <v>302</v>
      </c>
      <c r="F346" t="s">
        <v>1067</v>
      </c>
      <c r="G346">
        <v>55</v>
      </c>
      <c r="H346">
        <v>207228</v>
      </c>
      <c r="I346" t="b">
        <v>0</v>
      </c>
      <c r="J346">
        <v>0.56499999999999995</v>
      </c>
      <c r="K346">
        <v>0.89500000000000002</v>
      </c>
      <c r="L346">
        <v>0</v>
      </c>
      <c r="M346">
        <v>-5.3540000000000001</v>
      </c>
      <c r="N346">
        <v>1</v>
      </c>
      <c r="O346">
        <v>0.04</v>
      </c>
      <c r="P346">
        <v>0.19400000000000001</v>
      </c>
      <c r="Q346">
        <v>0</v>
      </c>
      <c r="R346">
        <v>0.10100000000000001</v>
      </c>
      <c r="S346">
        <v>0.59199999999999997</v>
      </c>
      <c r="T346">
        <v>149.91900000000001</v>
      </c>
      <c r="U346">
        <v>4</v>
      </c>
      <c r="V346" t="s">
        <v>24</v>
      </c>
    </row>
    <row r="347" spans="3:22" x14ac:dyDescent="0.35">
      <c r="C347" t="s">
        <v>1068</v>
      </c>
      <c r="D347" t="s">
        <v>1069</v>
      </c>
      <c r="E347" t="s">
        <v>1070</v>
      </c>
      <c r="F347" t="s">
        <v>1071</v>
      </c>
      <c r="G347">
        <v>33</v>
      </c>
      <c r="H347">
        <v>122874</v>
      </c>
      <c r="I347" t="b">
        <v>0</v>
      </c>
      <c r="J347">
        <v>0.58599999999999997</v>
      </c>
      <c r="K347">
        <v>0.70199999999999996</v>
      </c>
      <c r="L347">
        <v>0</v>
      </c>
      <c r="M347">
        <v>-4.4180000000000001</v>
      </c>
      <c r="N347">
        <v>1</v>
      </c>
      <c r="O347">
        <v>0.13200000000000001</v>
      </c>
      <c r="P347">
        <v>0.59</v>
      </c>
      <c r="Q347">
        <v>0</v>
      </c>
      <c r="R347">
        <v>0.14599999999999999</v>
      </c>
      <c r="S347">
        <v>0.64400000000000002</v>
      </c>
      <c r="T347">
        <v>177.59800000000001</v>
      </c>
      <c r="U347">
        <v>4</v>
      </c>
      <c r="V347" t="s">
        <v>24</v>
      </c>
    </row>
    <row r="348" spans="3:22" x14ac:dyDescent="0.35">
      <c r="C348" t="s">
        <v>1072</v>
      </c>
      <c r="D348" t="s">
        <v>1073</v>
      </c>
      <c r="E348" t="s">
        <v>1074</v>
      </c>
      <c r="F348" t="s">
        <v>1075</v>
      </c>
      <c r="G348">
        <v>33</v>
      </c>
      <c r="H348">
        <v>223015</v>
      </c>
      <c r="I348" t="b">
        <v>0</v>
      </c>
      <c r="J348">
        <v>0.56399999999999995</v>
      </c>
      <c r="K348">
        <v>0.60399999999999998</v>
      </c>
      <c r="L348">
        <v>7</v>
      </c>
      <c r="M348">
        <v>-5.0549999999999997</v>
      </c>
      <c r="N348">
        <v>1</v>
      </c>
      <c r="O348">
        <v>5.4899999999999997E-2</v>
      </c>
      <c r="P348">
        <v>2.87E-2</v>
      </c>
      <c r="Q348" s="1" t="s">
        <v>1076</v>
      </c>
      <c r="R348">
        <v>0.108</v>
      </c>
      <c r="S348">
        <v>0.34100000000000003</v>
      </c>
      <c r="T348">
        <v>113.09099999999999</v>
      </c>
      <c r="U348">
        <v>4</v>
      </c>
      <c r="V348" t="s">
        <v>24</v>
      </c>
    </row>
    <row r="349" spans="3:22" x14ac:dyDescent="0.35">
      <c r="C349" t="s">
        <v>1077</v>
      </c>
      <c r="D349" t="s">
        <v>1078</v>
      </c>
      <c r="E349" t="s">
        <v>147</v>
      </c>
      <c r="F349" t="s">
        <v>1079</v>
      </c>
      <c r="G349">
        <v>0</v>
      </c>
      <c r="H349">
        <v>155000</v>
      </c>
      <c r="I349" t="b">
        <v>0</v>
      </c>
      <c r="J349">
        <v>0.54300000000000004</v>
      </c>
      <c r="K349">
        <v>0.35899999999999999</v>
      </c>
      <c r="L349">
        <v>8</v>
      </c>
      <c r="M349">
        <v>-6.5709999999999997</v>
      </c>
      <c r="N349">
        <v>1</v>
      </c>
      <c r="O349">
        <v>3.0200000000000001E-2</v>
      </c>
      <c r="P349">
        <v>0.65100000000000002</v>
      </c>
      <c r="Q349">
        <v>0</v>
      </c>
      <c r="R349">
        <v>9.8100000000000007E-2</v>
      </c>
      <c r="S349">
        <v>0.34599999999999997</v>
      </c>
      <c r="T349">
        <v>109.735</v>
      </c>
      <c r="U349">
        <v>4</v>
      </c>
      <c r="V349" t="s">
        <v>24</v>
      </c>
    </row>
    <row r="350" spans="3:22" x14ac:dyDescent="0.35">
      <c r="C350" t="s">
        <v>1080</v>
      </c>
      <c r="D350" t="s">
        <v>1078</v>
      </c>
      <c r="E350" t="s">
        <v>1081</v>
      </c>
      <c r="F350" t="s">
        <v>1079</v>
      </c>
      <c r="G350">
        <v>0</v>
      </c>
      <c r="H350">
        <v>155000</v>
      </c>
      <c r="I350" t="b">
        <v>0</v>
      </c>
      <c r="J350">
        <v>0.54300000000000004</v>
      </c>
      <c r="K350">
        <v>0.35899999999999999</v>
      </c>
      <c r="L350">
        <v>8</v>
      </c>
      <c r="M350">
        <v>-6.5709999999999997</v>
      </c>
      <c r="N350">
        <v>1</v>
      </c>
      <c r="O350">
        <v>3.0200000000000001E-2</v>
      </c>
      <c r="P350">
        <v>0.65100000000000002</v>
      </c>
      <c r="Q350">
        <v>0</v>
      </c>
      <c r="R350">
        <v>9.8100000000000007E-2</v>
      </c>
      <c r="S350">
        <v>0.34599999999999997</v>
      </c>
      <c r="T350">
        <v>109.735</v>
      </c>
      <c r="U350">
        <v>4</v>
      </c>
      <c r="V350" t="s">
        <v>24</v>
      </c>
    </row>
    <row r="351" spans="3:22" x14ac:dyDescent="0.35">
      <c r="C351" t="s">
        <v>1082</v>
      </c>
      <c r="D351" t="s">
        <v>1078</v>
      </c>
      <c r="E351" t="s">
        <v>314</v>
      </c>
      <c r="F351" t="s">
        <v>1079</v>
      </c>
      <c r="G351">
        <v>0</v>
      </c>
      <c r="H351">
        <v>155000</v>
      </c>
      <c r="I351" t="b">
        <v>0</v>
      </c>
      <c r="J351">
        <v>0.54300000000000004</v>
      </c>
      <c r="K351">
        <v>0.35899999999999999</v>
      </c>
      <c r="L351">
        <v>8</v>
      </c>
      <c r="M351">
        <v>-6.5709999999999997</v>
      </c>
      <c r="N351">
        <v>1</v>
      </c>
      <c r="O351">
        <v>3.0200000000000001E-2</v>
      </c>
      <c r="P351">
        <v>0.65100000000000002</v>
      </c>
      <c r="Q351">
        <v>0</v>
      </c>
      <c r="R351">
        <v>9.8100000000000007E-2</v>
      </c>
      <c r="S351">
        <v>0.34599999999999997</v>
      </c>
      <c r="T351">
        <v>109.735</v>
      </c>
      <c r="U351">
        <v>4</v>
      </c>
      <c r="V351" t="s">
        <v>24</v>
      </c>
    </row>
    <row r="352" spans="3:22" x14ac:dyDescent="0.35">
      <c r="C352" t="s">
        <v>1083</v>
      </c>
      <c r="D352" t="s">
        <v>664</v>
      </c>
      <c r="E352" t="s">
        <v>1084</v>
      </c>
      <c r="F352" t="s">
        <v>1085</v>
      </c>
      <c r="G352">
        <v>52</v>
      </c>
      <c r="H352">
        <v>224170</v>
      </c>
      <c r="I352" t="b">
        <v>0</v>
      </c>
      <c r="J352">
        <v>0.63800000000000001</v>
      </c>
      <c r="K352">
        <v>0.28699999999999998</v>
      </c>
      <c r="L352">
        <v>8</v>
      </c>
      <c r="M352">
        <v>-11.173999999999999</v>
      </c>
      <c r="N352">
        <v>0</v>
      </c>
      <c r="O352">
        <v>4.1200000000000001E-2</v>
      </c>
      <c r="P352">
        <v>0.81</v>
      </c>
      <c r="Q352">
        <v>0</v>
      </c>
      <c r="R352">
        <v>8.0399999999999999E-2</v>
      </c>
      <c r="S352">
        <v>0.44500000000000001</v>
      </c>
      <c r="T352">
        <v>128.02500000000001</v>
      </c>
      <c r="U352">
        <v>4</v>
      </c>
      <c r="V352" t="s">
        <v>24</v>
      </c>
    </row>
    <row r="353" spans="3:22" x14ac:dyDescent="0.35">
      <c r="C353" t="s">
        <v>1086</v>
      </c>
      <c r="D353" t="s">
        <v>1087</v>
      </c>
      <c r="E353" t="s">
        <v>1088</v>
      </c>
      <c r="F353" t="s">
        <v>1089</v>
      </c>
      <c r="G353">
        <v>21</v>
      </c>
      <c r="H353">
        <v>239004</v>
      </c>
      <c r="I353" t="b">
        <v>0</v>
      </c>
      <c r="J353">
        <v>0.51500000000000001</v>
      </c>
      <c r="K353">
        <v>0.46</v>
      </c>
      <c r="L353">
        <v>9</v>
      </c>
      <c r="M353">
        <v>-11.260999999999999</v>
      </c>
      <c r="N353">
        <v>0</v>
      </c>
      <c r="O353">
        <v>4.36E-2</v>
      </c>
      <c r="P353">
        <v>0.89100000000000001</v>
      </c>
      <c r="Q353">
        <v>0.14000000000000001</v>
      </c>
      <c r="R353">
        <v>8.7400000000000005E-2</v>
      </c>
      <c r="S353">
        <v>0.25900000000000001</v>
      </c>
      <c r="T353">
        <v>140.06700000000001</v>
      </c>
      <c r="U353">
        <v>4</v>
      </c>
      <c r="V353" t="s">
        <v>24</v>
      </c>
    </row>
    <row r="354" spans="3:22" x14ac:dyDescent="0.35">
      <c r="C354" t="s">
        <v>1090</v>
      </c>
      <c r="D354" t="s">
        <v>664</v>
      </c>
      <c r="E354" t="s">
        <v>1091</v>
      </c>
      <c r="F354" t="s">
        <v>1091</v>
      </c>
      <c r="G354">
        <v>50</v>
      </c>
      <c r="H354">
        <v>181311</v>
      </c>
      <c r="I354" t="b">
        <v>0</v>
      </c>
      <c r="J354">
        <v>0.622</v>
      </c>
      <c r="K354">
        <v>0.221</v>
      </c>
      <c r="L354">
        <v>9</v>
      </c>
      <c r="M354">
        <v>-14.335000000000001</v>
      </c>
      <c r="N354">
        <v>1</v>
      </c>
      <c r="O354">
        <v>5.8299999999999998E-2</v>
      </c>
      <c r="P354">
        <v>0.90100000000000002</v>
      </c>
      <c r="Q354">
        <v>0</v>
      </c>
      <c r="R354">
        <v>0.107</v>
      </c>
      <c r="S354">
        <v>0.29699999999999999</v>
      </c>
      <c r="T354">
        <v>131.827</v>
      </c>
      <c r="U354">
        <v>4</v>
      </c>
      <c r="V354" t="s">
        <v>24</v>
      </c>
    </row>
    <row r="355" spans="3:22" x14ac:dyDescent="0.35">
      <c r="C355" t="s">
        <v>1092</v>
      </c>
      <c r="D355" t="s">
        <v>1093</v>
      </c>
      <c r="E355" t="s">
        <v>1094</v>
      </c>
      <c r="F355" t="s">
        <v>1095</v>
      </c>
      <c r="G355">
        <v>55</v>
      </c>
      <c r="H355">
        <v>144653</v>
      </c>
      <c r="I355" t="b">
        <v>0</v>
      </c>
      <c r="J355">
        <v>0.44</v>
      </c>
      <c r="K355">
        <v>3.5299999999999998E-2</v>
      </c>
      <c r="L355">
        <v>6</v>
      </c>
      <c r="M355">
        <v>-20.858000000000001</v>
      </c>
      <c r="N355">
        <v>1</v>
      </c>
      <c r="O355">
        <v>5.2200000000000003E-2</v>
      </c>
      <c r="P355">
        <v>0.99</v>
      </c>
      <c r="Q355">
        <v>3.1199999999999999E-3</v>
      </c>
      <c r="R355">
        <v>0.108</v>
      </c>
      <c r="S355">
        <v>0.36199999999999999</v>
      </c>
      <c r="T355">
        <v>181.988</v>
      </c>
      <c r="U355">
        <v>4</v>
      </c>
      <c r="V355" t="s">
        <v>24</v>
      </c>
    </row>
    <row r="356" spans="3:22" x14ac:dyDescent="0.35">
      <c r="C356" t="s">
        <v>1096</v>
      </c>
      <c r="D356" t="s">
        <v>34</v>
      </c>
      <c r="E356" t="s">
        <v>1097</v>
      </c>
      <c r="F356" t="s">
        <v>1097</v>
      </c>
      <c r="G356">
        <v>46</v>
      </c>
      <c r="H356">
        <v>235135</v>
      </c>
      <c r="I356" t="b">
        <v>0</v>
      </c>
      <c r="J356">
        <v>0.45700000000000002</v>
      </c>
      <c r="K356">
        <v>6.4000000000000001E-2</v>
      </c>
      <c r="L356">
        <v>6</v>
      </c>
      <c r="M356">
        <v>-19.928000000000001</v>
      </c>
      <c r="N356">
        <v>1</v>
      </c>
      <c r="O356">
        <v>3.39E-2</v>
      </c>
      <c r="P356">
        <v>0.94099999999999995</v>
      </c>
      <c r="Q356">
        <v>0.108</v>
      </c>
      <c r="R356">
        <v>0.107</v>
      </c>
      <c r="S356">
        <v>6.4699999999999994E-2</v>
      </c>
      <c r="T356">
        <v>147.82400000000001</v>
      </c>
      <c r="U356">
        <v>3</v>
      </c>
      <c r="V356" t="s">
        <v>24</v>
      </c>
    </row>
    <row r="357" spans="3:22" x14ac:dyDescent="0.35">
      <c r="C357" t="s">
        <v>1098</v>
      </c>
      <c r="D357" t="s">
        <v>1099</v>
      </c>
      <c r="E357" t="s">
        <v>1100</v>
      </c>
      <c r="F357" t="s">
        <v>1101</v>
      </c>
      <c r="G357">
        <v>56</v>
      </c>
      <c r="H357">
        <v>248360</v>
      </c>
      <c r="I357" t="b">
        <v>0</v>
      </c>
      <c r="J357">
        <v>0.64900000000000002</v>
      </c>
      <c r="K357">
        <v>0.82099999999999995</v>
      </c>
      <c r="L357">
        <v>1</v>
      </c>
      <c r="M357">
        <v>-6.4829999999999997</v>
      </c>
      <c r="N357">
        <v>0</v>
      </c>
      <c r="O357">
        <v>3.1300000000000001E-2</v>
      </c>
      <c r="P357">
        <v>3.0200000000000001E-2</v>
      </c>
      <c r="Q357">
        <v>1.4100000000000001E-4</v>
      </c>
      <c r="R357">
        <v>8.43E-2</v>
      </c>
      <c r="S357">
        <v>0.66100000000000003</v>
      </c>
      <c r="T357">
        <v>121.938</v>
      </c>
      <c r="U357">
        <v>4</v>
      </c>
      <c r="V357" t="s">
        <v>24</v>
      </c>
    </row>
    <row r="358" spans="3:22" x14ac:dyDescent="0.35">
      <c r="C358" t="s">
        <v>1102</v>
      </c>
      <c r="D358" t="s">
        <v>1103</v>
      </c>
      <c r="E358" t="s">
        <v>1104</v>
      </c>
      <c r="F358" t="s">
        <v>1104</v>
      </c>
      <c r="G358">
        <v>40</v>
      </c>
      <c r="H358">
        <v>198344</v>
      </c>
      <c r="I358" t="b">
        <v>0</v>
      </c>
      <c r="J358">
        <v>0.495</v>
      </c>
      <c r="K358">
        <v>0.32900000000000001</v>
      </c>
      <c r="L358">
        <v>7</v>
      </c>
      <c r="M358">
        <v>-11.661</v>
      </c>
      <c r="N358">
        <v>1</v>
      </c>
      <c r="O358">
        <v>3.8600000000000002E-2</v>
      </c>
      <c r="P358">
        <v>0.65200000000000002</v>
      </c>
      <c r="Q358" s="1" t="s">
        <v>1105</v>
      </c>
      <c r="R358">
        <v>6.0600000000000001E-2</v>
      </c>
      <c r="S358">
        <v>9.1899999999999996E-2</v>
      </c>
      <c r="T358">
        <v>72.992000000000004</v>
      </c>
      <c r="U358">
        <v>4</v>
      </c>
      <c r="V358" t="s">
        <v>24</v>
      </c>
    </row>
    <row r="359" spans="3:22" x14ac:dyDescent="0.35">
      <c r="C359" t="s">
        <v>1106</v>
      </c>
      <c r="D359" t="s">
        <v>50</v>
      </c>
      <c r="E359" t="s">
        <v>1107</v>
      </c>
      <c r="F359" t="s">
        <v>1108</v>
      </c>
      <c r="G359">
        <v>21</v>
      </c>
      <c r="H359">
        <v>239697</v>
      </c>
      <c r="I359" t="b">
        <v>0</v>
      </c>
      <c r="J359">
        <v>0.71</v>
      </c>
      <c r="K359">
        <v>0.61499999999999999</v>
      </c>
      <c r="L359">
        <v>0</v>
      </c>
      <c r="M359">
        <v>-8.23</v>
      </c>
      <c r="N359">
        <v>1</v>
      </c>
      <c r="O359">
        <v>0.13300000000000001</v>
      </c>
      <c r="P359">
        <v>3.8399999999999997E-2</v>
      </c>
      <c r="Q359">
        <v>0</v>
      </c>
      <c r="R359">
        <v>0.28299999999999997</v>
      </c>
      <c r="S359">
        <v>0.746</v>
      </c>
      <c r="T359">
        <v>90.263000000000005</v>
      </c>
      <c r="U359">
        <v>4</v>
      </c>
      <c r="V359" t="s">
        <v>24</v>
      </c>
    </row>
    <row r="360" spans="3:22" x14ac:dyDescent="0.35">
      <c r="C360" t="s">
        <v>1109</v>
      </c>
      <c r="D360" t="s">
        <v>1110</v>
      </c>
      <c r="E360" t="s">
        <v>1111</v>
      </c>
      <c r="F360" t="s">
        <v>1111</v>
      </c>
      <c r="G360">
        <v>55</v>
      </c>
      <c r="H360">
        <v>186334</v>
      </c>
      <c r="I360" t="b">
        <v>0</v>
      </c>
      <c r="J360">
        <v>0.69</v>
      </c>
      <c r="K360">
        <v>0.20399999999999999</v>
      </c>
      <c r="L360">
        <v>7</v>
      </c>
      <c r="M360">
        <v>-12.427</v>
      </c>
      <c r="N360">
        <v>1</v>
      </c>
      <c r="O360">
        <v>3.0099999999999998E-2</v>
      </c>
      <c r="P360">
        <v>0.93200000000000005</v>
      </c>
      <c r="Q360" s="1" t="s">
        <v>1112</v>
      </c>
      <c r="R360">
        <v>0.11899999999999999</v>
      </c>
      <c r="S360">
        <v>0.52500000000000002</v>
      </c>
      <c r="T360">
        <v>139.58699999999999</v>
      </c>
      <c r="U360">
        <v>4</v>
      </c>
      <c r="V360" t="s">
        <v>24</v>
      </c>
    </row>
    <row r="361" spans="3:22" x14ac:dyDescent="0.35">
      <c r="C361" t="s">
        <v>1113</v>
      </c>
      <c r="D361" t="s">
        <v>825</v>
      </c>
      <c r="E361" t="s">
        <v>71</v>
      </c>
      <c r="F361" t="s">
        <v>71</v>
      </c>
      <c r="G361">
        <v>50</v>
      </c>
      <c r="H361">
        <v>226877</v>
      </c>
      <c r="I361" t="b">
        <v>0</v>
      </c>
      <c r="J361">
        <v>0.59599999999999997</v>
      </c>
      <c r="K361">
        <v>0.19500000000000001</v>
      </c>
      <c r="L361">
        <v>7</v>
      </c>
      <c r="M361">
        <v>-11.02</v>
      </c>
      <c r="N361">
        <v>1</v>
      </c>
      <c r="O361">
        <v>2.64E-2</v>
      </c>
      <c r="P361">
        <v>0.92600000000000005</v>
      </c>
      <c r="Q361">
        <v>0</v>
      </c>
      <c r="R361">
        <v>0.13900000000000001</v>
      </c>
      <c r="S361">
        <v>0.17599999999999999</v>
      </c>
      <c r="T361">
        <v>82.114000000000004</v>
      </c>
      <c r="U361">
        <v>4</v>
      </c>
      <c r="V361" t="s">
        <v>24</v>
      </c>
    </row>
    <row r="362" spans="3:22" x14ac:dyDescent="0.35">
      <c r="C362" t="s">
        <v>1114</v>
      </c>
      <c r="D362" t="s">
        <v>426</v>
      </c>
      <c r="E362" t="s">
        <v>1115</v>
      </c>
      <c r="F362" t="s">
        <v>1116</v>
      </c>
      <c r="G362">
        <v>41</v>
      </c>
      <c r="H362">
        <v>273260</v>
      </c>
      <c r="I362" t="b">
        <v>0</v>
      </c>
      <c r="J362">
        <v>0.66</v>
      </c>
      <c r="K362">
        <v>0.74299999999999999</v>
      </c>
      <c r="L362">
        <v>9</v>
      </c>
      <c r="M362">
        <v>-8.3019999999999996</v>
      </c>
      <c r="N362">
        <v>1</v>
      </c>
      <c r="O362">
        <v>5.0599999999999999E-2</v>
      </c>
      <c r="P362">
        <v>3.2899999999999999E-2</v>
      </c>
      <c r="Q362">
        <v>1.3600000000000001E-3</v>
      </c>
      <c r="R362">
        <v>9.8000000000000004E-2</v>
      </c>
      <c r="S362">
        <v>0.44500000000000001</v>
      </c>
      <c r="T362">
        <v>130.02500000000001</v>
      </c>
      <c r="U362">
        <v>4</v>
      </c>
      <c r="V362" t="s">
        <v>24</v>
      </c>
    </row>
    <row r="363" spans="3:22" x14ac:dyDescent="0.35">
      <c r="C363" t="s">
        <v>1117</v>
      </c>
      <c r="D363" t="s">
        <v>696</v>
      </c>
      <c r="E363" t="s">
        <v>1118</v>
      </c>
      <c r="F363" t="s">
        <v>1118</v>
      </c>
      <c r="G363">
        <v>44</v>
      </c>
      <c r="H363">
        <v>196920</v>
      </c>
      <c r="I363" t="b">
        <v>0</v>
      </c>
      <c r="J363">
        <v>0.73299999999999998</v>
      </c>
      <c r="K363">
        <v>0.65700000000000003</v>
      </c>
      <c r="L363">
        <v>2</v>
      </c>
      <c r="M363">
        <v>-6.843</v>
      </c>
      <c r="N363">
        <v>1</v>
      </c>
      <c r="O363">
        <v>2.7199999999999998E-2</v>
      </c>
      <c r="P363">
        <v>1.2999999999999999E-2</v>
      </c>
      <c r="Q363" s="1" t="s">
        <v>1119</v>
      </c>
      <c r="R363">
        <v>0.317</v>
      </c>
      <c r="S363">
        <v>0.433</v>
      </c>
      <c r="T363">
        <v>109.95399999999999</v>
      </c>
      <c r="U363">
        <v>4</v>
      </c>
      <c r="V363" t="s">
        <v>24</v>
      </c>
    </row>
    <row r="364" spans="3:22" x14ac:dyDescent="0.35">
      <c r="C364" t="s">
        <v>1120</v>
      </c>
      <c r="D364" t="s">
        <v>1121</v>
      </c>
      <c r="E364" t="s">
        <v>1122</v>
      </c>
      <c r="F364" t="s">
        <v>1123</v>
      </c>
      <c r="G364">
        <v>57</v>
      </c>
      <c r="H364">
        <v>145056</v>
      </c>
      <c r="I364" t="b">
        <v>0</v>
      </c>
      <c r="J364">
        <v>0.58899999999999997</v>
      </c>
      <c r="K364">
        <v>0.29599999999999999</v>
      </c>
      <c r="L364">
        <v>0</v>
      </c>
      <c r="M364">
        <v>-9.3350000000000009</v>
      </c>
      <c r="N364">
        <v>1</v>
      </c>
      <c r="O364">
        <v>8.3000000000000004E-2</v>
      </c>
      <c r="P364">
        <v>0.84199999999999997</v>
      </c>
      <c r="Q364">
        <v>0</v>
      </c>
      <c r="R364">
        <v>7.3599999999999999E-2</v>
      </c>
      <c r="S364">
        <v>0.61099999999999999</v>
      </c>
      <c r="T364">
        <v>165.79900000000001</v>
      </c>
      <c r="U364">
        <v>3</v>
      </c>
      <c r="V364" t="s">
        <v>24</v>
      </c>
    </row>
    <row r="365" spans="3:22" x14ac:dyDescent="0.35">
      <c r="C365" t="s">
        <v>1124</v>
      </c>
      <c r="D365" t="s">
        <v>1125</v>
      </c>
      <c r="E365" t="s">
        <v>1126</v>
      </c>
      <c r="F365" t="s">
        <v>1127</v>
      </c>
      <c r="G365">
        <v>33</v>
      </c>
      <c r="H365">
        <v>196026</v>
      </c>
      <c r="I365" t="b">
        <v>0</v>
      </c>
      <c r="J365">
        <v>0.68600000000000005</v>
      </c>
      <c r="K365">
        <v>0.377</v>
      </c>
      <c r="L365">
        <v>9</v>
      </c>
      <c r="M365">
        <v>-9.59</v>
      </c>
      <c r="N365">
        <v>1</v>
      </c>
      <c r="O365">
        <v>5.8900000000000001E-2</v>
      </c>
      <c r="P365">
        <v>0.63800000000000001</v>
      </c>
      <c r="Q365">
        <v>0</v>
      </c>
      <c r="R365">
        <v>0.128</v>
      </c>
      <c r="S365">
        <v>0.55100000000000005</v>
      </c>
      <c r="T365">
        <v>92.042000000000002</v>
      </c>
      <c r="U365">
        <v>4</v>
      </c>
      <c r="V365" t="s">
        <v>24</v>
      </c>
    </row>
    <row r="366" spans="3:22" x14ac:dyDescent="0.35">
      <c r="C366" t="s">
        <v>1128</v>
      </c>
      <c r="D366" t="s">
        <v>1129</v>
      </c>
      <c r="E366" t="s">
        <v>1130</v>
      </c>
      <c r="F366" t="s">
        <v>1131</v>
      </c>
      <c r="G366">
        <v>56</v>
      </c>
      <c r="H366">
        <v>193027</v>
      </c>
      <c r="I366" t="b">
        <v>0</v>
      </c>
      <c r="J366">
        <v>0.65900000000000003</v>
      </c>
      <c r="K366">
        <v>0.33800000000000002</v>
      </c>
      <c r="L366">
        <v>6</v>
      </c>
      <c r="M366">
        <v>-10.367000000000001</v>
      </c>
      <c r="N366">
        <v>0</v>
      </c>
      <c r="O366">
        <v>3.7600000000000001E-2</v>
      </c>
      <c r="P366">
        <v>0.84199999999999997</v>
      </c>
      <c r="Q366">
        <v>0</v>
      </c>
      <c r="R366">
        <v>0.27700000000000002</v>
      </c>
      <c r="S366">
        <v>0.495</v>
      </c>
      <c r="T366">
        <v>145.87700000000001</v>
      </c>
      <c r="U366">
        <v>4</v>
      </c>
      <c r="V366" t="s">
        <v>24</v>
      </c>
    </row>
    <row r="367" spans="3:22" x14ac:dyDescent="0.35">
      <c r="C367" t="s">
        <v>1132</v>
      </c>
      <c r="D367" t="s">
        <v>1133</v>
      </c>
      <c r="E367" t="s">
        <v>1134</v>
      </c>
      <c r="F367" t="s">
        <v>1135</v>
      </c>
      <c r="G367">
        <v>32</v>
      </c>
      <c r="H367">
        <v>233280</v>
      </c>
      <c r="I367" t="b">
        <v>0</v>
      </c>
      <c r="J367">
        <v>0.73199999999999998</v>
      </c>
      <c r="K367">
        <v>0.83</v>
      </c>
      <c r="L367">
        <v>0</v>
      </c>
      <c r="M367">
        <v>-6.63</v>
      </c>
      <c r="N367">
        <v>1</v>
      </c>
      <c r="O367">
        <v>3.09E-2</v>
      </c>
      <c r="P367">
        <v>0.20100000000000001</v>
      </c>
      <c r="Q367" s="1" t="s">
        <v>1136</v>
      </c>
      <c r="R367">
        <v>8.0199999999999994E-2</v>
      </c>
      <c r="S367">
        <v>0.871</v>
      </c>
      <c r="T367">
        <v>111.664</v>
      </c>
      <c r="U367">
        <v>4</v>
      </c>
      <c r="V367" t="s">
        <v>24</v>
      </c>
    </row>
    <row r="368" spans="3:22" x14ac:dyDescent="0.35">
      <c r="C368" t="s">
        <v>1137</v>
      </c>
      <c r="D368" t="s">
        <v>1138</v>
      </c>
      <c r="E368" t="s">
        <v>1139</v>
      </c>
      <c r="F368" t="s">
        <v>1140</v>
      </c>
      <c r="G368">
        <v>35</v>
      </c>
      <c r="H368">
        <v>213091</v>
      </c>
      <c r="I368" t="b">
        <v>0</v>
      </c>
      <c r="J368">
        <v>0.52200000000000002</v>
      </c>
      <c r="K368">
        <v>0.20200000000000001</v>
      </c>
      <c r="L368">
        <v>9</v>
      </c>
      <c r="M368">
        <v>-13.38</v>
      </c>
      <c r="N368">
        <v>1</v>
      </c>
      <c r="O368">
        <v>8.6099999999999996E-2</v>
      </c>
      <c r="P368">
        <v>0.91800000000000004</v>
      </c>
      <c r="Q368">
        <v>0</v>
      </c>
      <c r="R368">
        <v>0.185</v>
      </c>
      <c r="S368">
        <v>0.45700000000000002</v>
      </c>
      <c r="T368">
        <v>147.99199999999999</v>
      </c>
      <c r="U368">
        <v>4</v>
      </c>
      <c r="V368" t="s">
        <v>24</v>
      </c>
    </row>
    <row r="369" spans="3:22" x14ac:dyDescent="0.35">
      <c r="C369" t="s">
        <v>1141</v>
      </c>
      <c r="D369" t="s">
        <v>970</v>
      </c>
      <c r="E369" t="s">
        <v>971</v>
      </c>
      <c r="F369" t="s">
        <v>1142</v>
      </c>
      <c r="G369">
        <v>55</v>
      </c>
      <c r="H369">
        <v>253546</v>
      </c>
      <c r="I369" t="b">
        <v>0</v>
      </c>
      <c r="J369">
        <v>0.56499999999999995</v>
      </c>
      <c r="K369">
        <v>0.69799999999999995</v>
      </c>
      <c r="L369">
        <v>0</v>
      </c>
      <c r="M369">
        <v>-8.5960000000000001</v>
      </c>
      <c r="N369">
        <v>1</v>
      </c>
      <c r="O369">
        <v>2.9499999999999998E-2</v>
      </c>
      <c r="P369">
        <v>0.54</v>
      </c>
      <c r="Q369">
        <v>1.83E-2</v>
      </c>
      <c r="R369">
        <v>0.124</v>
      </c>
      <c r="S369">
        <v>0.155</v>
      </c>
      <c r="T369">
        <v>120.01300000000001</v>
      </c>
      <c r="U369">
        <v>4</v>
      </c>
      <c r="V369" t="s">
        <v>24</v>
      </c>
    </row>
    <row r="370" spans="3:22" x14ac:dyDescent="0.35">
      <c r="C370" t="s">
        <v>1143</v>
      </c>
      <c r="D370" t="s">
        <v>991</v>
      </c>
      <c r="E370" t="s">
        <v>1144</v>
      </c>
      <c r="F370" t="s">
        <v>1145</v>
      </c>
      <c r="G370">
        <v>33</v>
      </c>
      <c r="H370">
        <v>317400</v>
      </c>
      <c r="I370" t="b">
        <v>0</v>
      </c>
      <c r="J370">
        <v>0.47399999999999998</v>
      </c>
      <c r="K370">
        <v>0.40799999999999997</v>
      </c>
      <c r="L370">
        <v>7</v>
      </c>
      <c r="M370">
        <v>-11.42</v>
      </c>
      <c r="N370">
        <v>1</v>
      </c>
      <c r="O370">
        <v>3.32E-2</v>
      </c>
      <c r="P370">
        <v>0.60299999999999998</v>
      </c>
      <c r="Q370" s="1" t="s">
        <v>1146</v>
      </c>
      <c r="R370">
        <v>0.104</v>
      </c>
      <c r="S370">
        <v>0.23799999999999999</v>
      </c>
      <c r="T370">
        <v>143.881</v>
      </c>
      <c r="U370">
        <v>4</v>
      </c>
      <c r="V370" t="s">
        <v>24</v>
      </c>
    </row>
    <row r="371" spans="3:22" x14ac:dyDescent="0.35">
      <c r="C371" t="s">
        <v>1147</v>
      </c>
      <c r="D371" t="s">
        <v>1148</v>
      </c>
      <c r="E371" t="s">
        <v>1149</v>
      </c>
      <c r="F371" t="s">
        <v>1150</v>
      </c>
      <c r="G371">
        <v>46</v>
      </c>
      <c r="H371">
        <v>167616</v>
      </c>
      <c r="I371" t="b">
        <v>0</v>
      </c>
      <c r="J371">
        <v>0.54300000000000004</v>
      </c>
      <c r="K371">
        <v>0.24399999999999999</v>
      </c>
      <c r="L371">
        <v>0</v>
      </c>
      <c r="M371">
        <v>-8.0619999999999994</v>
      </c>
      <c r="N371">
        <v>1</v>
      </c>
      <c r="O371">
        <v>5.11E-2</v>
      </c>
      <c r="P371">
        <v>0.86399999999999999</v>
      </c>
      <c r="Q371">
        <v>0</v>
      </c>
      <c r="R371">
        <v>0.112</v>
      </c>
      <c r="S371">
        <v>0.28999999999999998</v>
      </c>
      <c r="T371">
        <v>126.34099999999999</v>
      </c>
      <c r="U371">
        <v>3</v>
      </c>
      <c r="V371" t="s">
        <v>24</v>
      </c>
    </row>
    <row r="372" spans="3:22" x14ac:dyDescent="0.35">
      <c r="C372" t="s">
        <v>1151</v>
      </c>
      <c r="D372" t="s">
        <v>26</v>
      </c>
      <c r="E372" t="s">
        <v>1152</v>
      </c>
      <c r="F372" t="s">
        <v>1152</v>
      </c>
      <c r="G372">
        <v>38</v>
      </c>
      <c r="H372">
        <v>211672</v>
      </c>
      <c r="I372" t="b">
        <v>0</v>
      </c>
      <c r="J372">
        <v>0.67200000000000004</v>
      </c>
      <c r="K372">
        <v>0.64400000000000002</v>
      </c>
      <c r="L372">
        <v>11</v>
      </c>
      <c r="M372">
        <v>-9.0630000000000006</v>
      </c>
      <c r="N372">
        <v>1</v>
      </c>
      <c r="O372">
        <v>0.23599999999999999</v>
      </c>
      <c r="P372">
        <v>0.79500000000000004</v>
      </c>
      <c r="Q372">
        <v>0</v>
      </c>
      <c r="R372">
        <v>0.14599999999999999</v>
      </c>
      <c r="S372">
        <v>0.54900000000000004</v>
      </c>
      <c r="T372">
        <v>148.13499999999999</v>
      </c>
      <c r="U372">
        <v>4</v>
      </c>
      <c r="V372" t="s">
        <v>24</v>
      </c>
    </row>
    <row r="373" spans="3:22" x14ac:dyDescent="0.35">
      <c r="C373" t="s">
        <v>1153</v>
      </c>
      <c r="D373" t="s">
        <v>609</v>
      </c>
      <c r="E373" t="s">
        <v>1154</v>
      </c>
      <c r="F373" t="s">
        <v>1154</v>
      </c>
      <c r="G373">
        <v>65</v>
      </c>
      <c r="H373">
        <v>274245</v>
      </c>
      <c r="I373" t="b">
        <v>0</v>
      </c>
      <c r="J373">
        <v>0.51500000000000001</v>
      </c>
      <c r="K373">
        <v>0.76900000000000002</v>
      </c>
      <c r="L373">
        <v>7</v>
      </c>
      <c r="M373">
        <v>-5.6959999999999997</v>
      </c>
      <c r="N373">
        <v>1</v>
      </c>
      <c r="O373">
        <v>3.1E-2</v>
      </c>
      <c r="P373">
        <v>4.5600000000000002E-2</v>
      </c>
      <c r="Q373">
        <v>4.3600000000000002E-3</v>
      </c>
      <c r="R373">
        <v>9.6100000000000005E-2</v>
      </c>
      <c r="S373">
        <v>0.64400000000000002</v>
      </c>
      <c r="T373">
        <v>153.04599999999999</v>
      </c>
      <c r="U373">
        <v>4</v>
      </c>
      <c r="V373" t="s">
        <v>24</v>
      </c>
    </row>
    <row r="374" spans="3:22" x14ac:dyDescent="0.35">
      <c r="C374" t="s">
        <v>1155</v>
      </c>
      <c r="D374" t="s">
        <v>1156</v>
      </c>
      <c r="E374" t="s">
        <v>1157</v>
      </c>
      <c r="F374" t="s">
        <v>1158</v>
      </c>
      <c r="G374">
        <v>60</v>
      </c>
      <c r="H374">
        <v>170040</v>
      </c>
      <c r="I374" t="b">
        <v>0</v>
      </c>
      <c r="J374">
        <v>0.75900000000000001</v>
      </c>
      <c r="K374">
        <v>0.68400000000000005</v>
      </c>
      <c r="L374">
        <v>0</v>
      </c>
      <c r="M374">
        <v>-5.7510000000000003</v>
      </c>
      <c r="N374">
        <v>1</v>
      </c>
      <c r="O374">
        <v>3.15E-2</v>
      </c>
      <c r="P374">
        <v>0.26900000000000002</v>
      </c>
      <c r="Q374">
        <v>0</v>
      </c>
      <c r="R374">
        <v>0.13</v>
      </c>
      <c r="S374">
        <v>0.75900000000000001</v>
      </c>
      <c r="T374">
        <v>107.94799999999999</v>
      </c>
      <c r="U374">
        <v>4</v>
      </c>
      <c r="V374" t="s">
        <v>24</v>
      </c>
    </row>
    <row r="375" spans="3:22" x14ac:dyDescent="0.35">
      <c r="C375" t="s">
        <v>1159</v>
      </c>
      <c r="D375" t="s">
        <v>339</v>
      </c>
      <c r="E375" t="s">
        <v>363</v>
      </c>
      <c r="F375" t="s">
        <v>1160</v>
      </c>
      <c r="G375">
        <v>54</v>
      </c>
      <c r="H375">
        <v>267765</v>
      </c>
      <c r="I375" t="b">
        <v>0</v>
      </c>
      <c r="J375">
        <v>0.62</v>
      </c>
      <c r="K375">
        <v>0.21</v>
      </c>
      <c r="L375">
        <v>11</v>
      </c>
      <c r="M375">
        <v>-9.6329999999999991</v>
      </c>
      <c r="N375">
        <v>0</v>
      </c>
      <c r="O375">
        <v>2.7400000000000001E-2</v>
      </c>
      <c r="P375">
        <v>0.91100000000000003</v>
      </c>
      <c r="Q375" s="1" t="s">
        <v>1161</v>
      </c>
      <c r="R375">
        <v>0.108</v>
      </c>
      <c r="S375">
        <v>0.16300000000000001</v>
      </c>
      <c r="T375">
        <v>98.558000000000007</v>
      </c>
      <c r="U375">
        <v>3</v>
      </c>
      <c r="V375" t="s">
        <v>24</v>
      </c>
    </row>
    <row r="376" spans="3:22" x14ac:dyDescent="0.35">
      <c r="C376" t="s">
        <v>1162</v>
      </c>
      <c r="D376" t="s">
        <v>1163</v>
      </c>
      <c r="E376" t="s">
        <v>1164</v>
      </c>
      <c r="F376" t="s">
        <v>1165</v>
      </c>
      <c r="G376">
        <v>37</v>
      </c>
      <c r="H376">
        <v>250146</v>
      </c>
      <c r="I376" t="b">
        <v>0</v>
      </c>
      <c r="J376">
        <v>0.497</v>
      </c>
      <c r="K376">
        <v>0.254</v>
      </c>
      <c r="L376">
        <v>8</v>
      </c>
      <c r="M376">
        <v>-11.715999999999999</v>
      </c>
      <c r="N376">
        <v>0</v>
      </c>
      <c r="O376">
        <v>3.4099999999999998E-2</v>
      </c>
      <c r="P376">
        <v>0.89100000000000001</v>
      </c>
      <c r="Q376">
        <v>4.41E-2</v>
      </c>
      <c r="R376">
        <v>0.122</v>
      </c>
      <c r="S376">
        <v>6.7599999999999993E-2</v>
      </c>
      <c r="T376">
        <v>110.864</v>
      </c>
      <c r="U376">
        <v>3</v>
      </c>
      <c r="V376" t="s">
        <v>24</v>
      </c>
    </row>
    <row r="377" spans="3:22" x14ac:dyDescent="0.35">
      <c r="C377" t="s">
        <v>1166</v>
      </c>
      <c r="D377" t="s">
        <v>991</v>
      </c>
      <c r="E377" t="s">
        <v>1144</v>
      </c>
      <c r="F377" t="s">
        <v>1167</v>
      </c>
      <c r="G377">
        <v>34</v>
      </c>
      <c r="H377">
        <v>290480</v>
      </c>
      <c r="I377" t="b">
        <v>0</v>
      </c>
      <c r="J377">
        <v>0.64400000000000002</v>
      </c>
      <c r="K377">
        <v>0.60299999999999998</v>
      </c>
      <c r="L377">
        <v>10</v>
      </c>
      <c r="M377">
        <v>-5.83</v>
      </c>
      <c r="N377">
        <v>1</v>
      </c>
      <c r="O377">
        <v>2.63E-2</v>
      </c>
      <c r="P377">
        <v>0.30599999999999999</v>
      </c>
      <c r="Q377">
        <v>0</v>
      </c>
      <c r="R377">
        <v>0.26200000000000001</v>
      </c>
      <c r="S377">
        <v>0.51600000000000001</v>
      </c>
      <c r="T377">
        <v>113.413</v>
      </c>
      <c r="U377">
        <v>4</v>
      </c>
      <c r="V377" t="s">
        <v>24</v>
      </c>
    </row>
    <row r="378" spans="3:22" x14ac:dyDescent="0.35">
      <c r="C378" t="s">
        <v>1168</v>
      </c>
      <c r="D378" t="s">
        <v>339</v>
      </c>
      <c r="E378" t="s">
        <v>92</v>
      </c>
      <c r="F378" t="s">
        <v>1169</v>
      </c>
      <c r="G378">
        <v>55</v>
      </c>
      <c r="H378">
        <v>198218</v>
      </c>
      <c r="I378" t="b">
        <v>0</v>
      </c>
      <c r="J378">
        <v>0.45</v>
      </c>
      <c r="K378">
        <v>0.254</v>
      </c>
      <c r="L378">
        <v>4</v>
      </c>
      <c r="M378">
        <v>-9.8729999999999993</v>
      </c>
      <c r="N378">
        <v>1</v>
      </c>
      <c r="O378">
        <v>4.1399999999999999E-2</v>
      </c>
      <c r="P378">
        <v>0.82699999999999996</v>
      </c>
      <c r="Q378">
        <v>0</v>
      </c>
      <c r="R378">
        <v>0.20399999999999999</v>
      </c>
      <c r="S378">
        <v>0.248</v>
      </c>
      <c r="T378">
        <v>92.644000000000005</v>
      </c>
      <c r="U378">
        <v>4</v>
      </c>
      <c r="V378" t="s">
        <v>24</v>
      </c>
    </row>
    <row r="379" spans="3:22" x14ac:dyDescent="0.35">
      <c r="C379" t="s">
        <v>1170</v>
      </c>
      <c r="D379" t="s">
        <v>225</v>
      </c>
      <c r="E379" t="s">
        <v>1171</v>
      </c>
      <c r="F379" t="s">
        <v>1172</v>
      </c>
      <c r="G379">
        <v>51</v>
      </c>
      <c r="H379">
        <v>225400</v>
      </c>
      <c r="I379" t="b">
        <v>0</v>
      </c>
      <c r="J379">
        <v>0.54800000000000004</v>
      </c>
      <c r="K379">
        <v>0.3</v>
      </c>
      <c r="L379">
        <v>4</v>
      </c>
      <c r="M379">
        <v>-12.71</v>
      </c>
      <c r="N379">
        <v>1</v>
      </c>
      <c r="O379">
        <v>2.98E-2</v>
      </c>
      <c r="P379">
        <v>0.75700000000000001</v>
      </c>
      <c r="Q379" s="1" t="s">
        <v>1173</v>
      </c>
      <c r="R379">
        <v>8.5099999999999995E-2</v>
      </c>
      <c r="S379">
        <v>0.26400000000000001</v>
      </c>
      <c r="T379">
        <v>135.90199999999999</v>
      </c>
      <c r="U379">
        <v>4</v>
      </c>
      <c r="V379" t="s">
        <v>24</v>
      </c>
    </row>
    <row r="380" spans="3:22" x14ac:dyDescent="0.35">
      <c r="C380" t="s">
        <v>1174</v>
      </c>
      <c r="D380" t="s">
        <v>1175</v>
      </c>
      <c r="E380" t="s">
        <v>1176</v>
      </c>
      <c r="F380" t="s">
        <v>1177</v>
      </c>
      <c r="G380">
        <v>48</v>
      </c>
      <c r="H380">
        <v>259877</v>
      </c>
      <c r="I380" t="b">
        <v>0</v>
      </c>
      <c r="J380">
        <v>0.52100000000000002</v>
      </c>
      <c r="K380">
        <v>0.50700000000000001</v>
      </c>
      <c r="L380">
        <v>7</v>
      </c>
      <c r="M380">
        <v>-7.0069999999999997</v>
      </c>
      <c r="N380">
        <v>1</v>
      </c>
      <c r="O380">
        <v>3.1899999999999998E-2</v>
      </c>
      <c r="P380">
        <v>1.6199999999999999E-2</v>
      </c>
      <c r="Q380" s="1" t="s">
        <v>1178</v>
      </c>
      <c r="R380">
        <v>0.14799999999999999</v>
      </c>
      <c r="S380">
        <v>0.153</v>
      </c>
      <c r="T380">
        <v>108.16800000000001</v>
      </c>
      <c r="U380">
        <v>4</v>
      </c>
      <c r="V380" t="s">
        <v>24</v>
      </c>
    </row>
    <row r="381" spans="3:22" x14ac:dyDescent="0.35">
      <c r="C381" t="s">
        <v>1179</v>
      </c>
      <c r="D381" t="s">
        <v>991</v>
      </c>
      <c r="E381" t="s">
        <v>1180</v>
      </c>
      <c r="F381" t="s">
        <v>1181</v>
      </c>
      <c r="G381">
        <v>34</v>
      </c>
      <c r="H381">
        <v>288426</v>
      </c>
      <c r="I381" t="b">
        <v>0</v>
      </c>
      <c r="J381">
        <v>0.58699999999999997</v>
      </c>
      <c r="K381">
        <v>0.84199999999999997</v>
      </c>
      <c r="L381">
        <v>4</v>
      </c>
      <c r="M381">
        <v>-6.04</v>
      </c>
      <c r="N381">
        <v>1</v>
      </c>
      <c r="O381">
        <v>2.6800000000000001E-2</v>
      </c>
      <c r="P381">
        <v>0.27800000000000002</v>
      </c>
      <c r="Q381">
        <v>0</v>
      </c>
      <c r="R381">
        <v>0.16300000000000001</v>
      </c>
      <c r="S381">
        <v>0.69299999999999995</v>
      </c>
      <c r="T381">
        <v>97.013000000000005</v>
      </c>
      <c r="U381">
        <v>4</v>
      </c>
      <c r="V381" t="s">
        <v>24</v>
      </c>
    </row>
    <row r="382" spans="3:22" x14ac:dyDescent="0.35">
      <c r="C382" t="s">
        <v>1182</v>
      </c>
      <c r="D382" t="s">
        <v>408</v>
      </c>
      <c r="E382" t="s">
        <v>1183</v>
      </c>
      <c r="F382" t="s">
        <v>1183</v>
      </c>
      <c r="G382">
        <v>51</v>
      </c>
      <c r="H382">
        <v>219363</v>
      </c>
      <c r="I382" t="b">
        <v>0</v>
      </c>
      <c r="J382">
        <v>0.54300000000000004</v>
      </c>
      <c r="K382">
        <v>0.32400000000000001</v>
      </c>
      <c r="L382">
        <v>0</v>
      </c>
      <c r="M382">
        <v>-11.257999999999999</v>
      </c>
      <c r="N382">
        <v>1</v>
      </c>
      <c r="O382">
        <v>3.1600000000000003E-2</v>
      </c>
      <c r="P382">
        <v>0.45200000000000001</v>
      </c>
      <c r="Q382" s="1" t="s">
        <v>1184</v>
      </c>
      <c r="R382">
        <v>0.41199999999999998</v>
      </c>
      <c r="S382">
        <v>0.18099999999999999</v>
      </c>
      <c r="T382">
        <v>139.88300000000001</v>
      </c>
      <c r="U382">
        <v>4</v>
      </c>
      <c r="V382" t="s">
        <v>24</v>
      </c>
    </row>
    <row r="383" spans="3:22" x14ac:dyDescent="0.35">
      <c r="C383" t="s">
        <v>1185</v>
      </c>
      <c r="D383" t="s">
        <v>258</v>
      </c>
      <c r="E383" t="s">
        <v>1186</v>
      </c>
      <c r="F383" t="s">
        <v>1186</v>
      </c>
      <c r="G383">
        <v>54</v>
      </c>
      <c r="H383">
        <v>208426</v>
      </c>
      <c r="I383" t="b">
        <v>0</v>
      </c>
      <c r="J383">
        <v>0.74199999999999999</v>
      </c>
      <c r="K383">
        <v>0.63600000000000001</v>
      </c>
      <c r="L383">
        <v>11</v>
      </c>
      <c r="M383">
        <v>-6.7439999999999998</v>
      </c>
      <c r="N383">
        <v>1</v>
      </c>
      <c r="O383">
        <v>3.3099999999999997E-2</v>
      </c>
      <c r="P383">
        <v>0.44600000000000001</v>
      </c>
      <c r="Q383">
        <v>0</v>
      </c>
      <c r="R383">
        <v>8.1699999999999995E-2</v>
      </c>
      <c r="S383">
        <v>0.48</v>
      </c>
      <c r="T383">
        <v>95.001999999999995</v>
      </c>
      <c r="U383">
        <v>4</v>
      </c>
      <c r="V383" t="s">
        <v>24</v>
      </c>
    </row>
    <row r="384" spans="3:22" x14ac:dyDescent="0.35">
      <c r="C384" t="s">
        <v>1187</v>
      </c>
      <c r="D384" t="s">
        <v>1188</v>
      </c>
      <c r="E384" t="s">
        <v>1189</v>
      </c>
      <c r="F384" t="s">
        <v>1189</v>
      </c>
      <c r="G384">
        <v>32</v>
      </c>
      <c r="H384">
        <v>283480</v>
      </c>
      <c r="I384" t="b">
        <v>0</v>
      </c>
      <c r="J384">
        <v>0.70699999999999996</v>
      </c>
      <c r="K384">
        <v>0.40200000000000002</v>
      </c>
      <c r="L384">
        <v>4</v>
      </c>
      <c r="M384">
        <v>-9.7729999999999997</v>
      </c>
      <c r="N384">
        <v>1</v>
      </c>
      <c r="O384">
        <v>2.5100000000000001E-2</v>
      </c>
      <c r="P384">
        <v>0.67700000000000005</v>
      </c>
      <c r="Q384">
        <v>0</v>
      </c>
      <c r="R384">
        <v>0.104</v>
      </c>
      <c r="S384">
        <v>0.313</v>
      </c>
      <c r="T384">
        <v>94.99</v>
      </c>
      <c r="U384">
        <v>4</v>
      </c>
      <c r="V384" t="s">
        <v>24</v>
      </c>
    </row>
    <row r="385" spans="3:22" x14ac:dyDescent="0.35">
      <c r="C385" t="s">
        <v>1190</v>
      </c>
      <c r="D385" t="s">
        <v>258</v>
      </c>
      <c r="E385" t="s">
        <v>672</v>
      </c>
      <c r="F385" t="s">
        <v>1191</v>
      </c>
      <c r="G385">
        <v>54</v>
      </c>
      <c r="H385">
        <v>205586</v>
      </c>
      <c r="I385" t="b">
        <v>0</v>
      </c>
      <c r="J385">
        <v>0.52</v>
      </c>
      <c r="K385">
        <v>0.308</v>
      </c>
      <c r="L385">
        <v>7</v>
      </c>
      <c r="M385">
        <v>-11.996</v>
      </c>
      <c r="N385">
        <v>1</v>
      </c>
      <c r="O385">
        <v>3.3099999999999997E-2</v>
      </c>
      <c r="P385">
        <v>0.77600000000000002</v>
      </c>
      <c r="Q385">
        <v>2.8500000000000001E-3</v>
      </c>
      <c r="R385">
        <v>0.115</v>
      </c>
      <c r="S385">
        <v>0.187</v>
      </c>
      <c r="T385">
        <v>125.93</v>
      </c>
      <c r="U385">
        <v>3</v>
      </c>
      <c r="V385" t="s">
        <v>24</v>
      </c>
    </row>
    <row r="386" spans="3:22" x14ac:dyDescent="0.35">
      <c r="C386" t="s">
        <v>1192</v>
      </c>
      <c r="D386" t="s">
        <v>1193</v>
      </c>
      <c r="E386" t="s">
        <v>736</v>
      </c>
      <c r="F386" t="s">
        <v>1194</v>
      </c>
      <c r="G386">
        <v>61</v>
      </c>
      <c r="H386">
        <v>304293</v>
      </c>
      <c r="I386" t="b">
        <v>0</v>
      </c>
      <c r="J386">
        <v>0.39200000000000002</v>
      </c>
      <c r="K386">
        <v>0.251</v>
      </c>
      <c r="L386">
        <v>10</v>
      </c>
      <c r="M386">
        <v>-9.8450000000000006</v>
      </c>
      <c r="N386">
        <v>1</v>
      </c>
      <c r="O386">
        <v>3.6299999999999999E-2</v>
      </c>
      <c r="P386">
        <v>0.80700000000000005</v>
      </c>
      <c r="Q386">
        <v>0</v>
      </c>
      <c r="R386">
        <v>7.9699999999999993E-2</v>
      </c>
      <c r="S386">
        <v>0.50800000000000001</v>
      </c>
      <c r="T386">
        <v>204.96100000000001</v>
      </c>
      <c r="U386">
        <v>4</v>
      </c>
      <c r="V386" t="s">
        <v>24</v>
      </c>
    </row>
    <row r="387" spans="3:22" x14ac:dyDescent="0.35">
      <c r="C387" t="s">
        <v>1195</v>
      </c>
      <c r="D387" t="s">
        <v>339</v>
      </c>
      <c r="E387" t="s">
        <v>736</v>
      </c>
      <c r="F387" t="s">
        <v>1196</v>
      </c>
      <c r="G387">
        <v>55</v>
      </c>
      <c r="H387">
        <v>239573</v>
      </c>
      <c r="I387" t="b">
        <v>0</v>
      </c>
      <c r="J387">
        <v>0.53100000000000003</v>
      </c>
      <c r="K387">
        <v>0.29599999999999999</v>
      </c>
      <c r="L387">
        <v>1</v>
      </c>
      <c r="M387">
        <v>-7.5940000000000003</v>
      </c>
      <c r="N387">
        <v>1</v>
      </c>
      <c r="O387">
        <v>3.04E-2</v>
      </c>
      <c r="P387">
        <v>0.84</v>
      </c>
      <c r="Q387">
        <v>0</v>
      </c>
      <c r="R387">
        <v>0.124</v>
      </c>
      <c r="S387">
        <v>0.21199999999999999</v>
      </c>
      <c r="T387">
        <v>106.35899999999999</v>
      </c>
      <c r="U387">
        <v>4</v>
      </c>
      <c r="V387" t="s">
        <v>24</v>
      </c>
    </row>
    <row r="388" spans="3:22" x14ac:dyDescent="0.35">
      <c r="C388" t="s">
        <v>1197</v>
      </c>
      <c r="D388" t="s">
        <v>184</v>
      </c>
      <c r="E388" t="s">
        <v>1031</v>
      </c>
      <c r="F388" t="s">
        <v>1031</v>
      </c>
      <c r="G388">
        <v>55</v>
      </c>
      <c r="H388">
        <v>227128</v>
      </c>
      <c r="I388" t="b">
        <v>0</v>
      </c>
      <c r="J388">
        <v>0.68100000000000005</v>
      </c>
      <c r="K388">
        <v>0.60799999999999998</v>
      </c>
      <c r="L388">
        <v>8</v>
      </c>
      <c r="M388">
        <v>-8.3689999999999998</v>
      </c>
      <c r="N388">
        <v>1</v>
      </c>
      <c r="O388">
        <v>3.39E-2</v>
      </c>
      <c r="P388">
        <v>0.62</v>
      </c>
      <c r="Q388">
        <v>4.2499999999999998E-4</v>
      </c>
      <c r="R388">
        <v>0.13600000000000001</v>
      </c>
      <c r="S388">
        <v>0.315</v>
      </c>
      <c r="T388">
        <v>123.991</v>
      </c>
      <c r="U388">
        <v>4</v>
      </c>
      <c r="V388" t="s">
        <v>24</v>
      </c>
    </row>
    <row r="389" spans="3:22" x14ac:dyDescent="0.35">
      <c r="C389" t="s">
        <v>1198</v>
      </c>
      <c r="D389" t="s">
        <v>991</v>
      </c>
      <c r="E389" t="s">
        <v>1199</v>
      </c>
      <c r="F389" t="s">
        <v>1200</v>
      </c>
      <c r="G389">
        <v>34</v>
      </c>
      <c r="H389">
        <v>243066</v>
      </c>
      <c r="I389" t="b">
        <v>0</v>
      </c>
      <c r="J389">
        <v>0.56899999999999995</v>
      </c>
      <c r="K389">
        <v>0.86099999999999999</v>
      </c>
      <c r="L389">
        <v>1</v>
      </c>
      <c r="M389">
        <v>-4.5469999999999997</v>
      </c>
      <c r="N389">
        <v>0</v>
      </c>
      <c r="O389">
        <v>4.0599999999999997E-2</v>
      </c>
      <c r="P389">
        <v>4.2500000000000003E-2</v>
      </c>
      <c r="Q389">
        <v>0</v>
      </c>
      <c r="R389">
        <v>0.20399999999999999</v>
      </c>
      <c r="S389">
        <v>0.51100000000000001</v>
      </c>
      <c r="T389">
        <v>77.983000000000004</v>
      </c>
      <c r="U389">
        <v>4</v>
      </c>
      <c r="V389" t="s">
        <v>24</v>
      </c>
    </row>
    <row r="390" spans="3:22" x14ac:dyDescent="0.35">
      <c r="C390" t="s">
        <v>1201</v>
      </c>
      <c r="D390" t="s">
        <v>1202</v>
      </c>
      <c r="E390" t="s">
        <v>1203</v>
      </c>
      <c r="F390" t="s">
        <v>1204</v>
      </c>
      <c r="G390">
        <v>33</v>
      </c>
      <c r="H390">
        <v>369200</v>
      </c>
      <c r="I390" t="b">
        <v>0</v>
      </c>
      <c r="J390">
        <v>0.70699999999999996</v>
      </c>
      <c r="K390">
        <v>0.29599999999999999</v>
      </c>
      <c r="L390">
        <v>7</v>
      </c>
      <c r="M390">
        <v>-11.632999999999999</v>
      </c>
      <c r="N390">
        <v>1</v>
      </c>
      <c r="O390">
        <v>7.8E-2</v>
      </c>
      <c r="P390">
        <v>0.28299999999999997</v>
      </c>
      <c r="Q390">
        <v>0</v>
      </c>
      <c r="R390">
        <v>6.0100000000000001E-2</v>
      </c>
      <c r="S390">
        <v>0.65</v>
      </c>
      <c r="T390">
        <v>88.006</v>
      </c>
      <c r="U390">
        <v>4</v>
      </c>
      <c r="V390" t="s">
        <v>24</v>
      </c>
    </row>
    <row r="391" spans="3:22" x14ac:dyDescent="0.35">
      <c r="C391" t="s">
        <v>1205</v>
      </c>
      <c r="D391" t="s">
        <v>1206</v>
      </c>
      <c r="E391" t="s">
        <v>1207</v>
      </c>
      <c r="F391" t="s">
        <v>1208</v>
      </c>
      <c r="G391">
        <v>45</v>
      </c>
      <c r="H391">
        <v>77093</v>
      </c>
      <c r="I391" t="b">
        <v>0</v>
      </c>
      <c r="J391">
        <v>0.51900000000000002</v>
      </c>
      <c r="K391">
        <v>6.4600000000000005E-2</v>
      </c>
      <c r="L391">
        <v>2</v>
      </c>
      <c r="M391">
        <v>-18.898</v>
      </c>
      <c r="N391">
        <v>1</v>
      </c>
      <c r="O391">
        <v>4.3299999999999998E-2</v>
      </c>
      <c r="P391">
        <v>0.98199999999999998</v>
      </c>
      <c r="Q391" s="1" t="s">
        <v>1209</v>
      </c>
      <c r="R391">
        <v>0.105</v>
      </c>
      <c r="S391">
        <v>0.39500000000000002</v>
      </c>
      <c r="T391">
        <v>121.696</v>
      </c>
      <c r="U391">
        <v>4</v>
      </c>
      <c r="V391" t="s">
        <v>24</v>
      </c>
    </row>
    <row r="392" spans="3:22" x14ac:dyDescent="0.35">
      <c r="C392" t="s">
        <v>1210</v>
      </c>
      <c r="D392" t="s">
        <v>1202</v>
      </c>
      <c r="E392" t="s">
        <v>1211</v>
      </c>
      <c r="F392" t="s">
        <v>1212</v>
      </c>
      <c r="G392">
        <v>33</v>
      </c>
      <c r="H392">
        <v>244840</v>
      </c>
      <c r="I392" t="b">
        <v>0</v>
      </c>
      <c r="J392">
        <v>0.60799999999999998</v>
      </c>
      <c r="K392">
        <v>0.70499999999999996</v>
      </c>
      <c r="L392">
        <v>3</v>
      </c>
      <c r="M392">
        <v>-5.1779999999999999</v>
      </c>
      <c r="N392">
        <v>1</v>
      </c>
      <c r="O392">
        <v>2.53E-2</v>
      </c>
      <c r="P392">
        <v>7.8E-2</v>
      </c>
      <c r="Q392" s="1" t="s">
        <v>1213</v>
      </c>
      <c r="R392">
        <v>0.17899999999999999</v>
      </c>
      <c r="S392">
        <v>0.621</v>
      </c>
      <c r="T392">
        <v>111.20399999999999</v>
      </c>
      <c r="U392">
        <v>4</v>
      </c>
      <c r="V392" t="s">
        <v>24</v>
      </c>
    </row>
    <row r="393" spans="3:22" x14ac:dyDescent="0.35">
      <c r="C393" t="s">
        <v>1214</v>
      </c>
      <c r="D393" t="s">
        <v>991</v>
      </c>
      <c r="E393" t="s">
        <v>1215</v>
      </c>
      <c r="F393" t="s">
        <v>1215</v>
      </c>
      <c r="G393">
        <v>34</v>
      </c>
      <c r="H393">
        <v>275266</v>
      </c>
      <c r="I393" t="b">
        <v>0</v>
      </c>
      <c r="J393">
        <v>0.58499999999999996</v>
      </c>
      <c r="K393">
        <v>0.73399999999999999</v>
      </c>
      <c r="L393">
        <v>9</v>
      </c>
      <c r="M393">
        <v>-5.3650000000000002</v>
      </c>
      <c r="N393">
        <v>1</v>
      </c>
      <c r="O393">
        <v>3.2000000000000001E-2</v>
      </c>
      <c r="P393">
        <v>3.3399999999999999E-2</v>
      </c>
      <c r="Q393">
        <v>0</v>
      </c>
      <c r="R393">
        <v>9.3399999999999997E-2</v>
      </c>
      <c r="S393">
        <v>0.41299999999999998</v>
      </c>
      <c r="T393">
        <v>117.84</v>
      </c>
      <c r="U393">
        <v>4</v>
      </c>
      <c r="V393" t="s">
        <v>24</v>
      </c>
    </row>
    <row r="394" spans="3:22" x14ac:dyDescent="0.35">
      <c r="C394" t="s">
        <v>1216</v>
      </c>
      <c r="D394" t="s">
        <v>991</v>
      </c>
      <c r="E394" t="s">
        <v>1217</v>
      </c>
      <c r="F394" t="s">
        <v>1218</v>
      </c>
      <c r="G394">
        <v>34</v>
      </c>
      <c r="H394">
        <v>330720</v>
      </c>
      <c r="I394" t="b">
        <v>0</v>
      </c>
      <c r="J394">
        <v>0.52700000000000002</v>
      </c>
      <c r="K394">
        <v>0.89</v>
      </c>
      <c r="L394">
        <v>7</v>
      </c>
      <c r="M394">
        <v>-5.6509999999999998</v>
      </c>
      <c r="N394">
        <v>1</v>
      </c>
      <c r="O394">
        <v>6.6500000000000004E-2</v>
      </c>
      <c r="P394">
        <v>4.3299999999999996E-3</v>
      </c>
      <c r="Q394">
        <v>0</v>
      </c>
      <c r="R394">
        <v>0.11799999999999999</v>
      </c>
      <c r="S394">
        <v>0.42499999999999999</v>
      </c>
      <c r="T394">
        <v>102.64400000000001</v>
      </c>
      <c r="U394">
        <v>4</v>
      </c>
      <c r="V394" t="s">
        <v>24</v>
      </c>
    </row>
    <row r="395" spans="3:22" x14ac:dyDescent="0.35">
      <c r="C395" t="s">
        <v>1219</v>
      </c>
      <c r="D395" t="s">
        <v>263</v>
      </c>
      <c r="E395" t="s">
        <v>100</v>
      </c>
      <c r="F395" t="s">
        <v>1220</v>
      </c>
      <c r="G395">
        <v>49</v>
      </c>
      <c r="H395">
        <v>163960</v>
      </c>
      <c r="I395" t="b">
        <v>0</v>
      </c>
      <c r="J395">
        <v>0.495</v>
      </c>
      <c r="K395">
        <v>0.22</v>
      </c>
      <c r="L395">
        <v>5</v>
      </c>
      <c r="M395">
        <v>-11.16</v>
      </c>
      <c r="N395">
        <v>1</v>
      </c>
      <c r="O395">
        <v>3.5499999999999997E-2</v>
      </c>
      <c r="P395">
        <v>0.84699999999999998</v>
      </c>
      <c r="Q395" s="1" t="s">
        <v>1221</v>
      </c>
      <c r="R395">
        <v>9.5699999999999993E-2</v>
      </c>
      <c r="S395">
        <v>0.34499999999999997</v>
      </c>
      <c r="T395">
        <v>126.61799999999999</v>
      </c>
      <c r="U395">
        <v>4</v>
      </c>
      <c r="V395" t="s">
        <v>24</v>
      </c>
    </row>
    <row r="396" spans="3:22" x14ac:dyDescent="0.35">
      <c r="C396" t="s">
        <v>1222</v>
      </c>
      <c r="D396" t="s">
        <v>1223</v>
      </c>
      <c r="E396" t="s">
        <v>1224</v>
      </c>
      <c r="F396" t="s">
        <v>1224</v>
      </c>
      <c r="G396">
        <v>33</v>
      </c>
      <c r="H396">
        <v>193874</v>
      </c>
      <c r="I396" t="b">
        <v>0</v>
      </c>
      <c r="J396">
        <v>0.628</v>
      </c>
      <c r="K396">
        <v>0.42399999999999999</v>
      </c>
      <c r="L396">
        <v>6</v>
      </c>
      <c r="M396">
        <v>-8.5389999999999997</v>
      </c>
      <c r="N396">
        <v>1</v>
      </c>
      <c r="O396">
        <v>4.1599999999999998E-2</v>
      </c>
      <c r="P396">
        <v>0.39500000000000002</v>
      </c>
      <c r="Q396" s="1" t="s">
        <v>1225</v>
      </c>
      <c r="R396">
        <v>0.106</v>
      </c>
      <c r="S396">
        <v>0.157</v>
      </c>
      <c r="T396">
        <v>99.695999999999998</v>
      </c>
      <c r="U396">
        <v>1</v>
      </c>
      <c r="V396" t="s">
        <v>24</v>
      </c>
    </row>
    <row r="397" spans="3:22" x14ac:dyDescent="0.35">
      <c r="C397" t="s">
        <v>1226</v>
      </c>
      <c r="D397" t="s">
        <v>140</v>
      </c>
      <c r="E397" t="s">
        <v>1227</v>
      </c>
      <c r="F397" t="s">
        <v>1228</v>
      </c>
      <c r="G397">
        <v>62</v>
      </c>
      <c r="H397">
        <v>213732</v>
      </c>
      <c r="I397" t="b">
        <v>0</v>
      </c>
      <c r="J397">
        <v>0.63900000000000001</v>
      </c>
      <c r="K397">
        <v>0.66600000000000004</v>
      </c>
      <c r="L397">
        <v>0</v>
      </c>
      <c r="M397">
        <v>-7.7750000000000004</v>
      </c>
      <c r="N397">
        <v>1</v>
      </c>
      <c r="O397">
        <v>6.3600000000000004E-2</v>
      </c>
      <c r="P397">
        <v>0.27100000000000002</v>
      </c>
      <c r="Q397">
        <v>0</v>
      </c>
      <c r="R397">
        <v>0.111</v>
      </c>
      <c r="S397">
        <v>0.372</v>
      </c>
      <c r="T397">
        <v>98.384</v>
      </c>
      <c r="U397">
        <v>4</v>
      </c>
      <c r="V397" t="s">
        <v>24</v>
      </c>
    </row>
    <row r="398" spans="3:22" x14ac:dyDescent="0.35">
      <c r="C398" t="s">
        <v>1229</v>
      </c>
      <c r="D398" t="s">
        <v>1230</v>
      </c>
      <c r="E398" t="s">
        <v>1231</v>
      </c>
      <c r="F398" t="s">
        <v>1232</v>
      </c>
      <c r="G398">
        <v>33</v>
      </c>
      <c r="H398">
        <v>227053</v>
      </c>
      <c r="I398" t="b">
        <v>0</v>
      </c>
      <c r="J398">
        <v>0.245</v>
      </c>
      <c r="K398">
        <v>0.624</v>
      </c>
      <c r="L398">
        <v>2</v>
      </c>
      <c r="M398">
        <v>-5.6059999999999999</v>
      </c>
      <c r="N398">
        <v>1</v>
      </c>
      <c r="O398">
        <v>3.6799999999999999E-2</v>
      </c>
      <c r="P398">
        <v>0.11</v>
      </c>
      <c r="Q398">
        <v>0</v>
      </c>
      <c r="R398">
        <v>0.36299999999999999</v>
      </c>
      <c r="S398">
        <v>0.46200000000000002</v>
      </c>
      <c r="T398">
        <v>162.58600000000001</v>
      </c>
      <c r="U398">
        <v>3</v>
      </c>
      <c r="V398" t="s">
        <v>24</v>
      </c>
    </row>
    <row r="399" spans="3:22" x14ac:dyDescent="0.35">
      <c r="C399" t="s">
        <v>1233</v>
      </c>
      <c r="D399" t="s">
        <v>1073</v>
      </c>
      <c r="E399" t="s">
        <v>1234</v>
      </c>
      <c r="F399" t="s">
        <v>1235</v>
      </c>
      <c r="G399">
        <v>31</v>
      </c>
      <c r="H399">
        <v>215440</v>
      </c>
      <c r="I399" t="b">
        <v>0</v>
      </c>
      <c r="J399">
        <v>0.38700000000000001</v>
      </c>
      <c r="K399">
        <v>0.52600000000000002</v>
      </c>
      <c r="L399">
        <v>9</v>
      </c>
      <c r="M399">
        <v>-7.6109999999999998</v>
      </c>
      <c r="N399">
        <v>0</v>
      </c>
      <c r="O399">
        <v>3.0099999999999998E-2</v>
      </c>
      <c r="P399">
        <v>0.24399999999999999</v>
      </c>
      <c r="Q399">
        <v>3.86E-4</v>
      </c>
      <c r="R399">
        <v>0.105</v>
      </c>
      <c r="S399">
        <v>0.33400000000000002</v>
      </c>
      <c r="T399">
        <v>130.71899999999999</v>
      </c>
      <c r="U399">
        <v>4</v>
      </c>
      <c r="V399" t="s">
        <v>24</v>
      </c>
    </row>
    <row r="400" spans="3:22" x14ac:dyDescent="0.35">
      <c r="C400" t="s">
        <v>1236</v>
      </c>
      <c r="D400" t="s">
        <v>769</v>
      </c>
      <c r="E400" t="s">
        <v>1237</v>
      </c>
      <c r="F400" t="s">
        <v>1238</v>
      </c>
      <c r="G400">
        <v>32</v>
      </c>
      <c r="H400">
        <v>136543</v>
      </c>
      <c r="I400" t="b">
        <v>0</v>
      </c>
      <c r="J400">
        <v>0.53900000000000003</v>
      </c>
      <c r="K400">
        <v>0.67500000000000004</v>
      </c>
      <c r="L400">
        <v>2</v>
      </c>
      <c r="M400">
        <v>-6.9870000000000001</v>
      </c>
      <c r="N400">
        <v>1</v>
      </c>
      <c r="O400">
        <v>7.0900000000000005E-2</v>
      </c>
      <c r="P400">
        <v>0.188</v>
      </c>
      <c r="Q400">
        <v>0</v>
      </c>
      <c r="R400">
        <v>0.19800000000000001</v>
      </c>
      <c r="S400">
        <v>0.71899999999999997</v>
      </c>
      <c r="T400">
        <v>142.041</v>
      </c>
      <c r="U400">
        <v>4</v>
      </c>
      <c r="V400" t="s">
        <v>24</v>
      </c>
    </row>
    <row r="401" spans="3:22" x14ac:dyDescent="0.35">
      <c r="C401" t="s">
        <v>1239</v>
      </c>
      <c r="D401" t="s">
        <v>769</v>
      </c>
      <c r="E401" t="s">
        <v>1237</v>
      </c>
      <c r="F401" t="s">
        <v>1240</v>
      </c>
      <c r="G401">
        <v>32</v>
      </c>
      <c r="H401">
        <v>223707</v>
      </c>
      <c r="I401" t="b">
        <v>1</v>
      </c>
      <c r="J401">
        <v>0.48699999999999999</v>
      </c>
      <c r="K401">
        <v>0.83699999999999997</v>
      </c>
      <c r="L401">
        <v>0</v>
      </c>
      <c r="M401">
        <v>-5.8650000000000002</v>
      </c>
      <c r="N401">
        <v>1</v>
      </c>
      <c r="O401">
        <v>6.2300000000000001E-2</v>
      </c>
      <c r="P401">
        <v>1.3299999999999999E-2</v>
      </c>
      <c r="Q401">
        <v>0</v>
      </c>
      <c r="R401">
        <v>0.10199999999999999</v>
      </c>
      <c r="S401">
        <v>0.20699999999999999</v>
      </c>
      <c r="T401">
        <v>160.02500000000001</v>
      </c>
      <c r="U401">
        <v>4</v>
      </c>
      <c r="V401" t="s">
        <v>24</v>
      </c>
    </row>
    <row r="402" spans="3:22" x14ac:dyDescent="0.35">
      <c r="C402" t="s">
        <v>1241</v>
      </c>
      <c r="D402" t="s">
        <v>1242</v>
      </c>
      <c r="E402" t="s">
        <v>1243</v>
      </c>
      <c r="F402" t="s">
        <v>1244</v>
      </c>
      <c r="G402">
        <v>54</v>
      </c>
      <c r="H402">
        <v>188181</v>
      </c>
      <c r="I402" t="b">
        <v>0</v>
      </c>
      <c r="J402">
        <v>0.52900000000000003</v>
      </c>
      <c r="K402">
        <v>0.24</v>
      </c>
      <c r="L402">
        <v>0</v>
      </c>
      <c r="M402">
        <v>-9.0660000000000007</v>
      </c>
      <c r="N402">
        <v>1</v>
      </c>
      <c r="O402">
        <v>3.6999999999999998E-2</v>
      </c>
      <c r="P402">
        <v>0.93799999999999994</v>
      </c>
      <c r="Q402">
        <v>0</v>
      </c>
      <c r="R402">
        <v>6.59E-2</v>
      </c>
      <c r="S402">
        <v>0.48699999999999999</v>
      </c>
      <c r="T402">
        <v>131.26599999999999</v>
      </c>
      <c r="U402">
        <v>4</v>
      </c>
      <c r="V402" t="s">
        <v>24</v>
      </c>
    </row>
    <row r="403" spans="3:22" x14ac:dyDescent="0.35">
      <c r="C403" t="s">
        <v>1245</v>
      </c>
      <c r="D403" t="s">
        <v>1246</v>
      </c>
      <c r="E403" t="s">
        <v>1247</v>
      </c>
      <c r="F403" t="s">
        <v>1248</v>
      </c>
      <c r="G403">
        <v>50</v>
      </c>
      <c r="H403">
        <v>171760</v>
      </c>
      <c r="I403" t="b">
        <v>0</v>
      </c>
      <c r="J403">
        <v>0.66600000000000004</v>
      </c>
      <c r="K403">
        <v>0.28899999999999998</v>
      </c>
      <c r="L403">
        <v>7</v>
      </c>
      <c r="M403">
        <v>-12.404</v>
      </c>
      <c r="N403">
        <v>1</v>
      </c>
      <c r="O403">
        <v>3.1699999999999999E-2</v>
      </c>
      <c r="P403">
        <v>0.64100000000000001</v>
      </c>
      <c r="Q403" s="1" t="s">
        <v>1249</v>
      </c>
      <c r="R403">
        <v>0.109</v>
      </c>
      <c r="S403">
        <v>0.41499999999999998</v>
      </c>
      <c r="T403">
        <v>109.965</v>
      </c>
      <c r="U403">
        <v>4</v>
      </c>
      <c r="V403" t="s">
        <v>24</v>
      </c>
    </row>
    <row r="404" spans="3:22" x14ac:dyDescent="0.35">
      <c r="C404" t="s">
        <v>1250</v>
      </c>
      <c r="D404" t="s">
        <v>1093</v>
      </c>
      <c r="E404" t="s">
        <v>1251</v>
      </c>
      <c r="F404" t="s">
        <v>1251</v>
      </c>
      <c r="G404">
        <v>58</v>
      </c>
      <c r="H404">
        <v>306243</v>
      </c>
      <c r="I404" t="b">
        <v>0</v>
      </c>
      <c r="J404">
        <v>0.45100000000000001</v>
      </c>
      <c r="K404">
        <v>3.1800000000000002E-2</v>
      </c>
      <c r="L404">
        <v>0</v>
      </c>
      <c r="M404">
        <v>-19.933</v>
      </c>
      <c r="N404">
        <v>0</v>
      </c>
      <c r="O404">
        <v>4.2099999999999999E-2</v>
      </c>
      <c r="P404">
        <v>0.98299999999999998</v>
      </c>
      <c r="Q404">
        <v>5.3199999999999997E-2</v>
      </c>
      <c r="R404">
        <v>9.8900000000000002E-2</v>
      </c>
      <c r="S404">
        <v>0.14799999999999999</v>
      </c>
      <c r="T404">
        <v>123.985</v>
      </c>
      <c r="U404">
        <v>4</v>
      </c>
      <c r="V404" t="s">
        <v>24</v>
      </c>
    </row>
    <row r="405" spans="3:22" x14ac:dyDescent="0.35">
      <c r="C405" t="s">
        <v>1252</v>
      </c>
      <c r="D405" t="s">
        <v>637</v>
      </c>
      <c r="E405" t="s">
        <v>1253</v>
      </c>
      <c r="F405" t="s">
        <v>1254</v>
      </c>
      <c r="G405">
        <v>49</v>
      </c>
      <c r="H405">
        <v>192389</v>
      </c>
      <c r="I405" t="b">
        <v>0</v>
      </c>
      <c r="J405">
        <v>0.35899999999999999</v>
      </c>
      <c r="K405">
        <v>0.20799999999999999</v>
      </c>
      <c r="L405">
        <v>7</v>
      </c>
      <c r="M405">
        <v>-10.567</v>
      </c>
      <c r="N405">
        <v>1</v>
      </c>
      <c r="O405">
        <v>3.5999999999999997E-2</v>
      </c>
      <c r="P405">
        <v>0.94299999999999995</v>
      </c>
      <c r="Q405">
        <v>0</v>
      </c>
      <c r="R405">
        <v>9.3100000000000002E-2</v>
      </c>
      <c r="S405">
        <v>0.105</v>
      </c>
      <c r="T405">
        <v>83.155000000000001</v>
      </c>
      <c r="U405">
        <v>3</v>
      </c>
      <c r="V405" t="s">
        <v>24</v>
      </c>
    </row>
    <row r="406" spans="3:22" x14ac:dyDescent="0.35">
      <c r="C406" t="s">
        <v>1255</v>
      </c>
      <c r="D406" t="s">
        <v>336</v>
      </c>
      <c r="E406" t="s">
        <v>97</v>
      </c>
      <c r="F406" t="s">
        <v>1256</v>
      </c>
      <c r="G406">
        <v>52</v>
      </c>
      <c r="H406">
        <v>218472</v>
      </c>
      <c r="I406" t="b">
        <v>0</v>
      </c>
      <c r="J406">
        <v>0.40300000000000002</v>
      </c>
      <c r="K406">
        <v>0.23699999999999999</v>
      </c>
      <c r="L406">
        <v>7</v>
      </c>
      <c r="M406">
        <v>-10.000999999999999</v>
      </c>
      <c r="N406">
        <v>1</v>
      </c>
      <c r="O406">
        <v>3.9100000000000003E-2</v>
      </c>
      <c r="P406">
        <v>0.90600000000000003</v>
      </c>
      <c r="Q406">
        <v>0</v>
      </c>
      <c r="R406">
        <v>0.111</v>
      </c>
      <c r="S406">
        <v>0.16300000000000001</v>
      </c>
      <c r="T406">
        <v>144.17400000000001</v>
      </c>
      <c r="U406">
        <v>4</v>
      </c>
      <c r="V406" t="s">
        <v>24</v>
      </c>
    </row>
    <row r="407" spans="3:22" x14ac:dyDescent="0.35">
      <c r="C407" t="s">
        <v>1257</v>
      </c>
      <c r="D407" t="s">
        <v>1121</v>
      </c>
      <c r="E407" t="s">
        <v>1258</v>
      </c>
      <c r="F407" t="s">
        <v>1259</v>
      </c>
      <c r="G407">
        <v>49</v>
      </c>
      <c r="H407">
        <v>177818</v>
      </c>
      <c r="I407" t="b">
        <v>0</v>
      </c>
      <c r="J407">
        <v>0.69299999999999995</v>
      </c>
      <c r="K407">
        <v>0.111</v>
      </c>
      <c r="L407">
        <v>0</v>
      </c>
      <c r="M407">
        <v>-12.356</v>
      </c>
      <c r="N407">
        <v>1</v>
      </c>
      <c r="O407">
        <v>3.7900000000000003E-2</v>
      </c>
      <c r="P407">
        <v>0.93700000000000006</v>
      </c>
      <c r="Q407" s="1" t="s">
        <v>1260</v>
      </c>
      <c r="R407">
        <v>8.5800000000000001E-2</v>
      </c>
      <c r="S407">
        <v>0.247</v>
      </c>
      <c r="T407">
        <v>110.813</v>
      </c>
      <c r="U407">
        <v>4</v>
      </c>
      <c r="V407" t="s">
        <v>24</v>
      </c>
    </row>
    <row r="408" spans="3:22" x14ac:dyDescent="0.35">
      <c r="C408" t="s">
        <v>1261</v>
      </c>
      <c r="D408" t="s">
        <v>21</v>
      </c>
      <c r="E408" t="s">
        <v>1262</v>
      </c>
      <c r="F408" t="s">
        <v>1263</v>
      </c>
      <c r="G408">
        <v>53</v>
      </c>
      <c r="H408">
        <v>251266</v>
      </c>
      <c r="I408" t="b">
        <v>0</v>
      </c>
      <c r="J408">
        <v>0.59799999999999998</v>
      </c>
      <c r="K408">
        <v>0.81899999999999995</v>
      </c>
      <c r="L408">
        <v>9</v>
      </c>
      <c r="M408">
        <v>-2.6190000000000002</v>
      </c>
      <c r="N408">
        <v>1</v>
      </c>
      <c r="O408">
        <v>9.11E-2</v>
      </c>
      <c r="P408">
        <v>8.0999999999999996E-4</v>
      </c>
      <c r="Q408">
        <v>0</v>
      </c>
      <c r="R408">
        <v>0.218</v>
      </c>
      <c r="S408">
        <v>0.878</v>
      </c>
      <c r="T408">
        <v>158.11500000000001</v>
      </c>
      <c r="U408">
        <v>4</v>
      </c>
      <c r="V408" t="s">
        <v>24</v>
      </c>
    </row>
    <row r="409" spans="3:22" x14ac:dyDescent="0.35">
      <c r="C409" t="s">
        <v>1264</v>
      </c>
      <c r="D409" t="s">
        <v>1265</v>
      </c>
      <c r="E409" t="s">
        <v>1266</v>
      </c>
      <c r="F409" t="s">
        <v>1267</v>
      </c>
      <c r="G409">
        <v>54</v>
      </c>
      <c r="H409">
        <v>239400</v>
      </c>
      <c r="I409" t="b">
        <v>0</v>
      </c>
      <c r="J409">
        <v>0.59599999999999997</v>
      </c>
      <c r="K409">
        <v>0.27</v>
      </c>
      <c r="L409">
        <v>2</v>
      </c>
      <c r="M409">
        <v>-11.486000000000001</v>
      </c>
      <c r="N409">
        <v>1</v>
      </c>
      <c r="O409">
        <v>2.6499999999999999E-2</v>
      </c>
      <c r="P409">
        <v>0.78500000000000003</v>
      </c>
      <c r="Q409">
        <v>0.13400000000000001</v>
      </c>
      <c r="R409">
        <v>6.4699999999999994E-2</v>
      </c>
      <c r="S409">
        <v>0.155</v>
      </c>
      <c r="T409">
        <v>100.006</v>
      </c>
      <c r="U409">
        <v>4</v>
      </c>
      <c r="V409" t="s">
        <v>24</v>
      </c>
    </row>
    <row r="410" spans="3:22" x14ac:dyDescent="0.35">
      <c r="C410" t="s">
        <v>1268</v>
      </c>
      <c r="D410" t="s">
        <v>1269</v>
      </c>
      <c r="E410" t="s">
        <v>1270</v>
      </c>
      <c r="F410" t="s">
        <v>1270</v>
      </c>
      <c r="G410">
        <v>50</v>
      </c>
      <c r="H410">
        <v>241413</v>
      </c>
      <c r="I410" t="b">
        <v>0</v>
      </c>
      <c r="J410">
        <v>0.58899999999999997</v>
      </c>
      <c r="K410">
        <v>0.33400000000000002</v>
      </c>
      <c r="L410">
        <v>7</v>
      </c>
      <c r="M410">
        <v>-10.08</v>
      </c>
      <c r="N410">
        <v>1</v>
      </c>
      <c r="O410">
        <v>2.9000000000000001E-2</v>
      </c>
      <c r="P410">
        <v>0.83199999999999996</v>
      </c>
      <c r="Q410">
        <v>0</v>
      </c>
      <c r="R410">
        <v>0.13300000000000001</v>
      </c>
      <c r="S410">
        <v>0.20799999999999999</v>
      </c>
      <c r="T410">
        <v>80.036000000000001</v>
      </c>
      <c r="U410">
        <v>4</v>
      </c>
      <c r="V410" t="s">
        <v>24</v>
      </c>
    </row>
    <row r="411" spans="3:22" x14ac:dyDescent="0.35">
      <c r="C411" t="s">
        <v>1271</v>
      </c>
      <c r="D411" t="s">
        <v>339</v>
      </c>
      <c r="E411" t="s">
        <v>1272</v>
      </c>
      <c r="F411" t="s">
        <v>1272</v>
      </c>
      <c r="G411">
        <v>57</v>
      </c>
      <c r="H411">
        <v>216800</v>
      </c>
      <c r="I411" t="b">
        <v>0</v>
      </c>
      <c r="J411">
        <v>0.73499999999999999</v>
      </c>
      <c r="K411">
        <v>0.27500000000000002</v>
      </c>
      <c r="L411">
        <v>8</v>
      </c>
      <c r="M411">
        <v>-8.9939999999999998</v>
      </c>
      <c r="N411">
        <v>0</v>
      </c>
      <c r="O411">
        <v>3.04E-2</v>
      </c>
      <c r="P411">
        <v>0.746</v>
      </c>
      <c r="Q411">
        <v>0</v>
      </c>
      <c r="R411">
        <v>0.13100000000000001</v>
      </c>
      <c r="S411">
        <v>0.29399999999999998</v>
      </c>
      <c r="T411">
        <v>116.004</v>
      </c>
      <c r="U411">
        <v>4</v>
      </c>
      <c r="V411" t="s">
        <v>24</v>
      </c>
    </row>
    <row r="412" spans="3:22" x14ac:dyDescent="0.35">
      <c r="C412" t="s">
        <v>1273</v>
      </c>
      <c r="D412" t="s">
        <v>1274</v>
      </c>
      <c r="E412" t="s">
        <v>1275</v>
      </c>
      <c r="F412" t="s">
        <v>1276</v>
      </c>
      <c r="G412">
        <v>53</v>
      </c>
      <c r="H412">
        <v>161306</v>
      </c>
      <c r="I412" t="b">
        <v>0</v>
      </c>
      <c r="J412">
        <v>0.60499999999999998</v>
      </c>
      <c r="K412">
        <v>0.16800000000000001</v>
      </c>
      <c r="L412">
        <v>2</v>
      </c>
      <c r="M412">
        <v>-11.388</v>
      </c>
      <c r="N412">
        <v>1</v>
      </c>
      <c r="O412">
        <v>4.9599999999999998E-2</v>
      </c>
      <c r="P412">
        <v>0.88700000000000001</v>
      </c>
      <c r="Q412">
        <v>0</v>
      </c>
      <c r="R412">
        <v>0.12</v>
      </c>
      <c r="S412">
        <v>0.39800000000000002</v>
      </c>
      <c r="T412">
        <v>119.836</v>
      </c>
      <c r="U412">
        <v>4</v>
      </c>
      <c r="V412" t="s">
        <v>24</v>
      </c>
    </row>
    <row r="413" spans="3:22" x14ac:dyDescent="0.35">
      <c r="C413" t="s">
        <v>1277</v>
      </c>
      <c r="D413" t="s">
        <v>34</v>
      </c>
      <c r="E413" t="s">
        <v>1278</v>
      </c>
      <c r="F413" t="s">
        <v>1278</v>
      </c>
      <c r="G413">
        <v>57</v>
      </c>
      <c r="H413">
        <v>153105</v>
      </c>
      <c r="I413" t="b">
        <v>0</v>
      </c>
      <c r="J413">
        <v>0.61199999999999999</v>
      </c>
      <c r="K413">
        <v>0.107</v>
      </c>
      <c r="L413">
        <v>0</v>
      </c>
      <c r="M413">
        <v>-15.867000000000001</v>
      </c>
      <c r="N413">
        <v>1</v>
      </c>
      <c r="O413">
        <v>3.0200000000000001E-2</v>
      </c>
      <c r="P413">
        <v>0.93600000000000005</v>
      </c>
      <c r="Q413">
        <v>0</v>
      </c>
      <c r="R413">
        <v>0.109</v>
      </c>
      <c r="S413">
        <v>0.63700000000000001</v>
      </c>
      <c r="T413">
        <v>78.393000000000001</v>
      </c>
      <c r="U413">
        <v>4</v>
      </c>
      <c r="V413" t="s">
        <v>24</v>
      </c>
    </row>
    <row r="414" spans="3:22" x14ac:dyDescent="0.35">
      <c r="C414" t="s">
        <v>1279</v>
      </c>
      <c r="D414" t="s">
        <v>339</v>
      </c>
      <c r="E414" t="s">
        <v>92</v>
      </c>
      <c r="F414" t="s">
        <v>615</v>
      </c>
      <c r="G414">
        <v>49</v>
      </c>
      <c r="H414">
        <v>202167</v>
      </c>
      <c r="I414" t="b">
        <v>0</v>
      </c>
      <c r="J414">
        <v>0.56799999999999995</v>
      </c>
      <c r="K414">
        <v>0.17699999999999999</v>
      </c>
      <c r="L414">
        <v>2</v>
      </c>
      <c r="M414">
        <v>-11.276999999999999</v>
      </c>
      <c r="N414">
        <v>1</v>
      </c>
      <c r="O414">
        <v>3.7400000000000003E-2</v>
      </c>
      <c r="P414">
        <v>0.93</v>
      </c>
      <c r="Q414">
        <v>0</v>
      </c>
      <c r="R414">
        <v>9.0499999999999997E-2</v>
      </c>
      <c r="S414">
        <v>0.35399999999999998</v>
      </c>
      <c r="T414">
        <v>103.822</v>
      </c>
      <c r="U414">
        <v>4</v>
      </c>
      <c r="V414" t="s">
        <v>24</v>
      </c>
    </row>
    <row r="415" spans="3:22" x14ac:dyDescent="0.35">
      <c r="C415" t="s">
        <v>1280</v>
      </c>
      <c r="D415" t="s">
        <v>352</v>
      </c>
      <c r="E415" t="s">
        <v>1281</v>
      </c>
      <c r="F415" t="s">
        <v>1282</v>
      </c>
      <c r="G415">
        <v>52</v>
      </c>
      <c r="H415">
        <v>173426</v>
      </c>
      <c r="I415" t="b">
        <v>0</v>
      </c>
      <c r="J415">
        <v>0.45100000000000001</v>
      </c>
      <c r="K415">
        <v>6.6500000000000004E-2</v>
      </c>
      <c r="L415">
        <v>0</v>
      </c>
      <c r="M415">
        <v>-13.862</v>
      </c>
      <c r="N415">
        <v>0</v>
      </c>
      <c r="O415">
        <v>5.16E-2</v>
      </c>
      <c r="P415">
        <v>0.96699999999999997</v>
      </c>
      <c r="Q415" s="1" t="s">
        <v>1283</v>
      </c>
      <c r="R415">
        <v>0.109</v>
      </c>
      <c r="S415">
        <v>0.34899999999999998</v>
      </c>
      <c r="T415">
        <v>64.289000000000001</v>
      </c>
      <c r="U415">
        <v>4</v>
      </c>
      <c r="V415" t="s">
        <v>24</v>
      </c>
    </row>
    <row r="416" spans="3:22" x14ac:dyDescent="0.35">
      <c r="C416" t="s">
        <v>1284</v>
      </c>
      <c r="D416" t="s">
        <v>1121</v>
      </c>
      <c r="E416" t="s">
        <v>1285</v>
      </c>
      <c r="F416" t="s">
        <v>1286</v>
      </c>
      <c r="G416">
        <v>51</v>
      </c>
      <c r="H416">
        <v>144644</v>
      </c>
      <c r="I416" t="b">
        <v>0</v>
      </c>
      <c r="J416">
        <v>0.59499999999999997</v>
      </c>
      <c r="K416">
        <v>4.7699999999999999E-2</v>
      </c>
      <c r="L416">
        <v>11</v>
      </c>
      <c r="M416">
        <v>-14.672000000000001</v>
      </c>
      <c r="N416">
        <v>1</v>
      </c>
      <c r="O416">
        <v>6.6199999999999995E-2</v>
      </c>
      <c r="P416">
        <v>0.92300000000000004</v>
      </c>
      <c r="Q416">
        <v>0</v>
      </c>
      <c r="R416">
        <v>9.0899999999999995E-2</v>
      </c>
      <c r="S416">
        <v>0.51300000000000001</v>
      </c>
      <c r="T416">
        <v>118.16200000000001</v>
      </c>
      <c r="U416">
        <v>3</v>
      </c>
      <c r="V416" t="s">
        <v>24</v>
      </c>
    </row>
    <row r="417" spans="3:22" x14ac:dyDescent="0.35">
      <c r="C417" t="s">
        <v>1287</v>
      </c>
      <c r="D417" t="s">
        <v>225</v>
      </c>
      <c r="E417" t="s">
        <v>1288</v>
      </c>
      <c r="F417" t="s">
        <v>1288</v>
      </c>
      <c r="G417">
        <v>46</v>
      </c>
      <c r="H417">
        <v>212760</v>
      </c>
      <c r="I417" t="b">
        <v>0</v>
      </c>
      <c r="J417">
        <v>0.307</v>
      </c>
      <c r="K417">
        <v>0.11</v>
      </c>
      <c r="L417">
        <v>1</v>
      </c>
      <c r="M417">
        <v>-15.253</v>
      </c>
      <c r="N417">
        <v>1</v>
      </c>
      <c r="O417">
        <v>3.8800000000000001E-2</v>
      </c>
      <c r="P417">
        <v>0.73299999999999998</v>
      </c>
      <c r="Q417" s="1" t="s">
        <v>1289</v>
      </c>
      <c r="R417">
        <v>0.111</v>
      </c>
      <c r="S417">
        <v>0.32</v>
      </c>
      <c r="T417">
        <v>201.00800000000001</v>
      </c>
      <c r="U417">
        <v>3</v>
      </c>
      <c r="V417" t="s">
        <v>24</v>
      </c>
    </row>
    <row r="418" spans="3:22" x14ac:dyDescent="0.35">
      <c r="C418" t="s">
        <v>1290</v>
      </c>
      <c r="D418" t="s">
        <v>39</v>
      </c>
      <c r="E418" t="s">
        <v>1291</v>
      </c>
      <c r="F418" t="s">
        <v>1291</v>
      </c>
      <c r="G418">
        <v>41</v>
      </c>
      <c r="H418">
        <v>241758</v>
      </c>
      <c r="I418" t="b">
        <v>0</v>
      </c>
      <c r="J418">
        <v>0.3</v>
      </c>
      <c r="K418">
        <v>0.27</v>
      </c>
      <c r="L418">
        <v>8</v>
      </c>
      <c r="M418">
        <v>-14.397</v>
      </c>
      <c r="N418">
        <v>0</v>
      </c>
      <c r="O418">
        <v>3.7100000000000001E-2</v>
      </c>
      <c r="P418">
        <v>0.9</v>
      </c>
      <c r="Q418" s="1" t="s">
        <v>1292</v>
      </c>
      <c r="R418">
        <v>0.1</v>
      </c>
      <c r="S418">
        <v>0.214</v>
      </c>
      <c r="T418">
        <v>144.589</v>
      </c>
      <c r="U418">
        <v>4</v>
      </c>
      <c r="V418" t="s">
        <v>24</v>
      </c>
    </row>
    <row r="419" spans="3:22" x14ac:dyDescent="0.35">
      <c r="C419" t="s">
        <v>1293</v>
      </c>
      <c r="D419" t="s">
        <v>1294</v>
      </c>
      <c r="E419" t="s">
        <v>1295</v>
      </c>
      <c r="F419" t="s">
        <v>1295</v>
      </c>
      <c r="G419">
        <v>57</v>
      </c>
      <c r="H419">
        <v>169600</v>
      </c>
      <c r="I419" t="b">
        <v>0</v>
      </c>
      <c r="J419">
        <v>0.73099999999999998</v>
      </c>
      <c r="K419">
        <v>0.191</v>
      </c>
      <c r="L419">
        <v>0</v>
      </c>
      <c r="M419">
        <v>-11.359</v>
      </c>
      <c r="N419">
        <v>1</v>
      </c>
      <c r="O419">
        <v>0.122</v>
      </c>
      <c r="P419">
        <v>0.73499999999999999</v>
      </c>
      <c r="Q419">
        <v>0.67100000000000004</v>
      </c>
      <c r="R419">
        <v>0.13100000000000001</v>
      </c>
      <c r="S419">
        <v>0.27400000000000002</v>
      </c>
      <c r="T419">
        <v>149.91</v>
      </c>
      <c r="U419">
        <v>4</v>
      </c>
      <c r="V419" t="s">
        <v>24</v>
      </c>
    </row>
    <row r="420" spans="3:22" x14ac:dyDescent="0.35">
      <c r="C420" t="s">
        <v>1296</v>
      </c>
      <c r="D420" t="s">
        <v>1297</v>
      </c>
      <c r="E420" t="s">
        <v>1298</v>
      </c>
      <c r="F420" t="s">
        <v>888</v>
      </c>
      <c r="G420">
        <v>50</v>
      </c>
      <c r="H420">
        <v>306626</v>
      </c>
      <c r="I420" t="b">
        <v>0</v>
      </c>
      <c r="J420">
        <v>0.54500000000000004</v>
      </c>
      <c r="K420">
        <v>0.745</v>
      </c>
      <c r="L420">
        <v>2</v>
      </c>
      <c r="M420">
        <v>-3.0979999999999999</v>
      </c>
      <c r="N420">
        <v>1</v>
      </c>
      <c r="O420">
        <v>2.86E-2</v>
      </c>
      <c r="P420">
        <v>4.5199999999999997E-2</v>
      </c>
      <c r="Q420">
        <v>0</v>
      </c>
      <c r="R420">
        <v>9.0700000000000003E-2</v>
      </c>
      <c r="S420">
        <v>0.41299999999999998</v>
      </c>
      <c r="T420">
        <v>106.09399999999999</v>
      </c>
      <c r="U420">
        <v>4</v>
      </c>
      <c r="V420" t="s">
        <v>24</v>
      </c>
    </row>
    <row r="421" spans="3:22" x14ac:dyDescent="0.35">
      <c r="C421" t="s">
        <v>1299</v>
      </c>
      <c r="D421" t="s">
        <v>1300</v>
      </c>
      <c r="E421" t="s">
        <v>1301</v>
      </c>
      <c r="F421" t="s">
        <v>1302</v>
      </c>
      <c r="G421">
        <v>42</v>
      </c>
      <c r="H421">
        <v>214466</v>
      </c>
      <c r="I421" t="b">
        <v>0</v>
      </c>
      <c r="J421">
        <v>0.35599999999999998</v>
      </c>
      <c r="K421">
        <v>0.23</v>
      </c>
      <c r="L421">
        <v>6</v>
      </c>
      <c r="M421">
        <v>-16.957000000000001</v>
      </c>
      <c r="N421">
        <v>0</v>
      </c>
      <c r="O421">
        <v>5.1900000000000002E-2</v>
      </c>
      <c r="P421">
        <v>0.92300000000000004</v>
      </c>
      <c r="Q421">
        <v>0.80100000000000005</v>
      </c>
      <c r="R421">
        <v>0.112</v>
      </c>
      <c r="S421">
        <v>0.11</v>
      </c>
      <c r="T421">
        <v>129.53200000000001</v>
      </c>
      <c r="U421">
        <v>4</v>
      </c>
      <c r="V421" t="s">
        <v>24</v>
      </c>
    </row>
    <row r="422" spans="3:22" x14ac:dyDescent="0.35">
      <c r="C422" t="s">
        <v>1303</v>
      </c>
      <c r="D422" t="s">
        <v>1304</v>
      </c>
      <c r="E422" t="s">
        <v>1305</v>
      </c>
      <c r="F422" t="s">
        <v>1306</v>
      </c>
      <c r="G422">
        <v>47</v>
      </c>
      <c r="H422">
        <v>160466</v>
      </c>
      <c r="I422" t="b">
        <v>0</v>
      </c>
      <c r="J422">
        <v>0.432</v>
      </c>
      <c r="K422">
        <v>0.79600000000000004</v>
      </c>
      <c r="L422">
        <v>7</v>
      </c>
      <c r="M422">
        <v>-7.2619999999999996</v>
      </c>
      <c r="N422">
        <v>1</v>
      </c>
      <c r="O422">
        <v>6.0600000000000001E-2</v>
      </c>
      <c r="P422">
        <v>1.5300000000000001E-4</v>
      </c>
      <c r="Q422">
        <v>2.0899999999999998E-3</v>
      </c>
      <c r="R422">
        <v>0.26600000000000001</v>
      </c>
      <c r="S422">
        <v>0.27100000000000002</v>
      </c>
      <c r="T422">
        <v>141.86799999999999</v>
      </c>
      <c r="U422">
        <v>4</v>
      </c>
      <c r="V422" t="s">
        <v>24</v>
      </c>
    </row>
    <row r="423" spans="3:22" x14ac:dyDescent="0.35">
      <c r="C423" t="s">
        <v>1307</v>
      </c>
      <c r="D423" t="s">
        <v>696</v>
      </c>
      <c r="E423" t="s">
        <v>1308</v>
      </c>
      <c r="F423" t="s">
        <v>1308</v>
      </c>
      <c r="G423">
        <v>55</v>
      </c>
      <c r="H423">
        <v>178826</v>
      </c>
      <c r="I423" t="b">
        <v>0</v>
      </c>
      <c r="J423">
        <v>0.69299999999999995</v>
      </c>
      <c r="K423">
        <v>0.66400000000000003</v>
      </c>
      <c r="L423">
        <v>4</v>
      </c>
      <c r="M423">
        <v>-5.8520000000000003</v>
      </c>
      <c r="N423">
        <v>1</v>
      </c>
      <c r="O423">
        <v>3.3599999999999998E-2</v>
      </c>
      <c r="P423">
        <v>3.09E-2</v>
      </c>
      <c r="Q423">
        <v>0</v>
      </c>
      <c r="R423">
        <v>0.223</v>
      </c>
      <c r="S423">
        <v>0.436</v>
      </c>
      <c r="T423">
        <v>132.059</v>
      </c>
      <c r="U423">
        <v>4</v>
      </c>
      <c r="V423" t="s">
        <v>24</v>
      </c>
    </row>
    <row r="424" spans="3:22" x14ac:dyDescent="0.35">
      <c r="C424" t="s">
        <v>1309</v>
      </c>
      <c r="D424" t="s">
        <v>418</v>
      </c>
      <c r="E424" t="s">
        <v>1310</v>
      </c>
      <c r="F424" t="s">
        <v>1311</v>
      </c>
      <c r="G424">
        <v>56</v>
      </c>
      <c r="H424">
        <v>138506</v>
      </c>
      <c r="I424" t="b">
        <v>0</v>
      </c>
      <c r="J424">
        <v>0.624</v>
      </c>
      <c r="K424">
        <v>0.33400000000000002</v>
      </c>
      <c r="L424">
        <v>3</v>
      </c>
      <c r="M424">
        <v>-11.89</v>
      </c>
      <c r="N424">
        <v>1</v>
      </c>
      <c r="O424">
        <v>3.9100000000000003E-2</v>
      </c>
      <c r="P424">
        <v>0.32100000000000001</v>
      </c>
      <c r="Q424" s="1" t="s">
        <v>1312</v>
      </c>
      <c r="R424">
        <v>0.113</v>
      </c>
      <c r="S424">
        <v>0.39700000000000002</v>
      </c>
      <c r="T424">
        <v>157.91999999999999</v>
      </c>
      <c r="U424">
        <v>4</v>
      </c>
      <c r="V424" t="s">
        <v>24</v>
      </c>
    </row>
    <row r="425" spans="3:22" x14ac:dyDescent="0.35">
      <c r="C425" t="s">
        <v>1313</v>
      </c>
      <c r="D425" t="s">
        <v>431</v>
      </c>
      <c r="E425" t="s">
        <v>883</v>
      </c>
      <c r="F425" t="s">
        <v>1314</v>
      </c>
      <c r="G425">
        <v>49</v>
      </c>
      <c r="H425">
        <v>230613</v>
      </c>
      <c r="I425" t="b">
        <v>0</v>
      </c>
      <c r="J425">
        <v>0.42299999999999999</v>
      </c>
      <c r="K425">
        <v>0.57199999999999995</v>
      </c>
      <c r="L425">
        <v>6</v>
      </c>
      <c r="M425">
        <v>-5.109</v>
      </c>
      <c r="N425">
        <v>1</v>
      </c>
      <c r="O425">
        <v>3.4700000000000002E-2</v>
      </c>
      <c r="P425">
        <v>1.5800000000000002E-2</v>
      </c>
      <c r="Q425">
        <v>0</v>
      </c>
      <c r="R425">
        <v>0.23100000000000001</v>
      </c>
      <c r="S425">
        <v>0.17</v>
      </c>
      <c r="T425">
        <v>165.39400000000001</v>
      </c>
      <c r="U425">
        <v>4</v>
      </c>
      <c r="V425" t="s">
        <v>24</v>
      </c>
    </row>
    <row r="426" spans="3:22" x14ac:dyDescent="0.35">
      <c r="C426" t="s">
        <v>1315</v>
      </c>
      <c r="D426" t="s">
        <v>1316</v>
      </c>
      <c r="E426" t="s">
        <v>1317</v>
      </c>
      <c r="F426" t="s">
        <v>830</v>
      </c>
      <c r="G426">
        <v>50</v>
      </c>
      <c r="H426">
        <v>111842</v>
      </c>
      <c r="I426" t="b">
        <v>0</v>
      </c>
      <c r="J426">
        <v>0.55500000000000005</v>
      </c>
      <c r="K426">
        <v>8.7900000000000006E-2</v>
      </c>
      <c r="L426">
        <v>0</v>
      </c>
      <c r="M426">
        <v>-12.141</v>
      </c>
      <c r="N426">
        <v>1</v>
      </c>
      <c r="O426">
        <v>4.7699999999999999E-2</v>
      </c>
      <c r="P426">
        <v>0.96799999999999997</v>
      </c>
      <c r="Q426">
        <v>0</v>
      </c>
      <c r="R426">
        <v>9.6000000000000002E-2</v>
      </c>
      <c r="S426">
        <v>0.42799999999999999</v>
      </c>
      <c r="T426">
        <v>84.174000000000007</v>
      </c>
      <c r="U426">
        <v>4</v>
      </c>
      <c r="V426" t="s">
        <v>24</v>
      </c>
    </row>
    <row r="427" spans="3:22" x14ac:dyDescent="0.35">
      <c r="C427" t="s">
        <v>1318</v>
      </c>
      <c r="D427" t="s">
        <v>1319</v>
      </c>
      <c r="E427" t="s">
        <v>1320</v>
      </c>
      <c r="F427" t="s">
        <v>1320</v>
      </c>
      <c r="G427">
        <v>56</v>
      </c>
      <c r="H427">
        <v>183213</v>
      </c>
      <c r="I427" t="b">
        <v>0</v>
      </c>
      <c r="J427">
        <v>0.496</v>
      </c>
      <c r="K427">
        <v>0.39100000000000001</v>
      </c>
      <c r="L427">
        <v>10</v>
      </c>
      <c r="M427">
        <v>-9.8439999999999994</v>
      </c>
      <c r="N427">
        <v>1</v>
      </c>
      <c r="O427">
        <v>3.1099999999999999E-2</v>
      </c>
      <c r="P427">
        <v>0.82599999999999996</v>
      </c>
      <c r="Q427">
        <v>1.26E-2</v>
      </c>
      <c r="R427">
        <v>0.108</v>
      </c>
      <c r="S427">
        <v>0.49199999999999999</v>
      </c>
      <c r="T427">
        <v>108.86799999999999</v>
      </c>
      <c r="U427">
        <v>4</v>
      </c>
      <c r="V427" t="s">
        <v>24</v>
      </c>
    </row>
    <row r="428" spans="3:22" x14ac:dyDescent="0.35">
      <c r="C428" t="s">
        <v>1321</v>
      </c>
      <c r="D428" t="s">
        <v>339</v>
      </c>
      <c r="E428" t="s">
        <v>1322</v>
      </c>
      <c r="F428" t="s">
        <v>1322</v>
      </c>
      <c r="G428">
        <v>52</v>
      </c>
      <c r="H428">
        <v>220507</v>
      </c>
      <c r="I428" t="b">
        <v>0</v>
      </c>
      <c r="J428">
        <v>0.67100000000000004</v>
      </c>
      <c r="K428">
        <v>0.29899999999999999</v>
      </c>
      <c r="L428">
        <v>7</v>
      </c>
      <c r="M428">
        <v>-10.582000000000001</v>
      </c>
      <c r="N428">
        <v>1</v>
      </c>
      <c r="O428">
        <v>2.8400000000000002E-2</v>
      </c>
      <c r="P428">
        <v>0.753</v>
      </c>
      <c r="Q428" s="1" t="s">
        <v>1323</v>
      </c>
      <c r="R428">
        <v>9.7500000000000003E-2</v>
      </c>
      <c r="S428">
        <v>0.28599999999999998</v>
      </c>
      <c r="T428">
        <v>95.007999999999996</v>
      </c>
      <c r="U428">
        <v>4</v>
      </c>
      <c r="V428" t="s">
        <v>24</v>
      </c>
    </row>
    <row r="429" spans="3:22" x14ac:dyDescent="0.35">
      <c r="C429" t="s">
        <v>1324</v>
      </c>
      <c r="D429" t="s">
        <v>278</v>
      </c>
      <c r="E429" t="s">
        <v>448</v>
      </c>
      <c r="F429" t="s">
        <v>1325</v>
      </c>
      <c r="G429">
        <v>50</v>
      </c>
      <c r="H429">
        <v>248506</v>
      </c>
      <c r="I429" t="b">
        <v>0</v>
      </c>
      <c r="J429">
        <v>0.379</v>
      </c>
      <c r="K429">
        <v>0.26700000000000002</v>
      </c>
      <c r="L429">
        <v>4</v>
      </c>
      <c r="M429">
        <v>-8.9809999999999999</v>
      </c>
      <c r="N429">
        <v>1</v>
      </c>
      <c r="O429">
        <v>2.93E-2</v>
      </c>
      <c r="P429">
        <v>0.60499999999999998</v>
      </c>
      <c r="Q429">
        <v>3.2200000000000002E-3</v>
      </c>
      <c r="R429">
        <v>0.152</v>
      </c>
      <c r="S429">
        <v>0.22900000000000001</v>
      </c>
      <c r="T429">
        <v>135.19800000000001</v>
      </c>
      <c r="U429">
        <v>4</v>
      </c>
      <c r="V429" t="s">
        <v>24</v>
      </c>
    </row>
    <row r="430" spans="3:22" x14ac:dyDescent="0.35">
      <c r="C430" t="s">
        <v>1326</v>
      </c>
      <c r="D430" t="s">
        <v>591</v>
      </c>
      <c r="E430" t="s">
        <v>1327</v>
      </c>
      <c r="F430" t="s">
        <v>1328</v>
      </c>
      <c r="G430">
        <v>53</v>
      </c>
      <c r="H430">
        <v>269986</v>
      </c>
      <c r="I430" t="b">
        <v>0</v>
      </c>
      <c r="J430">
        <v>0.499</v>
      </c>
      <c r="K430">
        <v>0.20899999999999999</v>
      </c>
      <c r="L430">
        <v>3</v>
      </c>
      <c r="M430">
        <v>-16.667999999999999</v>
      </c>
      <c r="N430">
        <v>1</v>
      </c>
      <c r="O430">
        <v>3.0499999999999999E-2</v>
      </c>
      <c r="P430">
        <v>0.88200000000000001</v>
      </c>
      <c r="Q430">
        <v>4.9100000000000003E-3</v>
      </c>
      <c r="R430">
        <v>8.7999999999999995E-2</v>
      </c>
      <c r="S430">
        <v>0.13800000000000001</v>
      </c>
      <c r="T430">
        <v>82.891999999999996</v>
      </c>
      <c r="U430">
        <v>4</v>
      </c>
      <c r="V430" t="s">
        <v>24</v>
      </c>
    </row>
    <row r="431" spans="3:22" x14ac:dyDescent="0.35">
      <c r="C431" t="s">
        <v>1329</v>
      </c>
      <c r="D431" t="s">
        <v>991</v>
      </c>
      <c r="E431" t="s">
        <v>1330</v>
      </c>
      <c r="F431" t="s">
        <v>1331</v>
      </c>
      <c r="G431">
        <v>33</v>
      </c>
      <c r="H431">
        <v>272773</v>
      </c>
      <c r="I431" t="b">
        <v>0</v>
      </c>
      <c r="J431">
        <v>0.64900000000000002</v>
      </c>
      <c r="K431">
        <v>0.33600000000000002</v>
      </c>
      <c r="L431">
        <v>7</v>
      </c>
      <c r="M431">
        <v>-12.053000000000001</v>
      </c>
      <c r="N431">
        <v>1</v>
      </c>
      <c r="O431">
        <v>2.9899999999999999E-2</v>
      </c>
      <c r="P431">
        <v>0.27</v>
      </c>
      <c r="Q431">
        <v>0</v>
      </c>
      <c r="R431">
        <v>0.13700000000000001</v>
      </c>
      <c r="S431">
        <v>0.47</v>
      </c>
      <c r="T431">
        <v>71.966999999999999</v>
      </c>
      <c r="U431">
        <v>4</v>
      </c>
      <c r="V431" t="s">
        <v>24</v>
      </c>
    </row>
    <row r="432" spans="3:22" x14ac:dyDescent="0.35">
      <c r="C432" t="s">
        <v>1332</v>
      </c>
      <c r="D432" t="s">
        <v>1333</v>
      </c>
      <c r="E432" t="s">
        <v>1334</v>
      </c>
      <c r="F432" t="s">
        <v>1335</v>
      </c>
      <c r="G432">
        <v>54</v>
      </c>
      <c r="H432">
        <v>189646</v>
      </c>
      <c r="I432" t="b">
        <v>0</v>
      </c>
      <c r="J432">
        <v>0.746</v>
      </c>
      <c r="K432">
        <v>0.25700000000000001</v>
      </c>
      <c r="L432">
        <v>0</v>
      </c>
      <c r="M432">
        <v>-9.8780000000000001</v>
      </c>
      <c r="N432">
        <v>1</v>
      </c>
      <c r="O432">
        <v>3.1199999999999999E-2</v>
      </c>
      <c r="P432">
        <v>0.77200000000000002</v>
      </c>
      <c r="Q432">
        <v>0</v>
      </c>
      <c r="R432">
        <v>0.107</v>
      </c>
      <c r="S432">
        <v>0.34799999999999998</v>
      </c>
      <c r="T432">
        <v>132.03200000000001</v>
      </c>
      <c r="U432">
        <v>4</v>
      </c>
      <c r="V432" t="s">
        <v>24</v>
      </c>
    </row>
    <row r="433" spans="3:22" x14ac:dyDescent="0.35">
      <c r="C433" t="s">
        <v>1336</v>
      </c>
      <c r="D433" t="s">
        <v>45</v>
      </c>
      <c r="E433" t="s">
        <v>1337</v>
      </c>
      <c r="F433" t="s">
        <v>1338</v>
      </c>
      <c r="G433">
        <v>50</v>
      </c>
      <c r="H433">
        <v>262820</v>
      </c>
      <c r="I433" t="b">
        <v>0</v>
      </c>
      <c r="J433">
        <v>0.39300000000000002</v>
      </c>
      <c r="K433">
        <v>0.26800000000000002</v>
      </c>
      <c r="L433">
        <v>9</v>
      </c>
      <c r="M433">
        <v>-6.7409999999999997</v>
      </c>
      <c r="N433">
        <v>1</v>
      </c>
      <c r="O433">
        <v>3.85E-2</v>
      </c>
      <c r="P433">
        <v>0.69699999999999995</v>
      </c>
      <c r="Q433">
        <v>0</v>
      </c>
      <c r="R433">
        <v>0.11</v>
      </c>
      <c r="S433">
        <v>0.22500000000000001</v>
      </c>
      <c r="T433">
        <v>110.456</v>
      </c>
      <c r="U433">
        <v>4</v>
      </c>
      <c r="V433" t="s">
        <v>24</v>
      </c>
    </row>
    <row r="434" spans="3:22" x14ac:dyDescent="0.35">
      <c r="C434" t="s">
        <v>1339</v>
      </c>
      <c r="D434" t="s">
        <v>1002</v>
      </c>
      <c r="E434" t="s">
        <v>1340</v>
      </c>
      <c r="F434" t="s">
        <v>1341</v>
      </c>
      <c r="G434">
        <v>54</v>
      </c>
      <c r="H434">
        <v>195213</v>
      </c>
      <c r="I434" t="b">
        <v>0</v>
      </c>
      <c r="J434">
        <v>0.629</v>
      </c>
      <c r="K434">
        <v>0.67300000000000004</v>
      </c>
      <c r="L434">
        <v>6</v>
      </c>
      <c r="M434">
        <v>-4.3789999999999996</v>
      </c>
      <c r="N434">
        <v>1</v>
      </c>
      <c r="O434">
        <v>2.6200000000000001E-2</v>
      </c>
      <c r="P434">
        <v>0.29399999999999998</v>
      </c>
      <c r="Q434">
        <v>1.09E-2</v>
      </c>
      <c r="R434">
        <v>0.13900000000000001</v>
      </c>
      <c r="S434">
        <v>0.41899999999999998</v>
      </c>
      <c r="T434">
        <v>114.24299999999999</v>
      </c>
      <c r="U434">
        <v>4</v>
      </c>
      <c r="V434" t="s">
        <v>24</v>
      </c>
    </row>
    <row r="435" spans="3:22" x14ac:dyDescent="0.35">
      <c r="C435" t="s">
        <v>1342</v>
      </c>
      <c r="D435" t="s">
        <v>188</v>
      </c>
      <c r="E435" t="s">
        <v>1343</v>
      </c>
      <c r="F435" t="s">
        <v>245</v>
      </c>
      <c r="G435">
        <v>55</v>
      </c>
      <c r="H435">
        <v>228311</v>
      </c>
      <c r="I435" t="b">
        <v>0</v>
      </c>
      <c r="J435">
        <v>0.45800000000000002</v>
      </c>
      <c r="K435">
        <v>0.36299999999999999</v>
      </c>
      <c r="L435">
        <v>5</v>
      </c>
      <c r="M435">
        <v>-6.4729999999999999</v>
      </c>
      <c r="N435">
        <v>1</v>
      </c>
      <c r="O435">
        <v>3.2000000000000001E-2</v>
      </c>
      <c r="P435">
        <v>0.89200000000000002</v>
      </c>
      <c r="Q435" s="1" t="s">
        <v>1344</v>
      </c>
      <c r="R435">
        <v>0.155</v>
      </c>
      <c r="S435">
        <v>0.49199999999999999</v>
      </c>
      <c r="T435">
        <v>134.25200000000001</v>
      </c>
      <c r="U435">
        <v>3</v>
      </c>
      <c r="V435" t="s">
        <v>24</v>
      </c>
    </row>
    <row r="436" spans="3:22" x14ac:dyDescent="0.35">
      <c r="C436" t="s">
        <v>1345</v>
      </c>
      <c r="D436" t="s">
        <v>1346</v>
      </c>
      <c r="E436" t="s">
        <v>1347</v>
      </c>
      <c r="F436" t="s">
        <v>1347</v>
      </c>
      <c r="G436">
        <v>32</v>
      </c>
      <c r="H436">
        <v>155792</v>
      </c>
      <c r="I436" t="b">
        <v>0</v>
      </c>
      <c r="J436">
        <v>0.45200000000000001</v>
      </c>
      <c r="K436">
        <v>0.26800000000000002</v>
      </c>
      <c r="L436">
        <v>8</v>
      </c>
      <c r="M436">
        <v>-9.4049999999999994</v>
      </c>
      <c r="N436">
        <v>1</v>
      </c>
      <c r="O436">
        <v>3.1099999999999999E-2</v>
      </c>
      <c r="P436">
        <v>0.96099999999999997</v>
      </c>
      <c r="Q436" s="1" t="s">
        <v>1348</v>
      </c>
      <c r="R436">
        <v>0.11899999999999999</v>
      </c>
      <c r="S436">
        <v>0.26500000000000001</v>
      </c>
      <c r="T436">
        <v>66.805000000000007</v>
      </c>
      <c r="U436">
        <v>4</v>
      </c>
      <c r="V436" t="s">
        <v>24</v>
      </c>
    </row>
    <row r="437" spans="3:22" x14ac:dyDescent="0.35">
      <c r="C437" t="s">
        <v>1349</v>
      </c>
      <c r="D437" t="s">
        <v>991</v>
      </c>
      <c r="E437" t="s">
        <v>1350</v>
      </c>
      <c r="F437" t="s">
        <v>1351</v>
      </c>
      <c r="G437">
        <v>33</v>
      </c>
      <c r="H437">
        <v>256506</v>
      </c>
      <c r="I437" t="b">
        <v>0</v>
      </c>
      <c r="J437">
        <v>0.61599999999999999</v>
      </c>
      <c r="K437">
        <v>0.79100000000000004</v>
      </c>
      <c r="L437">
        <v>9</v>
      </c>
      <c r="M437">
        <v>-6.2460000000000004</v>
      </c>
      <c r="N437">
        <v>1</v>
      </c>
      <c r="O437">
        <v>2.93E-2</v>
      </c>
      <c r="P437">
        <v>5.9900000000000002E-2</v>
      </c>
      <c r="Q437" s="1" t="s">
        <v>1352</v>
      </c>
      <c r="R437">
        <v>0.318</v>
      </c>
      <c r="S437">
        <v>0.58899999999999997</v>
      </c>
      <c r="T437">
        <v>126.764</v>
      </c>
      <c r="U437">
        <v>4</v>
      </c>
      <c r="V437" t="s">
        <v>24</v>
      </c>
    </row>
    <row r="438" spans="3:22" x14ac:dyDescent="0.35">
      <c r="C438" t="s">
        <v>1353</v>
      </c>
      <c r="D438" t="s">
        <v>1354</v>
      </c>
      <c r="E438" t="s">
        <v>1355</v>
      </c>
      <c r="F438" t="s">
        <v>1356</v>
      </c>
      <c r="G438">
        <v>50</v>
      </c>
      <c r="H438">
        <v>240000</v>
      </c>
      <c r="I438" t="b">
        <v>0</v>
      </c>
      <c r="J438">
        <v>0.61899999999999999</v>
      </c>
      <c r="K438">
        <v>0.27800000000000002</v>
      </c>
      <c r="L438">
        <v>4</v>
      </c>
      <c r="M438">
        <v>-7.0720000000000001</v>
      </c>
      <c r="N438">
        <v>1</v>
      </c>
      <c r="O438">
        <v>2.6700000000000002E-2</v>
      </c>
      <c r="P438">
        <v>0.83599999999999997</v>
      </c>
      <c r="Q438">
        <v>0</v>
      </c>
      <c r="R438">
        <v>0.121</v>
      </c>
      <c r="S438">
        <v>0.23300000000000001</v>
      </c>
      <c r="T438">
        <v>129.94800000000001</v>
      </c>
      <c r="U438">
        <v>4</v>
      </c>
      <c r="V438" t="s">
        <v>24</v>
      </c>
    </row>
    <row r="439" spans="3:22" x14ac:dyDescent="0.35">
      <c r="C439" t="s">
        <v>1357</v>
      </c>
      <c r="D439" t="s">
        <v>517</v>
      </c>
      <c r="E439" t="s">
        <v>1358</v>
      </c>
      <c r="F439" t="s">
        <v>1359</v>
      </c>
      <c r="G439">
        <v>56</v>
      </c>
      <c r="H439">
        <v>193333</v>
      </c>
      <c r="I439" t="b">
        <v>0</v>
      </c>
      <c r="J439">
        <v>0.63400000000000001</v>
      </c>
      <c r="K439">
        <v>0.17599999999999999</v>
      </c>
      <c r="L439">
        <v>0</v>
      </c>
      <c r="M439">
        <v>-14.702999999999999</v>
      </c>
      <c r="N439">
        <v>1</v>
      </c>
      <c r="O439">
        <v>3.0700000000000002E-2</v>
      </c>
      <c r="P439">
        <v>0.93100000000000005</v>
      </c>
      <c r="Q439" s="1" t="s">
        <v>1360</v>
      </c>
      <c r="R439">
        <v>0.13600000000000001</v>
      </c>
      <c r="S439">
        <v>0.33500000000000002</v>
      </c>
      <c r="T439">
        <v>107.974</v>
      </c>
      <c r="U439">
        <v>4</v>
      </c>
      <c r="V439" t="s">
        <v>24</v>
      </c>
    </row>
    <row r="440" spans="3:22" x14ac:dyDescent="0.35">
      <c r="C440" t="s">
        <v>1361</v>
      </c>
      <c r="D440" t="s">
        <v>609</v>
      </c>
      <c r="E440" t="s">
        <v>610</v>
      </c>
      <c r="F440" t="s">
        <v>1362</v>
      </c>
      <c r="G440">
        <v>63</v>
      </c>
      <c r="H440">
        <v>273066</v>
      </c>
      <c r="I440" t="b">
        <v>0</v>
      </c>
      <c r="J440">
        <v>0.54900000000000004</v>
      </c>
      <c r="K440">
        <v>0.437</v>
      </c>
      <c r="L440">
        <v>7</v>
      </c>
      <c r="M440">
        <v>-8.64</v>
      </c>
      <c r="N440">
        <v>1</v>
      </c>
      <c r="O440">
        <v>3.1300000000000001E-2</v>
      </c>
      <c r="P440">
        <v>0.68200000000000005</v>
      </c>
      <c r="Q440" s="1" t="s">
        <v>1363</v>
      </c>
      <c r="R440">
        <v>0.224</v>
      </c>
      <c r="S440">
        <v>0.68799999999999994</v>
      </c>
      <c r="T440">
        <v>153.60400000000001</v>
      </c>
      <c r="U440">
        <v>4</v>
      </c>
      <c r="V440" t="s">
        <v>24</v>
      </c>
    </row>
    <row r="441" spans="3:22" x14ac:dyDescent="0.35">
      <c r="C441" t="s">
        <v>1364</v>
      </c>
      <c r="D441" t="s">
        <v>149</v>
      </c>
      <c r="E441" t="s">
        <v>285</v>
      </c>
      <c r="F441" t="s">
        <v>1365</v>
      </c>
      <c r="G441">
        <v>48</v>
      </c>
      <c r="H441">
        <v>162309</v>
      </c>
      <c r="I441" t="b">
        <v>0</v>
      </c>
      <c r="J441">
        <v>0.29199999999999998</v>
      </c>
      <c r="K441">
        <v>0.33900000000000002</v>
      </c>
      <c r="L441">
        <v>7</v>
      </c>
      <c r="M441">
        <v>-13.153</v>
      </c>
      <c r="N441">
        <v>1</v>
      </c>
      <c r="O441">
        <v>3.2000000000000001E-2</v>
      </c>
      <c r="P441">
        <v>0.92300000000000004</v>
      </c>
      <c r="Q441">
        <v>0.879</v>
      </c>
      <c r="R441">
        <v>0.111</v>
      </c>
      <c r="S441">
        <v>0.34300000000000003</v>
      </c>
      <c r="T441">
        <v>100.69</v>
      </c>
      <c r="U441">
        <v>4</v>
      </c>
      <c r="V441" t="s">
        <v>24</v>
      </c>
    </row>
    <row r="442" spans="3:22" x14ac:dyDescent="0.35">
      <c r="C442" t="s">
        <v>1366</v>
      </c>
      <c r="D442" t="s">
        <v>1367</v>
      </c>
      <c r="E442" t="s">
        <v>1368</v>
      </c>
      <c r="F442" t="s">
        <v>1369</v>
      </c>
      <c r="G442">
        <v>54</v>
      </c>
      <c r="H442">
        <v>190106</v>
      </c>
      <c r="I442" t="b">
        <v>0</v>
      </c>
      <c r="J442">
        <v>0.504</v>
      </c>
      <c r="K442">
        <v>2.7300000000000001E-2</v>
      </c>
      <c r="L442">
        <v>2</v>
      </c>
      <c r="M442">
        <v>-21.440999999999999</v>
      </c>
      <c r="N442">
        <v>1</v>
      </c>
      <c r="O442">
        <v>4.1500000000000002E-2</v>
      </c>
      <c r="P442">
        <v>0.93100000000000005</v>
      </c>
      <c r="Q442" s="1" t="s">
        <v>1370</v>
      </c>
      <c r="R442">
        <v>0.109</v>
      </c>
      <c r="S442">
        <v>0.39500000000000002</v>
      </c>
      <c r="T442">
        <v>120.24</v>
      </c>
      <c r="U442">
        <v>4</v>
      </c>
      <c r="V442" t="s">
        <v>24</v>
      </c>
    </row>
    <row r="443" spans="3:22" x14ac:dyDescent="0.35">
      <c r="C443" t="s">
        <v>1371</v>
      </c>
      <c r="D443" t="s">
        <v>1372</v>
      </c>
      <c r="E443" t="s">
        <v>1373</v>
      </c>
      <c r="F443" t="s">
        <v>1374</v>
      </c>
      <c r="G443">
        <v>31</v>
      </c>
      <c r="H443">
        <v>319320</v>
      </c>
      <c r="I443" t="b">
        <v>0</v>
      </c>
      <c r="J443">
        <v>0.63600000000000001</v>
      </c>
      <c r="K443">
        <v>0.86899999999999999</v>
      </c>
      <c r="L443">
        <v>6</v>
      </c>
      <c r="M443">
        <v>-5.0949999999999998</v>
      </c>
      <c r="N443">
        <v>0</v>
      </c>
      <c r="O443">
        <v>2.8400000000000002E-2</v>
      </c>
      <c r="P443">
        <v>0.129</v>
      </c>
      <c r="Q443">
        <v>5.5399999999999998E-2</v>
      </c>
      <c r="R443">
        <v>0.27200000000000002</v>
      </c>
      <c r="S443">
        <v>0.36899999999999999</v>
      </c>
      <c r="T443">
        <v>124.18300000000001</v>
      </c>
      <c r="U443">
        <v>4</v>
      </c>
      <c r="V443" t="s">
        <v>24</v>
      </c>
    </row>
    <row r="444" spans="3:22" x14ac:dyDescent="0.35">
      <c r="C444" t="s">
        <v>1375</v>
      </c>
      <c r="D444" t="s">
        <v>1073</v>
      </c>
      <c r="E444" t="s">
        <v>1376</v>
      </c>
      <c r="F444" t="s">
        <v>1377</v>
      </c>
      <c r="G444">
        <v>31</v>
      </c>
      <c r="H444">
        <v>237093</v>
      </c>
      <c r="I444" t="b">
        <v>0</v>
      </c>
      <c r="J444">
        <v>0.48599999999999999</v>
      </c>
      <c r="K444">
        <v>0.91300000000000003</v>
      </c>
      <c r="L444">
        <v>5</v>
      </c>
      <c r="M444">
        <v>-6.4160000000000004</v>
      </c>
      <c r="N444">
        <v>1</v>
      </c>
      <c r="O444">
        <v>6.1600000000000002E-2</v>
      </c>
      <c r="P444" s="1" t="s">
        <v>1378</v>
      </c>
      <c r="Q444">
        <v>0.28899999999999998</v>
      </c>
      <c r="R444">
        <v>0.22500000000000001</v>
      </c>
      <c r="S444">
        <v>0.33400000000000002</v>
      </c>
      <c r="T444">
        <v>136.07300000000001</v>
      </c>
      <c r="U444">
        <v>4</v>
      </c>
      <c r="V444" t="s">
        <v>24</v>
      </c>
    </row>
    <row r="445" spans="3:22" x14ac:dyDescent="0.35">
      <c r="C445" t="s">
        <v>1379</v>
      </c>
      <c r="D445" t="s">
        <v>917</v>
      </c>
      <c r="E445" t="s">
        <v>918</v>
      </c>
      <c r="F445" t="s">
        <v>1380</v>
      </c>
      <c r="G445">
        <v>60</v>
      </c>
      <c r="H445">
        <v>235586</v>
      </c>
      <c r="I445" t="b">
        <v>0</v>
      </c>
      <c r="J445">
        <v>0.39600000000000002</v>
      </c>
      <c r="K445">
        <v>0.19800000000000001</v>
      </c>
      <c r="L445">
        <v>2</v>
      </c>
      <c r="M445">
        <v>-9.0960000000000001</v>
      </c>
      <c r="N445">
        <v>1</v>
      </c>
      <c r="O445">
        <v>3.1E-2</v>
      </c>
      <c r="P445">
        <v>0.91200000000000003</v>
      </c>
      <c r="Q445">
        <v>0</v>
      </c>
      <c r="R445">
        <v>9.7199999999999995E-2</v>
      </c>
      <c r="S445">
        <v>0.19</v>
      </c>
      <c r="T445">
        <v>138.624</v>
      </c>
      <c r="U445">
        <v>3</v>
      </c>
      <c r="V445" t="s">
        <v>24</v>
      </c>
    </row>
    <row r="446" spans="3:22" x14ac:dyDescent="0.35">
      <c r="C446" t="s">
        <v>1381</v>
      </c>
      <c r="D446" t="s">
        <v>712</v>
      </c>
      <c r="E446" t="s">
        <v>1382</v>
      </c>
      <c r="F446" t="s">
        <v>1383</v>
      </c>
      <c r="G446">
        <v>67</v>
      </c>
      <c r="H446">
        <v>231840</v>
      </c>
      <c r="I446" t="b">
        <v>0</v>
      </c>
      <c r="J446">
        <v>0.57799999999999996</v>
      </c>
      <c r="K446">
        <v>0.72699999999999998</v>
      </c>
      <c r="L446">
        <v>10</v>
      </c>
      <c r="M446">
        <v>-4.8719999999999999</v>
      </c>
      <c r="N446">
        <v>1</v>
      </c>
      <c r="O446">
        <v>3.32E-2</v>
      </c>
      <c r="P446">
        <v>3.04E-2</v>
      </c>
      <c r="Q446" s="1" t="s">
        <v>1384</v>
      </c>
      <c r="R446">
        <v>0.17199999999999999</v>
      </c>
      <c r="S446">
        <v>0.88500000000000001</v>
      </c>
      <c r="T446">
        <v>170.59299999999999</v>
      </c>
      <c r="U446">
        <v>4</v>
      </c>
      <c r="V446" t="s">
        <v>24</v>
      </c>
    </row>
    <row r="447" spans="3:22" x14ac:dyDescent="0.35">
      <c r="C447" t="s">
        <v>1385</v>
      </c>
      <c r="D447" t="s">
        <v>1230</v>
      </c>
      <c r="E447" t="s">
        <v>1386</v>
      </c>
      <c r="F447" t="s">
        <v>1387</v>
      </c>
      <c r="G447">
        <v>33</v>
      </c>
      <c r="H447">
        <v>163666</v>
      </c>
      <c r="I447" t="b">
        <v>0</v>
      </c>
      <c r="J447">
        <v>0.68400000000000005</v>
      </c>
      <c r="K447">
        <v>0.50900000000000001</v>
      </c>
      <c r="L447">
        <v>4</v>
      </c>
      <c r="M447">
        <v>-7.6079999999999997</v>
      </c>
      <c r="N447">
        <v>1</v>
      </c>
      <c r="O447">
        <v>3.3399999999999999E-2</v>
      </c>
      <c r="P447">
        <v>0.57099999999999995</v>
      </c>
      <c r="Q447">
        <v>0</v>
      </c>
      <c r="R447">
        <v>0.40200000000000002</v>
      </c>
      <c r="S447">
        <v>0.69</v>
      </c>
      <c r="T447">
        <v>132.297</v>
      </c>
      <c r="U447">
        <v>4</v>
      </c>
      <c r="V447" t="s">
        <v>24</v>
      </c>
    </row>
    <row r="448" spans="3:22" x14ac:dyDescent="0.35">
      <c r="C448" t="s">
        <v>1388</v>
      </c>
      <c r="D448" t="s">
        <v>1389</v>
      </c>
      <c r="E448" t="s">
        <v>1390</v>
      </c>
      <c r="F448" t="s">
        <v>1391</v>
      </c>
      <c r="G448">
        <v>32</v>
      </c>
      <c r="H448">
        <v>122026</v>
      </c>
      <c r="I448" t="b">
        <v>1</v>
      </c>
      <c r="J448">
        <v>0.623</v>
      </c>
      <c r="K448">
        <v>0.56699999999999995</v>
      </c>
      <c r="L448">
        <v>10</v>
      </c>
      <c r="M448">
        <v>-7.7789999999999999</v>
      </c>
      <c r="N448">
        <v>1</v>
      </c>
      <c r="O448">
        <v>3.6999999999999998E-2</v>
      </c>
      <c r="P448">
        <v>0.83099999999999996</v>
      </c>
      <c r="Q448" s="1" t="s">
        <v>1392</v>
      </c>
      <c r="R448">
        <v>0.104</v>
      </c>
      <c r="S448">
        <v>0.92900000000000005</v>
      </c>
      <c r="T448">
        <v>129.94900000000001</v>
      </c>
      <c r="U448">
        <v>4</v>
      </c>
      <c r="V448" t="s">
        <v>24</v>
      </c>
    </row>
    <row r="449" spans="3:22" x14ac:dyDescent="0.35">
      <c r="C449" t="s">
        <v>1393</v>
      </c>
      <c r="D449" t="s">
        <v>1069</v>
      </c>
      <c r="E449" t="s">
        <v>1394</v>
      </c>
      <c r="F449" t="s">
        <v>1395</v>
      </c>
      <c r="G449">
        <v>31</v>
      </c>
      <c r="H449">
        <v>165799</v>
      </c>
      <c r="I449" t="b">
        <v>0</v>
      </c>
      <c r="J449">
        <v>0.22800000000000001</v>
      </c>
      <c r="K449">
        <v>0.57399999999999995</v>
      </c>
      <c r="L449">
        <v>4</v>
      </c>
      <c r="M449">
        <v>-7.9589999999999996</v>
      </c>
      <c r="N449">
        <v>0</v>
      </c>
      <c r="O449">
        <v>4.2099999999999999E-2</v>
      </c>
      <c r="P449">
        <v>0.51700000000000002</v>
      </c>
      <c r="Q449">
        <v>1.48E-3</v>
      </c>
      <c r="R449">
        <v>0.128</v>
      </c>
      <c r="S449">
        <v>0.38900000000000001</v>
      </c>
      <c r="T449">
        <v>182.37899999999999</v>
      </c>
      <c r="U449">
        <v>4</v>
      </c>
      <c r="V449" t="s">
        <v>24</v>
      </c>
    </row>
    <row r="450" spans="3:22" x14ac:dyDescent="0.35">
      <c r="C450" t="s">
        <v>1396</v>
      </c>
      <c r="D450" t="s">
        <v>1316</v>
      </c>
      <c r="E450" t="s">
        <v>314</v>
      </c>
      <c r="F450" t="s">
        <v>1397</v>
      </c>
      <c r="G450">
        <v>0</v>
      </c>
      <c r="H450">
        <v>160666</v>
      </c>
      <c r="I450" t="b">
        <v>0</v>
      </c>
      <c r="J450">
        <v>0.80900000000000005</v>
      </c>
      <c r="K450">
        <v>0.313</v>
      </c>
      <c r="L450">
        <v>9</v>
      </c>
      <c r="M450">
        <v>-12.182</v>
      </c>
      <c r="N450">
        <v>1</v>
      </c>
      <c r="O450">
        <v>4.2799999999999998E-2</v>
      </c>
      <c r="P450">
        <v>0.876</v>
      </c>
      <c r="Q450">
        <v>0</v>
      </c>
      <c r="R450">
        <v>0.112</v>
      </c>
      <c r="S450">
        <v>0.35</v>
      </c>
      <c r="T450">
        <v>114.955</v>
      </c>
      <c r="U450">
        <v>4</v>
      </c>
      <c r="V450" t="s">
        <v>24</v>
      </c>
    </row>
    <row r="451" spans="3:22" x14ac:dyDescent="0.35">
      <c r="C451" t="s">
        <v>1398</v>
      </c>
      <c r="D451" t="s">
        <v>769</v>
      </c>
      <c r="E451" t="s">
        <v>770</v>
      </c>
      <c r="F451" t="s">
        <v>1399</v>
      </c>
      <c r="G451">
        <v>31</v>
      </c>
      <c r="H451">
        <v>195640</v>
      </c>
      <c r="I451" t="b">
        <v>0</v>
      </c>
      <c r="J451">
        <v>0.48199999999999998</v>
      </c>
      <c r="K451">
        <v>0.77200000000000002</v>
      </c>
      <c r="L451">
        <v>1</v>
      </c>
      <c r="M451">
        <v>-5.1280000000000001</v>
      </c>
      <c r="N451">
        <v>1</v>
      </c>
      <c r="O451">
        <v>3.1800000000000002E-2</v>
      </c>
      <c r="P451">
        <v>2.6499999999999999E-2</v>
      </c>
      <c r="Q451">
        <v>0</v>
      </c>
      <c r="R451">
        <v>0.26900000000000002</v>
      </c>
      <c r="S451">
        <v>0.58599999999999997</v>
      </c>
      <c r="T451">
        <v>129.91</v>
      </c>
      <c r="U451">
        <v>4</v>
      </c>
      <c r="V451" t="s">
        <v>24</v>
      </c>
    </row>
    <row r="452" spans="3:22" x14ac:dyDescent="0.35">
      <c r="C452" t="s">
        <v>1400</v>
      </c>
      <c r="D452" t="s">
        <v>176</v>
      </c>
      <c r="E452" t="s">
        <v>1401</v>
      </c>
      <c r="F452" t="s">
        <v>1402</v>
      </c>
      <c r="G452">
        <v>45</v>
      </c>
      <c r="H452">
        <v>254296</v>
      </c>
      <c r="I452" t="b">
        <v>0</v>
      </c>
      <c r="J452">
        <v>0.42499999999999999</v>
      </c>
      <c r="K452">
        <v>0.249</v>
      </c>
      <c r="L452">
        <v>4</v>
      </c>
      <c r="M452">
        <v>-12.218999999999999</v>
      </c>
      <c r="N452">
        <v>0</v>
      </c>
      <c r="O452">
        <v>3.5499999999999997E-2</v>
      </c>
      <c r="P452">
        <v>0.87</v>
      </c>
      <c r="Q452">
        <v>1.75E-3</v>
      </c>
      <c r="R452">
        <v>0.124</v>
      </c>
      <c r="S452">
        <v>0.23499999999999999</v>
      </c>
      <c r="T452">
        <v>123.63200000000001</v>
      </c>
      <c r="U452">
        <v>4</v>
      </c>
      <c r="V452" t="s">
        <v>24</v>
      </c>
    </row>
    <row r="453" spans="3:22" x14ac:dyDescent="0.35">
      <c r="C453" t="s">
        <v>1403</v>
      </c>
      <c r="D453" t="s">
        <v>1093</v>
      </c>
      <c r="E453" t="s">
        <v>1404</v>
      </c>
      <c r="F453" t="s">
        <v>1405</v>
      </c>
      <c r="G453">
        <v>56</v>
      </c>
      <c r="H453">
        <v>256361</v>
      </c>
      <c r="I453" t="b">
        <v>0</v>
      </c>
      <c r="J453">
        <v>0.29799999999999999</v>
      </c>
      <c r="K453">
        <v>4.3999999999999997E-2</v>
      </c>
      <c r="L453">
        <v>5</v>
      </c>
      <c r="M453">
        <v>-20.175999999999998</v>
      </c>
      <c r="N453">
        <v>1</v>
      </c>
      <c r="O453">
        <v>3.5000000000000003E-2</v>
      </c>
      <c r="P453">
        <v>0.98299999999999998</v>
      </c>
      <c r="Q453">
        <v>0.124</v>
      </c>
      <c r="R453">
        <v>0.10100000000000001</v>
      </c>
      <c r="S453">
        <v>0.115</v>
      </c>
      <c r="T453">
        <v>85.707999999999998</v>
      </c>
      <c r="U453">
        <v>4</v>
      </c>
      <c r="V453" t="s">
        <v>24</v>
      </c>
    </row>
    <row r="454" spans="3:22" x14ac:dyDescent="0.35">
      <c r="C454" t="s">
        <v>1406</v>
      </c>
      <c r="D454" t="s">
        <v>792</v>
      </c>
      <c r="E454" t="s">
        <v>1407</v>
      </c>
      <c r="F454" t="s">
        <v>1408</v>
      </c>
      <c r="G454">
        <v>45</v>
      </c>
      <c r="H454">
        <v>297266</v>
      </c>
      <c r="I454" t="b">
        <v>0</v>
      </c>
      <c r="J454">
        <v>0.46800000000000003</v>
      </c>
      <c r="K454">
        <v>0.254</v>
      </c>
      <c r="L454">
        <v>6</v>
      </c>
      <c r="M454">
        <v>-11.839</v>
      </c>
      <c r="N454">
        <v>1</v>
      </c>
      <c r="O454">
        <v>3.0300000000000001E-2</v>
      </c>
      <c r="P454">
        <v>0.93799999999999994</v>
      </c>
      <c r="Q454">
        <v>4.4200000000000001E-4</v>
      </c>
      <c r="R454">
        <v>0.107</v>
      </c>
      <c r="S454">
        <v>0.24199999999999999</v>
      </c>
      <c r="T454">
        <v>135.86199999999999</v>
      </c>
      <c r="U454">
        <v>4</v>
      </c>
      <c r="V454" t="s">
        <v>24</v>
      </c>
    </row>
    <row r="455" spans="3:22" x14ac:dyDescent="0.35">
      <c r="C455" t="s">
        <v>1409</v>
      </c>
      <c r="D455" t="s">
        <v>1410</v>
      </c>
      <c r="E455" t="s">
        <v>628</v>
      </c>
      <c r="F455" t="s">
        <v>628</v>
      </c>
      <c r="G455">
        <v>42</v>
      </c>
      <c r="H455">
        <v>170125</v>
      </c>
      <c r="I455" t="b">
        <v>0</v>
      </c>
      <c r="J455">
        <v>0.50700000000000001</v>
      </c>
      <c r="K455">
        <v>0.191</v>
      </c>
      <c r="L455">
        <v>5</v>
      </c>
      <c r="M455">
        <v>-16.341999999999999</v>
      </c>
      <c r="N455">
        <v>1</v>
      </c>
      <c r="O455">
        <v>4.0800000000000003E-2</v>
      </c>
      <c r="P455">
        <v>0.99</v>
      </c>
      <c r="Q455">
        <v>0.93300000000000005</v>
      </c>
      <c r="R455">
        <v>0.108</v>
      </c>
      <c r="S455">
        <v>0.221</v>
      </c>
      <c r="T455">
        <v>132.131</v>
      </c>
      <c r="U455">
        <v>4</v>
      </c>
      <c r="V455" t="s">
        <v>24</v>
      </c>
    </row>
    <row r="456" spans="3:22" x14ac:dyDescent="0.35">
      <c r="C456" t="s">
        <v>1411</v>
      </c>
      <c r="D456" t="s">
        <v>431</v>
      </c>
      <c r="E456" t="s">
        <v>431</v>
      </c>
      <c r="F456" t="s">
        <v>562</v>
      </c>
      <c r="G456">
        <v>46</v>
      </c>
      <c r="H456">
        <v>273026</v>
      </c>
      <c r="I456" t="b">
        <v>0</v>
      </c>
      <c r="J456">
        <v>0.51500000000000001</v>
      </c>
      <c r="K456">
        <v>0.249</v>
      </c>
      <c r="L456">
        <v>8</v>
      </c>
      <c r="M456">
        <v>-10.108000000000001</v>
      </c>
      <c r="N456">
        <v>0</v>
      </c>
      <c r="O456">
        <v>4.3999999999999997E-2</v>
      </c>
      <c r="P456">
        <v>0.79300000000000004</v>
      </c>
      <c r="Q456">
        <v>0</v>
      </c>
      <c r="R456">
        <v>0.10199999999999999</v>
      </c>
      <c r="S456">
        <v>0.21299999999999999</v>
      </c>
      <c r="T456">
        <v>108.89</v>
      </c>
      <c r="U456">
        <v>5</v>
      </c>
      <c r="V456" t="s">
        <v>24</v>
      </c>
    </row>
    <row r="457" spans="3:22" x14ac:dyDescent="0.35">
      <c r="C457" t="s">
        <v>1412</v>
      </c>
      <c r="D457" t="s">
        <v>422</v>
      </c>
      <c r="E457" t="s">
        <v>1413</v>
      </c>
      <c r="F457" t="s">
        <v>1414</v>
      </c>
      <c r="G457">
        <v>50</v>
      </c>
      <c r="H457">
        <v>182826</v>
      </c>
      <c r="I457" t="b">
        <v>0</v>
      </c>
      <c r="J457">
        <v>0.56499999999999995</v>
      </c>
      <c r="K457">
        <v>0.89</v>
      </c>
      <c r="L457">
        <v>0</v>
      </c>
      <c r="M457">
        <v>-5.4809999999999999</v>
      </c>
      <c r="N457">
        <v>1</v>
      </c>
      <c r="O457">
        <v>2.8500000000000001E-2</v>
      </c>
      <c r="P457">
        <v>5.3699999999999998E-3</v>
      </c>
      <c r="Q457" s="1" t="s">
        <v>1415</v>
      </c>
      <c r="R457">
        <v>0.21299999999999999</v>
      </c>
      <c r="S457">
        <v>0.74399999999999999</v>
      </c>
      <c r="T457">
        <v>119.86199999999999</v>
      </c>
      <c r="U457">
        <v>4</v>
      </c>
      <c r="V457" t="s">
        <v>24</v>
      </c>
    </row>
    <row r="458" spans="3:22" x14ac:dyDescent="0.35">
      <c r="C458" t="s">
        <v>1416</v>
      </c>
      <c r="D458" t="s">
        <v>1417</v>
      </c>
      <c r="E458" t="s">
        <v>1418</v>
      </c>
      <c r="F458" t="s">
        <v>1419</v>
      </c>
      <c r="G458">
        <v>45</v>
      </c>
      <c r="H458">
        <v>217373</v>
      </c>
      <c r="I458" t="b">
        <v>0</v>
      </c>
      <c r="J458">
        <v>0.63500000000000001</v>
      </c>
      <c r="K458">
        <v>0.433</v>
      </c>
      <c r="L458">
        <v>11</v>
      </c>
      <c r="M458">
        <v>-7.6820000000000004</v>
      </c>
      <c r="N458">
        <v>0</v>
      </c>
      <c r="O458">
        <v>2.9000000000000001E-2</v>
      </c>
      <c r="P458">
        <v>0.86</v>
      </c>
      <c r="Q458">
        <v>0.43</v>
      </c>
      <c r="R458">
        <v>8.77E-2</v>
      </c>
      <c r="S458">
        <v>0.48899999999999999</v>
      </c>
      <c r="T458">
        <v>130.11099999999999</v>
      </c>
      <c r="U458">
        <v>4</v>
      </c>
      <c r="V458" t="s">
        <v>24</v>
      </c>
    </row>
    <row r="459" spans="3:22" x14ac:dyDescent="0.35">
      <c r="C459" t="s">
        <v>1420</v>
      </c>
      <c r="D459" t="s">
        <v>1421</v>
      </c>
      <c r="E459" t="s">
        <v>1422</v>
      </c>
      <c r="F459" t="s">
        <v>1423</v>
      </c>
      <c r="G459">
        <v>56</v>
      </c>
      <c r="H459">
        <v>208102</v>
      </c>
      <c r="I459" t="b">
        <v>0</v>
      </c>
      <c r="J459">
        <v>0.65700000000000003</v>
      </c>
      <c r="K459">
        <v>0.192</v>
      </c>
      <c r="L459">
        <v>10</v>
      </c>
      <c r="M459">
        <v>-13.108000000000001</v>
      </c>
      <c r="N459">
        <v>0</v>
      </c>
      <c r="O459">
        <v>3.6499999999999998E-2</v>
      </c>
      <c r="P459">
        <v>0.89400000000000002</v>
      </c>
      <c r="Q459">
        <v>0</v>
      </c>
      <c r="R459">
        <v>0.157</v>
      </c>
      <c r="S459">
        <v>0.30499999999999999</v>
      </c>
      <c r="T459">
        <v>130.08699999999999</v>
      </c>
      <c r="U459">
        <v>4</v>
      </c>
      <c r="V459" t="s">
        <v>24</v>
      </c>
    </row>
    <row r="460" spans="3:22" x14ac:dyDescent="0.35">
      <c r="C460" t="s">
        <v>1424</v>
      </c>
      <c r="D460" t="s">
        <v>426</v>
      </c>
      <c r="E460" t="s">
        <v>1425</v>
      </c>
      <c r="F460" t="s">
        <v>1426</v>
      </c>
      <c r="G460">
        <v>43</v>
      </c>
      <c r="H460">
        <v>241120</v>
      </c>
      <c r="I460" t="b">
        <v>0</v>
      </c>
      <c r="J460">
        <v>0.45900000000000002</v>
      </c>
      <c r="K460">
        <v>0.14000000000000001</v>
      </c>
      <c r="L460">
        <v>9</v>
      </c>
      <c r="M460">
        <v>-15.481999999999999</v>
      </c>
      <c r="N460">
        <v>1</v>
      </c>
      <c r="O460">
        <v>3.6700000000000003E-2</v>
      </c>
      <c r="P460">
        <v>0.89500000000000002</v>
      </c>
      <c r="Q460">
        <v>5.6499999999999996E-3</v>
      </c>
      <c r="R460">
        <v>0.13800000000000001</v>
      </c>
      <c r="S460">
        <v>0.14599999999999999</v>
      </c>
      <c r="T460">
        <v>128.904</v>
      </c>
      <c r="U460">
        <v>4</v>
      </c>
      <c r="V460" t="s">
        <v>24</v>
      </c>
    </row>
    <row r="461" spans="3:22" x14ac:dyDescent="0.35">
      <c r="C461" t="s">
        <v>1427</v>
      </c>
      <c r="D461" t="s">
        <v>1428</v>
      </c>
      <c r="E461" t="s">
        <v>1429</v>
      </c>
      <c r="F461" t="s">
        <v>1429</v>
      </c>
      <c r="G461">
        <v>39</v>
      </c>
      <c r="H461">
        <v>235000</v>
      </c>
      <c r="I461" t="b">
        <v>0</v>
      </c>
      <c r="J461">
        <v>0.39100000000000001</v>
      </c>
      <c r="K461">
        <v>0.31</v>
      </c>
      <c r="L461">
        <v>7</v>
      </c>
      <c r="M461">
        <v>-8.7059999999999995</v>
      </c>
      <c r="N461">
        <v>1</v>
      </c>
      <c r="O461">
        <v>2.6800000000000001E-2</v>
      </c>
      <c r="P461">
        <v>0.61399999999999999</v>
      </c>
      <c r="Q461" s="1" t="s">
        <v>1430</v>
      </c>
      <c r="R461">
        <v>0.1</v>
      </c>
      <c r="S461">
        <v>0.29499999999999998</v>
      </c>
      <c r="T461">
        <v>83.46</v>
      </c>
      <c r="U461">
        <v>4</v>
      </c>
      <c r="V461" t="s">
        <v>24</v>
      </c>
    </row>
    <row r="462" spans="3:22" x14ac:dyDescent="0.35">
      <c r="C462" t="s">
        <v>1431</v>
      </c>
      <c r="D462" t="s">
        <v>255</v>
      </c>
      <c r="E462" t="s">
        <v>1432</v>
      </c>
      <c r="F462" t="s">
        <v>1432</v>
      </c>
      <c r="G462">
        <v>53</v>
      </c>
      <c r="H462">
        <v>172766</v>
      </c>
      <c r="I462" t="b">
        <v>0</v>
      </c>
      <c r="J462">
        <v>0.371</v>
      </c>
      <c r="K462">
        <v>0.20799999999999999</v>
      </c>
      <c r="L462">
        <v>11</v>
      </c>
      <c r="M462">
        <v>-13.167</v>
      </c>
      <c r="N462">
        <v>1</v>
      </c>
      <c r="O462">
        <v>4.6199999999999998E-2</v>
      </c>
      <c r="P462">
        <v>0.91200000000000003</v>
      </c>
      <c r="Q462">
        <v>0</v>
      </c>
      <c r="R462">
        <v>0.105</v>
      </c>
      <c r="S462">
        <v>0.309</v>
      </c>
      <c r="T462">
        <v>199.80500000000001</v>
      </c>
      <c r="U462">
        <v>4</v>
      </c>
      <c r="V462" t="s">
        <v>24</v>
      </c>
    </row>
    <row r="463" spans="3:22" x14ac:dyDescent="0.35">
      <c r="C463" t="s">
        <v>1433</v>
      </c>
      <c r="D463" t="s">
        <v>278</v>
      </c>
      <c r="E463" t="s">
        <v>448</v>
      </c>
      <c r="F463" t="s">
        <v>1434</v>
      </c>
      <c r="G463">
        <v>45</v>
      </c>
      <c r="H463">
        <v>239855</v>
      </c>
      <c r="I463" t="b">
        <v>0</v>
      </c>
      <c r="J463">
        <v>0.45300000000000001</v>
      </c>
      <c r="K463">
        <v>0.46100000000000002</v>
      </c>
      <c r="L463">
        <v>0</v>
      </c>
      <c r="M463">
        <v>-9.3279999999999994</v>
      </c>
      <c r="N463">
        <v>0</v>
      </c>
      <c r="O463">
        <v>3.2899999999999999E-2</v>
      </c>
      <c r="P463">
        <v>0.16500000000000001</v>
      </c>
      <c r="Q463">
        <v>0</v>
      </c>
      <c r="R463">
        <v>0.109</v>
      </c>
      <c r="S463">
        <v>8.4400000000000003E-2</v>
      </c>
      <c r="T463">
        <v>106.84</v>
      </c>
      <c r="U463">
        <v>5</v>
      </c>
      <c r="V463" t="s">
        <v>24</v>
      </c>
    </row>
    <row r="464" spans="3:22" x14ac:dyDescent="0.35">
      <c r="C464" t="s">
        <v>1435</v>
      </c>
      <c r="D464" t="s">
        <v>60</v>
      </c>
      <c r="E464" t="s">
        <v>1436</v>
      </c>
      <c r="F464" t="s">
        <v>62</v>
      </c>
      <c r="G464">
        <v>32</v>
      </c>
      <c r="H464">
        <v>244800</v>
      </c>
      <c r="I464" t="b">
        <v>0</v>
      </c>
      <c r="J464">
        <v>0.627</v>
      </c>
      <c r="K464">
        <v>0.36299999999999999</v>
      </c>
      <c r="L464">
        <v>8</v>
      </c>
      <c r="M464">
        <v>-8.1270000000000007</v>
      </c>
      <c r="N464">
        <v>1</v>
      </c>
      <c r="O464">
        <v>2.9100000000000001E-2</v>
      </c>
      <c r="P464">
        <v>0.27900000000000003</v>
      </c>
      <c r="Q464">
        <v>0</v>
      </c>
      <c r="R464">
        <v>9.2799999999999994E-2</v>
      </c>
      <c r="S464">
        <v>0.30099999999999999</v>
      </c>
      <c r="T464">
        <v>99.905000000000001</v>
      </c>
      <c r="U464">
        <v>4</v>
      </c>
      <c r="V464" t="s">
        <v>24</v>
      </c>
    </row>
    <row r="465" spans="3:22" x14ac:dyDescent="0.35">
      <c r="C465" t="s">
        <v>1437</v>
      </c>
      <c r="D465" t="s">
        <v>255</v>
      </c>
      <c r="E465" t="s">
        <v>1438</v>
      </c>
      <c r="F465" t="s">
        <v>1438</v>
      </c>
      <c r="G465">
        <v>53</v>
      </c>
      <c r="H465">
        <v>141286</v>
      </c>
      <c r="I465" t="b">
        <v>0</v>
      </c>
      <c r="J465">
        <v>0.70599999999999996</v>
      </c>
      <c r="K465">
        <v>0.248</v>
      </c>
      <c r="L465">
        <v>11</v>
      </c>
      <c r="M465">
        <v>-12.724</v>
      </c>
      <c r="N465">
        <v>1</v>
      </c>
      <c r="O465">
        <v>3.8600000000000002E-2</v>
      </c>
      <c r="P465">
        <v>0.879</v>
      </c>
      <c r="Q465">
        <v>0</v>
      </c>
      <c r="R465">
        <v>0.10100000000000001</v>
      </c>
      <c r="S465">
        <v>0.40100000000000002</v>
      </c>
      <c r="T465">
        <v>125.515</v>
      </c>
      <c r="U465">
        <v>4</v>
      </c>
      <c r="V465" t="s">
        <v>24</v>
      </c>
    </row>
    <row r="466" spans="3:22" x14ac:dyDescent="0.35">
      <c r="C466" t="s">
        <v>1439</v>
      </c>
      <c r="D466" t="s">
        <v>1421</v>
      </c>
      <c r="E466" t="s">
        <v>1440</v>
      </c>
      <c r="F466" t="s">
        <v>1440</v>
      </c>
      <c r="G466">
        <v>54</v>
      </c>
      <c r="H466">
        <v>145514</v>
      </c>
      <c r="I466" t="b">
        <v>0</v>
      </c>
      <c r="J466">
        <v>0.72399999999999998</v>
      </c>
      <c r="K466">
        <v>0.28000000000000003</v>
      </c>
      <c r="L466">
        <v>9</v>
      </c>
      <c r="M466">
        <v>-12.788</v>
      </c>
      <c r="N466">
        <v>1</v>
      </c>
      <c r="O466">
        <v>3.0300000000000001E-2</v>
      </c>
      <c r="P466">
        <v>0.755</v>
      </c>
      <c r="Q466">
        <v>0</v>
      </c>
      <c r="R466">
        <v>0.32600000000000001</v>
      </c>
      <c r="S466">
        <v>0.52700000000000002</v>
      </c>
      <c r="T466">
        <v>106.96599999999999</v>
      </c>
      <c r="U466">
        <v>4</v>
      </c>
      <c r="V466" t="s">
        <v>24</v>
      </c>
    </row>
    <row r="467" spans="3:22" x14ac:dyDescent="0.35">
      <c r="C467" t="s">
        <v>1441</v>
      </c>
      <c r="D467" t="s">
        <v>400</v>
      </c>
      <c r="E467" t="s">
        <v>1442</v>
      </c>
      <c r="F467" t="s">
        <v>1442</v>
      </c>
      <c r="G467">
        <v>51</v>
      </c>
      <c r="H467">
        <v>223386</v>
      </c>
      <c r="I467" t="b">
        <v>0</v>
      </c>
      <c r="J467">
        <v>0.53500000000000003</v>
      </c>
      <c r="K467">
        <v>0.44400000000000001</v>
      </c>
      <c r="L467">
        <v>6</v>
      </c>
      <c r="M467">
        <v>-11.212</v>
      </c>
      <c r="N467">
        <v>1</v>
      </c>
      <c r="O467">
        <v>2.9100000000000001E-2</v>
      </c>
      <c r="P467">
        <v>0.66900000000000004</v>
      </c>
      <c r="Q467">
        <v>2.7799999999999998E-2</v>
      </c>
      <c r="R467">
        <v>0.104</v>
      </c>
      <c r="S467">
        <v>0.217</v>
      </c>
      <c r="T467">
        <v>83.99</v>
      </c>
      <c r="U467">
        <v>4</v>
      </c>
      <c r="V467" t="s">
        <v>24</v>
      </c>
    </row>
    <row r="468" spans="3:22" x14ac:dyDescent="0.35">
      <c r="C468" t="s">
        <v>1443</v>
      </c>
      <c r="D468" t="s">
        <v>874</v>
      </c>
      <c r="E468" t="s">
        <v>1444</v>
      </c>
      <c r="F468" t="s">
        <v>1444</v>
      </c>
      <c r="G468">
        <v>55</v>
      </c>
      <c r="H468">
        <v>136542</v>
      </c>
      <c r="I468" t="b">
        <v>0</v>
      </c>
      <c r="J468">
        <v>0.65800000000000003</v>
      </c>
      <c r="K468">
        <v>0.125</v>
      </c>
      <c r="L468">
        <v>8</v>
      </c>
      <c r="M468">
        <v>-15.901</v>
      </c>
      <c r="N468">
        <v>1</v>
      </c>
      <c r="O468">
        <v>3.2300000000000002E-2</v>
      </c>
      <c r="P468">
        <v>0.877</v>
      </c>
      <c r="Q468">
        <v>0</v>
      </c>
      <c r="R468">
        <v>0.28699999999999998</v>
      </c>
      <c r="S468">
        <v>0.50700000000000001</v>
      </c>
      <c r="T468">
        <v>106.68600000000001</v>
      </c>
      <c r="U468">
        <v>4</v>
      </c>
      <c r="V468" t="s">
        <v>24</v>
      </c>
    </row>
    <row r="469" spans="3:22" x14ac:dyDescent="0.35">
      <c r="C469" t="s">
        <v>1445</v>
      </c>
      <c r="D469" t="s">
        <v>83</v>
      </c>
      <c r="E469" t="s">
        <v>1446</v>
      </c>
      <c r="F469" t="s">
        <v>1446</v>
      </c>
      <c r="G469">
        <v>33</v>
      </c>
      <c r="H469">
        <v>211358</v>
      </c>
      <c r="I469" t="b">
        <v>0</v>
      </c>
      <c r="J469">
        <v>0.71099999999999997</v>
      </c>
      <c r="K469">
        <v>0.16800000000000001</v>
      </c>
      <c r="L469">
        <v>0</v>
      </c>
      <c r="M469">
        <v>-16.504000000000001</v>
      </c>
      <c r="N469">
        <v>1</v>
      </c>
      <c r="O469">
        <v>3.6700000000000003E-2</v>
      </c>
      <c r="P469">
        <v>0.86799999999999999</v>
      </c>
      <c r="Q469" s="1" t="s">
        <v>1384</v>
      </c>
      <c r="R469">
        <v>0.114</v>
      </c>
      <c r="S469">
        <v>0.29899999999999999</v>
      </c>
      <c r="T469">
        <v>109.937</v>
      </c>
      <c r="U469">
        <v>4</v>
      </c>
      <c r="V469" t="s">
        <v>24</v>
      </c>
    </row>
    <row r="470" spans="3:22" x14ac:dyDescent="0.35">
      <c r="C470" t="s">
        <v>1447</v>
      </c>
      <c r="D470" t="s">
        <v>215</v>
      </c>
      <c r="E470" t="s">
        <v>1448</v>
      </c>
      <c r="F470" t="s">
        <v>1449</v>
      </c>
      <c r="G470">
        <v>55</v>
      </c>
      <c r="H470">
        <v>76453</v>
      </c>
      <c r="I470" t="b">
        <v>0</v>
      </c>
      <c r="J470">
        <v>0.504</v>
      </c>
      <c r="K470">
        <v>0.41499999999999998</v>
      </c>
      <c r="L470">
        <v>8</v>
      </c>
      <c r="M470">
        <v>-19.308</v>
      </c>
      <c r="N470">
        <v>0</v>
      </c>
      <c r="O470">
        <v>0.121</v>
      </c>
      <c r="P470">
        <v>0.879</v>
      </c>
      <c r="Q470">
        <v>0.49399999999999999</v>
      </c>
      <c r="R470">
        <v>0.35</v>
      </c>
      <c r="S470">
        <v>0.626</v>
      </c>
      <c r="T470">
        <v>114.26300000000001</v>
      </c>
      <c r="U470">
        <v>4</v>
      </c>
      <c r="V470" t="s">
        <v>24</v>
      </c>
    </row>
    <row r="471" spans="3:22" x14ac:dyDescent="0.35">
      <c r="C471" t="s">
        <v>1450</v>
      </c>
      <c r="D471" t="s">
        <v>696</v>
      </c>
      <c r="E471" t="s">
        <v>1451</v>
      </c>
      <c r="F471" t="s">
        <v>1452</v>
      </c>
      <c r="G471">
        <v>46</v>
      </c>
      <c r="H471">
        <v>273126</v>
      </c>
      <c r="I471" t="b">
        <v>0</v>
      </c>
      <c r="J471">
        <v>0.309</v>
      </c>
      <c r="K471">
        <v>0.17499999999999999</v>
      </c>
      <c r="L471">
        <v>8</v>
      </c>
      <c r="M471">
        <v>-11.816000000000001</v>
      </c>
      <c r="N471">
        <v>1</v>
      </c>
      <c r="O471">
        <v>3.3099999999999997E-2</v>
      </c>
      <c r="P471">
        <v>0.91300000000000003</v>
      </c>
      <c r="Q471" s="1" t="s">
        <v>1453</v>
      </c>
      <c r="R471">
        <v>0.11799999999999999</v>
      </c>
      <c r="S471">
        <v>0.19800000000000001</v>
      </c>
      <c r="T471">
        <v>155.69</v>
      </c>
      <c r="U471">
        <v>3</v>
      </c>
      <c r="V471" t="s">
        <v>24</v>
      </c>
    </row>
    <row r="472" spans="3:22" x14ac:dyDescent="0.35">
      <c r="C472" t="s">
        <v>1454</v>
      </c>
      <c r="D472" t="s">
        <v>1202</v>
      </c>
      <c r="E472" t="s">
        <v>1455</v>
      </c>
      <c r="F472" t="s">
        <v>1456</v>
      </c>
      <c r="G472">
        <v>30</v>
      </c>
      <c r="H472">
        <v>268736</v>
      </c>
      <c r="I472" t="b">
        <v>0</v>
      </c>
      <c r="J472">
        <v>0.628</v>
      </c>
      <c r="K472">
        <v>2.7E-2</v>
      </c>
      <c r="L472">
        <v>11</v>
      </c>
      <c r="M472">
        <v>-13.64</v>
      </c>
      <c r="N472">
        <v>0</v>
      </c>
      <c r="O472">
        <v>4.8500000000000001E-2</v>
      </c>
      <c r="P472">
        <v>0.94399999999999995</v>
      </c>
      <c r="Q472">
        <v>5.9999999999999995E-4</v>
      </c>
      <c r="R472">
        <v>9.0899999999999995E-2</v>
      </c>
      <c r="S472">
        <v>0.20300000000000001</v>
      </c>
      <c r="T472">
        <v>122.00700000000001</v>
      </c>
      <c r="U472">
        <v>4</v>
      </c>
      <c r="V472" t="s">
        <v>24</v>
      </c>
    </row>
    <row r="473" spans="3:22" x14ac:dyDescent="0.35">
      <c r="C473" t="s">
        <v>1457</v>
      </c>
      <c r="D473" t="s">
        <v>278</v>
      </c>
      <c r="E473" t="s">
        <v>1458</v>
      </c>
      <c r="F473" t="s">
        <v>1458</v>
      </c>
      <c r="G473">
        <v>46</v>
      </c>
      <c r="H473">
        <v>205658</v>
      </c>
      <c r="I473" t="b">
        <v>0</v>
      </c>
      <c r="J473">
        <v>0.49</v>
      </c>
      <c r="K473">
        <v>0.67400000000000004</v>
      </c>
      <c r="L473">
        <v>1</v>
      </c>
      <c r="M473">
        <v>-7.2759999999999998</v>
      </c>
      <c r="N473">
        <v>1</v>
      </c>
      <c r="O473">
        <v>3.2199999999999999E-2</v>
      </c>
      <c r="P473">
        <v>0.19</v>
      </c>
      <c r="Q473">
        <v>1.4300000000000001E-4</v>
      </c>
      <c r="R473">
        <v>6.3399999999999998E-2</v>
      </c>
      <c r="S473">
        <v>0.28799999999999998</v>
      </c>
      <c r="T473">
        <v>122.807</v>
      </c>
      <c r="U473">
        <v>4</v>
      </c>
      <c r="V473" t="s">
        <v>24</v>
      </c>
    </row>
    <row r="474" spans="3:22" x14ac:dyDescent="0.35">
      <c r="C474" t="s">
        <v>1459</v>
      </c>
      <c r="D474" t="s">
        <v>1460</v>
      </c>
      <c r="E474" t="s">
        <v>1461</v>
      </c>
      <c r="F474" t="s">
        <v>1462</v>
      </c>
      <c r="G474">
        <v>60</v>
      </c>
      <c r="H474">
        <v>256680</v>
      </c>
      <c r="I474" t="b">
        <v>0</v>
      </c>
      <c r="J474">
        <v>0.316</v>
      </c>
      <c r="K474">
        <v>0.41299999999999998</v>
      </c>
      <c r="L474">
        <v>11</v>
      </c>
      <c r="M474">
        <v>-12.215999999999999</v>
      </c>
      <c r="N474">
        <v>1</v>
      </c>
      <c r="O474">
        <v>3.3399999999999999E-2</v>
      </c>
      <c r="P474">
        <v>0.85599999999999998</v>
      </c>
      <c r="Q474">
        <v>2.4499999999999999E-3</v>
      </c>
      <c r="R474">
        <v>0.14299999999999999</v>
      </c>
      <c r="S474">
        <v>0.245</v>
      </c>
      <c r="T474">
        <v>155.69</v>
      </c>
      <c r="U474">
        <v>4</v>
      </c>
      <c r="V474" t="s">
        <v>24</v>
      </c>
    </row>
    <row r="475" spans="3:22" x14ac:dyDescent="0.35">
      <c r="C475" t="s">
        <v>1463</v>
      </c>
      <c r="D475" t="s">
        <v>278</v>
      </c>
      <c r="E475" t="s">
        <v>344</v>
      </c>
      <c r="F475" t="s">
        <v>1464</v>
      </c>
      <c r="G475">
        <v>51</v>
      </c>
      <c r="H475">
        <v>265386</v>
      </c>
      <c r="I475" t="b">
        <v>0</v>
      </c>
      <c r="J475">
        <v>0.47</v>
      </c>
      <c r="K475">
        <v>0.27100000000000002</v>
      </c>
      <c r="L475">
        <v>6</v>
      </c>
      <c r="M475">
        <v>-7.6360000000000001</v>
      </c>
      <c r="N475">
        <v>1</v>
      </c>
      <c r="O475">
        <v>3.4200000000000001E-2</v>
      </c>
      <c r="P475">
        <v>0.79900000000000004</v>
      </c>
      <c r="Q475">
        <v>0</v>
      </c>
      <c r="R475">
        <v>0.11899999999999999</v>
      </c>
      <c r="S475">
        <v>9.4299999999999995E-2</v>
      </c>
      <c r="T475">
        <v>145.90199999999999</v>
      </c>
      <c r="U475">
        <v>4</v>
      </c>
      <c r="V475" t="s">
        <v>24</v>
      </c>
    </row>
    <row r="476" spans="3:22" x14ac:dyDescent="0.35">
      <c r="C476" t="s">
        <v>1465</v>
      </c>
      <c r="D476" t="s">
        <v>696</v>
      </c>
      <c r="E476" t="s">
        <v>1466</v>
      </c>
      <c r="F476" t="s">
        <v>1467</v>
      </c>
      <c r="G476">
        <v>47</v>
      </c>
      <c r="H476">
        <v>219306</v>
      </c>
      <c r="I476" t="b">
        <v>0</v>
      </c>
      <c r="J476">
        <v>0.51500000000000001</v>
      </c>
      <c r="K476">
        <v>0.317</v>
      </c>
      <c r="L476">
        <v>9</v>
      </c>
      <c r="M476">
        <v>-10.286</v>
      </c>
      <c r="N476">
        <v>1</v>
      </c>
      <c r="O476">
        <v>2.8299999999999999E-2</v>
      </c>
      <c r="P476">
        <v>0.81599999999999995</v>
      </c>
      <c r="Q476">
        <v>0</v>
      </c>
      <c r="R476">
        <v>9.7299999999999998E-2</v>
      </c>
      <c r="S476">
        <v>0.51200000000000001</v>
      </c>
      <c r="T476">
        <v>79.91</v>
      </c>
      <c r="U476">
        <v>4</v>
      </c>
      <c r="V476" t="s">
        <v>24</v>
      </c>
    </row>
    <row r="477" spans="3:22" x14ac:dyDescent="0.35">
      <c r="C477" t="s">
        <v>1468</v>
      </c>
      <c r="D477" t="s">
        <v>271</v>
      </c>
      <c r="E477" t="s">
        <v>1469</v>
      </c>
      <c r="F477" t="s">
        <v>1469</v>
      </c>
      <c r="G477">
        <v>60</v>
      </c>
      <c r="H477">
        <v>142200</v>
      </c>
      <c r="I477" t="b">
        <v>0</v>
      </c>
      <c r="J477">
        <v>0.49299999999999999</v>
      </c>
      <c r="K477">
        <v>0.435</v>
      </c>
      <c r="L477">
        <v>7</v>
      </c>
      <c r="M477">
        <v>-12.334</v>
      </c>
      <c r="N477">
        <v>1</v>
      </c>
      <c r="O477">
        <v>4.2299999999999997E-2</v>
      </c>
      <c r="P477">
        <v>0.65600000000000003</v>
      </c>
      <c r="Q477">
        <v>3.2699999999999998E-4</v>
      </c>
      <c r="R477">
        <v>0.11799999999999999</v>
      </c>
      <c r="S477">
        <v>0.48499999999999999</v>
      </c>
      <c r="T477">
        <v>87.951999999999998</v>
      </c>
      <c r="U477">
        <v>4</v>
      </c>
      <c r="V477" t="s">
        <v>24</v>
      </c>
    </row>
    <row r="478" spans="3:22" x14ac:dyDescent="0.35">
      <c r="C478" t="s">
        <v>1470</v>
      </c>
      <c r="D478" t="s">
        <v>431</v>
      </c>
      <c r="E478" t="s">
        <v>436</v>
      </c>
      <c r="F478" t="s">
        <v>1471</v>
      </c>
      <c r="G478">
        <v>51</v>
      </c>
      <c r="H478">
        <v>218813</v>
      </c>
      <c r="I478" t="b">
        <v>0</v>
      </c>
      <c r="J478">
        <v>0.58899999999999997</v>
      </c>
      <c r="K478">
        <v>0.80900000000000005</v>
      </c>
      <c r="L478">
        <v>7</v>
      </c>
      <c r="M478">
        <v>-5.6</v>
      </c>
      <c r="N478">
        <v>1</v>
      </c>
      <c r="O478">
        <v>2.8299999999999999E-2</v>
      </c>
      <c r="P478">
        <v>4.7899999999999998E-2</v>
      </c>
      <c r="Q478">
        <v>0</v>
      </c>
      <c r="R478">
        <v>0.11600000000000001</v>
      </c>
      <c r="S478">
        <v>0.628</v>
      </c>
      <c r="T478">
        <v>87.013000000000005</v>
      </c>
      <c r="U478">
        <v>4</v>
      </c>
      <c r="V478" t="s">
        <v>24</v>
      </c>
    </row>
    <row r="479" spans="3:22" x14ac:dyDescent="0.35">
      <c r="C479" t="s">
        <v>1472</v>
      </c>
      <c r="D479" t="s">
        <v>1473</v>
      </c>
      <c r="E479" t="s">
        <v>92</v>
      </c>
      <c r="F479" t="s">
        <v>1474</v>
      </c>
      <c r="G479">
        <v>60</v>
      </c>
      <c r="H479">
        <v>222250</v>
      </c>
      <c r="I479" t="b">
        <v>0</v>
      </c>
      <c r="J479">
        <v>0.313</v>
      </c>
      <c r="K479">
        <v>0.32100000000000001</v>
      </c>
      <c r="L479">
        <v>8</v>
      </c>
      <c r="M479">
        <v>-8.7129999999999992</v>
      </c>
      <c r="N479">
        <v>1</v>
      </c>
      <c r="O479">
        <v>3.5200000000000002E-2</v>
      </c>
      <c r="P479">
        <v>0.746</v>
      </c>
      <c r="Q479">
        <v>0</v>
      </c>
      <c r="R479">
        <v>9.4799999999999995E-2</v>
      </c>
      <c r="S479">
        <v>0.24299999999999999</v>
      </c>
      <c r="T479">
        <v>53.844999999999999</v>
      </c>
      <c r="U479">
        <v>4</v>
      </c>
      <c r="V479" t="s">
        <v>24</v>
      </c>
    </row>
    <row r="480" spans="3:22" x14ac:dyDescent="0.35">
      <c r="C480" t="s">
        <v>1475</v>
      </c>
      <c r="D480" t="s">
        <v>1476</v>
      </c>
      <c r="E480" t="s">
        <v>1476</v>
      </c>
      <c r="F480" t="s">
        <v>1477</v>
      </c>
      <c r="G480">
        <v>52</v>
      </c>
      <c r="H480">
        <v>117760</v>
      </c>
      <c r="I480" t="b">
        <v>0</v>
      </c>
      <c r="J480">
        <v>0.30199999999999999</v>
      </c>
      <c r="K480">
        <v>7.8299999999999995E-2</v>
      </c>
      <c r="L480">
        <v>2</v>
      </c>
      <c r="M480">
        <v>-14.968</v>
      </c>
      <c r="N480">
        <v>1</v>
      </c>
      <c r="O480">
        <v>3.2500000000000001E-2</v>
      </c>
      <c r="P480">
        <v>0.95599999999999996</v>
      </c>
      <c r="Q480" s="1" t="s">
        <v>1478</v>
      </c>
      <c r="R480">
        <v>0.12</v>
      </c>
      <c r="S480">
        <v>0.23100000000000001</v>
      </c>
      <c r="T480">
        <v>140.48500000000001</v>
      </c>
      <c r="U480">
        <v>5</v>
      </c>
      <c r="V480" t="s">
        <v>24</v>
      </c>
    </row>
    <row r="481" spans="3:22" x14ac:dyDescent="0.35">
      <c r="C481" t="s">
        <v>1479</v>
      </c>
      <c r="D481" t="s">
        <v>1480</v>
      </c>
      <c r="E481" t="s">
        <v>1481</v>
      </c>
      <c r="F481" t="s">
        <v>1482</v>
      </c>
      <c r="G481">
        <v>54</v>
      </c>
      <c r="H481">
        <v>200800</v>
      </c>
      <c r="I481" t="b">
        <v>0</v>
      </c>
      <c r="J481">
        <v>0.64300000000000002</v>
      </c>
      <c r="K481">
        <v>0.436</v>
      </c>
      <c r="L481">
        <v>1</v>
      </c>
      <c r="M481">
        <v>-12.244999999999999</v>
      </c>
      <c r="N481">
        <v>1</v>
      </c>
      <c r="O481">
        <v>2.7300000000000001E-2</v>
      </c>
      <c r="P481">
        <v>0.72399999999999998</v>
      </c>
      <c r="Q481">
        <v>0.45900000000000002</v>
      </c>
      <c r="R481">
        <v>0.11</v>
      </c>
      <c r="S481">
        <v>0.42199999999999999</v>
      </c>
      <c r="T481">
        <v>91.484999999999999</v>
      </c>
      <c r="U481">
        <v>4</v>
      </c>
      <c r="V481" t="s">
        <v>24</v>
      </c>
    </row>
    <row r="482" spans="3:22" x14ac:dyDescent="0.35">
      <c r="C482" t="s">
        <v>1483</v>
      </c>
      <c r="D482" t="s">
        <v>305</v>
      </c>
      <c r="E482" t="s">
        <v>667</v>
      </c>
      <c r="F482" t="s">
        <v>1484</v>
      </c>
      <c r="G482">
        <v>52</v>
      </c>
      <c r="H482">
        <v>185053</v>
      </c>
      <c r="I482" t="b">
        <v>0</v>
      </c>
      <c r="J482">
        <v>0.48199999999999998</v>
      </c>
      <c r="K482">
        <v>0.17799999999999999</v>
      </c>
      <c r="L482">
        <v>2</v>
      </c>
      <c r="M482">
        <v>-11.141</v>
      </c>
      <c r="N482">
        <v>0</v>
      </c>
      <c r="O482">
        <v>2.92E-2</v>
      </c>
      <c r="P482">
        <v>0.84299999999999997</v>
      </c>
      <c r="Q482" s="1" t="s">
        <v>1485</v>
      </c>
      <c r="R482">
        <v>0.15</v>
      </c>
      <c r="S482">
        <v>0.29799999999999999</v>
      </c>
      <c r="T482">
        <v>110.128</v>
      </c>
      <c r="U482">
        <v>4</v>
      </c>
      <c r="V482" t="s">
        <v>24</v>
      </c>
    </row>
    <row r="483" spans="3:22" x14ac:dyDescent="0.35">
      <c r="C483" t="s">
        <v>1486</v>
      </c>
      <c r="D483" t="s">
        <v>149</v>
      </c>
      <c r="E483" t="s">
        <v>285</v>
      </c>
      <c r="F483" t="s">
        <v>1487</v>
      </c>
      <c r="G483">
        <v>51</v>
      </c>
      <c r="H483">
        <v>60413</v>
      </c>
      <c r="I483" t="b">
        <v>0</v>
      </c>
      <c r="J483">
        <v>0.53900000000000003</v>
      </c>
      <c r="K483">
        <v>0.35299999999999998</v>
      </c>
      <c r="L483">
        <v>3</v>
      </c>
      <c r="M483">
        <v>-10.191000000000001</v>
      </c>
      <c r="N483">
        <v>1</v>
      </c>
      <c r="O483">
        <v>4.6399999999999997E-2</v>
      </c>
      <c r="P483">
        <v>0.57099999999999995</v>
      </c>
      <c r="Q483">
        <v>0.626</v>
      </c>
      <c r="R483">
        <v>8.77E-2</v>
      </c>
      <c r="S483">
        <v>0.32100000000000001</v>
      </c>
      <c r="T483">
        <v>54.570999999999998</v>
      </c>
      <c r="U483">
        <v>4</v>
      </c>
      <c r="V483" t="s">
        <v>24</v>
      </c>
    </row>
    <row r="484" spans="3:22" x14ac:dyDescent="0.35">
      <c r="C484" t="s">
        <v>1488</v>
      </c>
      <c r="D484" t="s">
        <v>1489</v>
      </c>
      <c r="E484" t="s">
        <v>1490</v>
      </c>
      <c r="F484" t="s">
        <v>1491</v>
      </c>
      <c r="G484">
        <v>30</v>
      </c>
      <c r="H484">
        <v>244813</v>
      </c>
      <c r="I484" t="b">
        <v>0</v>
      </c>
      <c r="J484">
        <v>0.70699999999999996</v>
      </c>
      <c r="K484">
        <v>0.53100000000000003</v>
      </c>
      <c r="L484">
        <v>2</v>
      </c>
      <c r="M484">
        <v>-7.21</v>
      </c>
      <c r="N484">
        <v>1</v>
      </c>
      <c r="O484">
        <v>2.4500000000000001E-2</v>
      </c>
      <c r="P484">
        <v>0.85499999999999998</v>
      </c>
      <c r="Q484">
        <v>1.8200000000000001E-4</v>
      </c>
      <c r="R484">
        <v>0.17499999999999999</v>
      </c>
      <c r="S484">
        <v>0.49</v>
      </c>
      <c r="T484">
        <v>107.994</v>
      </c>
      <c r="U484">
        <v>4</v>
      </c>
      <c r="V484" t="s">
        <v>24</v>
      </c>
    </row>
    <row r="485" spans="3:22" x14ac:dyDescent="0.35">
      <c r="C485" t="s">
        <v>1492</v>
      </c>
      <c r="D485" t="s">
        <v>1489</v>
      </c>
      <c r="E485" t="s">
        <v>1490</v>
      </c>
      <c r="F485" t="s">
        <v>1493</v>
      </c>
      <c r="G485">
        <v>30</v>
      </c>
      <c r="H485">
        <v>169733</v>
      </c>
      <c r="I485" t="b">
        <v>0</v>
      </c>
      <c r="J485">
        <v>0.70699999999999996</v>
      </c>
      <c r="K485">
        <v>0.46700000000000003</v>
      </c>
      <c r="L485">
        <v>2</v>
      </c>
      <c r="M485">
        <v>-7.5110000000000001</v>
      </c>
      <c r="N485">
        <v>1</v>
      </c>
      <c r="O485">
        <v>3.6700000000000003E-2</v>
      </c>
      <c r="P485">
        <v>0.83199999999999996</v>
      </c>
      <c r="Q485" s="1" t="s">
        <v>1494</v>
      </c>
      <c r="R485">
        <v>0.114</v>
      </c>
      <c r="S485">
        <v>0.47799999999999998</v>
      </c>
      <c r="T485">
        <v>110.096</v>
      </c>
      <c r="U485">
        <v>4</v>
      </c>
      <c r="V485" t="s">
        <v>24</v>
      </c>
    </row>
    <row r="486" spans="3:22" x14ac:dyDescent="0.35">
      <c r="C486" t="s">
        <v>1495</v>
      </c>
      <c r="D486" t="s">
        <v>1496</v>
      </c>
      <c r="E486" t="s">
        <v>1497</v>
      </c>
      <c r="F486" t="s">
        <v>1498</v>
      </c>
      <c r="G486">
        <v>62</v>
      </c>
      <c r="H486">
        <v>188400</v>
      </c>
      <c r="I486" t="b">
        <v>0</v>
      </c>
      <c r="J486">
        <v>0.66100000000000003</v>
      </c>
      <c r="K486">
        <v>0.34200000000000003</v>
      </c>
      <c r="L486">
        <v>9</v>
      </c>
      <c r="M486">
        <v>-16.361000000000001</v>
      </c>
      <c r="N486">
        <v>0</v>
      </c>
      <c r="O486">
        <v>4.2999999999999997E-2</v>
      </c>
      <c r="P486">
        <v>0.84399999999999997</v>
      </c>
      <c r="Q486">
        <v>1.2799999999999999E-4</v>
      </c>
      <c r="R486">
        <v>0.26</v>
      </c>
      <c r="S486">
        <v>0.58799999999999997</v>
      </c>
      <c r="T486">
        <v>146.11799999999999</v>
      </c>
      <c r="U486">
        <v>4</v>
      </c>
      <c r="V486" t="s">
        <v>24</v>
      </c>
    </row>
    <row r="487" spans="3:22" x14ac:dyDescent="0.35">
      <c r="C487" t="s">
        <v>1499</v>
      </c>
      <c r="D487" t="s">
        <v>609</v>
      </c>
      <c r="E487" t="s">
        <v>610</v>
      </c>
      <c r="F487" t="s">
        <v>1154</v>
      </c>
      <c r="G487">
        <v>64</v>
      </c>
      <c r="H487">
        <v>274480</v>
      </c>
      <c r="I487" t="b">
        <v>0</v>
      </c>
      <c r="J487">
        <v>0.52300000000000002</v>
      </c>
      <c r="K487">
        <v>0.55400000000000005</v>
      </c>
      <c r="L487">
        <v>7</v>
      </c>
      <c r="M487">
        <v>-7.5960000000000001</v>
      </c>
      <c r="N487">
        <v>1</v>
      </c>
      <c r="O487">
        <v>3.0300000000000001E-2</v>
      </c>
      <c r="P487">
        <v>0.749</v>
      </c>
      <c r="Q487" s="1" t="s">
        <v>1500</v>
      </c>
      <c r="R487">
        <v>0.32300000000000001</v>
      </c>
      <c r="S487">
        <v>0.76900000000000002</v>
      </c>
      <c r="T487">
        <v>152.97900000000001</v>
      </c>
      <c r="U487">
        <v>4</v>
      </c>
      <c r="V487" t="s">
        <v>24</v>
      </c>
    </row>
    <row r="488" spans="3:22" x14ac:dyDescent="0.35">
      <c r="C488" t="s">
        <v>1501</v>
      </c>
      <c r="D488" t="s">
        <v>1502</v>
      </c>
      <c r="E488" t="s">
        <v>1503</v>
      </c>
      <c r="F488" t="s">
        <v>1504</v>
      </c>
      <c r="G488">
        <v>57</v>
      </c>
      <c r="H488">
        <v>275266</v>
      </c>
      <c r="I488" t="b">
        <v>0</v>
      </c>
      <c r="J488">
        <v>0.57199999999999995</v>
      </c>
      <c r="K488">
        <v>0.34799999999999998</v>
      </c>
      <c r="L488">
        <v>0</v>
      </c>
      <c r="M488">
        <v>-13.454000000000001</v>
      </c>
      <c r="N488">
        <v>1</v>
      </c>
      <c r="O488">
        <v>2.9399999999999999E-2</v>
      </c>
      <c r="P488">
        <v>0.44</v>
      </c>
      <c r="Q488">
        <v>7.2099999999999996E-4</v>
      </c>
      <c r="R488">
        <v>0.23499999999999999</v>
      </c>
      <c r="S488">
        <v>0.34</v>
      </c>
      <c r="T488">
        <v>73.304000000000002</v>
      </c>
      <c r="U488">
        <v>4</v>
      </c>
      <c r="V488" t="s">
        <v>24</v>
      </c>
    </row>
    <row r="489" spans="3:22" x14ac:dyDescent="0.35">
      <c r="C489" t="s">
        <v>1505</v>
      </c>
      <c r="D489" t="s">
        <v>1506</v>
      </c>
      <c r="E489" t="s">
        <v>1507</v>
      </c>
      <c r="F489" t="s">
        <v>1508</v>
      </c>
      <c r="G489">
        <v>31</v>
      </c>
      <c r="H489">
        <v>124400</v>
      </c>
      <c r="I489" t="b">
        <v>0</v>
      </c>
      <c r="J489">
        <v>0.55400000000000005</v>
      </c>
      <c r="K489">
        <v>0.4</v>
      </c>
      <c r="L489">
        <v>3</v>
      </c>
      <c r="M489">
        <v>-11.805999999999999</v>
      </c>
      <c r="N489">
        <v>1</v>
      </c>
      <c r="O489">
        <v>6.9900000000000004E-2</v>
      </c>
      <c r="P489">
        <v>0.97899999999999998</v>
      </c>
      <c r="Q489">
        <v>0.34799999999999998</v>
      </c>
      <c r="R489">
        <v>0.10199999999999999</v>
      </c>
      <c r="S489">
        <v>0.54700000000000004</v>
      </c>
      <c r="T489">
        <v>101.191</v>
      </c>
      <c r="U489">
        <v>4</v>
      </c>
      <c r="V489" t="s">
        <v>24</v>
      </c>
    </row>
    <row r="490" spans="3:22" x14ac:dyDescent="0.35">
      <c r="C490" t="s">
        <v>1509</v>
      </c>
      <c r="D490" t="s">
        <v>1510</v>
      </c>
      <c r="E490" t="s">
        <v>1510</v>
      </c>
      <c r="F490" t="s">
        <v>1511</v>
      </c>
      <c r="G490">
        <v>71</v>
      </c>
      <c r="H490">
        <v>145706</v>
      </c>
      <c r="I490" t="b">
        <v>0</v>
      </c>
      <c r="J490">
        <v>0.72599999999999998</v>
      </c>
      <c r="K490">
        <v>0.53700000000000003</v>
      </c>
      <c r="L490">
        <v>0</v>
      </c>
      <c r="M490">
        <v>-8.8960000000000008</v>
      </c>
      <c r="N490">
        <v>1</v>
      </c>
      <c r="O490">
        <v>0.114</v>
      </c>
      <c r="P490">
        <v>0.316</v>
      </c>
      <c r="Q490">
        <v>0</v>
      </c>
      <c r="R490">
        <v>7.0699999999999999E-2</v>
      </c>
      <c r="S490">
        <v>0.88200000000000001</v>
      </c>
      <c r="T490">
        <v>96.888999999999996</v>
      </c>
      <c r="U490">
        <v>4</v>
      </c>
      <c r="V490" t="s">
        <v>24</v>
      </c>
    </row>
    <row r="491" spans="3:22" x14ac:dyDescent="0.35">
      <c r="C491" t="s">
        <v>1512</v>
      </c>
      <c r="D491" t="s">
        <v>755</v>
      </c>
      <c r="E491" t="s">
        <v>1513</v>
      </c>
      <c r="F491" t="s">
        <v>1514</v>
      </c>
      <c r="G491">
        <v>31</v>
      </c>
      <c r="H491">
        <v>265195</v>
      </c>
      <c r="I491" t="b">
        <v>1</v>
      </c>
      <c r="J491">
        <v>0.501</v>
      </c>
      <c r="K491">
        <v>0.67200000000000004</v>
      </c>
      <c r="L491">
        <v>2</v>
      </c>
      <c r="M491">
        <v>-10.225</v>
      </c>
      <c r="N491">
        <v>0</v>
      </c>
      <c r="O491">
        <v>6.3700000000000007E-2</v>
      </c>
      <c r="P491">
        <v>0.67400000000000004</v>
      </c>
      <c r="Q491">
        <v>1.6200000000000001E-4</v>
      </c>
      <c r="R491">
        <v>6.7400000000000002E-2</v>
      </c>
      <c r="S491">
        <v>0.96099999999999997</v>
      </c>
      <c r="T491">
        <v>122.041</v>
      </c>
      <c r="U491">
        <v>4</v>
      </c>
      <c r="V491" t="s">
        <v>24</v>
      </c>
    </row>
    <row r="492" spans="3:22" x14ac:dyDescent="0.35">
      <c r="C492" t="s">
        <v>1515</v>
      </c>
      <c r="D492" t="s">
        <v>1516</v>
      </c>
      <c r="E492" t="s">
        <v>1517</v>
      </c>
      <c r="F492" t="s">
        <v>1518</v>
      </c>
      <c r="G492">
        <v>30</v>
      </c>
      <c r="H492">
        <v>235722</v>
      </c>
      <c r="I492" t="b">
        <v>0</v>
      </c>
      <c r="J492">
        <v>0.505</v>
      </c>
      <c r="K492">
        <v>0.46200000000000002</v>
      </c>
      <c r="L492">
        <v>6</v>
      </c>
      <c r="M492">
        <v>-5.6920000000000002</v>
      </c>
      <c r="N492">
        <v>1</v>
      </c>
      <c r="O492">
        <v>2.7099999999999999E-2</v>
      </c>
      <c r="P492">
        <v>0.623</v>
      </c>
      <c r="Q492">
        <v>0</v>
      </c>
      <c r="R492">
        <v>0.113</v>
      </c>
      <c r="S492">
        <v>0.113</v>
      </c>
      <c r="T492">
        <v>139.91399999999999</v>
      </c>
      <c r="U492">
        <v>4</v>
      </c>
      <c r="V492" t="s">
        <v>24</v>
      </c>
    </row>
    <row r="493" spans="3:22" x14ac:dyDescent="0.35">
      <c r="C493" t="s">
        <v>1519</v>
      </c>
      <c r="D493" t="s">
        <v>1073</v>
      </c>
      <c r="E493" t="s">
        <v>1376</v>
      </c>
      <c r="F493" t="s">
        <v>1520</v>
      </c>
      <c r="G493">
        <v>30</v>
      </c>
      <c r="H493">
        <v>188952</v>
      </c>
      <c r="I493" t="b">
        <v>1</v>
      </c>
      <c r="J493">
        <v>0.41499999999999998</v>
      </c>
      <c r="K493">
        <v>0.71299999999999997</v>
      </c>
      <c r="L493">
        <v>0</v>
      </c>
      <c r="M493">
        <v>-5.5289999999999999</v>
      </c>
      <c r="N493">
        <v>1</v>
      </c>
      <c r="O493">
        <v>3.4500000000000003E-2</v>
      </c>
      <c r="P493">
        <v>5.5500000000000001E-2</v>
      </c>
      <c r="Q493">
        <v>0</v>
      </c>
      <c r="R493">
        <v>8.1100000000000005E-2</v>
      </c>
      <c r="S493">
        <v>0.36099999999999999</v>
      </c>
      <c r="T493">
        <v>83.69</v>
      </c>
      <c r="U493">
        <v>3</v>
      </c>
      <c r="V493" t="s">
        <v>24</v>
      </c>
    </row>
    <row r="494" spans="3:22" x14ac:dyDescent="0.35">
      <c r="C494" t="s">
        <v>1521</v>
      </c>
      <c r="D494" t="s">
        <v>1522</v>
      </c>
      <c r="E494" t="s">
        <v>1523</v>
      </c>
      <c r="F494" t="s">
        <v>1524</v>
      </c>
      <c r="G494">
        <v>30</v>
      </c>
      <c r="H494">
        <v>241250</v>
      </c>
      <c r="I494" t="b">
        <v>0</v>
      </c>
      <c r="J494">
        <v>0.45800000000000002</v>
      </c>
      <c r="K494">
        <v>0.82299999999999995</v>
      </c>
      <c r="L494">
        <v>6</v>
      </c>
      <c r="M494">
        <v>-4.2679999999999998</v>
      </c>
      <c r="N494">
        <v>0</v>
      </c>
      <c r="O494">
        <v>6.1600000000000002E-2</v>
      </c>
      <c r="P494">
        <v>0.38200000000000001</v>
      </c>
      <c r="Q494">
        <v>0</v>
      </c>
      <c r="R494">
        <v>0.20499999999999999</v>
      </c>
      <c r="S494">
        <v>0.42199999999999999</v>
      </c>
      <c r="T494">
        <v>131.63800000000001</v>
      </c>
      <c r="U494">
        <v>4</v>
      </c>
      <c r="V494" t="s">
        <v>24</v>
      </c>
    </row>
    <row r="495" spans="3:22" x14ac:dyDescent="0.35">
      <c r="C495" t="s">
        <v>1525</v>
      </c>
      <c r="D495" t="s">
        <v>1073</v>
      </c>
      <c r="E495" t="s">
        <v>1376</v>
      </c>
      <c r="F495" t="s">
        <v>1526</v>
      </c>
      <c r="G495">
        <v>30</v>
      </c>
      <c r="H495">
        <v>146129</v>
      </c>
      <c r="I495" t="b">
        <v>1</v>
      </c>
      <c r="J495">
        <v>0.47399999999999998</v>
      </c>
      <c r="K495">
        <v>0.876</v>
      </c>
      <c r="L495">
        <v>7</v>
      </c>
      <c r="M495">
        <v>-5.0519999999999996</v>
      </c>
      <c r="N495">
        <v>1</v>
      </c>
      <c r="O495">
        <v>3.4099999999999998E-2</v>
      </c>
      <c r="P495">
        <v>2.7699999999999999E-3</v>
      </c>
      <c r="Q495" s="1" t="s">
        <v>1527</v>
      </c>
      <c r="R495">
        <v>0.39</v>
      </c>
      <c r="S495">
        <v>0.60699999999999998</v>
      </c>
      <c r="T495">
        <v>91.947999999999993</v>
      </c>
      <c r="U495">
        <v>4</v>
      </c>
      <c r="V495" t="s">
        <v>24</v>
      </c>
    </row>
    <row r="496" spans="3:22" x14ac:dyDescent="0.35">
      <c r="C496" t="s">
        <v>1528</v>
      </c>
      <c r="D496" t="s">
        <v>1069</v>
      </c>
      <c r="E496" t="s">
        <v>1394</v>
      </c>
      <c r="F496" t="s">
        <v>1529</v>
      </c>
      <c r="G496">
        <v>30</v>
      </c>
      <c r="H496">
        <v>161205</v>
      </c>
      <c r="I496" t="b">
        <v>1</v>
      </c>
      <c r="J496">
        <v>0.44400000000000001</v>
      </c>
      <c r="K496">
        <v>0.67400000000000004</v>
      </c>
      <c r="L496">
        <v>5</v>
      </c>
      <c r="M496">
        <v>-6.6749999999999998</v>
      </c>
      <c r="N496">
        <v>1</v>
      </c>
      <c r="O496">
        <v>3.4099999999999998E-2</v>
      </c>
      <c r="P496">
        <v>0.58599999999999997</v>
      </c>
      <c r="Q496">
        <v>1.47E-4</v>
      </c>
      <c r="R496">
        <v>0.109</v>
      </c>
      <c r="S496">
        <v>0.69799999999999995</v>
      </c>
      <c r="T496">
        <v>111.377</v>
      </c>
      <c r="U496">
        <v>3</v>
      </c>
      <c r="V496" t="s">
        <v>24</v>
      </c>
    </row>
    <row r="497" spans="3:22" x14ac:dyDescent="0.35">
      <c r="C497" t="s">
        <v>1530</v>
      </c>
      <c r="D497" t="s">
        <v>418</v>
      </c>
      <c r="E497" t="s">
        <v>1531</v>
      </c>
      <c r="F497" t="s">
        <v>1532</v>
      </c>
      <c r="G497">
        <v>59</v>
      </c>
      <c r="H497">
        <v>215213</v>
      </c>
      <c r="I497" t="b">
        <v>0</v>
      </c>
      <c r="J497">
        <v>0.56599999999999995</v>
      </c>
      <c r="K497">
        <v>0.73299999999999998</v>
      </c>
      <c r="L497">
        <v>4</v>
      </c>
      <c r="M497">
        <v>-5.3019999999999996</v>
      </c>
      <c r="N497">
        <v>1</v>
      </c>
      <c r="O497">
        <v>6.9900000000000004E-2</v>
      </c>
      <c r="P497">
        <v>8.3000000000000004E-2</v>
      </c>
      <c r="Q497" s="1" t="s">
        <v>1533</v>
      </c>
      <c r="R497">
        <v>0.36199999999999999</v>
      </c>
      <c r="S497">
        <v>0.63600000000000001</v>
      </c>
      <c r="T497">
        <v>178.828</v>
      </c>
      <c r="U497">
        <v>4</v>
      </c>
      <c r="V497" t="s">
        <v>24</v>
      </c>
    </row>
    <row r="498" spans="3:22" x14ac:dyDescent="0.35">
      <c r="C498" t="s">
        <v>1534</v>
      </c>
      <c r="D498" t="s">
        <v>1073</v>
      </c>
      <c r="E498" t="s">
        <v>1535</v>
      </c>
      <c r="F498" t="s">
        <v>1536</v>
      </c>
      <c r="G498">
        <v>30</v>
      </c>
      <c r="H498">
        <v>196813</v>
      </c>
      <c r="I498" t="b">
        <v>0</v>
      </c>
      <c r="J498">
        <v>0.36699999999999999</v>
      </c>
      <c r="K498">
        <v>0.89200000000000002</v>
      </c>
      <c r="L498">
        <v>2</v>
      </c>
      <c r="M498">
        <v>-3.91</v>
      </c>
      <c r="N498">
        <v>1</v>
      </c>
      <c r="O498">
        <v>0.13300000000000001</v>
      </c>
      <c r="P498">
        <v>1.2E-4</v>
      </c>
      <c r="Q498">
        <v>2.6800000000000001E-4</v>
      </c>
      <c r="R498">
        <v>0.27600000000000002</v>
      </c>
      <c r="S498">
        <v>0.79900000000000004</v>
      </c>
      <c r="T498">
        <v>81.927999999999997</v>
      </c>
      <c r="U498">
        <v>4</v>
      </c>
      <c r="V498" t="s">
        <v>24</v>
      </c>
    </row>
    <row r="499" spans="3:22" x14ac:dyDescent="0.35">
      <c r="C499" t="s">
        <v>1537</v>
      </c>
      <c r="D499" t="s">
        <v>1069</v>
      </c>
      <c r="E499" t="s">
        <v>1394</v>
      </c>
      <c r="F499" t="s">
        <v>1538</v>
      </c>
      <c r="G499">
        <v>30</v>
      </c>
      <c r="H499">
        <v>184217</v>
      </c>
      <c r="I499" t="b">
        <v>1</v>
      </c>
      <c r="J499">
        <v>0.25800000000000001</v>
      </c>
      <c r="K499">
        <v>0.72899999999999998</v>
      </c>
      <c r="L499">
        <v>4</v>
      </c>
      <c r="M499">
        <v>-6.4569999999999999</v>
      </c>
      <c r="N499">
        <v>0</v>
      </c>
      <c r="O499">
        <v>3.9800000000000002E-2</v>
      </c>
      <c r="P499">
        <v>0.39500000000000002</v>
      </c>
      <c r="Q499">
        <v>4.4200000000000003E-3</v>
      </c>
      <c r="R499">
        <v>0.13100000000000001</v>
      </c>
      <c r="S499">
        <v>0.46200000000000002</v>
      </c>
      <c r="T499">
        <v>116.943</v>
      </c>
      <c r="U499">
        <v>3</v>
      </c>
      <c r="V499" t="s">
        <v>24</v>
      </c>
    </row>
    <row r="500" spans="3:22" x14ac:dyDescent="0.35">
      <c r="C500" t="s">
        <v>1539</v>
      </c>
      <c r="D500" t="s">
        <v>156</v>
      </c>
      <c r="E500" t="s">
        <v>1540</v>
      </c>
      <c r="F500" t="s">
        <v>1541</v>
      </c>
      <c r="G500">
        <v>63</v>
      </c>
      <c r="H500">
        <v>230098</v>
      </c>
      <c r="I500" t="b">
        <v>0</v>
      </c>
      <c r="J500">
        <v>0.56799999999999995</v>
      </c>
      <c r="K500">
        <v>0.68600000000000005</v>
      </c>
      <c r="L500">
        <v>1</v>
      </c>
      <c r="M500">
        <v>-6.6349999999999998</v>
      </c>
      <c r="N500">
        <v>1</v>
      </c>
      <c r="O500">
        <v>3.3000000000000002E-2</v>
      </c>
      <c r="P500">
        <v>0.15</v>
      </c>
      <c r="Q500" s="1" t="s">
        <v>159</v>
      </c>
      <c r="R500">
        <v>8.8099999999999998E-2</v>
      </c>
      <c r="S500">
        <v>0.72499999999999998</v>
      </c>
      <c r="T500">
        <v>172.07499999999999</v>
      </c>
      <c r="U500">
        <v>4</v>
      </c>
      <c r="V500" t="s">
        <v>24</v>
      </c>
    </row>
    <row r="501" spans="3:22" x14ac:dyDescent="0.35">
      <c r="C501" t="s">
        <v>1542</v>
      </c>
      <c r="D501" t="s">
        <v>769</v>
      </c>
      <c r="E501" t="s">
        <v>1237</v>
      </c>
      <c r="F501" t="s">
        <v>1543</v>
      </c>
      <c r="G501">
        <v>30</v>
      </c>
      <c r="H501">
        <v>129472</v>
      </c>
      <c r="I501" t="b">
        <v>0</v>
      </c>
      <c r="J501">
        <v>0.57099999999999995</v>
      </c>
      <c r="K501">
        <v>0.69599999999999995</v>
      </c>
      <c r="L501">
        <v>9</v>
      </c>
      <c r="M501">
        <v>-8.6880000000000006</v>
      </c>
      <c r="N501">
        <v>1</v>
      </c>
      <c r="O501">
        <v>7.3899999999999993E-2</v>
      </c>
      <c r="P501">
        <v>0.14000000000000001</v>
      </c>
      <c r="Q501">
        <v>0</v>
      </c>
      <c r="R501">
        <v>9.7299999999999998E-2</v>
      </c>
      <c r="S501">
        <v>0.66200000000000003</v>
      </c>
      <c r="T501">
        <v>155.13300000000001</v>
      </c>
      <c r="U501">
        <v>4</v>
      </c>
      <c r="V501" t="s">
        <v>24</v>
      </c>
    </row>
    <row r="502" spans="3:22" x14ac:dyDescent="0.35">
      <c r="C502" t="s">
        <v>1544</v>
      </c>
      <c r="D502" t="s">
        <v>664</v>
      </c>
      <c r="E502" t="s">
        <v>1545</v>
      </c>
      <c r="F502" t="s">
        <v>1546</v>
      </c>
      <c r="G502">
        <v>44</v>
      </c>
      <c r="H502">
        <v>249728</v>
      </c>
      <c r="I502" t="b">
        <v>0</v>
      </c>
      <c r="J502">
        <v>0.38500000000000001</v>
      </c>
      <c r="K502">
        <v>0.114</v>
      </c>
      <c r="L502">
        <v>7</v>
      </c>
      <c r="M502">
        <v>-13.005000000000001</v>
      </c>
      <c r="N502">
        <v>1</v>
      </c>
      <c r="O502">
        <v>3.1399999999999997E-2</v>
      </c>
      <c r="P502">
        <v>0.91700000000000004</v>
      </c>
      <c r="Q502">
        <v>0</v>
      </c>
      <c r="R502">
        <v>0.128</v>
      </c>
      <c r="S502">
        <v>0.26900000000000002</v>
      </c>
      <c r="T502">
        <v>93.313999999999993</v>
      </c>
      <c r="U502">
        <v>4</v>
      </c>
      <c r="V502" t="s">
        <v>24</v>
      </c>
    </row>
    <row r="503" spans="3:22" x14ac:dyDescent="0.35">
      <c r="C503" t="s">
        <v>1547</v>
      </c>
      <c r="D503" t="s">
        <v>1548</v>
      </c>
      <c r="E503" t="s">
        <v>1549</v>
      </c>
      <c r="F503" t="s">
        <v>1549</v>
      </c>
      <c r="G503">
        <v>54</v>
      </c>
      <c r="H503">
        <v>213055</v>
      </c>
      <c r="I503" t="b">
        <v>0</v>
      </c>
      <c r="J503">
        <v>0.58799999999999997</v>
      </c>
      <c r="K503">
        <v>0.56899999999999995</v>
      </c>
      <c r="L503">
        <v>9</v>
      </c>
      <c r="M503">
        <v>-7.7210000000000001</v>
      </c>
      <c r="N503">
        <v>1</v>
      </c>
      <c r="O503">
        <v>2.9499999999999998E-2</v>
      </c>
      <c r="P503">
        <v>0.30299999999999999</v>
      </c>
      <c r="Q503">
        <v>3.4200000000000001E-2</v>
      </c>
      <c r="R503">
        <v>0.10100000000000001</v>
      </c>
      <c r="S503">
        <v>0.20899999999999999</v>
      </c>
      <c r="T503">
        <v>101.988</v>
      </c>
      <c r="U503">
        <v>4</v>
      </c>
      <c r="V503" t="s">
        <v>24</v>
      </c>
    </row>
    <row r="504" spans="3:22" x14ac:dyDescent="0.35">
      <c r="C504" t="s">
        <v>1550</v>
      </c>
      <c r="D504" t="s">
        <v>26</v>
      </c>
      <c r="E504" t="s">
        <v>1551</v>
      </c>
      <c r="F504" t="s">
        <v>1552</v>
      </c>
      <c r="G504">
        <v>28</v>
      </c>
      <c r="H504">
        <v>168571</v>
      </c>
      <c r="I504" t="b">
        <v>0</v>
      </c>
      <c r="J504">
        <v>0.27600000000000002</v>
      </c>
      <c r="K504">
        <v>0.28899999999999998</v>
      </c>
      <c r="L504">
        <v>2</v>
      </c>
      <c r="M504">
        <v>-10.879</v>
      </c>
      <c r="N504">
        <v>1</v>
      </c>
      <c r="O504">
        <v>3.2500000000000001E-2</v>
      </c>
      <c r="P504">
        <v>0.96799999999999997</v>
      </c>
      <c r="Q504">
        <v>3.2100000000000002E-3</v>
      </c>
      <c r="R504">
        <v>0.13700000000000001</v>
      </c>
      <c r="S504">
        <v>0.11799999999999999</v>
      </c>
      <c r="T504">
        <v>86.465000000000003</v>
      </c>
      <c r="U504">
        <v>3</v>
      </c>
      <c r="V504" t="s">
        <v>24</v>
      </c>
    </row>
    <row r="505" spans="3:22" x14ac:dyDescent="0.35">
      <c r="C505" t="s">
        <v>1553</v>
      </c>
      <c r="D505" t="s">
        <v>1428</v>
      </c>
      <c r="E505" t="s">
        <v>1554</v>
      </c>
      <c r="F505" t="s">
        <v>1554</v>
      </c>
      <c r="G505">
        <v>47</v>
      </c>
      <c r="H505">
        <v>202219</v>
      </c>
      <c r="I505" t="b">
        <v>0</v>
      </c>
      <c r="J505">
        <v>0.66400000000000003</v>
      </c>
      <c r="K505">
        <v>0.30099999999999999</v>
      </c>
      <c r="L505">
        <v>0</v>
      </c>
      <c r="M505">
        <v>-8.1349999999999998</v>
      </c>
      <c r="N505">
        <v>1</v>
      </c>
      <c r="O505">
        <v>2.9600000000000001E-2</v>
      </c>
      <c r="P505">
        <v>0.73899999999999999</v>
      </c>
      <c r="Q505">
        <v>0</v>
      </c>
      <c r="R505">
        <v>0.10299999999999999</v>
      </c>
      <c r="S505">
        <v>0.26800000000000002</v>
      </c>
      <c r="T505">
        <v>115.877</v>
      </c>
      <c r="U505">
        <v>4</v>
      </c>
      <c r="V505" t="s">
        <v>24</v>
      </c>
    </row>
    <row r="506" spans="3:22" x14ac:dyDescent="0.35">
      <c r="C506" t="s">
        <v>1555</v>
      </c>
      <c r="D506" t="s">
        <v>199</v>
      </c>
      <c r="E506" t="s">
        <v>1556</v>
      </c>
      <c r="F506" t="s">
        <v>1556</v>
      </c>
      <c r="G506">
        <v>41</v>
      </c>
      <c r="H506">
        <v>242347</v>
      </c>
      <c r="I506" t="b">
        <v>0</v>
      </c>
      <c r="J506">
        <v>0.50600000000000001</v>
      </c>
      <c r="K506">
        <v>0.24</v>
      </c>
      <c r="L506">
        <v>2</v>
      </c>
      <c r="M506">
        <v>-14.737</v>
      </c>
      <c r="N506">
        <v>1</v>
      </c>
      <c r="O506">
        <v>3.0499999999999999E-2</v>
      </c>
      <c r="P506">
        <v>0.85399999999999998</v>
      </c>
      <c r="Q506">
        <v>7.4899999999999994E-2</v>
      </c>
      <c r="R506">
        <v>0.10100000000000001</v>
      </c>
      <c r="S506">
        <v>6.2100000000000002E-2</v>
      </c>
      <c r="T506">
        <v>130.96</v>
      </c>
      <c r="U506">
        <v>4</v>
      </c>
      <c r="V506" t="s">
        <v>24</v>
      </c>
    </row>
    <row r="507" spans="3:22" x14ac:dyDescent="0.35">
      <c r="C507" t="s">
        <v>1557</v>
      </c>
      <c r="D507" t="s">
        <v>1019</v>
      </c>
      <c r="E507" t="s">
        <v>1558</v>
      </c>
      <c r="F507" t="s">
        <v>1558</v>
      </c>
      <c r="G507">
        <v>43</v>
      </c>
      <c r="H507">
        <v>188735</v>
      </c>
      <c r="I507" t="b">
        <v>0</v>
      </c>
      <c r="J507">
        <v>0.59499999999999997</v>
      </c>
      <c r="K507">
        <v>0.18</v>
      </c>
      <c r="L507">
        <v>9</v>
      </c>
      <c r="M507">
        <v>-11.391</v>
      </c>
      <c r="N507">
        <v>1</v>
      </c>
      <c r="O507">
        <v>2.98E-2</v>
      </c>
      <c r="P507">
        <v>0.89</v>
      </c>
      <c r="Q507">
        <v>0</v>
      </c>
      <c r="R507">
        <v>0.113</v>
      </c>
      <c r="S507">
        <v>0.26100000000000001</v>
      </c>
      <c r="T507">
        <v>79.921999999999997</v>
      </c>
      <c r="U507">
        <v>3</v>
      </c>
      <c r="V507" t="s">
        <v>24</v>
      </c>
    </row>
    <row r="508" spans="3:22" x14ac:dyDescent="0.35">
      <c r="C508" t="s">
        <v>1559</v>
      </c>
      <c r="D508" t="s">
        <v>60</v>
      </c>
      <c r="E508" t="s">
        <v>1560</v>
      </c>
      <c r="F508" t="s">
        <v>1560</v>
      </c>
      <c r="G508">
        <v>65</v>
      </c>
      <c r="H508">
        <v>256648</v>
      </c>
      <c r="I508" t="b">
        <v>0</v>
      </c>
      <c r="J508">
        <v>0.64400000000000002</v>
      </c>
      <c r="K508">
        <v>0.41199999999999998</v>
      </c>
      <c r="L508">
        <v>5</v>
      </c>
      <c r="M508">
        <v>-9.14</v>
      </c>
      <c r="N508">
        <v>0</v>
      </c>
      <c r="O508">
        <v>3.0700000000000002E-2</v>
      </c>
      <c r="P508">
        <v>0.79600000000000004</v>
      </c>
      <c r="Q508">
        <v>0.127</v>
      </c>
      <c r="R508">
        <v>9.06E-2</v>
      </c>
      <c r="S508">
        <v>0.20599999999999999</v>
      </c>
      <c r="T508">
        <v>118.49</v>
      </c>
      <c r="U508">
        <v>4</v>
      </c>
      <c r="V508" t="s">
        <v>24</v>
      </c>
    </row>
    <row r="509" spans="3:22" x14ac:dyDescent="0.35">
      <c r="C509" t="s">
        <v>1561</v>
      </c>
      <c r="D509" t="s">
        <v>664</v>
      </c>
      <c r="E509" t="s">
        <v>1562</v>
      </c>
      <c r="F509" t="s">
        <v>1562</v>
      </c>
      <c r="G509">
        <v>53</v>
      </c>
      <c r="H509">
        <v>174677</v>
      </c>
      <c r="I509" t="b">
        <v>0</v>
      </c>
      <c r="J509">
        <v>0.60699999999999998</v>
      </c>
      <c r="K509">
        <v>0.17799999999999999</v>
      </c>
      <c r="L509">
        <v>11</v>
      </c>
      <c r="M509">
        <v>-15.471</v>
      </c>
      <c r="N509">
        <v>1</v>
      </c>
      <c r="O509">
        <v>4.99E-2</v>
      </c>
      <c r="P509">
        <v>0.73699999999999999</v>
      </c>
      <c r="Q509">
        <v>0</v>
      </c>
      <c r="R509">
        <v>0.38700000000000001</v>
      </c>
      <c r="S509">
        <v>0.42199999999999999</v>
      </c>
      <c r="T509">
        <v>127.956</v>
      </c>
      <c r="U509">
        <v>4</v>
      </c>
      <c r="V509" t="s">
        <v>24</v>
      </c>
    </row>
    <row r="510" spans="3:22" x14ac:dyDescent="0.35">
      <c r="C510" t="s">
        <v>1563</v>
      </c>
      <c r="D510" t="s">
        <v>970</v>
      </c>
      <c r="E510" t="s">
        <v>971</v>
      </c>
      <c r="F510" t="s">
        <v>1564</v>
      </c>
      <c r="G510">
        <v>47</v>
      </c>
      <c r="H510">
        <v>209583</v>
      </c>
      <c r="I510" t="b">
        <v>0</v>
      </c>
      <c r="J510">
        <v>0.63</v>
      </c>
      <c r="K510">
        <v>0.34200000000000003</v>
      </c>
      <c r="L510">
        <v>7</v>
      </c>
      <c r="M510">
        <v>-13.377000000000001</v>
      </c>
      <c r="N510">
        <v>1</v>
      </c>
      <c r="O510">
        <v>2.4500000000000001E-2</v>
      </c>
      <c r="P510">
        <v>0.81699999999999995</v>
      </c>
      <c r="Q510">
        <v>4.3200000000000001E-3</v>
      </c>
      <c r="R510">
        <v>9.6500000000000002E-2</v>
      </c>
      <c r="S510">
        <v>0.55200000000000005</v>
      </c>
      <c r="T510">
        <v>77.515000000000001</v>
      </c>
      <c r="U510">
        <v>4</v>
      </c>
      <c r="V510" t="s">
        <v>24</v>
      </c>
    </row>
    <row r="511" spans="3:22" x14ac:dyDescent="0.35">
      <c r="C511" t="s">
        <v>1565</v>
      </c>
      <c r="D511" t="s">
        <v>1129</v>
      </c>
      <c r="E511" t="s">
        <v>1566</v>
      </c>
      <c r="F511" t="s">
        <v>1567</v>
      </c>
      <c r="G511">
        <v>55</v>
      </c>
      <c r="H511">
        <v>164478</v>
      </c>
      <c r="I511" t="b">
        <v>0</v>
      </c>
      <c r="J511">
        <v>0.68899999999999995</v>
      </c>
      <c r="K511">
        <v>0.29899999999999999</v>
      </c>
      <c r="L511">
        <v>7</v>
      </c>
      <c r="M511">
        <v>-9.4309999999999992</v>
      </c>
      <c r="N511">
        <v>1</v>
      </c>
      <c r="O511">
        <v>3.0099999999999998E-2</v>
      </c>
      <c r="P511">
        <v>0.83299999999999996</v>
      </c>
      <c r="Q511">
        <v>0</v>
      </c>
      <c r="R511">
        <v>0.115</v>
      </c>
      <c r="S511">
        <v>0.52</v>
      </c>
      <c r="T511">
        <v>96.825000000000003</v>
      </c>
      <c r="U511">
        <v>4</v>
      </c>
      <c r="V511" t="s">
        <v>24</v>
      </c>
    </row>
    <row r="512" spans="3:22" x14ac:dyDescent="0.35">
      <c r="C512" t="s">
        <v>1568</v>
      </c>
      <c r="D512" t="s">
        <v>339</v>
      </c>
      <c r="E512" t="s">
        <v>97</v>
      </c>
      <c r="F512" t="s">
        <v>1569</v>
      </c>
      <c r="G512">
        <v>45</v>
      </c>
      <c r="H512">
        <v>138201</v>
      </c>
      <c r="I512" t="b">
        <v>0</v>
      </c>
      <c r="J512">
        <v>0.47299999999999998</v>
      </c>
      <c r="K512">
        <v>0.30499999999999999</v>
      </c>
      <c r="L512">
        <v>11</v>
      </c>
      <c r="M512">
        <v>-8.48</v>
      </c>
      <c r="N512">
        <v>0</v>
      </c>
      <c r="O512">
        <v>3.1099999999999999E-2</v>
      </c>
      <c r="P512">
        <v>0.83299999999999996</v>
      </c>
      <c r="Q512">
        <v>0</v>
      </c>
      <c r="R512">
        <v>0.109</v>
      </c>
      <c r="S512">
        <v>0.52400000000000002</v>
      </c>
      <c r="T512">
        <v>81.153000000000006</v>
      </c>
      <c r="U512">
        <v>4</v>
      </c>
      <c r="V512" t="s">
        <v>24</v>
      </c>
    </row>
    <row r="513" spans="3:22" x14ac:dyDescent="0.35">
      <c r="C513" t="s">
        <v>1570</v>
      </c>
      <c r="D513" t="s">
        <v>60</v>
      </c>
      <c r="E513" t="s">
        <v>684</v>
      </c>
      <c r="F513" t="s">
        <v>684</v>
      </c>
      <c r="G513">
        <v>69</v>
      </c>
      <c r="H513">
        <v>244067</v>
      </c>
      <c r="I513" t="b">
        <v>0</v>
      </c>
      <c r="J513">
        <v>0.62</v>
      </c>
      <c r="K513">
        <v>0.66800000000000004</v>
      </c>
      <c r="L513">
        <v>9</v>
      </c>
      <c r="M513">
        <v>-5.7190000000000003</v>
      </c>
      <c r="N513">
        <v>1</v>
      </c>
      <c r="O513">
        <v>3.0499999999999999E-2</v>
      </c>
      <c r="P513">
        <v>8.7999999999999995E-2</v>
      </c>
      <c r="Q513">
        <v>0</v>
      </c>
      <c r="R513">
        <v>0.36199999999999999</v>
      </c>
      <c r="S513">
        <v>0.183</v>
      </c>
      <c r="T513">
        <v>118.01300000000001</v>
      </c>
      <c r="U513">
        <v>4</v>
      </c>
      <c r="V513" t="s">
        <v>24</v>
      </c>
    </row>
    <row r="514" spans="3:22" x14ac:dyDescent="0.35">
      <c r="C514" t="s">
        <v>1571</v>
      </c>
      <c r="D514" t="s">
        <v>278</v>
      </c>
      <c r="E514" t="s">
        <v>344</v>
      </c>
      <c r="F514" t="s">
        <v>1572</v>
      </c>
      <c r="G514">
        <v>37</v>
      </c>
      <c r="H514">
        <v>198040</v>
      </c>
      <c r="I514" t="b">
        <v>0</v>
      </c>
      <c r="J514">
        <v>0.751</v>
      </c>
      <c r="K514">
        <v>0.56499999999999995</v>
      </c>
      <c r="L514">
        <v>5</v>
      </c>
      <c r="M514">
        <v>-9.1059999999999999</v>
      </c>
      <c r="N514">
        <v>1</v>
      </c>
      <c r="O514">
        <v>5.1299999999999998E-2</v>
      </c>
      <c r="P514">
        <v>7.7700000000000005E-2</v>
      </c>
      <c r="Q514">
        <v>1.21E-2</v>
      </c>
      <c r="R514">
        <v>8.5500000000000007E-2</v>
      </c>
      <c r="S514">
        <v>0.67900000000000005</v>
      </c>
      <c r="T514">
        <v>119.996</v>
      </c>
      <c r="U514">
        <v>4</v>
      </c>
      <c r="V514" t="s">
        <v>24</v>
      </c>
    </row>
    <row r="515" spans="3:22" x14ac:dyDescent="0.35">
      <c r="C515" t="s">
        <v>1573</v>
      </c>
      <c r="D515" t="s">
        <v>1574</v>
      </c>
      <c r="E515" t="s">
        <v>1575</v>
      </c>
      <c r="F515" t="s">
        <v>1575</v>
      </c>
      <c r="G515">
        <v>34</v>
      </c>
      <c r="H515">
        <v>266078</v>
      </c>
      <c r="I515" t="b">
        <v>0</v>
      </c>
      <c r="J515">
        <v>0.62</v>
      </c>
      <c r="K515">
        <v>0.46800000000000003</v>
      </c>
      <c r="L515">
        <v>4</v>
      </c>
      <c r="M515">
        <v>-9.6479999999999997</v>
      </c>
      <c r="N515">
        <v>1</v>
      </c>
      <c r="O515">
        <v>2.6800000000000001E-2</v>
      </c>
      <c r="P515">
        <v>0.71499999999999997</v>
      </c>
      <c r="Q515" s="1" t="s">
        <v>1576</v>
      </c>
      <c r="R515">
        <v>0.106</v>
      </c>
      <c r="S515">
        <v>0.217</v>
      </c>
      <c r="T515">
        <v>110.96899999999999</v>
      </c>
      <c r="U515">
        <v>4</v>
      </c>
      <c r="V515" t="s">
        <v>24</v>
      </c>
    </row>
    <row r="516" spans="3:22" x14ac:dyDescent="0.35">
      <c r="C516" t="s">
        <v>1577</v>
      </c>
      <c r="D516" t="s">
        <v>184</v>
      </c>
      <c r="E516" t="s">
        <v>1578</v>
      </c>
      <c r="F516" t="s">
        <v>1578</v>
      </c>
      <c r="G516">
        <v>53</v>
      </c>
      <c r="H516">
        <v>291676</v>
      </c>
      <c r="I516" t="b">
        <v>0</v>
      </c>
      <c r="J516">
        <v>0.47799999999999998</v>
      </c>
      <c r="K516">
        <v>0.39800000000000002</v>
      </c>
      <c r="L516">
        <v>2</v>
      </c>
      <c r="M516">
        <v>-10.124000000000001</v>
      </c>
      <c r="N516">
        <v>1</v>
      </c>
      <c r="O516">
        <v>2.86E-2</v>
      </c>
      <c r="P516">
        <v>2.2200000000000001E-2</v>
      </c>
      <c r="Q516">
        <v>1.83E-2</v>
      </c>
      <c r="R516">
        <v>8.2600000000000007E-2</v>
      </c>
      <c r="S516">
        <v>0.371</v>
      </c>
      <c r="T516">
        <v>159.90600000000001</v>
      </c>
      <c r="U516">
        <v>3</v>
      </c>
      <c r="V516" t="s">
        <v>24</v>
      </c>
    </row>
    <row r="517" spans="3:22" x14ac:dyDescent="0.35">
      <c r="C517" t="s">
        <v>1579</v>
      </c>
      <c r="D517" t="s">
        <v>991</v>
      </c>
      <c r="E517" t="s">
        <v>1580</v>
      </c>
      <c r="F517" t="s">
        <v>1581</v>
      </c>
      <c r="G517">
        <v>31</v>
      </c>
      <c r="H517">
        <v>382786</v>
      </c>
      <c r="I517" t="b">
        <v>0</v>
      </c>
      <c r="J517">
        <v>0.376</v>
      </c>
      <c r="K517">
        <v>0.70199999999999996</v>
      </c>
      <c r="L517">
        <v>3</v>
      </c>
      <c r="M517">
        <v>-5.7329999999999997</v>
      </c>
      <c r="N517">
        <v>1</v>
      </c>
      <c r="O517">
        <v>2.9899999999999999E-2</v>
      </c>
      <c r="P517">
        <v>3.7299999999999998E-3</v>
      </c>
      <c r="Q517">
        <v>1.16E-3</v>
      </c>
      <c r="R517">
        <v>0.13800000000000001</v>
      </c>
      <c r="S517">
        <v>0.24099999999999999</v>
      </c>
      <c r="T517">
        <v>134.81700000000001</v>
      </c>
      <c r="U517">
        <v>4</v>
      </c>
      <c r="V517" t="s">
        <v>24</v>
      </c>
    </row>
    <row r="518" spans="3:22" x14ac:dyDescent="0.35">
      <c r="C518" t="s">
        <v>1582</v>
      </c>
      <c r="D518" t="s">
        <v>991</v>
      </c>
      <c r="E518" t="s">
        <v>1583</v>
      </c>
      <c r="F518" t="s">
        <v>1584</v>
      </c>
      <c r="G518">
        <v>31</v>
      </c>
      <c r="H518">
        <v>322906</v>
      </c>
      <c r="I518" t="b">
        <v>0</v>
      </c>
      <c r="J518">
        <v>0.40300000000000002</v>
      </c>
      <c r="K518">
        <v>0.63100000000000001</v>
      </c>
      <c r="L518">
        <v>7</v>
      </c>
      <c r="M518">
        <v>-5.94</v>
      </c>
      <c r="N518">
        <v>1</v>
      </c>
      <c r="O518">
        <v>3.56E-2</v>
      </c>
      <c r="P518">
        <v>5.0200000000000002E-2</v>
      </c>
      <c r="Q518" s="1" t="s">
        <v>1585</v>
      </c>
      <c r="R518">
        <v>0.193</v>
      </c>
      <c r="S518">
        <v>0.32800000000000001</v>
      </c>
      <c r="T518">
        <v>78.522000000000006</v>
      </c>
      <c r="U518">
        <v>4</v>
      </c>
      <c r="V518" t="s">
        <v>24</v>
      </c>
    </row>
    <row r="519" spans="3:22" x14ac:dyDescent="0.35">
      <c r="C519" t="s">
        <v>1586</v>
      </c>
      <c r="D519" t="s">
        <v>255</v>
      </c>
      <c r="E519" t="s">
        <v>1587</v>
      </c>
      <c r="F519" t="s">
        <v>1587</v>
      </c>
      <c r="G519">
        <v>47</v>
      </c>
      <c r="H519">
        <v>243979</v>
      </c>
      <c r="I519" t="b">
        <v>0</v>
      </c>
      <c r="J519">
        <v>0.44</v>
      </c>
      <c r="K519">
        <v>0.11899999999999999</v>
      </c>
      <c r="L519">
        <v>10</v>
      </c>
      <c r="M519">
        <v>-12.574</v>
      </c>
      <c r="N519">
        <v>1</v>
      </c>
      <c r="O519">
        <v>3.1800000000000002E-2</v>
      </c>
      <c r="P519">
        <v>0.92700000000000005</v>
      </c>
      <c r="Q519" s="1" t="s">
        <v>1588</v>
      </c>
      <c r="R519">
        <v>0.13700000000000001</v>
      </c>
      <c r="S519">
        <v>0.27900000000000003</v>
      </c>
      <c r="T519">
        <v>145.18600000000001</v>
      </c>
      <c r="U519">
        <v>4</v>
      </c>
      <c r="V519" t="s">
        <v>24</v>
      </c>
    </row>
    <row r="520" spans="3:22" x14ac:dyDescent="0.35">
      <c r="C520" t="s">
        <v>1589</v>
      </c>
      <c r="D520" t="s">
        <v>225</v>
      </c>
      <c r="E520" t="s">
        <v>226</v>
      </c>
      <c r="F520" t="s">
        <v>1590</v>
      </c>
      <c r="G520">
        <v>45</v>
      </c>
      <c r="H520">
        <v>262954</v>
      </c>
      <c r="I520" t="b">
        <v>0</v>
      </c>
      <c r="J520">
        <v>0.40699999999999997</v>
      </c>
      <c r="K520">
        <v>0.35699999999999998</v>
      </c>
      <c r="L520">
        <v>1</v>
      </c>
      <c r="M520">
        <v>-11.659000000000001</v>
      </c>
      <c r="N520">
        <v>1</v>
      </c>
      <c r="O520">
        <v>4.36E-2</v>
      </c>
      <c r="P520">
        <v>0.77500000000000002</v>
      </c>
      <c r="Q520">
        <v>1.0499999999999999E-3</v>
      </c>
      <c r="R520">
        <v>0.94</v>
      </c>
      <c r="S520">
        <v>0.253</v>
      </c>
      <c r="T520">
        <v>112.20699999999999</v>
      </c>
      <c r="U520">
        <v>4</v>
      </c>
      <c r="V520" t="s">
        <v>24</v>
      </c>
    </row>
    <row r="521" spans="3:22" x14ac:dyDescent="0.35">
      <c r="C521" t="s">
        <v>1591</v>
      </c>
      <c r="D521" t="s">
        <v>664</v>
      </c>
      <c r="E521" t="s">
        <v>1592</v>
      </c>
      <c r="F521" t="s">
        <v>1593</v>
      </c>
      <c r="G521">
        <v>51</v>
      </c>
      <c r="H521">
        <v>168042</v>
      </c>
      <c r="I521" t="b">
        <v>0</v>
      </c>
      <c r="J521">
        <v>0.38500000000000001</v>
      </c>
      <c r="K521">
        <v>0.13400000000000001</v>
      </c>
      <c r="L521">
        <v>5</v>
      </c>
      <c r="M521">
        <v>-14.672000000000001</v>
      </c>
      <c r="N521">
        <v>0</v>
      </c>
      <c r="O521">
        <v>4.7600000000000003E-2</v>
      </c>
      <c r="P521">
        <v>0.89900000000000002</v>
      </c>
      <c r="Q521">
        <v>0</v>
      </c>
      <c r="R521">
        <v>0.113</v>
      </c>
      <c r="S521">
        <v>0.42699999999999999</v>
      </c>
      <c r="T521">
        <v>203.816</v>
      </c>
      <c r="U521">
        <v>4</v>
      </c>
      <c r="V521" t="s">
        <v>24</v>
      </c>
    </row>
    <row r="522" spans="3:22" x14ac:dyDescent="0.35">
      <c r="C522" t="s">
        <v>1594</v>
      </c>
      <c r="D522" t="s">
        <v>215</v>
      </c>
      <c r="E522" t="s">
        <v>1448</v>
      </c>
      <c r="F522" t="s">
        <v>1595</v>
      </c>
      <c r="G522">
        <v>51</v>
      </c>
      <c r="H522">
        <v>131800</v>
      </c>
      <c r="I522" t="b">
        <v>0</v>
      </c>
      <c r="J522">
        <v>0.42899999999999999</v>
      </c>
      <c r="K522">
        <v>0.25800000000000001</v>
      </c>
      <c r="L522">
        <v>5</v>
      </c>
      <c r="M522">
        <v>-12.407999999999999</v>
      </c>
      <c r="N522">
        <v>1</v>
      </c>
      <c r="O522">
        <v>3.1699999999999999E-2</v>
      </c>
      <c r="P522">
        <v>0.86799999999999999</v>
      </c>
      <c r="Q522">
        <v>0.88800000000000001</v>
      </c>
      <c r="R522">
        <v>0.108</v>
      </c>
      <c r="S522">
        <v>8.9700000000000002E-2</v>
      </c>
      <c r="T522">
        <v>108.79600000000001</v>
      </c>
      <c r="U522">
        <v>4</v>
      </c>
      <c r="V522" t="s">
        <v>24</v>
      </c>
    </row>
    <row r="523" spans="3:22" x14ac:dyDescent="0.35">
      <c r="C523" t="s">
        <v>1596</v>
      </c>
      <c r="D523" t="s">
        <v>991</v>
      </c>
      <c r="E523" t="s">
        <v>1144</v>
      </c>
      <c r="F523" t="s">
        <v>1597</v>
      </c>
      <c r="G523">
        <v>31</v>
      </c>
      <c r="H523">
        <v>326600</v>
      </c>
      <c r="I523" t="b">
        <v>0</v>
      </c>
      <c r="J523">
        <v>0.60899999999999999</v>
      </c>
      <c r="K523">
        <v>0.76</v>
      </c>
      <c r="L523">
        <v>0</v>
      </c>
      <c r="M523">
        <v>-5.16</v>
      </c>
      <c r="N523">
        <v>1</v>
      </c>
      <c r="O523">
        <v>2.8299999999999999E-2</v>
      </c>
      <c r="P523">
        <v>0.13100000000000001</v>
      </c>
      <c r="Q523">
        <v>0</v>
      </c>
      <c r="R523">
        <v>0.41</v>
      </c>
      <c r="S523">
        <v>0.44</v>
      </c>
      <c r="T523">
        <v>117.13500000000001</v>
      </c>
      <c r="U523">
        <v>4</v>
      </c>
      <c r="V523" t="s">
        <v>24</v>
      </c>
    </row>
    <row r="524" spans="3:22" x14ac:dyDescent="0.35">
      <c r="C524" t="s">
        <v>1598</v>
      </c>
      <c r="D524" t="s">
        <v>34</v>
      </c>
      <c r="E524" t="s">
        <v>1599</v>
      </c>
      <c r="F524" t="s">
        <v>1599</v>
      </c>
      <c r="G524">
        <v>48</v>
      </c>
      <c r="H524">
        <v>166320</v>
      </c>
      <c r="I524" t="b">
        <v>0</v>
      </c>
      <c r="J524">
        <v>0.72099999999999997</v>
      </c>
      <c r="K524">
        <v>9.6299999999999997E-2</v>
      </c>
      <c r="L524">
        <v>0</v>
      </c>
      <c r="M524">
        <v>-15.973000000000001</v>
      </c>
      <c r="N524">
        <v>1</v>
      </c>
      <c r="O524">
        <v>5.0200000000000002E-2</v>
      </c>
      <c r="P524">
        <v>0.94499999999999995</v>
      </c>
      <c r="Q524" s="1" t="s">
        <v>1600</v>
      </c>
      <c r="R524">
        <v>0.13300000000000001</v>
      </c>
      <c r="S524">
        <v>0.57599999999999996</v>
      </c>
      <c r="T524">
        <v>124.86799999999999</v>
      </c>
      <c r="U524">
        <v>4</v>
      </c>
      <c r="V524" t="s">
        <v>24</v>
      </c>
    </row>
    <row r="525" spans="3:22" x14ac:dyDescent="0.35">
      <c r="C525" t="s">
        <v>1601</v>
      </c>
      <c r="D525" t="s">
        <v>517</v>
      </c>
      <c r="E525" t="s">
        <v>566</v>
      </c>
      <c r="F525" t="s">
        <v>1602</v>
      </c>
      <c r="G525">
        <v>48</v>
      </c>
      <c r="H525">
        <v>178319</v>
      </c>
      <c r="I525" t="b">
        <v>0</v>
      </c>
      <c r="J525">
        <v>0.67500000000000004</v>
      </c>
      <c r="K525">
        <v>0.27800000000000002</v>
      </c>
      <c r="L525">
        <v>3</v>
      </c>
      <c r="M525">
        <v>-9.5690000000000008</v>
      </c>
      <c r="N525">
        <v>1</v>
      </c>
      <c r="O525">
        <v>3.4299999999999997E-2</v>
      </c>
      <c r="P525">
        <v>0.84499999999999997</v>
      </c>
      <c r="Q525">
        <v>0</v>
      </c>
      <c r="R525">
        <v>0.114</v>
      </c>
      <c r="S525">
        <v>0.35299999999999998</v>
      </c>
      <c r="T525">
        <v>123.962</v>
      </c>
      <c r="U525">
        <v>4</v>
      </c>
      <c r="V525" t="s">
        <v>24</v>
      </c>
    </row>
    <row r="526" spans="3:22" x14ac:dyDescent="0.35">
      <c r="C526" t="s">
        <v>1603</v>
      </c>
      <c r="D526" t="s">
        <v>278</v>
      </c>
      <c r="E526" t="s">
        <v>448</v>
      </c>
      <c r="F526" t="s">
        <v>1604</v>
      </c>
      <c r="G526">
        <v>51</v>
      </c>
      <c r="H526">
        <v>249386</v>
      </c>
      <c r="I526" t="b">
        <v>0</v>
      </c>
      <c r="J526">
        <v>0.40300000000000002</v>
      </c>
      <c r="K526">
        <v>0.28999999999999998</v>
      </c>
      <c r="L526">
        <v>2</v>
      </c>
      <c r="M526">
        <v>-10.262</v>
      </c>
      <c r="N526">
        <v>1</v>
      </c>
      <c r="O526">
        <v>3.2800000000000003E-2</v>
      </c>
      <c r="P526">
        <v>0.75700000000000001</v>
      </c>
      <c r="Q526">
        <v>0</v>
      </c>
      <c r="R526">
        <v>9.7199999999999995E-2</v>
      </c>
      <c r="S526">
        <v>0.248</v>
      </c>
      <c r="T526">
        <v>139.482</v>
      </c>
      <c r="U526">
        <v>4</v>
      </c>
      <c r="V526" t="s">
        <v>24</v>
      </c>
    </row>
    <row r="527" spans="3:22" x14ac:dyDescent="0.35">
      <c r="C527" t="s">
        <v>1605</v>
      </c>
      <c r="D527" t="s">
        <v>1319</v>
      </c>
      <c r="E527" t="s">
        <v>1606</v>
      </c>
      <c r="F527" t="s">
        <v>1607</v>
      </c>
      <c r="G527">
        <v>55</v>
      </c>
      <c r="H527">
        <v>200893</v>
      </c>
      <c r="I527" t="b">
        <v>0</v>
      </c>
      <c r="J527">
        <v>0.627</v>
      </c>
      <c r="K527">
        <v>0.51800000000000002</v>
      </c>
      <c r="L527">
        <v>8</v>
      </c>
      <c r="M527">
        <v>-7.1779999999999999</v>
      </c>
      <c r="N527">
        <v>1</v>
      </c>
      <c r="O527">
        <v>2.86E-2</v>
      </c>
      <c r="P527">
        <v>0.436</v>
      </c>
      <c r="Q527">
        <v>0</v>
      </c>
      <c r="R527">
        <v>0.128</v>
      </c>
      <c r="S527">
        <v>0.33700000000000002</v>
      </c>
      <c r="T527">
        <v>95.991</v>
      </c>
      <c r="U527">
        <v>4</v>
      </c>
      <c r="V527" t="s">
        <v>24</v>
      </c>
    </row>
    <row r="528" spans="3:22" x14ac:dyDescent="0.35">
      <c r="C528" t="s">
        <v>1608</v>
      </c>
      <c r="D528" t="s">
        <v>991</v>
      </c>
      <c r="E528" t="s">
        <v>1609</v>
      </c>
      <c r="F528" t="s">
        <v>1609</v>
      </c>
      <c r="G528">
        <v>32</v>
      </c>
      <c r="H528">
        <v>292493</v>
      </c>
      <c r="I528" t="b">
        <v>0</v>
      </c>
      <c r="J528">
        <v>0.40300000000000002</v>
      </c>
      <c r="K528">
        <v>0.92500000000000004</v>
      </c>
      <c r="L528">
        <v>9</v>
      </c>
      <c r="M528">
        <v>-3.1659999999999999</v>
      </c>
      <c r="N528">
        <v>1</v>
      </c>
      <c r="O528">
        <v>5.3699999999999998E-2</v>
      </c>
      <c r="P528">
        <v>4.35E-4</v>
      </c>
      <c r="Q528">
        <v>0.755</v>
      </c>
      <c r="R528">
        <v>0.32300000000000001</v>
      </c>
      <c r="S528">
        <v>0.54300000000000004</v>
      </c>
      <c r="T528">
        <v>169.97800000000001</v>
      </c>
      <c r="U528">
        <v>4</v>
      </c>
      <c r="V528" t="s">
        <v>24</v>
      </c>
    </row>
    <row r="529" spans="3:22" x14ac:dyDescent="0.35">
      <c r="C529" t="s">
        <v>1610</v>
      </c>
      <c r="D529" t="s">
        <v>1611</v>
      </c>
      <c r="E529" t="s">
        <v>1612</v>
      </c>
      <c r="F529" t="s">
        <v>802</v>
      </c>
      <c r="G529">
        <v>54</v>
      </c>
      <c r="H529">
        <v>189673</v>
      </c>
      <c r="I529" t="b">
        <v>0</v>
      </c>
      <c r="J529">
        <v>0.44900000000000001</v>
      </c>
      <c r="K529">
        <v>0.20899999999999999</v>
      </c>
      <c r="L529">
        <v>10</v>
      </c>
      <c r="M529">
        <v>-14.494</v>
      </c>
      <c r="N529">
        <v>1</v>
      </c>
      <c r="O529">
        <v>8.9599999999999999E-2</v>
      </c>
      <c r="P529">
        <v>0.89600000000000002</v>
      </c>
      <c r="Q529">
        <v>0</v>
      </c>
      <c r="R529">
        <v>0.156</v>
      </c>
      <c r="S529">
        <v>0.43099999999999999</v>
      </c>
      <c r="T529">
        <v>93.617999999999995</v>
      </c>
      <c r="U529">
        <v>4</v>
      </c>
      <c r="V529" t="s">
        <v>24</v>
      </c>
    </row>
    <row r="530" spans="3:22" x14ac:dyDescent="0.35">
      <c r="C530" t="s">
        <v>1613</v>
      </c>
      <c r="D530" t="s">
        <v>50</v>
      </c>
      <c r="E530" t="s">
        <v>1614</v>
      </c>
      <c r="F530" t="s">
        <v>464</v>
      </c>
      <c r="G530">
        <v>60</v>
      </c>
      <c r="H530">
        <v>256440</v>
      </c>
      <c r="I530" t="b">
        <v>0</v>
      </c>
      <c r="J530">
        <v>0.58899999999999997</v>
      </c>
      <c r="K530">
        <v>0.86699999999999999</v>
      </c>
      <c r="L530">
        <v>10</v>
      </c>
      <c r="M530">
        <v>-4.5229999999999997</v>
      </c>
      <c r="N530">
        <v>1</v>
      </c>
      <c r="O530">
        <v>3.85E-2</v>
      </c>
      <c r="P530">
        <v>4.1000000000000002E-2</v>
      </c>
      <c r="Q530">
        <v>0</v>
      </c>
      <c r="R530">
        <v>0.30599999999999999</v>
      </c>
      <c r="S530">
        <v>0.79500000000000004</v>
      </c>
      <c r="T530">
        <v>94.52</v>
      </c>
      <c r="U530">
        <v>4</v>
      </c>
      <c r="V530" t="s">
        <v>24</v>
      </c>
    </row>
    <row r="531" spans="3:22" x14ac:dyDescent="0.35">
      <c r="C531" t="s">
        <v>1615</v>
      </c>
      <c r="D531" t="s">
        <v>1333</v>
      </c>
      <c r="E531" t="s">
        <v>1334</v>
      </c>
      <c r="F531" t="s">
        <v>1616</v>
      </c>
      <c r="G531">
        <v>47</v>
      </c>
      <c r="H531">
        <v>147809</v>
      </c>
      <c r="I531" t="b">
        <v>0</v>
      </c>
      <c r="J531">
        <v>0.78900000000000003</v>
      </c>
      <c r="K531">
        <v>0.26100000000000001</v>
      </c>
      <c r="L531">
        <v>7</v>
      </c>
      <c r="M531">
        <v>-14.396000000000001</v>
      </c>
      <c r="N531">
        <v>1</v>
      </c>
      <c r="O531">
        <v>4.5600000000000002E-2</v>
      </c>
      <c r="P531">
        <v>0.80300000000000005</v>
      </c>
      <c r="Q531">
        <v>0</v>
      </c>
      <c r="R531">
        <v>9.6199999999999994E-2</v>
      </c>
      <c r="S531">
        <v>0.49099999999999999</v>
      </c>
      <c r="T531">
        <v>117.961</v>
      </c>
      <c r="U531">
        <v>4</v>
      </c>
      <c r="V531" t="s">
        <v>24</v>
      </c>
    </row>
    <row r="532" spans="3:22" x14ac:dyDescent="0.35">
      <c r="C532" t="s">
        <v>1617</v>
      </c>
      <c r="D532" t="s">
        <v>1618</v>
      </c>
      <c r="E532" t="s">
        <v>1619</v>
      </c>
      <c r="F532" t="s">
        <v>1619</v>
      </c>
      <c r="G532">
        <v>29</v>
      </c>
      <c r="H532">
        <v>246644</v>
      </c>
      <c r="I532" t="b">
        <v>0</v>
      </c>
      <c r="J532">
        <v>0.66300000000000003</v>
      </c>
      <c r="K532">
        <v>0.23899999999999999</v>
      </c>
      <c r="L532">
        <v>9</v>
      </c>
      <c r="M532">
        <v>-9.5169999999999995</v>
      </c>
      <c r="N532">
        <v>1</v>
      </c>
      <c r="O532">
        <v>3.0800000000000001E-2</v>
      </c>
      <c r="P532">
        <v>0.82699999999999996</v>
      </c>
      <c r="Q532">
        <v>0</v>
      </c>
      <c r="R532">
        <v>0.109</v>
      </c>
      <c r="S532">
        <v>0.48799999999999999</v>
      </c>
      <c r="T532">
        <v>83.102000000000004</v>
      </c>
      <c r="U532">
        <v>4</v>
      </c>
      <c r="V532" t="s">
        <v>24</v>
      </c>
    </row>
    <row r="533" spans="3:22" x14ac:dyDescent="0.35">
      <c r="C533" t="s">
        <v>1620</v>
      </c>
      <c r="D533" t="s">
        <v>1002</v>
      </c>
      <c r="E533" t="s">
        <v>1621</v>
      </c>
      <c r="F533" t="s">
        <v>1621</v>
      </c>
      <c r="G533">
        <v>51</v>
      </c>
      <c r="H533">
        <v>228426</v>
      </c>
      <c r="I533" t="b">
        <v>0</v>
      </c>
      <c r="J533">
        <v>0.498</v>
      </c>
      <c r="K533">
        <v>0.113</v>
      </c>
      <c r="L533">
        <v>6</v>
      </c>
      <c r="M533">
        <v>-16.097000000000001</v>
      </c>
      <c r="N533">
        <v>0</v>
      </c>
      <c r="O533">
        <v>3.3300000000000003E-2</v>
      </c>
      <c r="P533">
        <v>0.69099999999999995</v>
      </c>
      <c r="Q533">
        <v>2.8699999999999998E-4</v>
      </c>
      <c r="R533">
        <v>0.108</v>
      </c>
      <c r="S533">
        <v>0.29599999999999999</v>
      </c>
      <c r="T533">
        <v>168.38300000000001</v>
      </c>
      <c r="U533">
        <v>4</v>
      </c>
      <c r="V533" t="s">
        <v>24</v>
      </c>
    </row>
    <row r="534" spans="3:22" x14ac:dyDescent="0.35">
      <c r="C534" t="s">
        <v>1622</v>
      </c>
      <c r="D534" t="s">
        <v>192</v>
      </c>
      <c r="E534" t="s">
        <v>1623</v>
      </c>
      <c r="F534" t="s">
        <v>1623</v>
      </c>
      <c r="G534">
        <v>41</v>
      </c>
      <c r="H534">
        <v>207400</v>
      </c>
      <c r="I534" t="b">
        <v>0</v>
      </c>
      <c r="J534">
        <v>0.58599999999999997</v>
      </c>
      <c r="K534">
        <v>0.14899999999999999</v>
      </c>
      <c r="L534">
        <v>5</v>
      </c>
      <c r="M534">
        <v>-13.369</v>
      </c>
      <c r="N534">
        <v>1</v>
      </c>
      <c r="O534">
        <v>3.4799999999999998E-2</v>
      </c>
      <c r="P534">
        <v>0.88100000000000001</v>
      </c>
      <c r="Q534">
        <v>0</v>
      </c>
      <c r="R534">
        <v>0.187</v>
      </c>
      <c r="S534">
        <v>0.34100000000000003</v>
      </c>
      <c r="T534">
        <v>75.120999999999995</v>
      </c>
      <c r="U534">
        <v>4</v>
      </c>
      <c r="V534" t="s">
        <v>24</v>
      </c>
    </row>
    <row r="535" spans="3:22" x14ac:dyDescent="0.35">
      <c r="C535" t="s">
        <v>1624</v>
      </c>
      <c r="D535" t="s">
        <v>34</v>
      </c>
      <c r="E535" t="s">
        <v>1625</v>
      </c>
      <c r="F535" t="s">
        <v>36</v>
      </c>
      <c r="G535">
        <v>48</v>
      </c>
      <c r="H535">
        <v>188354</v>
      </c>
      <c r="I535" t="b">
        <v>0</v>
      </c>
      <c r="J535">
        <v>0.44400000000000001</v>
      </c>
      <c r="K535">
        <v>0.14299999999999999</v>
      </c>
      <c r="L535">
        <v>0</v>
      </c>
      <c r="M535">
        <v>-11.449</v>
      </c>
      <c r="N535">
        <v>1</v>
      </c>
      <c r="O535">
        <v>3.0200000000000001E-2</v>
      </c>
      <c r="P535">
        <v>0.92500000000000004</v>
      </c>
      <c r="Q535" s="1" t="s">
        <v>1626</v>
      </c>
      <c r="R535">
        <v>0.11799999999999999</v>
      </c>
      <c r="S535">
        <v>0.13200000000000001</v>
      </c>
      <c r="T535">
        <v>100.34099999999999</v>
      </c>
      <c r="U535">
        <v>3</v>
      </c>
      <c r="V535" t="s">
        <v>24</v>
      </c>
    </row>
    <row r="536" spans="3:22" x14ac:dyDescent="0.35">
      <c r="C536" t="s">
        <v>1627</v>
      </c>
      <c r="D536" t="s">
        <v>1628</v>
      </c>
      <c r="E536" t="s">
        <v>1629</v>
      </c>
      <c r="F536" t="s">
        <v>1630</v>
      </c>
      <c r="G536">
        <v>61</v>
      </c>
      <c r="H536">
        <v>168712</v>
      </c>
      <c r="I536" t="b">
        <v>0</v>
      </c>
      <c r="J536">
        <v>0.60599999999999998</v>
      </c>
      <c r="K536">
        <v>0.41499999999999998</v>
      </c>
      <c r="L536">
        <v>7</v>
      </c>
      <c r="M536">
        <v>-8.3170000000000002</v>
      </c>
      <c r="N536">
        <v>0</v>
      </c>
      <c r="O536">
        <v>4.7500000000000001E-2</v>
      </c>
      <c r="P536">
        <v>0.69499999999999995</v>
      </c>
      <c r="Q536">
        <v>1.49E-3</v>
      </c>
      <c r="R536">
        <v>0.17399999999999999</v>
      </c>
      <c r="S536">
        <v>0.40500000000000003</v>
      </c>
      <c r="T536">
        <v>137.77500000000001</v>
      </c>
      <c r="U536">
        <v>4</v>
      </c>
      <c r="V536" t="s">
        <v>24</v>
      </c>
    </row>
    <row r="537" spans="3:22" x14ac:dyDescent="0.35">
      <c r="C537" t="s">
        <v>1631</v>
      </c>
      <c r="D537" t="s">
        <v>1632</v>
      </c>
      <c r="E537" t="s">
        <v>1633</v>
      </c>
      <c r="F537" t="s">
        <v>1634</v>
      </c>
      <c r="G537">
        <v>60</v>
      </c>
      <c r="H537">
        <v>188200</v>
      </c>
      <c r="I537" t="b">
        <v>0</v>
      </c>
      <c r="J537">
        <v>0.745</v>
      </c>
      <c r="K537">
        <v>0.436</v>
      </c>
      <c r="L537">
        <v>5</v>
      </c>
      <c r="M537">
        <v>-9.6170000000000009</v>
      </c>
      <c r="N537">
        <v>0</v>
      </c>
      <c r="O537">
        <v>4.2999999999999997E-2</v>
      </c>
      <c r="P537">
        <v>0.59699999999999998</v>
      </c>
      <c r="Q537">
        <v>2.1299999999999999E-2</v>
      </c>
      <c r="R537">
        <v>0.61</v>
      </c>
      <c r="S537">
        <v>0.77100000000000002</v>
      </c>
      <c r="T537">
        <v>114.21599999999999</v>
      </c>
      <c r="U537">
        <v>4</v>
      </c>
      <c r="V537" t="s">
        <v>24</v>
      </c>
    </row>
    <row r="538" spans="3:22" x14ac:dyDescent="0.35">
      <c r="C538" t="s">
        <v>1635</v>
      </c>
      <c r="D538" t="s">
        <v>1636</v>
      </c>
      <c r="E538" t="s">
        <v>1637</v>
      </c>
      <c r="F538" t="s">
        <v>1638</v>
      </c>
      <c r="G538">
        <v>45</v>
      </c>
      <c r="H538">
        <v>181496</v>
      </c>
      <c r="I538" t="b">
        <v>0</v>
      </c>
      <c r="J538">
        <v>0.52600000000000002</v>
      </c>
      <c r="K538">
        <v>0.13900000000000001</v>
      </c>
      <c r="L538">
        <v>9</v>
      </c>
      <c r="M538">
        <v>-11.316000000000001</v>
      </c>
      <c r="N538">
        <v>1</v>
      </c>
      <c r="O538">
        <v>3.2500000000000001E-2</v>
      </c>
      <c r="P538">
        <v>0.879</v>
      </c>
      <c r="Q538">
        <v>0</v>
      </c>
      <c r="R538">
        <v>0.109</v>
      </c>
      <c r="S538">
        <v>0.20300000000000001</v>
      </c>
      <c r="T538">
        <v>100.852</v>
      </c>
      <c r="U538">
        <v>4</v>
      </c>
      <c r="V538" t="s">
        <v>24</v>
      </c>
    </row>
    <row r="539" spans="3:22" x14ac:dyDescent="0.35">
      <c r="C539" t="s">
        <v>1639</v>
      </c>
      <c r="D539" t="s">
        <v>712</v>
      </c>
      <c r="E539" t="s">
        <v>1382</v>
      </c>
      <c r="F539" t="s">
        <v>1640</v>
      </c>
      <c r="G539">
        <v>58</v>
      </c>
      <c r="H539">
        <v>280226</v>
      </c>
      <c r="I539" t="b">
        <v>0</v>
      </c>
      <c r="J539">
        <v>0.61399999999999999</v>
      </c>
      <c r="K539">
        <v>0.28299999999999997</v>
      </c>
      <c r="L539">
        <v>0</v>
      </c>
      <c r="M539">
        <v>-8.0079999999999991</v>
      </c>
      <c r="N539">
        <v>1</v>
      </c>
      <c r="O539">
        <v>2.7E-2</v>
      </c>
      <c r="P539">
        <v>0.47199999999999998</v>
      </c>
      <c r="Q539">
        <v>0</v>
      </c>
      <c r="R539">
        <v>0.114</v>
      </c>
      <c r="S539">
        <v>0.33100000000000002</v>
      </c>
      <c r="T539">
        <v>107.673</v>
      </c>
      <c r="U539">
        <v>3</v>
      </c>
      <c r="V539" t="s">
        <v>24</v>
      </c>
    </row>
    <row r="540" spans="3:22" x14ac:dyDescent="0.35">
      <c r="C540" t="s">
        <v>1641</v>
      </c>
      <c r="D540" t="s">
        <v>1642</v>
      </c>
      <c r="E540" t="s">
        <v>1643</v>
      </c>
      <c r="F540" t="s">
        <v>1644</v>
      </c>
      <c r="G540">
        <v>29</v>
      </c>
      <c r="H540">
        <v>254306</v>
      </c>
      <c r="I540" t="b">
        <v>0</v>
      </c>
      <c r="J540">
        <v>0.47299999999999998</v>
      </c>
      <c r="K540">
        <v>0.49299999999999999</v>
      </c>
      <c r="L540">
        <v>11</v>
      </c>
      <c r="M540">
        <v>-6.7329999999999997</v>
      </c>
      <c r="N540">
        <v>1</v>
      </c>
      <c r="O540">
        <v>3.0200000000000001E-2</v>
      </c>
      <c r="P540">
        <v>0.84</v>
      </c>
      <c r="Q540" s="1" t="s">
        <v>1645</v>
      </c>
      <c r="R540">
        <v>9.1499999999999998E-2</v>
      </c>
      <c r="S540">
        <v>0.54</v>
      </c>
      <c r="T540">
        <v>169.99799999999999</v>
      </c>
      <c r="U540">
        <v>4</v>
      </c>
      <c r="V540" t="s">
        <v>24</v>
      </c>
    </row>
    <row r="541" spans="3:22" x14ac:dyDescent="0.35">
      <c r="C541" t="s">
        <v>1646</v>
      </c>
      <c r="D541" t="s">
        <v>339</v>
      </c>
      <c r="E541" t="s">
        <v>736</v>
      </c>
      <c r="F541" t="s">
        <v>1647</v>
      </c>
      <c r="G541">
        <v>57</v>
      </c>
      <c r="H541">
        <v>276146</v>
      </c>
      <c r="I541" t="b">
        <v>0</v>
      </c>
      <c r="J541">
        <v>0.439</v>
      </c>
      <c r="K541">
        <v>0.20699999999999999</v>
      </c>
      <c r="L541">
        <v>1</v>
      </c>
      <c r="M541">
        <v>-9.5730000000000004</v>
      </c>
      <c r="N541">
        <v>1</v>
      </c>
      <c r="O541">
        <v>2.9700000000000001E-2</v>
      </c>
      <c r="P541">
        <v>0.60799999999999998</v>
      </c>
      <c r="Q541">
        <v>0</v>
      </c>
      <c r="R541">
        <v>0.186</v>
      </c>
      <c r="S541">
        <v>0.26400000000000001</v>
      </c>
      <c r="T541">
        <v>136.51400000000001</v>
      </c>
      <c r="U541">
        <v>4</v>
      </c>
      <c r="V541" t="s">
        <v>24</v>
      </c>
    </row>
    <row r="542" spans="3:22" x14ac:dyDescent="0.35">
      <c r="C542" t="s">
        <v>1648</v>
      </c>
      <c r="D542" t="s">
        <v>1489</v>
      </c>
      <c r="E542" t="s">
        <v>1490</v>
      </c>
      <c r="F542" t="s">
        <v>1649</v>
      </c>
      <c r="G542">
        <v>29</v>
      </c>
      <c r="H542">
        <v>274720</v>
      </c>
      <c r="I542" t="b">
        <v>0</v>
      </c>
      <c r="J542">
        <v>0.66500000000000004</v>
      </c>
      <c r="K542">
        <v>0.48699999999999999</v>
      </c>
      <c r="L542">
        <v>7</v>
      </c>
      <c r="M542">
        <v>-9.4090000000000007</v>
      </c>
      <c r="N542">
        <v>1</v>
      </c>
      <c r="O542">
        <v>2.4299999999999999E-2</v>
      </c>
      <c r="P542">
        <v>0.63900000000000001</v>
      </c>
      <c r="Q542" s="1" t="s">
        <v>1650</v>
      </c>
      <c r="R542">
        <v>9.0999999999999998E-2</v>
      </c>
      <c r="S542">
        <v>0.32600000000000001</v>
      </c>
      <c r="T542">
        <v>94.977999999999994</v>
      </c>
      <c r="U542">
        <v>4</v>
      </c>
      <c r="V542" t="s">
        <v>24</v>
      </c>
    </row>
    <row r="543" spans="3:22" x14ac:dyDescent="0.35">
      <c r="C543" t="s">
        <v>1651</v>
      </c>
      <c r="D543" t="s">
        <v>408</v>
      </c>
      <c r="E543" t="s">
        <v>1652</v>
      </c>
      <c r="F543" t="s">
        <v>1652</v>
      </c>
      <c r="G543">
        <v>49</v>
      </c>
      <c r="H543">
        <v>159820</v>
      </c>
      <c r="I543" t="b">
        <v>0</v>
      </c>
      <c r="J543">
        <v>0.53400000000000003</v>
      </c>
      <c r="K543">
        <v>0.26</v>
      </c>
      <c r="L543">
        <v>1</v>
      </c>
      <c r="M543">
        <v>-12.406000000000001</v>
      </c>
      <c r="N543">
        <v>1</v>
      </c>
      <c r="O543">
        <v>3.1899999999999998E-2</v>
      </c>
      <c r="P543">
        <v>0.83399999999999996</v>
      </c>
      <c r="Q543">
        <v>4.0499999999999998E-3</v>
      </c>
      <c r="R543">
        <v>0.10199999999999999</v>
      </c>
      <c r="S543">
        <v>0.151</v>
      </c>
      <c r="T543">
        <v>113.877</v>
      </c>
      <c r="U543">
        <v>4</v>
      </c>
      <c r="V543" t="s">
        <v>24</v>
      </c>
    </row>
    <row r="544" spans="3:22" x14ac:dyDescent="0.35">
      <c r="C544" t="s">
        <v>1653</v>
      </c>
      <c r="D544" t="s">
        <v>894</v>
      </c>
      <c r="E544" t="s">
        <v>1654</v>
      </c>
      <c r="F544" t="s">
        <v>1655</v>
      </c>
      <c r="G544">
        <v>30</v>
      </c>
      <c r="H544">
        <v>178573</v>
      </c>
      <c r="I544" t="b">
        <v>0</v>
      </c>
      <c r="J544">
        <v>0.45700000000000002</v>
      </c>
      <c r="K544">
        <v>0.26</v>
      </c>
      <c r="L544">
        <v>7</v>
      </c>
      <c r="M544">
        <v>-7.952</v>
      </c>
      <c r="N544">
        <v>1</v>
      </c>
      <c r="O544">
        <v>4.0599999999999997E-2</v>
      </c>
      <c r="P544">
        <v>5.9400000000000001E-2</v>
      </c>
      <c r="Q544">
        <v>0</v>
      </c>
      <c r="R544">
        <v>0.34599999999999997</v>
      </c>
      <c r="S544">
        <v>0.38</v>
      </c>
      <c r="T544">
        <v>106.756</v>
      </c>
      <c r="U544">
        <v>4</v>
      </c>
      <c r="V544" t="s">
        <v>24</v>
      </c>
    </row>
    <row r="545" spans="3:22" x14ac:dyDescent="0.35">
      <c r="C545" t="s">
        <v>1656</v>
      </c>
      <c r="D545" t="s">
        <v>755</v>
      </c>
      <c r="E545" t="s">
        <v>920</v>
      </c>
      <c r="F545" t="s">
        <v>1657</v>
      </c>
      <c r="G545">
        <v>30</v>
      </c>
      <c r="H545">
        <v>175046</v>
      </c>
      <c r="I545" t="b">
        <v>1</v>
      </c>
      <c r="J545">
        <v>0.5</v>
      </c>
      <c r="K545">
        <v>0.61099999999999999</v>
      </c>
      <c r="L545">
        <v>0</v>
      </c>
      <c r="M545">
        <v>-10.826000000000001</v>
      </c>
      <c r="N545">
        <v>1</v>
      </c>
      <c r="O545">
        <v>7.8799999999999995E-2</v>
      </c>
      <c r="P545">
        <v>0.83399999999999996</v>
      </c>
      <c r="Q545" s="1" t="s">
        <v>1658</v>
      </c>
      <c r="R545">
        <v>0.24099999999999999</v>
      </c>
      <c r="S545">
        <v>0.89400000000000002</v>
      </c>
      <c r="T545">
        <v>88.372</v>
      </c>
      <c r="U545">
        <v>4</v>
      </c>
      <c r="V545" t="s">
        <v>24</v>
      </c>
    </row>
    <row r="546" spans="3:22" x14ac:dyDescent="0.35">
      <c r="C546" t="s">
        <v>1659</v>
      </c>
      <c r="D546" t="s">
        <v>1660</v>
      </c>
      <c r="E546" t="s">
        <v>1661</v>
      </c>
      <c r="F546" t="s">
        <v>1662</v>
      </c>
      <c r="G546">
        <v>31</v>
      </c>
      <c r="H546">
        <v>180771</v>
      </c>
      <c r="I546" t="b">
        <v>0</v>
      </c>
      <c r="J546">
        <v>0.44800000000000001</v>
      </c>
      <c r="K546">
        <v>0.51600000000000001</v>
      </c>
      <c r="L546">
        <v>0</v>
      </c>
      <c r="M546">
        <v>-7.4489999999999998</v>
      </c>
      <c r="N546">
        <v>1</v>
      </c>
      <c r="O546">
        <v>2.92E-2</v>
      </c>
      <c r="P546">
        <v>0.34100000000000003</v>
      </c>
      <c r="Q546">
        <v>4.9699999999999996E-3</v>
      </c>
      <c r="R546">
        <v>9.2899999999999996E-2</v>
      </c>
      <c r="S546">
        <v>0.28999999999999998</v>
      </c>
      <c r="T546">
        <v>100.672</v>
      </c>
      <c r="U546">
        <v>4</v>
      </c>
      <c r="V546" t="s">
        <v>24</v>
      </c>
    </row>
    <row r="547" spans="3:22" x14ac:dyDescent="0.35">
      <c r="C547" t="s">
        <v>1663</v>
      </c>
      <c r="D547" t="s">
        <v>1664</v>
      </c>
      <c r="E547" t="s">
        <v>1665</v>
      </c>
      <c r="F547" t="s">
        <v>1666</v>
      </c>
      <c r="G547">
        <v>29</v>
      </c>
      <c r="H547">
        <v>191052</v>
      </c>
      <c r="I547" t="b">
        <v>0</v>
      </c>
      <c r="J547">
        <v>0.69899999999999995</v>
      </c>
      <c r="K547">
        <v>0.34300000000000003</v>
      </c>
      <c r="L547">
        <v>2</v>
      </c>
      <c r="M547">
        <v>-6.0519999999999996</v>
      </c>
      <c r="N547">
        <v>1</v>
      </c>
      <c r="O547">
        <v>2.9600000000000001E-2</v>
      </c>
      <c r="P547">
        <v>0.50600000000000001</v>
      </c>
      <c r="Q547">
        <v>0</v>
      </c>
      <c r="R547">
        <v>0.56000000000000005</v>
      </c>
      <c r="S547">
        <v>0.38300000000000001</v>
      </c>
      <c r="T547">
        <v>114.021</v>
      </c>
      <c r="U547">
        <v>4</v>
      </c>
      <c r="V547" t="s">
        <v>24</v>
      </c>
    </row>
    <row r="548" spans="3:22" x14ac:dyDescent="0.35">
      <c r="C548" t="s">
        <v>1667</v>
      </c>
      <c r="D548" t="s">
        <v>140</v>
      </c>
      <c r="E548" t="s">
        <v>1668</v>
      </c>
      <c r="F548" t="s">
        <v>1669</v>
      </c>
      <c r="G548">
        <v>59</v>
      </c>
      <c r="H548">
        <v>214666</v>
      </c>
      <c r="I548" t="b">
        <v>0</v>
      </c>
      <c r="J548">
        <v>0.56399999999999995</v>
      </c>
      <c r="K548">
        <v>0.20899999999999999</v>
      </c>
      <c r="L548">
        <v>3</v>
      </c>
      <c r="M548">
        <v>-8.9220000000000006</v>
      </c>
      <c r="N548">
        <v>1</v>
      </c>
      <c r="O548">
        <v>3.1699999999999999E-2</v>
      </c>
      <c r="P548">
        <v>0.72399999999999998</v>
      </c>
      <c r="Q548" s="1" t="s">
        <v>1670</v>
      </c>
      <c r="R548">
        <v>0.107</v>
      </c>
      <c r="S548">
        <v>0.40200000000000002</v>
      </c>
      <c r="T548">
        <v>109.024</v>
      </c>
      <c r="U548">
        <v>4</v>
      </c>
      <c r="V548" t="s">
        <v>24</v>
      </c>
    </row>
    <row r="549" spans="3:22" x14ac:dyDescent="0.35">
      <c r="C549" t="s">
        <v>1671</v>
      </c>
      <c r="D549" t="s">
        <v>1069</v>
      </c>
      <c r="E549" t="s">
        <v>1394</v>
      </c>
      <c r="F549" t="s">
        <v>1672</v>
      </c>
      <c r="G549">
        <v>30</v>
      </c>
      <c r="H549">
        <v>167466</v>
      </c>
      <c r="I549" t="b">
        <v>1</v>
      </c>
      <c r="J549">
        <v>0.40400000000000003</v>
      </c>
      <c r="K549">
        <v>0.57699999999999996</v>
      </c>
      <c r="L549">
        <v>2</v>
      </c>
      <c r="M549">
        <v>-8.2720000000000002</v>
      </c>
      <c r="N549">
        <v>0</v>
      </c>
      <c r="O549">
        <v>2.9399999999999999E-2</v>
      </c>
      <c r="P549">
        <v>0.60499999999999998</v>
      </c>
      <c r="Q549">
        <v>0.249</v>
      </c>
      <c r="R549">
        <v>7.1199999999999999E-2</v>
      </c>
      <c r="S549">
        <v>0.63700000000000001</v>
      </c>
      <c r="T549">
        <v>112.215</v>
      </c>
      <c r="U549">
        <v>3</v>
      </c>
      <c r="V549" t="s">
        <v>24</v>
      </c>
    </row>
    <row r="550" spans="3:22" x14ac:dyDescent="0.35">
      <c r="C550" t="s">
        <v>1673</v>
      </c>
      <c r="D550" t="s">
        <v>1674</v>
      </c>
      <c r="E550" t="s">
        <v>1675</v>
      </c>
      <c r="F550" t="s">
        <v>1676</v>
      </c>
      <c r="G550">
        <v>30</v>
      </c>
      <c r="H550">
        <v>252760</v>
      </c>
      <c r="I550" t="b">
        <v>1</v>
      </c>
      <c r="J550">
        <v>0.501</v>
      </c>
      <c r="K550">
        <v>0.44</v>
      </c>
      <c r="L550">
        <v>6</v>
      </c>
      <c r="M550">
        <v>-8.1669999999999998</v>
      </c>
      <c r="N550">
        <v>1</v>
      </c>
      <c r="O550">
        <v>3.5200000000000002E-2</v>
      </c>
      <c r="P550">
        <v>0.81799999999999995</v>
      </c>
      <c r="Q550">
        <v>0</v>
      </c>
      <c r="R550">
        <v>0.104</v>
      </c>
      <c r="S550">
        <v>0.311</v>
      </c>
      <c r="T550">
        <v>89.881</v>
      </c>
      <c r="U550">
        <v>4</v>
      </c>
      <c r="V550" t="s">
        <v>24</v>
      </c>
    </row>
    <row r="551" spans="3:22" x14ac:dyDescent="0.35">
      <c r="C551" t="s">
        <v>1677</v>
      </c>
      <c r="D551" t="s">
        <v>769</v>
      </c>
      <c r="E551" t="s">
        <v>1237</v>
      </c>
      <c r="F551" t="s">
        <v>1678</v>
      </c>
      <c r="G551">
        <v>29</v>
      </c>
      <c r="H551">
        <v>136815</v>
      </c>
      <c r="I551" t="b">
        <v>1</v>
      </c>
      <c r="J551">
        <v>0.46100000000000002</v>
      </c>
      <c r="K551">
        <v>0.89300000000000002</v>
      </c>
      <c r="L551">
        <v>9</v>
      </c>
      <c r="M551">
        <v>-6.0279999999999996</v>
      </c>
      <c r="N551">
        <v>1</v>
      </c>
      <c r="O551">
        <v>0.121</v>
      </c>
      <c r="P551">
        <v>3.2299999999999998E-3</v>
      </c>
      <c r="Q551">
        <v>0</v>
      </c>
      <c r="R551">
        <v>0.65400000000000003</v>
      </c>
      <c r="S551">
        <v>0.4</v>
      </c>
      <c r="T551">
        <v>179.92</v>
      </c>
      <c r="U551">
        <v>4</v>
      </c>
      <c r="V551" t="s">
        <v>24</v>
      </c>
    </row>
    <row r="552" spans="3:22" x14ac:dyDescent="0.35">
      <c r="C552" t="s">
        <v>1679</v>
      </c>
      <c r="D552" t="s">
        <v>192</v>
      </c>
      <c r="E552" t="s">
        <v>1680</v>
      </c>
      <c r="F552" t="s">
        <v>1681</v>
      </c>
      <c r="G552">
        <v>55</v>
      </c>
      <c r="H552">
        <v>190909</v>
      </c>
      <c r="I552" t="b">
        <v>1</v>
      </c>
      <c r="J552">
        <v>0.67500000000000004</v>
      </c>
      <c r="K552">
        <v>0.24299999999999999</v>
      </c>
      <c r="L552">
        <v>0</v>
      </c>
      <c r="M552">
        <v>-13.391999999999999</v>
      </c>
      <c r="N552">
        <v>1</v>
      </c>
      <c r="O552">
        <v>4.1300000000000003E-2</v>
      </c>
      <c r="P552">
        <v>0.79700000000000004</v>
      </c>
      <c r="Q552">
        <v>0</v>
      </c>
      <c r="R552">
        <v>0.214</v>
      </c>
      <c r="S552">
        <v>0.70699999999999996</v>
      </c>
      <c r="T552">
        <v>142.87</v>
      </c>
      <c r="U552">
        <v>4</v>
      </c>
      <c r="V552" t="s">
        <v>24</v>
      </c>
    </row>
    <row r="553" spans="3:22" x14ac:dyDescent="0.35">
      <c r="C553" t="s">
        <v>1682</v>
      </c>
      <c r="D553" t="s">
        <v>263</v>
      </c>
      <c r="E553" t="s">
        <v>1683</v>
      </c>
      <c r="F553" t="s">
        <v>1683</v>
      </c>
      <c r="G553">
        <v>49</v>
      </c>
      <c r="H553">
        <v>218133</v>
      </c>
      <c r="I553" t="b">
        <v>0</v>
      </c>
      <c r="J553">
        <v>0.505</v>
      </c>
      <c r="K553">
        <v>0.31</v>
      </c>
      <c r="L553">
        <v>5</v>
      </c>
      <c r="M553">
        <v>-10.423</v>
      </c>
      <c r="N553">
        <v>1</v>
      </c>
      <c r="O553">
        <v>0.03</v>
      </c>
      <c r="P553">
        <v>0.88500000000000001</v>
      </c>
      <c r="Q553">
        <v>3.5899999999999999E-3</v>
      </c>
      <c r="R553">
        <v>9.9599999999999994E-2</v>
      </c>
      <c r="S553">
        <v>0.34</v>
      </c>
      <c r="T553">
        <v>82.590999999999994</v>
      </c>
      <c r="U553">
        <v>4</v>
      </c>
      <c r="V553" t="s">
        <v>24</v>
      </c>
    </row>
    <row r="554" spans="3:22" x14ac:dyDescent="0.35">
      <c r="C554" t="s">
        <v>1684</v>
      </c>
      <c r="D554" t="s">
        <v>184</v>
      </c>
      <c r="E554" t="s">
        <v>507</v>
      </c>
      <c r="F554" t="s">
        <v>1685</v>
      </c>
      <c r="G554">
        <v>50</v>
      </c>
      <c r="H554">
        <v>181093</v>
      </c>
      <c r="I554" t="b">
        <v>0</v>
      </c>
      <c r="J554">
        <v>0.54700000000000004</v>
      </c>
      <c r="K554">
        <v>0.59899999999999998</v>
      </c>
      <c r="L554">
        <v>11</v>
      </c>
      <c r="M554">
        <v>-8.1739999999999995</v>
      </c>
      <c r="N554">
        <v>0</v>
      </c>
      <c r="O554">
        <v>3.0099999999999998E-2</v>
      </c>
      <c r="P554">
        <v>3.96E-3</v>
      </c>
      <c r="Q554">
        <v>0.40899999999999997</v>
      </c>
      <c r="R554">
        <v>8.4699999999999998E-2</v>
      </c>
      <c r="S554">
        <v>5.7099999999999998E-2</v>
      </c>
      <c r="T554">
        <v>120.054</v>
      </c>
      <c r="U554">
        <v>4</v>
      </c>
      <c r="V554" t="s">
        <v>24</v>
      </c>
    </row>
    <row r="555" spans="3:22" x14ac:dyDescent="0.35">
      <c r="C555" t="s">
        <v>1686</v>
      </c>
      <c r="D555" t="s">
        <v>1687</v>
      </c>
      <c r="E555" t="s">
        <v>1687</v>
      </c>
      <c r="F555" t="s">
        <v>1688</v>
      </c>
      <c r="G555">
        <v>55</v>
      </c>
      <c r="H555">
        <v>212506</v>
      </c>
      <c r="I555" t="b">
        <v>0</v>
      </c>
      <c r="J555">
        <v>0.58899999999999997</v>
      </c>
      <c r="K555">
        <v>0.89300000000000002</v>
      </c>
      <c r="L555">
        <v>0</v>
      </c>
      <c r="M555">
        <v>-2.948</v>
      </c>
      <c r="N555">
        <v>1</v>
      </c>
      <c r="O555">
        <v>3.9699999999999999E-2</v>
      </c>
      <c r="P555">
        <v>2.7300000000000001E-2</v>
      </c>
      <c r="Q555">
        <v>0</v>
      </c>
      <c r="R555">
        <v>0.34300000000000003</v>
      </c>
      <c r="S555">
        <v>0.94</v>
      </c>
      <c r="T555">
        <v>92.010999999999996</v>
      </c>
      <c r="U555">
        <v>4</v>
      </c>
      <c r="V555" t="s">
        <v>24</v>
      </c>
    </row>
    <row r="556" spans="3:22" x14ac:dyDescent="0.35">
      <c r="C556" t="s">
        <v>1689</v>
      </c>
      <c r="D556" t="s">
        <v>1690</v>
      </c>
      <c r="E556" t="s">
        <v>1691</v>
      </c>
      <c r="F556" t="s">
        <v>1691</v>
      </c>
      <c r="G556">
        <v>49</v>
      </c>
      <c r="H556">
        <v>172454</v>
      </c>
      <c r="I556" t="b">
        <v>0</v>
      </c>
      <c r="J556">
        <v>0.503</v>
      </c>
      <c r="K556">
        <v>0.123</v>
      </c>
      <c r="L556">
        <v>2</v>
      </c>
      <c r="M556">
        <v>-14.311999999999999</v>
      </c>
      <c r="N556">
        <v>0</v>
      </c>
      <c r="O556">
        <v>3.27E-2</v>
      </c>
      <c r="P556">
        <v>0.86799999999999999</v>
      </c>
      <c r="Q556" s="1" t="s">
        <v>138</v>
      </c>
      <c r="R556">
        <v>0.111</v>
      </c>
      <c r="S556">
        <v>0.34300000000000003</v>
      </c>
      <c r="T556">
        <v>183.571</v>
      </c>
      <c r="U556">
        <v>4</v>
      </c>
      <c r="V556" t="s">
        <v>24</v>
      </c>
    </row>
    <row r="557" spans="3:22" x14ac:dyDescent="0.35">
      <c r="C557" t="s">
        <v>1692</v>
      </c>
      <c r="D557" t="s">
        <v>26</v>
      </c>
      <c r="E557" t="s">
        <v>1693</v>
      </c>
      <c r="F557" t="s">
        <v>1693</v>
      </c>
      <c r="G557">
        <v>32</v>
      </c>
      <c r="H557">
        <v>234046</v>
      </c>
      <c r="I557" t="b">
        <v>0</v>
      </c>
      <c r="J557">
        <v>0.61099999999999999</v>
      </c>
      <c r="K557">
        <v>0.53400000000000003</v>
      </c>
      <c r="L557">
        <v>7</v>
      </c>
      <c r="M557">
        <v>-8.8989999999999991</v>
      </c>
      <c r="N557">
        <v>1</v>
      </c>
      <c r="O557">
        <v>7.4399999999999994E-2</v>
      </c>
      <c r="P557">
        <v>0.42299999999999999</v>
      </c>
      <c r="Q557">
        <v>0</v>
      </c>
      <c r="R557">
        <v>0.14499999999999999</v>
      </c>
      <c r="S557">
        <v>0.38</v>
      </c>
      <c r="T557">
        <v>159.98500000000001</v>
      </c>
      <c r="U557">
        <v>4</v>
      </c>
      <c r="V557" t="s">
        <v>24</v>
      </c>
    </row>
    <row r="558" spans="3:22" x14ac:dyDescent="0.35">
      <c r="C558" t="s">
        <v>1694</v>
      </c>
      <c r="D558" t="s">
        <v>641</v>
      </c>
      <c r="E558" t="s">
        <v>1695</v>
      </c>
      <c r="F558" t="s">
        <v>1696</v>
      </c>
      <c r="G558">
        <v>53</v>
      </c>
      <c r="H558">
        <v>330200</v>
      </c>
      <c r="I558" t="b">
        <v>0</v>
      </c>
      <c r="J558">
        <v>0.55000000000000004</v>
      </c>
      <c r="K558">
        <v>0.40799999999999997</v>
      </c>
      <c r="L558">
        <v>11</v>
      </c>
      <c r="M558">
        <v>-8.4039999999999999</v>
      </c>
      <c r="N558">
        <v>0</v>
      </c>
      <c r="O558">
        <v>3.1800000000000002E-2</v>
      </c>
      <c r="P558">
        <v>0.71899999999999997</v>
      </c>
      <c r="Q558">
        <v>0</v>
      </c>
      <c r="R558">
        <v>0.11</v>
      </c>
      <c r="S558">
        <v>0.33100000000000002</v>
      </c>
      <c r="T558">
        <v>129.15199999999999</v>
      </c>
      <c r="U558">
        <v>4</v>
      </c>
      <c r="V558" t="s">
        <v>24</v>
      </c>
    </row>
    <row r="559" spans="3:22" x14ac:dyDescent="0.35">
      <c r="C559" t="s">
        <v>1697</v>
      </c>
      <c r="D559" t="s">
        <v>517</v>
      </c>
      <c r="E559" t="s">
        <v>1698</v>
      </c>
      <c r="F559" t="s">
        <v>1698</v>
      </c>
      <c r="G559">
        <v>46</v>
      </c>
      <c r="H559">
        <v>190981</v>
      </c>
      <c r="I559" t="b">
        <v>0</v>
      </c>
      <c r="J559">
        <v>0.65600000000000003</v>
      </c>
      <c r="K559">
        <v>0.3</v>
      </c>
      <c r="L559">
        <v>4</v>
      </c>
      <c r="M559">
        <v>-9.9049999999999994</v>
      </c>
      <c r="N559">
        <v>1</v>
      </c>
      <c r="O559">
        <v>3.49E-2</v>
      </c>
      <c r="P559">
        <v>0.87</v>
      </c>
      <c r="Q559">
        <v>0</v>
      </c>
      <c r="R559">
        <v>9.5600000000000004E-2</v>
      </c>
      <c r="S559">
        <v>0.36899999999999999</v>
      </c>
      <c r="T559">
        <v>120.006</v>
      </c>
      <c r="U559">
        <v>4</v>
      </c>
      <c r="V559" t="s">
        <v>24</v>
      </c>
    </row>
    <row r="560" spans="3:22" x14ac:dyDescent="0.35">
      <c r="C560" t="s">
        <v>1699</v>
      </c>
      <c r="D560" t="s">
        <v>278</v>
      </c>
      <c r="E560" t="s">
        <v>1458</v>
      </c>
      <c r="F560" t="s">
        <v>1700</v>
      </c>
      <c r="G560">
        <v>23</v>
      </c>
      <c r="H560">
        <v>240449</v>
      </c>
      <c r="I560" t="b">
        <v>0</v>
      </c>
      <c r="J560">
        <v>0.52400000000000002</v>
      </c>
      <c r="K560">
        <v>0.56599999999999995</v>
      </c>
      <c r="L560">
        <v>1</v>
      </c>
      <c r="M560">
        <v>-5.4429999999999996</v>
      </c>
      <c r="N560">
        <v>1</v>
      </c>
      <c r="O560">
        <v>3.6400000000000002E-2</v>
      </c>
      <c r="P560">
        <v>4.1099999999999998E-2</v>
      </c>
      <c r="Q560">
        <v>0</v>
      </c>
      <c r="R560">
        <v>0.25</v>
      </c>
      <c r="S560">
        <v>0.36199999999999999</v>
      </c>
      <c r="T560">
        <v>159.91399999999999</v>
      </c>
      <c r="U560">
        <v>4</v>
      </c>
      <c r="V560" t="s">
        <v>24</v>
      </c>
    </row>
    <row r="561" spans="3:22" x14ac:dyDescent="0.35">
      <c r="C561" t="s">
        <v>1701</v>
      </c>
      <c r="D561" t="s">
        <v>1702</v>
      </c>
      <c r="E561" t="s">
        <v>1703</v>
      </c>
      <c r="F561" t="s">
        <v>1703</v>
      </c>
      <c r="G561">
        <v>41</v>
      </c>
      <c r="H561">
        <v>89268</v>
      </c>
      <c r="I561" t="b">
        <v>0</v>
      </c>
      <c r="J561">
        <v>0.34</v>
      </c>
      <c r="K561">
        <v>0.309</v>
      </c>
      <c r="L561">
        <v>11</v>
      </c>
      <c r="M561">
        <v>-12.98</v>
      </c>
      <c r="N561">
        <v>0</v>
      </c>
      <c r="O561">
        <v>0.05</v>
      </c>
      <c r="P561">
        <v>0.85499999999999998</v>
      </c>
      <c r="Q561">
        <v>0.90300000000000002</v>
      </c>
      <c r="R561">
        <v>0.16800000000000001</v>
      </c>
      <c r="S561">
        <v>0.153</v>
      </c>
      <c r="T561">
        <v>176.899</v>
      </c>
      <c r="U561">
        <v>3</v>
      </c>
      <c r="V561" t="s">
        <v>24</v>
      </c>
    </row>
    <row r="562" spans="3:22" x14ac:dyDescent="0.35">
      <c r="C562" t="s">
        <v>1704</v>
      </c>
      <c r="D562" t="s">
        <v>948</v>
      </c>
      <c r="E562" t="s">
        <v>949</v>
      </c>
      <c r="F562" t="s">
        <v>1705</v>
      </c>
      <c r="G562">
        <v>49</v>
      </c>
      <c r="H562">
        <v>213453</v>
      </c>
      <c r="I562" t="b">
        <v>0</v>
      </c>
      <c r="J562">
        <v>0.59799999999999998</v>
      </c>
      <c r="K562">
        <v>0.29099999999999998</v>
      </c>
      <c r="L562">
        <v>2</v>
      </c>
      <c r="M562">
        <v>-8.6270000000000007</v>
      </c>
      <c r="N562">
        <v>1</v>
      </c>
      <c r="O562">
        <v>3.2800000000000003E-2</v>
      </c>
      <c r="P562">
        <v>0.46600000000000003</v>
      </c>
      <c r="Q562" s="1" t="s">
        <v>1706</v>
      </c>
      <c r="R562">
        <v>0.12</v>
      </c>
      <c r="S562">
        <v>0.38</v>
      </c>
      <c r="T562">
        <v>123.97799999999999</v>
      </c>
      <c r="U562">
        <v>4</v>
      </c>
      <c r="V562" t="s">
        <v>24</v>
      </c>
    </row>
    <row r="563" spans="3:22" x14ac:dyDescent="0.35">
      <c r="C563" t="s">
        <v>1707</v>
      </c>
      <c r="D563" t="s">
        <v>1708</v>
      </c>
      <c r="E563" t="s">
        <v>1709</v>
      </c>
      <c r="F563" t="s">
        <v>1710</v>
      </c>
      <c r="G563">
        <v>59</v>
      </c>
      <c r="H563">
        <v>235106</v>
      </c>
      <c r="I563" t="b">
        <v>0</v>
      </c>
      <c r="J563">
        <v>0.51400000000000001</v>
      </c>
      <c r="K563">
        <v>0.31900000000000001</v>
      </c>
      <c r="L563">
        <v>3</v>
      </c>
      <c r="M563">
        <v>-8.9779999999999998</v>
      </c>
      <c r="N563">
        <v>1</v>
      </c>
      <c r="O563">
        <v>9.4100000000000003E-2</v>
      </c>
      <c r="P563">
        <v>0.80500000000000005</v>
      </c>
      <c r="Q563">
        <v>0</v>
      </c>
      <c r="R563">
        <v>0.21099999999999999</v>
      </c>
      <c r="S563">
        <v>0.67700000000000005</v>
      </c>
      <c r="T563">
        <v>203.65100000000001</v>
      </c>
      <c r="U563">
        <v>4</v>
      </c>
      <c r="V563" t="s">
        <v>24</v>
      </c>
    </row>
    <row r="564" spans="3:22" x14ac:dyDescent="0.35">
      <c r="C564" t="s">
        <v>1711</v>
      </c>
      <c r="D564" t="s">
        <v>517</v>
      </c>
      <c r="E564" t="s">
        <v>1712</v>
      </c>
      <c r="F564" t="s">
        <v>1712</v>
      </c>
      <c r="G564">
        <v>43</v>
      </c>
      <c r="H564">
        <v>219976</v>
      </c>
      <c r="I564" t="b">
        <v>0</v>
      </c>
      <c r="J564">
        <v>0.44800000000000001</v>
      </c>
      <c r="K564">
        <v>0.25600000000000001</v>
      </c>
      <c r="L564">
        <v>5</v>
      </c>
      <c r="M564">
        <v>-10.17</v>
      </c>
      <c r="N564">
        <v>1</v>
      </c>
      <c r="O564">
        <v>4.8300000000000003E-2</v>
      </c>
      <c r="P564">
        <v>0.875</v>
      </c>
      <c r="Q564">
        <v>0</v>
      </c>
      <c r="R564">
        <v>0.113</v>
      </c>
      <c r="S564">
        <v>0.17399999999999999</v>
      </c>
      <c r="T564">
        <v>77.272000000000006</v>
      </c>
      <c r="U564">
        <v>4</v>
      </c>
      <c r="V564" t="s">
        <v>24</v>
      </c>
    </row>
    <row r="565" spans="3:22" x14ac:dyDescent="0.35">
      <c r="C565" t="s">
        <v>1713</v>
      </c>
      <c r="D565" t="s">
        <v>991</v>
      </c>
      <c r="E565" t="s">
        <v>1714</v>
      </c>
      <c r="F565" t="s">
        <v>1714</v>
      </c>
      <c r="G565">
        <v>31</v>
      </c>
      <c r="H565">
        <v>259493</v>
      </c>
      <c r="I565" t="b">
        <v>0</v>
      </c>
      <c r="J565">
        <v>0.441</v>
      </c>
      <c r="K565">
        <v>0.42299999999999999</v>
      </c>
      <c r="L565">
        <v>0</v>
      </c>
      <c r="M565">
        <v>-7.5720000000000001</v>
      </c>
      <c r="N565">
        <v>1</v>
      </c>
      <c r="O565">
        <v>2.8199999999999999E-2</v>
      </c>
      <c r="P565">
        <v>0.83899999999999997</v>
      </c>
      <c r="Q565">
        <v>3.59E-4</v>
      </c>
      <c r="R565">
        <v>0.122</v>
      </c>
      <c r="S565">
        <v>0.153</v>
      </c>
      <c r="T565">
        <v>88.864999999999995</v>
      </c>
      <c r="U565">
        <v>4</v>
      </c>
      <c r="V565" t="s">
        <v>24</v>
      </c>
    </row>
    <row r="566" spans="3:22" x14ac:dyDescent="0.35">
      <c r="C566" t="s">
        <v>1715</v>
      </c>
      <c r="D566" t="s">
        <v>339</v>
      </c>
      <c r="E566" t="s">
        <v>92</v>
      </c>
      <c r="F566" t="s">
        <v>1716</v>
      </c>
      <c r="G566">
        <v>46</v>
      </c>
      <c r="H566">
        <v>222052</v>
      </c>
      <c r="I566" t="b">
        <v>0</v>
      </c>
      <c r="J566">
        <v>0.63600000000000001</v>
      </c>
      <c r="K566">
        <v>0.16900000000000001</v>
      </c>
      <c r="L566">
        <v>11</v>
      </c>
      <c r="M566">
        <v>-11.191000000000001</v>
      </c>
      <c r="N566">
        <v>1</v>
      </c>
      <c r="O566">
        <v>3.5000000000000003E-2</v>
      </c>
      <c r="P566">
        <v>0.88700000000000001</v>
      </c>
      <c r="Q566">
        <v>0</v>
      </c>
      <c r="R566">
        <v>0.124</v>
      </c>
      <c r="S566">
        <v>0.46700000000000003</v>
      </c>
      <c r="T566">
        <v>138.23599999999999</v>
      </c>
      <c r="U566">
        <v>4</v>
      </c>
      <c r="V566" t="s">
        <v>24</v>
      </c>
    </row>
    <row r="567" spans="3:22" x14ac:dyDescent="0.35">
      <c r="C567" t="s">
        <v>1717</v>
      </c>
      <c r="D567" t="s">
        <v>215</v>
      </c>
      <c r="E567" t="s">
        <v>216</v>
      </c>
      <c r="F567" t="s">
        <v>1718</v>
      </c>
      <c r="G567">
        <v>50</v>
      </c>
      <c r="H567">
        <v>148573</v>
      </c>
      <c r="I567" t="b">
        <v>0</v>
      </c>
      <c r="J567">
        <v>0.44500000000000001</v>
      </c>
      <c r="K567">
        <v>0.28899999999999998</v>
      </c>
      <c r="L567">
        <v>11</v>
      </c>
      <c r="M567">
        <v>-19.113</v>
      </c>
      <c r="N567">
        <v>0</v>
      </c>
      <c r="O567">
        <v>3.2899999999999999E-2</v>
      </c>
      <c r="P567">
        <v>0.437</v>
      </c>
      <c r="Q567">
        <v>6.4099999999999999E-3</v>
      </c>
      <c r="R567">
        <v>9.8799999999999999E-2</v>
      </c>
      <c r="S567">
        <v>0.17199999999999999</v>
      </c>
      <c r="T567">
        <v>104.006</v>
      </c>
      <c r="U567">
        <v>4</v>
      </c>
      <c r="V567" t="s">
        <v>24</v>
      </c>
    </row>
    <row r="568" spans="3:22" x14ac:dyDescent="0.35">
      <c r="C568" t="s">
        <v>1719</v>
      </c>
      <c r="D568" t="s">
        <v>1720</v>
      </c>
      <c r="E568" t="s">
        <v>900</v>
      </c>
      <c r="F568" t="s">
        <v>1721</v>
      </c>
      <c r="G568">
        <v>41</v>
      </c>
      <c r="H568">
        <v>244900</v>
      </c>
      <c r="I568" t="b">
        <v>0</v>
      </c>
      <c r="J568">
        <v>0.435</v>
      </c>
      <c r="K568">
        <v>0.20799999999999999</v>
      </c>
      <c r="L568">
        <v>1</v>
      </c>
      <c r="M568">
        <v>-15.75</v>
      </c>
      <c r="N568">
        <v>0</v>
      </c>
      <c r="O568">
        <v>5.5800000000000002E-2</v>
      </c>
      <c r="P568">
        <v>0.64700000000000002</v>
      </c>
      <c r="Q568">
        <v>9.2100000000000005E-4</v>
      </c>
      <c r="R568">
        <v>0.14699999999999999</v>
      </c>
      <c r="S568">
        <v>0.189</v>
      </c>
      <c r="T568">
        <v>69.027000000000001</v>
      </c>
      <c r="U568">
        <v>4</v>
      </c>
      <c r="V568" t="s">
        <v>24</v>
      </c>
    </row>
    <row r="569" spans="3:22" x14ac:dyDescent="0.35">
      <c r="C569" t="s">
        <v>1722</v>
      </c>
      <c r="D569" t="s">
        <v>1723</v>
      </c>
      <c r="E569" t="s">
        <v>1020</v>
      </c>
      <c r="F569" t="s">
        <v>1724</v>
      </c>
      <c r="G569">
        <v>48</v>
      </c>
      <c r="H569">
        <v>232500</v>
      </c>
      <c r="I569" t="b">
        <v>0</v>
      </c>
      <c r="J569">
        <v>0.65600000000000003</v>
      </c>
      <c r="K569">
        <v>0.34899999999999998</v>
      </c>
      <c r="L569">
        <v>0</v>
      </c>
      <c r="M569">
        <v>-6.8410000000000002</v>
      </c>
      <c r="N569">
        <v>1</v>
      </c>
      <c r="O569">
        <v>2.8899999999999999E-2</v>
      </c>
      <c r="P569">
        <v>0.78400000000000003</v>
      </c>
      <c r="Q569">
        <v>0</v>
      </c>
      <c r="R569">
        <v>0.13800000000000001</v>
      </c>
      <c r="S569">
        <v>0.28899999999999998</v>
      </c>
      <c r="T569">
        <v>118.026</v>
      </c>
      <c r="U569">
        <v>4</v>
      </c>
      <c r="V569" t="s">
        <v>24</v>
      </c>
    </row>
    <row r="570" spans="3:22" x14ac:dyDescent="0.35">
      <c r="C570" t="s">
        <v>1725</v>
      </c>
      <c r="D570" t="s">
        <v>83</v>
      </c>
      <c r="E570" t="s">
        <v>1726</v>
      </c>
      <c r="F570" t="s">
        <v>1726</v>
      </c>
      <c r="G570">
        <v>36</v>
      </c>
      <c r="H570">
        <v>195535</v>
      </c>
      <c r="I570" t="b">
        <v>0</v>
      </c>
      <c r="J570">
        <v>0.60899999999999999</v>
      </c>
      <c r="K570">
        <v>8.6599999999999996E-2</v>
      </c>
      <c r="L570">
        <v>4</v>
      </c>
      <c r="M570">
        <v>-19.163</v>
      </c>
      <c r="N570">
        <v>1</v>
      </c>
      <c r="O570">
        <v>4.1200000000000001E-2</v>
      </c>
      <c r="P570">
        <v>0.91200000000000003</v>
      </c>
      <c r="Q570">
        <v>0</v>
      </c>
      <c r="R570">
        <v>0.113</v>
      </c>
      <c r="S570">
        <v>0.41099999999999998</v>
      </c>
      <c r="T570">
        <v>167.892</v>
      </c>
      <c r="U570">
        <v>3</v>
      </c>
      <c r="V570" t="s">
        <v>24</v>
      </c>
    </row>
    <row r="571" spans="3:22" x14ac:dyDescent="0.35">
      <c r="C571" t="s">
        <v>1727</v>
      </c>
      <c r="D571" t="s">
        <v>1708</v>
      </c>
      <c r="E571" t="s">
        <v>1728</v>
      </c>
      <c r="F571" t="s">
        <v>1729</v>
      </c>
      <c r="G571">
        <v>44</v>
      </c>
      <c r="H571">
        <v>255893</v>
      </c>
      <c r="I571" t="b">
        <v>0</v>
      </c>
      <c r="J571">
        <v>0.44800000000000001</v>
      </c>
      <c r="K571">
        <v>0.88500000000000001</v>
      </c>
      <c r="L571">
        <v>9</v>
      </c>
      <c r="M571">
        <v>-3.7549999999999999</v>
      </c>
      <c r="N571">
        <v>1</v>
      </c>
      <c r="O571">
        <v>5.62E-2</v>
      </c>
      <c r="P571">
        <v>0.111</v>
      </c>
      <c r="Q571" s="1" t="s">
        <v>1730</v>
      </c>
      <c r="R571">
        <v>4.7600000000000003E-2</v>
      </c>
      <c r="S571">
        <v>0.13400000000000001</v>
      </c>
      <c r="T571">
        <v>178.15100000000001</v>
      </c>
      <c r="U571">
        <v>4</v>
      </c>
      <c r="V571" t="s">
        <v>24</v>
      </c>
    </row>
    <row r="572" spans="3:22" x14ac:dyDescent="0.35">
      <c r="C572" t="s">
        <v>1731</v>
      </c>
      <c r="D572" t="s">
        <v>1319</v>
      </c>
      <c r="E572" t="s">
        <v>1732</v>
      </c>
      <c r="F572" t="s">
        <v>1733</v>
      </c>
      <c r="G572">
        <v>56</v>
      </c>
      <c r="H572">
        <v>149013</v>
      </c>
      <c r="I572" t="b">
        <v>0</v>
      </c>
      <c r="J572">
        <v>0.54500000000000004</v>
      </c>
      <c r="K572">
        <v>0.255</v>
      </c>
      <c r="L572">
        <v>8</v>
      </c>
      <c r="M572">
        <v>-14.843999999999999</v>
      </c>
      <c r="N572">
        <v>1</v>
      </c>
      <c r="O572">
        <v>3.1099999999999999E-2</v>
      </c>
      <c r="P572">
        <v>0.36199999999999999</v>
      </c>
      <c r="Q572" s="1" t="s">
        <v>1734</v>
      </c>
      <c r="R572">
        <v>8.4099999999999994E-2</v>
      </c>
      <c r="S572">
        <v>0.83099999999999996</v>
      </c>
      <c r="T572">
        <v>98.087999999999994</v>
      </c>
      <c r="U572">
        <v>4</v>
      </c>
      <c r="V572" t="s">
        <v>24</v>
      </c>
    </row>
    <row r="573" spans="3:22" x14ac:dyDescent="0.35">
      <c r="C573" t="s">
        <v>1735</v>
      </c>
      <c r="D573" t="s">
        <v>1736</v>
      </c>
      <c r="E573" t="s">
        <v>1737</v>
      </c>
      <c r="F573" t="s">
        <v>1738</v>
      </c>
      <c r="G573">
        <v>29</v>
      </c>
      <c r="H573">
        <v>207933</v>
      </c>
      <c r="I573" t="b">
        <v>0</v>
      </c>
      <c r="J573">
        <v>0.626</v>
      </c>
      <c r="K573">
        <v>0.68200000000000005</v>
      </c>
      <c r="L573">
        <v>6</v>
      </c>
      <c r="M573">
        <v>-5.6559999999999997</v>
      </c>
      <c r="N573">
        <v>1</v>
      </c>
      <c r="O573">
        <v>3.9699999999999999E-2</v>
      </c>
      <c r="P573">
        <v>0.27700000000000002</v>
      </c>
      <c r="Q573">
        <v>3.2499999999999999E-4</v>
      </c>
      <c r="R573">
        <v>9.8500000000000004E-2</v>
      </c>
      <c r="S573">
        <v>0.63600000000000001</v>
      </c>
      <c r="T573">
        <v>75.02</v>
      </c>
      <c r="U573">
        <v>4</v>
      </c>
      <c r="V573" t="s">
        <v>24</v>
      </c>
    </row>
    <row r="574" spans="3:22" x14ac:dyDescent="0.35">
      <c r="C574" t="s">
        <v>1739</v>
      </c>
      <c r="D574" t="s">
        <v>408</v>
      </c>
      <c r="E574" t="s">
        <v>1740</v>
      </c>
      <c r="F574" t="s">
        <v>1740</v>
      </c>
      <c r="G574">
        <v>52</v>
      </c>
      <c r="H574">
        <v>238733</v>
      </c>
      <c r="I574" t="b">
        <v>0</v>
      </c>
      <c r="J574">
        <v>0.57199999999999995</v>
      </c>
      <c r="K574">
        <v>0.317</v>
      </c>
      <c r="L574">
        <v>0</v>
      </c>
      <c r="M574">
        <v>-9.1080000000000005</v>
      </c>
      <c r="N574">
        <v>1</v>
      </c>
      <c r="O574">
        <v>2.41E-2</v>
      </c>
      <c r="P574">
        <v>0.70499999999999996</v>
      </c>
      <c r="Q574">
        <v>3.8500000000000001E-3</v>
      </c>
      <c r="R574">
        <v>0.52800000000000002</v>
      </c>
      <c r="S574">
        <v>0.38</v>
      </c>
      <c r="T574">
        <v>78.009</v>
      </c>
      <c r="U574">
        <v>4</v>
      </c>
      <c r="V574" t="s">
        <v>24</v>
      </c>
    </row>
    <row r="575" spans="3:22" x14ac:dyDescent="0.35">
      <c r="C575" t="s">
        <v>1741</v>
      </c>
      <c r="D575" t="s">
        <v>991</v>
      </c>
      <c r="E575" t="s">
        <v>1742</v>
      </c>
      <c r="F575" t="s">
        <v>1742</v>
      </c>
      <c r="G575">
        <v>31</v>
      </c>
      <c r="H575">
        <v>236853</v>
      </c>
      <c r="I575" t="b">
        <v>0</v>
      </c>
      <c r="J575">
        <v>0.36799999999999999</v>
      </c>
      <c r="K575">
        <v>0.871</v>
      </c>
      <c r="L575">
        <v>9</v>
      </c>
      <c r="M575">
        <v>-3.032</v>
      </c>
      <c r="N575">
        <v>0</v>
      </c>
      <c r="O575">
        <v>6.6100000000000006E-2</v>
      </c>
      <c r="P575">
        <v>3.56E-2</v>
      </c>
      <c r="Q575">
        <v>0</v>
      </c>
      <c r="R575">
        <v>0.14899999999999999</v>
      </c>
      <c r="S575">
        <v>0.63600000000000001</v>
      </c>
      <c r="T575">
        <v>107.721</v>
      </c>
      <c r="U575">
        <v>4</v>
      </c>
      <c r="V575" t="s">
        <v>24</v>
      </c>
    </row>
    <row r="576" spans="3:22" x14ac:dyDescent="0.35">
      <c r="C576" t="s">
        <v>1743</v>
      </c>
      <c r="D576" t="s">
        <v>225</v>
      </c>
      <c r="E576" t="s">
        <v>226</v>
      </c>
      <c r="F576" t="s">
        <v>1744</v>
      </c>
      <c r="G576">
        <v>47</v>
      </c>
      <c r="H576">
        <v>182744</v>
      </c>
      <c r="I576" t="b">
        <v>0</v>
      </c>
      <c r="J576">
        <v>0.51</v>
      </c>
      <c r="K576">
        <v>0.32</v>
      </c>
      <c r="L576">
        <v>1</v>
      </c>
      <c r="M576">
        <v>-10.371</v>
      </c>
      <c r="N576">
        <v>1</v>
      </c>
      <c r="O576">
        <v>3.9199999999999999E-2</v>
      </c>
      <c r="P576">
        <v>0.82299999999999995</v>
      </c>
      <c r="Q576">
        <v>1.93E-4</v>
      </c>
      <c r="R576">
        <v>0.124</v>
      </c>
      <c r="S576">
        <v>0.42499999999999999</v>
      </c>
      <c r="T576">
        <v>92.385000000000005</v>
      </c>
      <c r="U576">
        <v>4</v>
      </c>
      <c r="V576" t="s">
        <v>24</v>
      </c>
    </row>
    <row r="577" spans="3:22" x14ac:dyDescent="0.35">
      <c r="C577" t="s">
        <v>1745</v>
      </c>
      <c r="D577" t="s">
        <v>712</v>
      </c>
      <c r="E577" t="s">
        <v>1746</v>
      </c>
      <c r="F577" t="s">
        <v>1747</v>
      </c>
      <c r="G577">
        <v>56</v>
      </c>
      <c r="H577">
        <v>307534</v>
      </c>
      <c r="I577" t="b">
        <v>0</v>
      </c>
      <c r="J577">
        <v>0.55000000000000004</v>
      </c>
      <c r="K577">
        <v>0.33400000000000002</v>
      </c>
      <c r="L577">
        <v>10</v>
      </c>
      <c r="M577">
        <v>-10.73</v>
      </c>
      <c r="N577">
        <v>1</v>
      </c>
      <c r="O577">
        <v>2.8799999999999999E-2</v>
      </c>
      <c r="P577">
        <v>0.51700000000000002</v>
      </c>
      <c r="Q577">
        <v>1.6899999999999999E-4</v>
      </c>
      <c r="R577">
        <v>0.10100000000000001</v>
      </c>
      <c r="S577">
        <v>0.14299999999999999</v>
      </c>
      <c r="T577">
        <v>72.234999999999999</v>
      </c>
      <c r="U577">
        <v>4</v>
      </c>
      <c r="V577" t="s">
        <v>24</v>
      </c>
    </row>
    <row r="578" spans="3:22" x14ac:dyDescent="0.35">
      <c r="C578" t="s">
        <v>1748</v>
      </c>
      <c r="D578" t="s">
        <v>1749</v>
      </c>
      <c r="E578" t="s">
        <v>1750</v>
      </c>
      <c r="F578" t="s">
        <v>1751</v>
      </c>
      <c r="G578">
        <v>37</v>
      </c>
      <c r="H578">
        <v>81000</v>
      </c>
      <c r="I578" t="b">
        <v>0</v>
      </c>
      <c r="J578">
        <v>0.48699999999999999</v>
      </c>
      <c r="K578">
        <v>0.16200000000000001</v>
      </c>
      <c r="L578">
        <v>11</v>
      </c>
      <c r="M578">
        <v>-11.238</v>
      </c>
      <c r="N578">
        <v>0</v>
      </c>
      <c r="O578">
        <v>0.106</v>
      </c>
      <c r="P578">
        <v>0.93300000000000005</v>
      </c>
      <c r="Q578">
        <v>0.82899999999999996</v>
      </c>
      <c r="R578">
        <v>0.11700000000000001</v>
      </c>
      <c r="S578">
        <v>0.49</v>
      </c>
      <c r="T578">
        <v>82.33</v>
      </c>
      <c r="U578">
        <v>4</v>
      </c>
      <c r="V578" t="s">
        <v>24</v>
      </c>
    </row>
    <row r="579" spans="3:22" x14ac:dyDescent="0.35">
      <c r="C579" t="s">
        <v>1752</v>
      </c>
      <c r="D579" t="s">
        <v>278</v>
      </c>
      <c r="E579" t="s">
        <v>1458</v>
      </c>
      <c r="F579" t="s">
        <v>1753</v>
      </c>
      <c r="G579">
        <v>24</v>
      </c>
      <c r="H579">
        <v>145720</v>
      </c>
      <c r="I579" t="b">
        <v>0</v>
      </c>
      <c r="J579">
        <v>0.309</v>
      </c>
      <c r="K579">
        <v>0.34899999999999998</v>
      </c>
      <c r="L579">
        <v>2</v>
      </c>
      <c r="M579">
        <v>-8.4019999999999992</v>
      </c>
      <c r="N579">
        <v>1</v>
      </c>
      <c r="O579">
        <v>3.2199999999999999E-2</v>
      </c>
      <c r="P579">
        <v>0.82799999999999996</v>
      </c>
      <c r="Q579" s="1" t="s">
        <v>1754</v>
      </c>
      <c r="R579">
        <v>9.0700000000000003E-2</v>
      </c>
      <c r="S579">
        <v>0.192</v>
      </c>
      <c r="T579">
        <v>180.07499999999999</v>
      </c>
      <c r="U579">
        <v>4</v>
      </c>
      <c r="V579" t="s">
        <v>24</v>
      </c>
    </row>
    <row r="580" spans="3:22" x14ac:dyDescent="0.35">
      <c r="C580" t="s">
        <v>1755</v>
      </c>
      <c r="D580" t="s">
        <v>278</v>
      </c>
      <c r="E580" t="s">
        <v>1458</v>
      </c>
      <c r="F580" t="s">
        <v>1756</v>
      </c>
      <c r="G580">
        <v>23</v>
      </c>
      <c r="H580">
        <v>208400</v>
      </c>
      <c r="I580" t="b">
        <v>0</v>
      </c>
      <c r="J580">
        <v>0.38</v>
      </c>
      <c r="K580">
        <v>0.46800000000000003</v>
      </c>
      <c r="L580">
        <v>1</v>
      </c>
      <c r="M580">
        <v>-4.2450000000000001</v>
      </c>
      <c r="N580">
        <v>1</v>
      </c>
      <c r="O580">
        <v>3.1800000000000002E-2</v>
      </c>
      <c r="P580">
        <v>0.24299999999999999</v>
      </c>
      <c r="Q580">
        <v>0</v>
      </c>
      <c r="R580">
        <v>9.7299999999999998E-2</v>
      </c>
      <c r="S580">
        <v>0.30299999999999999</v>
      </c>
      <c r="T580">
        <v>143.50399999999999</v>
      </c>
      <c r="U580">
        <v>4</v>
      </c>
      <c r="V580" t="s">
        <v>24</v>
      </c>
    </row>
    <row r="581" spans="3:22" x14ac:dyDescent="0.35">
      <c r="C581" t="s">
        <v>1757</v>
      </c>
      <c r="D581" t="s">
        <v>1489</v>
      </c>
      <c r="E581" t="s">
        <v>1490</v>
      </c>
      <c r="F581" t="b">
        <v>1</v>
      </c>
      <c r="G581">
        <v>28</v>
      </c>
      <c r="H581">
        <v>287760</v>
      </c>
      <c r="I581" t="b">
        <v>0</v>
      </c>
      <c r="J581">
        <v>0.71599999999999997</v>
      </c>
      <c r="K581">
        <v>0.52500000000000002</v>
      </c>
      <c r="L581">
        <v>3</v>
      </c>
      <c r="M581">
        <v>-8.7330000000000005</v>
      </c>
      <c r="N581">
        <v>1</v>
      </c>
      <c r="O581">
        <v>2.7E-2</v>
      </c>
      <c r="P581">
        <v>0.64700000000000002</v>
      </c>
      <c r="Q581">
        <v>8.6800000000000002E-3</v>
      </c>
      <c r="R581">
        <v>8.9300000000000004E-2</v>
      </c>
      <c r="S581">
        <v>0.42299999999999999</v>
      </c>
      <c r="T581">
        <v>96.992999999999995</v>
      </c>
      <c r="U581">
        <v>4</v>
      </c>
      <c r="V581" t="s">
        <v>24</v>
      </c>
    </row>
    <row r="582" spans="3:22" x14ac:dyDescent="0.35">
      <c r="C582" t="s">
        <v>1758</v>
      </c>
      <c r="D582" t="s">
        <v>498</v>
      </c>
      <c r="E582" t="s">
        <v>1759</v>
      </c>
      <c r="F582" t="s">
        <v>1759</v>
      </c>
      <c r="G582">
        <v>51</v>
      </c>
      <c r="H582">
        <v>243680</v>
      </c>
      <c r="I582" t="b">
        <v>0</v>
      </c>
      <c r="J582">
        <v>0.40699999999999997</v>
      </c>
      <c r="K582">
        <v>0.222</v>
      </c>
      <c r="L582">
        <v>5</v>
      </c>
      <c r="M582">
        <v>-7.9909999999999997</v>
      </c>
      <c r="N582">
        <v>0</v>
      </c>
      <c r="O582">
        <v>3.2399999999999998E-2</v>
      </c>
      <c r="P582">
        <v>0.85299999999999998</v>
      </c>
      <c r="Q582" s="1" t="s">
        <v>1760</v>
      </c>
      <c r="R582">
        <v>0.11</v>
      </c>
      <c r="S582">
        <v>0.20399999999999999</v>
      </c>
      <c r="T582">
        <v>123.61799999999999</v>
      </c>
      <c r="U582">
        <v>4</v>
      </c>
      <c r="V582" t="s">
        <v>24</v>
      </c>
    </row>
    <row r="583" spans="3:22" x14ac:dyDescent="0.35">
      <c r="C583" t="s">
        <v>1761</v>
      </c>
      <c r="D583" t="s">
        <v>1175</v>
      </c>
      <c r="E583" t="s">
        <v>1762</v>
      </c>
      <c r="F583" t="s">
        <v>1763</v>
      </c>
      <c r="G583">
        <v>51</v>
      </c>
      <c r="H583">
        <v>236379</v>
      </c>
      <c r="I583" t="b">
        <v>0</v>
      </c>
      <c r="J583">
        <v>0.65700000000000003</v>
      </c>
      <c r="K583">
        <v>0.43</v>
      </c>
      <c r="L583">
        <v>1</v>
      </c>
      <c r="M583">
        <v>-10.202</v>
      </c>
      <c r="N583">
        <v>1</v>
      </c>
      <c r="O583">
        <v>3.1399999999999997E-2</v>
      </c>
      <c r="P583">
        <v>0.53400000000000003</v>
      </c>
      <c r="Q583">
        <v>2.3800000000000001E-4</v>
      </c>
      <c r="R583">
        <v>0.12</v>
      </c>
      <c r="S583">
        <v>0.33500000000000002</v>
      </c>
      <c r="T583">
        <v>91.966999999999999</v>
      </c>
      <c r="U583">
        <v>4</v>
      </c>
      <c r="V583" t="s">
        <v>24</v>
      </c>
    </row>
    <row r="584" spans="3:22" x14ac:dyDescent="0.35">
      <c r="C584" t="s">
        <v>1764</v>
      </c>
      <c r="D584" t="s">
        <v>422</v>
      </c>
      <c r="E584" t="s">
        <v>423</v>
      </c>
      <c r="F584" t="s">
        <v>1765</v>
      </c>
      <c r="G584">
        <v>51</v>
      </c>
      <c r="H584">
        <v>216933</v>
      </c>
      <c r="I584" t="b">
        <v>0</v>
      </c>
      <c r="J584">
        <v>0.53400000000000003</v>
      </c>
      <c r="K584">
        <v>0.49199999999999999</v>
      </c>
      <c r="L584">
        <v>4</v>
      </c>
      <c r="M584">
        <v>-8.9049999999999994</v>
      </c>
      <c r="N584">
        <v>1</v>
      </c>
      <c r="O584">
        <v>2.6100000000000002E-2</v>
      </c>
      <c r="P584">
        <v>0.58399999999999996</v>
      </c>
      <c r="Q584" s="1" t="s">
        <v>1766</v>
      </c>
      <c r="R584">
        <v>0.185</v>
      </c>
      <c r="S584">
        <v>0.32800000000000001</v>
      </c>
      <c r="T584">
        <v>82.465000000000003</v>
      </c>
      <c r="U584">
        <v>3</v>
      </c>
      <c r="V584" t="s">
        <v>24</v>
      </c>
    </row>
    <row r="585" spans="3:22" x14ac:dyDescent="0.35">
      <c r="C585" t="s">
        <v>1767</v>
      </c>
      <c r="D585" t="s">
        <v>400</v>
      </c>
      <c r="E585" t="s">
        <v>1768</v>
      </c>
      <c r="F585" t="s">
        <v>1769</v>
      </c>
      <c r="G585">
        <v>50</v>
      </c>
      <c r="H585">
        <v>265173</v>
      </c>
      <c r="I585" t="b">
        <v>0</v>
      </c>
      <c r="J585">
        <v>0.60299999999999998</v>
      </c>
      <c r="K585">
        <v>0.374</v>
      </c>
      <c r="L585">
        <v>1</v>
      </c>
      <c r="M585">
        <v>-10.875</v>
      </c>
      <c r="N585">
        <v>1</v>
      </c>
      <c r="O585">
        <v>2.58E-2</v>
      </c>
      <c r="P585">
        <v>0.25600000000000001</v>
      </c>
      <c r="Q585">
        <v>3.56E-2</v>
      </c>
      <c r="R585">
        <v>0.127</v>
      </c>
      <c r="S585">
        <v>0.54200000000000004</v>
      </c>
      <c r="T585">
        <v>135.946</v>
      </c>
      <c r="U585">
        <v>4</v>
      </c>
      <c r="V585" t="s">
        <v>24</v>
      </c>
    </row>
    <row r="586" spans="3:22" x14ac:dyDescent="0.35">
      <c r="C586" t="s">
        <v>1770</v>
      </c>
      <c r="D586" t="s">
        <v>991</v>
      </c>
      <c r="E586" t="s">
        <v>1330</v>
      </c>
      <c r="F586" t="s">
        <v>1771</v>
      </c>
      <c r="G586">
        <v>31</v>
      </c>
      <c r="H586">
        <v>245800</v>
      </c>
      <c r="I586" t="b">
        <v>0</v>
      </c>
      <c r="J586">
        <v>0.72499999999999998</v>
      </c>
      <c r="K586">
        <v>0.746</v>
      </c>
      <c r="L586">
        <v>9</v>
      </c>
      <c r="M586">
        <v>-8.2140000000000004</v>
      </c>
      <c r="N586">
        <v>1</v>
      </c>
      <c r="O586">
        <v>3.3799999999999997E-2</v>
      </c>
      <c r="P586">
        <v>7.2100000000000003E-3</v>
      </c>
      <c r="Q586">
        <v>0</v>
      </c>
      <c r="R586">
        <v>5.7500000000000002E-2</v>
      </c>
      <c r="S586">
        <v>0.65600000000000003</v>
      </c>
      <c r="T586">
        <v>102.87</v>
      </c>
      <c r="U586">
        <v>4</v>
      </c>
      <c r="V586" t="s">
        <v>24</v>
      </c>
    </row>
    <row r="587" spans="3:22" x14ac:dyDescent="0.35">
      <c r="C587" t="s">
        <v>1772</v>
      </c>
      <c r="D587" t="s">
        <v>641</v>
      </c>
      <c r="E587" t="s">
        <v>1773</v>
      </c>
      <c r="F587" t="s">
        <v>1774</v>
      </c>
      <c r="G587">
        <v>30</v>
      </c>
      <c r="H587">
        <v>358040</v>
      </c>
      <c r="I587" t="b">
        <v>0</v>
      </c>
      <c r="J587">
        <v>0.44800000000000001</v>
      </c>
      <c r="K587">
        <v>0.755</v>
      </c>
      <c r="L587">
        <v>2</v>
      </c>
      <c r="M587">
        <v>-5.7190000000000003</v>
      </c>
      <c r="N587">
        <v>0</v>
      </c>
      <c r="O587">
        <v>4.2900000000000001E-2</v>
      </c>
      <c r="P587">
        <v>2.8000000000000001E-2</v>
      </c>
      <c r="Q587">
        <v>0</v>
      </c>
      <c r="R587">
        <v>0.27300000000000002</v>
      </c>
      <c r="S587">
        <v>0.57499999999999996</v>
      </c>
      <c r="T587">
        <v>156.04499999999999</v>
      </c>
      <c r="U587">
        <v>4</v>
      </c>
      <c r="V587" t="s">
        <v>24</v>
      </c>
    </row>
    <row r="588" spans="3:22" x14ac:dyDescent="0.35">
      <c r="C588" t="s">
        <v>1775</v>
      </c>
      <c r="D588" t="s">
        <v>991</v>
      </c>
      <c r="E588" t="s">
        <v>1776</v>
      </c>
      <c r="F588" t="s">
        <v>1776</v>
      </c>
      <c r="G588">
        <v>31</v>
      </c>
      <c r="H588">
        <v>280546</v>
      </c>
      <c r="I588" t="b">
        <v>0</v>
      </c>
      <c r="J588">
        <v>0.59499999999999997</v>
      </c>
      <c r="K588">
        <v>0.879</v>
      </c>
      <c r="L588">
        <v>8</v>
      </c>
      <c r="M588">
        <v>-4.8490000000000002</v>
      </c>
      <c r="N588">
        <v>1</v>
      </c>
      <c r="O588">
        <v>4.0500000000000001E-2</v>
      </c>
      <c r="P588">
        <v>3.1899999999999998E-2</v>
      </c>
      <c r="Q588">
        <v>0</v>
      </c>
      <c r="R588">
        <v>0.34399999999999997</v>
      </c>
      <c r="S588">
        <v>0.83899999999999997</v>
      </c>
      <c r="T588">
        <v>124.78400000000001</v>
      </c>
      <c r="U588">
        <v>4</v>
      </c>
      <c r="V588" t="s">
        <v>24</v>
      </c>
    </row>
    <row r="589" spans="3:22" x14ac:dyDescent="0.35">
      <c r="C589" t="s">
        <v>1777</v>
      </c>
      <c r="D589" t="s">
        <v>1778</v>
      </c>
      <c r="E589" t="s">
        <v>1779</v>
      </c>
      <c r="F589" t="s">
        <v>1779</v>
      </c>
      <c r="G589">
        <v>29</v>
      </c>
      <c r="H589">
        <v>230915</v>
      </c>
      <c r="I589" t="b">
        <v>0</v>
      </c>
      <c r="J589">
        <v>0.68600000000000005</v>
      </c>
      <c r="K589">
        <v>0.28499999999999998</v>
      </c>
      <c r="L589">
        <v>5</v>
      </c>
      <c r="M589">
        <v>-10.912000000000001</v>
      </c>
      <c r="N589">
        <v>1</v>
      </c>
      <c r="O589">
        <v>2.9100000000000001E-2</v>
      </c>
      <c r="P589">
        <v>0.68899999999999995</v>
      </c>
      <c r="Q589">
        <v>0</v>
      </c>
      <c r="R589">
        <v>0.129</v>
      </c>
      <c r="S589">
        <v>0.67200000000000004</v>
      </c>
      <c r="T589">
        <v>103.995</v>
      </c>
      <c r="U589">
        <v>4</v>
      </c>
      <c r="V589" t="s">
        <v>24</v>
      </c>
    </row>
    <row r="590" spans="3:22" x14ac:dyDescent="0.35">
      <c r="C590" t="s">
        <v>1780</v>
      </c>
      <c r="D590" t="s">
        <v>1781</v>
      </c>
      <c r="E590" t="s">
        <v>1782</v>
      </c>
      <c r="F590" t="s">
        <v>1783</v>
      </c>
      <c r="G590">
        <v>61</v>
      </c>
      <c r="H590">
        <v>274632</v>
      </c>
      <c r="I590" t="b">
        <v>0</v>
      </c>
      <c r="J590">
        <v>0.69299999999999995</v>
      </c>
      <c r="K590">
        <v>0.36699999999999999</v>
      </c>
      <c r="L590">
        <v>3</v>
      </c>
      <c r="M590">
        <v>-11.66</v>
      </c>
      <c r="N590">
        <v>1</v>
      </c>
      <c r="O590">
        <v>3.2300000000000002E-2</v>
      </c>
      <c r="P590">
        <v>0.35099999999999998</v>
      </c>
      <c r="Q590" s="1" t="s">
        <v>1784</v>
      </c>
      <c r="R590">
        <v>0.111</v>
      </c>
      <c r="S590">
        <v>0.28599999999999998</v>
      </c>
      <c r="T590">
        <v>129.87899999999999</v>
      </c>
      <c r="U590">
        <v>4</v>
      </c>
      <c r="V590" t="s">
        <v>24</v>
      </c>
    </row>
    <row r="591" spans="3:22" x14ac:dyDescent="0.35">
      <c r="C591" t="s">
        <v>1785</v>
      </c>
      <c r="D591" t="s">
        <v>1786</v>
      </c>
      <c r="E591" t="s">
        <v>1787</v>
      </c>
      <c r="F591" t="s">
        <v>1788</v>
      </c>
      <c r="G591">
        <v>28</v>
      </c>
      <c r="H591">
        <v>244528</v>
      </c>
      <c r="I591" t="b">
        <v>0</v>
      </c>
      <c r="J591">
        <v>0.71</v>
      </c>
      <c r="K591">
        <v>0.40200000000000002</v>
      </c>
      <c r="L591">
        <v>0</v>
      </c>
      <c r="M591">
        <v>-9.91</v>
      </c>
      <c r="N591">
        <v>1</v>
      </c>
      <c r="O591">
        <v>2.7400000000000001E-2</v>
      </c>
      <c r="P591">
        <v>0.873</v>
      </c>
      <c r="Q591">
        <v>0.23200000000000001</v>
      </c>
      <c r="R591">
        <v>0.10299999999999999</v>
      </c>
      <c r="S591">
        <v>0.13600000000000001</v>
      </c>
      <c r="T591">
        <v>106.024</v>
      </c>
      <c r="U591">
        <v>4</v>
      </c>
      <c r="V591" t="s">
        <v>24</v>
      </c>
    </row>
    <row r="592" spans="3:22" x14ac:dyDescent="0.35">
      <c r="C592" t="s">
        <v>1789</v>
      </c>
      <c r="D592" t="s">
        <v>617</v>
      </c>
      <c r="E592" t="s">
        <v>1790</v>
      </c>
      <c r="F592" t="s">
        <v>1791</v>
      </c>
      <c r="G592">
        <v>55</v>
      </c>
      <c r="H592">
        <v>137880</v>
      </c>
      <c r="I592" t="b">
        <v>0</v>
      </c>
      <c r="J592">
        <v>0.69099999999999995</v>
      </c>
      <c r="K592">
        <v>0.55200000000000005</v>
      </c>
      <c r="L592">
        <v>5</v>
      </c>
      <c r="M592">
        <v>-9.1140000000000008</v>
      </c>
      <c r="N592">
        <v>1</v>
      </c>
      <c r="O592">
        <v>2.64E-2</v>
      </c>
      <c r="P592">
        <v>0.497</v>
      </c>
      <c r="Q592">
        <v>5.8900000000000001E-4</v>
      </c>
      <c r="R592">
        <v>0.19700000000000001</v>
      </c>
      <c r="S592">
        <v>0.68500000000000005</v>
      </c>
      <c r="T592">
        <v>119.931</v>
      </c>
      <c r="U592">
        <v>4</v>
      </c>
      <c r="V592" t="s">
        <v>24</v>
      </c>
    </row>
    <row r="593" spans="3:22" x14ac:dyDescent="0.35">
      <c r="C593" t="s">
        <v>1792</v>
      </c>
      <c r="D593" t="s">
        <v>1202</v>
      </c>
      <c r="E593" t="s">
        <v>1203</v>
      </c>
      <c r="F593" t="s">
        <v>1793</v>
      </c>
      <c r="G593">
        <v>29</v>
      </c>
      <c r="H593">
        <v>152100</v>
      </c>
      <c r="I593" t="b">
        <v>0</v>
      </c>
      <c r="J593">
        <v>0.64200000000000002</v>
      </c>
      <c r="K593">
        <v>0.23699999999999999</v>
      </c>
      <c r="L593">
        <v>7</v>
      </c>
      <c r="M593">
        <v>-16.141999999999999</v>
      </c>
      <c r="N593">
        <v>0</v>
      </c>
      <c r="O593">
        <v>3.8699999999999998E-2</v>
      </c>
      <c r="P593">
        <v>0.72399999999999998</v>
      </c>
      <c r="Q593" s="1" t="s">
        <v>1323</v>
      </c>
      <c r="R593">
        <v>5.74E-2</v>
      </c>
      <c r="S593">
        <v>0.69399999999999995</v>
      </c>
      <c r="T593">
        <v>137.4</v>
      </c>
      <c r="U593">
        <v>4</v>
      </c>
      <c r="V593" t="s">
        <v>24</v>
      </c>
    </row>
    <row r="594" spans="3:22" x14ac:dyDescent="0.35">
      <c r="C594" t="s">
        <v>1794</v>
      </c>
      <c r="D594" t="s">
        <v>755</v>
      </c>
      <c r="E594" t="s">
        <v>756</v>
      </c>
      <c r="F594" t="s">
        <v>1795</v>
      </c>
      <c r="G594">
        <v>30</v>
      </c>
      <c r="H594">
        <v>162282</v>
      </c>
      <c r="I594" t="b">
        <v>1</v>
      </c>
      <c r="J594">
        <v>0.48</v>
      </c>
      <c r="K594">
        <v>0.77</v>
      </c>
      <c r="L594">
        <v>10</v>
      </c>
      <c r="M594">
        <v>-3.5470000000000002</v>
      </c>
      <c r="N594">
        <v>1</v>
      </c>
      <c r="O594">
        <v>5.4199999999999998E-2</v>
      </c>
      <c r="P594">
        <v>0.39700000000000002</v>
      </c>
      <c r="Q594">
        <v>0</v>
      </c>
      <c r="R594">
        <v>0.254</v>
      </c>
      <c r="S594">
        <v>0.74399999999999999</v>
      </c>
      <c r="T594">
        <v>126.22499999999999</v>
      </c>
      <c r="U594">
        <v>4</v>
      </c>
      <c r="V594" t="s">
        <v>24</v>
      </c>
    </row>
    <row r="595" spans="3:22" x14ac:dyDescent="0.35">
      <c r="C595" t="s">
        <v>1796</v>
      </c>
      <c r="D595" t="s">
        <v>1054</v>
      </c>
      <c r="E595" t="s">
        <v>1797</v>
      </c>
      <c r="F595" t="s">
        <v>1798</v>
      </c>
      <c r="G595">
        <v>29</v>
      </c>
      <c r="H595">
        <v>255680</v>
      </c>
      <c r="I595" t="b">
        <v>0</v>
      </c>
      <c r="J595">
        <v>0.78500000000000003</v>
      </c>
      <c r="K595">
        <v>0.73199999999999998</v>
      </c>
      <c r="L595">
        <v>5</v>
      </c>
      <c r="M595">
        <v>-6.1769999999999996</v>
      </c>
      <c r="N595">
        <v>1</v>
      </c>
      <c r="O595">
        <v>5.1299999999999998E-2</v>
      </c>
      <c r="P595">
        <v>5.8999999999999997E-2</v>
      </c>
      <c r="Q595" s="1" t="s">
        <v>1799</v>
      </c>
      <c r="R595">
        <v>0.52400000000000002</v>
      </c>
      <c r="S595">
        <v>0.79800000000000004</v>
      </c>
      <c r="T595">
        <v>137.946</v>
      </c>
      <c r="U595">
        <v>4</v>
      </c>
      <c r="V595" t="s">
        <v>24</v>
      </c>
    </row>
    <row r="596" spans="3:22" x14ac:dyDescent="0.35">
      <c r="C596" t="s">
        <v>1800</v>
      </c>
      <c r="D596" t="s">
        <v>1801</v>
      </c>
      <c r="E596" t="s">
        <v>1802</v>
      </c>
      <c r="F596" t="s">
        <v>1803</v>
      </c>
      <c r="G596">
        <v>30</v>
      </c>
      <c r="H596">
        <v>216894</v>
      </c>
      <c r="I596" t="b">
        <v>1</v>
      </c>
      <c r="J596">
        <v>0.66800000000000004</v>
      </c>
      <c r="K596">
        <v>0.30399999999999999</v>
      </c>
      <c r="L596">
        <v>9</v>
      </c>
      <c r="M596">
        <v>-9.4149999999999991</v>
      </c>
      <c r="N596">
        <v>1</v>
      </c>
      <c r="O596">
        <v>3.5400000000000001E-2</v>
      </c>
      <c r="P596">
        <v>0.81100000000000005</v>
      </c>
      <c r="Q596">
        <v>0</v>
      </c>
      <c r="R596">
        <v>8.2600000000000007E-2</v>
      </c>
      <c r="S596">
        <v>0.56699999999999995</v>
      </c>
      <c r="T596">
        <v>112.33799999999999</v>
      </c>
      <c r="U596">
        <v>4</v>
      </c>
      <c r="V596" t="s">
        <v>24</v>
      </c>
    </row>
    <row r="597" spans="3:22" x14ac:dyDescent="0.35">
      <c r="C597" t="s">
        <v>1804</v>
      </c>
      <c r="D597" t="s">
        <v>1805</v>
      </c>
      <c r="E597" t="s">
        <v>1806</v>
      </c>
      <c r="F597" t="s">
        <v>1807</v>
      </c>
      <c r="G597">
        <v>29</v>
      </c>
      <c r="H597">
        <v>239000</v>
      </c>
      <c r="I597" t="b">
        <v>0</v>
      </c>
      <c r="J597">
        <v>0.75800000000000001</v>
      </c>
      <c r="K597">
        <v>0.40600000000000003</v>
      </c>
      <c r="L597">
        <v>10</v>
      </c>
      <c r="M597">
        <v>-10.474</v>
      </c>
      <c r="N597">
        <v>1</v>
      </c>
      <c r="O597">
        <v>3.0599999999999999E-2</v>
      </c>
      <c r="P597">
        <v>0.90100000000000002</v>
      </c>
      <c r="Q597" s="1" t="s">
        <v>1808</v>
      </c>
      <c r="R597">
        <v>9.0800000000000006E-2</v>
      </c>
      <c r="S597">
        <v>0.38300000000000001</v>
      </c>
      <c r="T597">
        <v>109.98399999999999</v>
      </c>
      <c r="U597">
        <v>4</v>
      </c>
      <c r="V597" t="s">
        <v>24</v>
      </c>
    </row>
    <row r="598" spans="3:22" x14ac:dyDescent="0.35">
      <c r="C598" t="s">
        <v>1809</v>
      </c>
      <c r="D598" t="s">
        <v>1069</v>
      </c>
      <c r="E598" t="s">
        <v>1070</v>
      </c>
      <c r="F598" t="s">
        <v>1810</v>
      </c>
      <c r="G598">
        <v>29</v>
      </c>
      <c r="H598">
        <v>128731</v>
      </c>
      <c r="I598" t="b">
        <v>0</v>
      </c>
      <c r="J598">
        <v>0.49</v>
      </c>
      <c r="K598">
        <v>0.749</v>
      </c>
      <c r="L598">
        <v>9</v>
      </c>
      <c r="M598">
        <v>-2.2440000000000002</v>
      </c>
      <c r="N598">
        <v>0</v>
      </c>
      <c r="O598">
        <v>6.4899999999999999E-2</v>
      </c>
      <c r="P598">
        <v>0.38900000000000001</v>
      </c>
      <c r="Q598">
        <v>0</v>
      </c>
      <c r="R598">
        <v>7.9200000000000007E-2</v>
      </c>
      <c r="S598">
        <v>0.73899999999999999</v>
      </c>
      <c r="T598">
        <v>144.87</v>
      </c>
      <c r="U598">
        <v>4</v>
      </c>
      <c r="V598" t="s">
        <v>24</v>
      </c>
    </row>
    <row r="599" spans="3:22" x14ac:dyDescent="0.35">
      <c r="C599" t="s">
        <v>1811</v>
      </c>
      <c r="D599" t="s">
        <v>755</v>
      </c>
      <c r="E599" t="s">
        <v>756</v>
      </c>
      <c r="F599" t="s">
        <v>1812</v>
      </c>
      <c r="G599">
        <v>30</v>
      </c>
      <c r="H599">
        <v>381910</v>
      </c>
      <c r="I599" t="b">
        <v>0</v>
      </c>
      <c r="J599">
        <v>0.38900000000000001</v>
      </c>
      <c r="K599">
        <v>0.86399999999999999</v>
      </c>
      <c r="L599">
        <v>9</v>
      </c>
      <c r="M599">
        <v>-3.218</v>
      </c>
      <c r="N599">
        <v>1</v>
      </c>
      <c r="O599">
        <v>0.11700000000000001</v>
      </c>
      <c r="P599">
        <v>3.6200000000000003E-2</v>
      </c>
      <c r="Q599" s="1" t="s">
        <v>1813</v>
      </c>
      <c r="R599">
        <v>0.193</v>
      </c>
      <c r="S599">
        <v>0.54800000000000004</v>
      </c>
      <c r="T599">
        <v>98.11</v>
      </c>
      <c r="U599">
        <v>3</v>
      </c>
      <c r="V599" t="s">
        <v>24</v>
      </c>
    </row>
    <row r="600" spans="3:22" x14ac:dyDescent="0.35">
      <c r="C600" t="s">
        <v>1814</v>
      </c>
      <c r="D600" t="s">
        <v>755</v>
      </c>
      <c r="E600" t="s">
        <v>1390</v>
      </c>
      <c r="F600" t="s">
        <v>1815</v>
      </c>
      <c r="G600">
        <v>29</v>
      </c>
      <c r="H600">
        <v>196161</v>
      </c>
      <c r="I600" t="b">
        <v>1</v>
      </c>
      <c r="J600">
        <v>0.38700000000000001</v>
      </c>
      <c r="K600">
        <v>0.52400000000000002</v>
      </c>
      <c r="L600">
        <v>3</v>
      </c>
      <c r="M600">
        <v>-9.6329999999999991</v>
      </c>
      <c r="N600">
        <v>1</v>
      </c>
      <c r="O600">
        <v>4.9299999999999997E-2</v>
      </c>
      <c r="P600">
        <v>0.77700000000000002</v>
      </c>
      <c r="Q600" s="1" t="s">
        <v>1816</v>
      </c>
      <c r="R600">
        <v>0.71799999999999997</v>
      </c>
      <c r="S600">
        <v>0.85799999999999998</v>
      </c>
      <c r="T600">
        <v>95.623000000000005</v>
      </c>
      <c r="U600">
        <v>4</v>
      </c>
      <c r="V600" t="s">
        <v>24</v>
      </c>
    </row>
    <row r="601" spans="3:22" x14ac:dyDescent="0.35">
      <c r="C601" t="s">
        <v>1817</v>
      </c>
      <c r="D601" t="s">
        <v>769</v>
      </c>
      <c r="E601" t="s">
        <v>1237</v>
      </c>
      <c r="F601" t="s">
        <v>1818</v>
      </c>
      <c r="G601">
        <v>28</v>
      </c>
      <c r="H601">
        <v>156533</v>
      </c>
      <c r="I601" t="b">
        <v>0</v>
      </c>
      <c r="J601">
        <v>0.40799999999999997</v>
      </c>
      <c r="K601">
        <v>0.97399999999999998</v>
      </c>
      <c r="L601">
        <v>1</v>
      </c>
      <c r="M601">
        <v>-5.5010000000000003</v>
      </c>
      <c r="N601">
        <v>1</v>
      </c>
      <c r="O601">
        <v>0.15</v>
      </c>
      <c r="P601" s="1" t="s">
        <v>1819</v>
      </c>
      <c r="Q601">
        <v>0</v>
      </c>
      <c r="R601">
        <v>0.27800000000000002</v>
      </c>
      <c r="S601">
        <v>0.57799999999999996</v>
      </c>
      <c r="T601">
        <v>197.00800000000001</v>
      </c>
      <c r="U601">
        <v>4</v>
      </c>
      <c r="V601" t="s">
        <v>24</v>
      </c>
    </row>
    <row r="602" spans="3:22" x14ac:dyDescent="0.35">
      <c r="C602" t="s">
        <v>1820</v>
      </c>
      <c r="D602" t="s">
        <v>664</v>
      </c>
      <c r="E602" t="s">
        <v>28</v>
      </c>
      <c r="F602" t="s">
        <v>28</v>
      </c>
      <c r="G602">
        <v>42</v>
      </c>
      <c r="H602">
        <v>155050</v>
      </c>
      <c r="I602" t="b">
        <v>0</v>
      </c>
      <c r="J602">
        <v>0.48599999999999999</v>
      </c>
      <c r="K602">
        <v>7.4499999999999997E-2</v>
      </c>
      <c r="L602">
        <v>10</v>
      </c>
      <c r="M602">
        <v>-14.271000000000001</v>
      </c>
      <c r="N602">
        <v>1</v>
      </c>
      <c r="O602">
        <v>5.9900000000000002E-2</v>
      </c>
      <c r="P602">
        <v>0.92200000000000004</v>
      </c>
      <c r="Q602">
        <v>0</v>
      </c>
      <c r="R602">
        <v>0.104</v>
      </c>
      <c r="S602">
        <v>0.39600000000000002</v>
      </c>
      <c r="T602">
        <v>145.91200000000001</v>
      </c>
      <c r="U602">
        <v>4</v>
      </c>
      <c r="V602" t="s">
        <v>24</v>
      </c>
    </row>
    <row r="603" spans="3:22" x14ac:dyDescent="0.35">
      <c r="C603" t="s">
        <v>1821</v>
      </c>
      <c r="D603" t="s">
        <v>492</v>
      </c>
      <c r="E603" t="s">
        <v>1822</v>
      </c>
      <c r="F603" t="s">
        <v>1822</v>
      </c>
      <c r="G603">
        <v>49</v>
      </c>
      <c r="H603">
        <v>125677</v>
      </c>
      <c r="I603" t="b">
        <v>0</v>
      </c>
      <c r="J603">
        <v>0.63800000000000001</v>
      </c>
      <c r="K603">
        <v>0.32900000000000001</v>
      </c>
      <c r="L603">
        <v>3</v>
      </c>
      <c r="M603">
        <v>-13.683</v>
      </c>
      <c r="N603">
        <v>1</v>
      </c>
      <c r="O603">
        <v>4.2200000000000001E-2</v>
      </c>
      <c r="P603">
        <v>0.97899999999999998</v>
      </c>
      <c r="Q603">
        <v>5.9700000000000003E-2</v>
      </c>
      <c r="R603">
        <v>0.33800000000000002</v>
      </c>
      <c r="S603">
        <v>0.47499999999999998</v>
      </c>
      <c r="T603">
        <v>94.125</v>
      </c>
      <c r="U603">
        <v>4</v>
      </c>
      <c r="V603" t="s">
        <v>24</v>
      </c>
    </row>
    <row r="604" spans="3:22" x14ac:dyDescent="0.35">
      <c r="C604" t="s">
        <v>1823</v>
      </c>
      <c r="D604" t="s">
        <v>1824</v>
      </c>
      <c r="E604" t="s">
        <v>1825</v>
      </c>
      <c r="F604" t="s">
        <v>1826</v>
      </c>
      <c r="G604">
        <v>53</v>
      </c>
      <c r="H604">
        <v>169058</v>
      </c>
      <c r="I604" t="b">
        <v>0</v>
      </c>
      <c r="J604">
        <v>0.52200000000000002</v>
      </c>
      <c r="K604">
        <v>0.38200000000000001</v>
      </c>
      <c r="L604">
        <v>10</v>
      </c>
      <c r="M604">
        <v>-6.7649999999999997</v>
      </c>
      <c r="N604">
        <v>1</v>
      </c>
      <c r="O604">
        <v>3.1E-2</v>
      </c>
      <c r="P604">
        <v>0.38900000000000001</v>
      </c>
      <c r="Q604">
        <v>0</v>
      </c>
      <c r="R604">
        <v>0.13300000000000001</v>
      </c>
      <c r="S604">
        <v>0.51900000000000002</v>
      </c>
      <c r="T604">
        <v>169.86099999999999</v>
      </c>
      <c r="U604">
        <v>4</v>
      </c>
      <c r="V604" t="s">
        <v>24</v>
      </c>
    </row>
    <row r="605" spans="3:22" x14ac:dyDescent="0.35">
      <c r="C605" t="s">
        <v>1827</v>
      </c>
      <c r="D605" t="s">
        <v>1121</v>
      </c>
      <c r="E605" t="s">
        <v>1122</v>
      </c>
      <c r="F605" t="s">
        <v>1828</v>
      </c>
      <c r="G605">
        <v>50</v>
      </c>
      <c r="H605">
        <v>196724</v>
      </c>
      <c r="I605" t="b">
        <v>0</v>
      </c>
      <c r="J605">
        <v>0.49</v>
      </c>
      <c r="K605">
        <v>0.20399999999999999</v>
      </c>
      <c r="L605">
        <v>11</v>
      </c>
      <c r="M605">
        <v>-10.992000000000001</v>
      </c>
      <c r="N605">
        <v>1</v>
      </c>
      <c r="O605">
        <v>3.15E-2</v>
      </c>
      <c r="P605">
        <v>0.90100000000000002</v>
      </c>
      <c r="Q605">
        <v>0</v>
      </c>
      <c r="R605">
        <v>8.9300000000000004E-2</v>
      </c>
      <c r="S605">
        <v>0.373</v>
      </c>
      <c r="T605">
        <v>167.57300000000001</v>
      </c>
      <c r="U605">
        <v>4</v>
      </c>
      <c r="V605" t="s">
        <v>24</v>
      </c>
    </row>
    <row r="606" spans="3:22" x14ac:dyDescent="0.35">
      <c r="C606" t="s">
        <v>1829</v>
      </c>
      <c r="D606" t="s">
        <v>1690</v>
      </c>
      <c r="E606" t="s">
        <v>1830</v>
      </c>
      <c r="F606" t="s">
        <v>1830</v>
      </c>
      <c r="G606">
        <v>52</v>
      </c>
      <c r="H606">
        <v>199114</v>
      </c>
      <c r="I606" t="b">
        <v>0</v>
      </c>
      <c r="J606">
        <v>0.67400000000000004</v>
      </c>
      <c r="K606">
        <v>0.11600000000000001</v>
      </c>
      <c r="L606">
        <v>9</v>
      </c>
      <c r="M606">
        <v>-13.448</v>
      </c>
      <c r="N606">
        <v>1</v>
      </c>
      <c r="O606">
        <v>3.7499999999999999E-2</v>
      </c>
      <c r="P606">
        <v>0.86199999999999999</v>
      </c>
      <c r="Q606">
        <v>0</v>
      </c>
      <c r="R606">
        <v>9.7900000000000001E-2</v>
      </c>
      <c r="S606">
        <v>0.21</v>
      </c>
      <c r="T606">
        <v>129.976</v>
      </c>
      <c r="U606">
        <v>4</v>
      </c>
      <c r="V606" t="s">
        <v>24</v>
      </c>
    </row>
    <row r="607" spans="3:22" x14ac:dyDescent="0.35">
      <c r="C607" t="s">
        <v>1831</v>
      </c>
      <c r="D607" t="s">
        <v>70</v>
      </c>
      <c r="E607" t="s">
        <v>1832</v>
      </c>
      <c r="F607" t="s">
        <v>1832</v>
      </c>
      <c r="G607">
        <v>36</v>
      </c>
      <c r="H607">
        <v>156923</v>
      </c>
      <c r="I607" t="b">
        <v>0</v>
      </c>
      <c r="J607">
        <v>0.77800000000000002</v>
      </c>
      <c r="K607">
        <v>0.44500000000000001</v>
      </c>
      <c r="L607">
        <v>7</v>
      </c>
      <c r="M607">
        <v>-8.2279999999999998</v>
      </c>
      <c r="N607">
        <v>1</v>
      </c>
      <c r="O607">
        <v>4.6800000000000001E-2</v>
      </c>
      <c r="P607">
        <v>0.45</v>
      </c>
      <c r="Q607" s="1" t="s">
        <v>1833</v>
      </c>
      <c r="R607">
        <v>0.11899999999999999</v>
      </c>
      <c r="S607">
        <v>0.502</v>
      </c>
      <c r="T607">
        <v>130.01</v>
      </c>
      <c r="U607">
        <v>4</v>
      </c>
      <c r="V607" t="s">
        <v>24</v>
      </c>
    </row>
    <row r="608" spans="3:22" x14ac:dyDescent="0.35">
      <c r="C608" t="s">
        <v>1834</v>
      </c>
      <c r="D608" t="s">
        <v>1417</v>
      </c>
      <c r="E608" t="s">
        <v>1835</v>
      </c>
      <c r="F608" t="s">
        <v>1835</v>
      </c>
      <c r="G608">
        <v>49</v>
      </c>
      <c r="H608">
        <v>254615</v>
      </c>
      <c r="I608" t="b">
        <v>0</v>
      </c>
      <c r="J608">
        <v>0.25900000000000001</v>
      </c>
      <c r="K608">
        <v>0.19500000000000001</v>
      </c>
      <c r="L608">
        <v>9</v>
      </c>
      <c r="M608">
        <v>-13.638999999999999</v>
      </c>
      <c r="N608">
        <v>0</v>
      </c>
      <c r="O608">
        <v>3.3099999999999997E-2</v>
      </c>
      <c r="P608">
        <v>0.26400000000000001</v>
      </c>
      <c r="Q608">
        <v>0.433</v>
      </c>
      <c r="R608">
        <v>0.35199999999999998</v>
      </c>
      <c r="S608">
        <v>0.183</v>
      </c>
      <c r="T608">
        <v>146.011</v>
      </c>
      <c r="U608">
        <v>4</v>
      </c>
      <c r="V608" t="s">
        <v>24</v>
      </c>
    </row>
    <row r="609" spans="3:22" x14ac:dyDescent="0.35">
      <c r="C609" t="s">
        <v>1836</v>
      </c>
      <c r="D609" t="s">
        <v>664</v>
      </c>
      <c r="E609" t="s">
        <v>1837</v>
      </c>
      <c r="F609" t="s">
        <v>1837</v>
      </c>
      <c r="G609">
        <v>40</v>
      </c>
      <c r="H609">
        <v>222186</v>
      </c>
      <c r="I609" t="b">
        <v>0</v>
      </c>
      <c r="J609">
        <v>0.40799999999999997</v>
      </c>
      <c r="K609">
        <v>9.5000000000000001E-2</v>
      </c>
      <c r="L609">
        <v>1</v>
      </c>
      <c r="M609">
        <v>-18.102</v>
      </c>
      <c r="N609">
        <v>1</v>
      </c>
      <c r="O609">
        <v>3.9699999999999999E-2</v>
      </c>
      <c r="P609">
        <v>0.94799999999999995</v>
      </c>
      <c r="Q609">
        <v>0</v>
      </c>
      <c r="R609">
        <v>0.106</v>
      </c>
      <c r="S609">
        <v>0.35699999999999998</v>
      </c>
      <c r="T609">
        <v>137.54599999999999</v>
      </c>
      <c r="U609">
        <v>4</v>
      </c>
      <c r="V609" t="s">
        <v>24</v>
      </c>
    </row>
    <row r="610" spans="3:22" x14ac:dyDescent="0.35">
      <c r="C610" t="s">
        <v>1838</v>
      </c>
      <c r="D610" t="s">
        <v>1274</v>
      </c>
      <c r="E610" t="s">
        <v>1839</v>
      </c>
      <c r="F610" t="s">
        <v>1840</v>
      </c>
      <c r="G610">
        <v>51</v>
      </c>
      <c r="H610">
        <v>236298</v>
      </c>
      <c r="I610" t="b">
        <v>0</v>
      </c>
      <c r="J610">
        <v>0.66300000000000003</v>
      </c>
      <c r="K610">
        <v>0.26</v>
      </c>
      <c r="L610">
        <v>11</v>
      </c>
      <c r="M610">
        <v>-9.5869999999999997</v>
      </c>
      <c r="N610">
        <v>1</v>
      </c>
      <c r="O610">
        <v>3.0300000000000001E-2</v>
      </c>
      <c r="P610">
        <v>0.86499999999999999</v>
      </c>
      <c r="Q610">
        <v>0</v>
      </c>
      <c r="R610">
        <v>0.10100000000000001</v>
      </c>
      <c r="S610">
        <v>0.24299999999999999</v>
      </c>
      <c r="T610">
        <v>107.931</v>
      </c>
      <c r="U610">
        <v>4</v>
      </c>
      <c r="V610" t="s">
        <v>24</v>
      </c>
    </row>
    <row r="611" spans="3:22" x14ac:dyDescent="0.35">
      <c r="C611" t="s">
        <v>1841</v>
      </c>
      <c r="D611" t="s">
        <v>1842</v>
      </c>
      <c r="E611" t="s">
        <v>1843</v>
      </c>
      <c r="F611" t="s">
        <v>1843</v>
      </c>
      <c r="G611">
        <v>41</v>
      </c>
      <c r="H611">
        <v>203024</v>
      </c>
      <c r="I611" t="b">
        <v>0</v>
      </c>
      <c r="J611">
        <v>0.625</v>
      </c>
      <c r="K611">
        <v>0.81799999999999995</v>
      </c>
      <c r="L611">
        <v>6</v>
      </c>
      <c r="M611">
        <v>-6.2960000000000003</v>
      </c>
      <c r="N611">
        <v>0</v>
      </c>
      <c r="O611">
        <v>6.6900000000000001E-2</v>
      </c>
      <c r="P611">
        <v>5.16E-2</v>
      </c>
      <c r="Q611" s="1" t="s">
        <v>1844</v>
      </c>
      <c r="R611">
        <v>0.13200000000000001</v>
      </c>
      <c r="S611">
        <v>0.307</v>
      </c>
      <c r="T611">
        <v>123.905</v>
      </c>
      <c r="U611">
        <v>4</v>
      </c>
      <c r="V611" t="s">
        <v>24</v>
      </c>
    </row>
    <row r="612" spans="3:22" x14ac:dyDescent="0.35">
      <c r="C612" t="s">
        <v>1845</v>
      </c>
      <c r="D612" t="s">
        <v>1846</v>
      </c>
      <c r="E612" t="s">
        <v>1847</v>
      </c>
      <c r="F612" t="s">
        <v>1848</v>
      </c>
      <c r="G612">
        <v>55</v>
      </c>
      <c r="H612">
        <v>228013</v>
      </c>
      <c r="I612" t="b">
        <v>0</v>
      </c>
      <c r="J612">
        <v>0.52900000000000003</v>
      </c>
      <c r="K612">
        <v>5.4600000000000003E-2</v>
      </c>
      <c r="L612">
        <v>1</v>
      </c>
      <c r="M612">
        <v>-23.684000000000001</v>
      </c>
      <c r="N612">
        <v>1</v>
      </c>
      <c r="O612">
        <v>3.6400000000000002E-2</v>
      </c>
      <c r="P612">
        <v>0.92400000000000004</v>
      </c>
      <c r="Q612">
        <v>4.2799999999999998E-2</v>
      </c>
      <c r="R612">
        <v>0.108</v>
      </c>
      <c r="S612">
        <v>0.51700000000000002</v>
      </c>
      <c r="T612">
        <v>78.450999999999993</v>
      </c>
      <c r="U612">
        <v>4</v>
      </c>
      <c r="V612" t="s">
        <v>24</v>
      </c>
    </row>
    <row r="613" spans="3:22" x14ac:dyDescent="0.35">
      <c r="C613" t="s">
        <v>1849</v>
      </c>
      <c r="D613" t="s">
        <v>1850</v>
      </c>
      <c r="E613" t="s">
        <v>1851</v>
      </c>
      <c r="F613" t="s">
        <v>1851</v>
      </c>
      <c r="G613">
        <v>52</v>
      </c>
      <c r="H613">
        <v>226470</v>
      </c>
      <c r="I613" t="b">
        <v>0</v>
      </c>
      <c r="J613">
        <v>0.56999999999999995</v>
      </c>
      <c r="K613">
        <v>0.46800000000000003</v>
      </c>
      <c r="L613">
        <v>6</v>
      </c>
      <c r="M613">
        <v>-4.1920000000000002</v>
      </c>
      <c r="N613">
        <v>1</v>
      </c>
      <c r="O613">
        <v>4.7E-2</v>
      </c>
      <c r="P613">
        <v>0.75800000000000001</v>
      </c>
      <c r="Q613">
        <v>0</v>
      </c>
      <c r="R613">
        <v>0.20599999999999999</v>
      </c>
      <c r="S613">
        <v>0.33500000000000002</v>
      </c>
      <c r="T613">
        <v>137.85499999999999</v>
      </c>
      <c r="U613">
        <v>4</v>
      </c>
      <c r="V613" t="s">
        <v>24</v>
      </c>
    </row>
    <row r="614" spans="3:22" x14ac:dyDescent="0.35">
      <c r="C614" t="s">
        <v>1852</v>
      </c>
      <c r="D614" t="s">
        <v>255</v>
      </c>
      <c r="E614" t="s">
        <v>1853</v>
      </c>
      <c r="F614" t="s">
        <v>1853</v>
      </c>
      <c r="G614">
        <v>51</v>
      </c>
      <c r="H614">
        <v>181596</v>
      </c>
      <c r="I614" t="b">
        <v>0</v>
      </c>
      <c r="J614">
        <v>0.56599999999999995</v>
      </c>
      <c r="K614">
        <v>0.16800000000000001</v>
      </c>
      <c r="L614">
        <v>3</v>
      </c>
      <c r="M614">
        <v>-12.483000000000001</v>
      </c>
      <c r="N614">
        <v>1</v>
      </c>
      <c r="O614">
        <v>3.7199999999999997E-2</v>
      </c>
      <c r="P614">
        <v>0.81200000000000006</v>
      </c>
      <c r="Q614">
        <v>0</v>
      </c>
      <c r="R614">
        <v>0.125</v>
      </c>
      <c r="S614">
        <v>0.23799999999999999</v>
      </c>
      <c r="T614">
        <v>116.286</v>
      </c>
      <c r="U614">
        <v>4</v>
      </c>
      <c r="V614" t="s">
        <v>24</v>
      </c>
    </row>
    <row r="615" spans="3:22" x14ac:dyDescent="0.35">
      <c r="C615" t="s">
        <v>1854</v>
      </c>
      <c r="D615" t="s">
        <v>60</v>
      </c>
      <c r="E615" t="s">
        <v>61</v>
      </c>
      <c r="F615" t="s">
        <v>1855</v>
      </c>
      <c r="G615">
        <v>49</v>
      </c>
      <c r="H615">
        <v>192631</v>
      </c>
      <c r="I615" t="b">
        <v>0</v>
      </c>
      <c r="J615">
        <v>0.59799999999999998</v>
      </c>
      <c r="K615">
        <v>0.249</v>
      </c>
      <c r="L615">
        <v>11</v>
      </c>
      <c r="M615">
        <v>-10.847</v>
      </c>
      <c r="N615">
        <v>1</v>
      </c>
      <c r="O615">
        <v>6.0299999999999999E-2</v>
      </c>
      <c r="P615">
        <v>0.19400000000000001</v>
      </c>
      <c r="Q615">
        <v>0</v>
      </c>
      <c r="R615">
        <v>8.9200000000000002E-2</v>
      </c>
      <c r="S615">
        <v>0.29199999999999998</v>
      </c>
      <c r="T615">
        <v>113.82899999999999</v>
      </c>
      <c r="U615">
        <v>3</v>
      </c>
      <c r="V615" t="s">
        <v>24</v>
      </c>
    </row>
    <row r="616" spans="3:22" x14ac:dyDescent="0.35">
      <c r="C616" t="s">
        <v>1856</v>
      </c>
      <c r="D616" t="s">
        <v>1857</v>
      </c>
      <c r="E616" t="s">
        <v>1858</v>
      </c>
      <c r="F616" t="s">
        <v>1859</v>
      </c>
      <c r="G616">
        <v>54</v>
      </c>
      <c r="H616">
        <v>318840</v>
      </c>
      <c r="I616" t="b">
        <v>0</v>
      </c>
      <c r="J616">
        <v>0.71299999999999997</v>
      </c>
      <c r="K616">
        <v>0.28100000000000003</v>
      </c>
      <c r="L616">
        <v>3</v>
      </c>
      <c r="M616">
        <v>-11.057</v>
      </c>
      <c r="N616">
        <v>0</v>
      </c>
      <c r="O616">
        <v>3.7900000000000003E-2</v>
      </c>
      <c r="P616">
        <v>0.13700000000000001</v>
      </c>
      <c r="Q616">
        <v>2.58E-2</v>
      </c>
      <c r="R616">
        <v>0.111</v>
      </c>
      <c r="S616">
        <v>0.39700000000000002</v>
      </c>
      <c r="T616">
        <v>148.30099999999999</v>
      </c>
      <c r="U616">
        <v>3</v>
      </c>
      <c r="V616" t="s">
        <v>24</v>
      </c>
    </row>
    <row r="617" spans="3:22" x14ac:dyDescent="0.35">
      <c r="C617" t="s">
        <v>1860</v>
      </c>
      <c r="D617" t="s">
        <v>886</v>
      </c>
      <c r="E617" t="s">
        <v>1683</v>
      </c>
      <c r="F617" t="s">
        <v>1861</v>
      </c>
      <c r="G617">
        <v>46</v>
      </c>
      <c r="H617">
        <v>267862</v>
      </c>
      <c r="I617" t="b">
        <v>0</v>
      </c>
      <c r="J617">
        <v>0.54700000000000004</v>
      </c>
      <c r="K617">
        <v>0.32800000000000001</v>
      </c>
      <c r="L617">
        <v>8</v>
      </c>
      <c r="M617">
        <v>-11.118</v>
      </c>
      <c r="N617">
        <v>1</v>
      </c>
      <c r="O617">
        <v>3.2099999999999997E-2</v>
      </c>
      <c r="P617">
        <v>0.16300000000000001</v>
      </c>
      <c r="Q617">
        <v>9.2600000000000002E-2</v>
      </c>
      <c r="R617">
        <v>8.8400000000000006E-2</v>
      </c>
      <c r="S617">
        <v>0.186</v>
      </c>
      <c r="T617">
        <v>139.959</v>
      </c>
      <c r="U617">
        <v>4</v>
      </c>
      <c r="V617" t="s">
        <v>24</v>
      </c>
    </row>
    <row r="618" spans="3:22" x14ac:dyDescent="0.35">
      <c r="C618" t="s">
        <v>1862</v>
      </c>
      <c r="D618" t="s">
        <v>696</v>
      </c>
      <c r="E618" t="s">
        <v>1863</v>
      </c>
      <c r="F618" t="s">
        <v>1863</v>
      </c>
      <c r="G618">
        <v>45</v>
      </c>
      <c r="H618">
        <v>174884</v>
      </c>
      <c r="I618" t="b">
        <v>0</v>
      </c>
      <c r="J618">
        <v>0.80600000000000005</v>
      </c>
      <c r="K618">
        <v>0.26300000000000001</v>
      </c>
      <c r="L618">
        <v>5</v>
      </c>
      <c r="M618">
        <v>-10.43</v>
      </c>
      <c r="N618">
        <v>1</v>
      </c>
      <c r="O618">
        <v>5.0200000000000002E-2</v>
      </c>
      <c r="P618">
        <v>0.78700000000000003</v>
      </c>
      <c r="Q618">
        <v>0</v>
      </c>
      <c r="R618">
        <v>0.182</v>
      </c>
      <c r="S618">
        <v>0.86799999999999999</v>
      </c>
      <c r="T618">
        <v>115.854</v>
      </c>
      <c r="U618">
        <v>4</v>
      </c>
      <c r="V618" t="s">
        <v>24</v>
      </c>
    </row>
    <row r="619" spans="3:22" x14ac:dyDescent="0.35">
      <c r="C619" t="s">
        <v>1864</v>
      </c>
      <c r="D619" t="s">
        <v>991</v>
      </c>
      <c r="E619" t="s">
        <v>1865</v>
      </c>
      <c r="F619" t="s">
        <v>1865</v>
      </c>
      <c r="G619">
        <v>30</v>
      </c>
      <c r="H619">
        <v>347200</v>
      </c>
      <c r="I619" t="b">
        <v>0</v>
      </c>
      <c r="J619">
        <v>0.54800000000000004</v>
      </c>
      <c r="K619">
        <v>0.88900000000000001</v>
      </c>
      <c r="L619">
        <v>0</v>
      </c>
      <c r="M619">
        <v>-6.1059999999999999</v>
      </c>
      <c r="N619">
        <v>1</v>
      </c>
      <c r="O619">
        <v>3.09E-2</v>
      </c>
      <c r="P619">
        <v>3.2399999999999998E-2</v>
      </c>
      <c r="Q619">
        <v>0</v>
      </c>
      <c r="R619">
        <v>0.35899999999999999</v>
      </c>
      <c r="S619">
        <v>0.78900000000000003</v>
      </c>
      <c r="T619">
        <v>95.289000000000001</v>
      </c>
      <c r="U619">
        <v>4</v>
      </c>
      <c r="V619" t="s">
        <v>24</v>
      </c>
    </row>
    <row r="620" spans="3:22" x14ac:dyDescent="0.35">
      <c r="C620" t="s">
        <v>1866</v>
      </c>
      <c r="D620" t="s">
        <v>50</v>
      </c>
      <c r="E620" t="s">
        <v>276</v>
      </c>
      <c r="F620" t="s">
        <v>276</v>
      </c>
      <c r="G620">
        <v>53</v>
      </c>
      <c r="H620">
        <v>226098</v>
      </c>
      <c r="I620" t="b">
        <v>0</v>
      </c>
      <c r="J620">
        <v>0.64300000000000002</v>
      </c>
      <c r="K620">
        <v>0.61699999999999999</v>
      </c>
      <c r="L620">
        <v>1</v>
      </c>
      <c r="M620">
        <v>-4.95</v>
      </c>
      <c r="N620">
        <v>0</v>
      </c>
      <c r="O620">
        <v>4.1000000000000002E-2</v>
      </c>
      <c r="P620">
        <v>0.19400000000000001</v>
      </c>
      <c r="Q620">
        <v>0</v>
      </c>
      <c r="R620">
        <v>9.8900000000000002E-2</v>
      </c>
      <c r="S620">
        <v>0.59199999999999997</v>
      </c>
      <c r="T620">
        <v>82.028999999999996</v>
      </c>
      <c r="U620">
        <v>4</v>
      </c>
      <c r="V620" t="s">
        <v>24</v>
      </c>
    </row>
    <row r="621" spans="3:22" x14ac:dyDescent="0.35">
      <c r="C621" t="s">
        <v>1867</v>
      </c>
      <c r="D621" t="s">
        <v>948</v>
      </c>
      <c r="E621" t="s">
        <v>949</v>
      </c>
      <c r="F621" t="s">
        <v>1868</v>
      </c>
      <c r="G621">
        <v>48</v>
      </c>
      <c r="H621">
        <v>282133</v>
      </c>
      <c r="I621" t="b">
        <v>0</v>
      </c>
      <c r="J621">
        <v>0.42799999999999999</v>
      </c>
      <c r="K621">
        <v>0.81299999999999994</v>
      </c>
      <c r="L621">
        <v>7</v>
      </c>
      <c r="M621">
        <v>-4.4779999999999998</v>
      </c>
      <c r="N621">
        <v>0</v>
      </c>
      <c r="O621">
        <v>2.5000000000000001E-2</v>
      </c>
      <c r="P621">
        <v>6.2199999999999998E-2</v>
      </c>
      <c r="Q621">
        <v>3.8800000000000002E-3</v>
      </c>
      <c r="R621">
        <v>0.154</v>
      </c>
      <c r="S621">
        <v>0.34699999999999998</v>
      </c>
      <c r="T621">
        <v>91.052999999999997</v>
      </c>
      <c r="U621">
        <v>4</v>
      </c>
      <c r="V621" t="s">
        <v>24</v>
      </c>
    </row>
    <row r="622" spans="3:22" x14ac:dyDescent="0.35">
      <c r="C622" t="s">
        <v>1869</v>
      </c>
      <c r="D622" t="s">
        <v>1870</v>
      </c>
      <c r="E622" t="s">
        <v>1871</v>
      </c>
      <c r="F622" t="s">
        <v>1291</v>
      </c>
      <c r="G622">
        <v>52</v>
      </c>
      <c r="H622">
        <v>251640</v>
      </c>
      <c r="I622" t="b">
        <v>0</v>
      </c>
      <c r="J622">
        <v>0.432</v>
      </c>
      <c r="K622">
        <v>0.66400000000000003</v>
      </c>
      <c r="L622">
        <v>7</v>
      </c>
      <c r="M622">
        <v>-4.6619999999999999</v>
      </c>
      <c r="N622">
        <v>1</v>
      </c>
      <c r="O622">
        <v>3.0200000000000001E-2</v>
      </c>
      <c r="P622">
        <v>0.215</v>
      </c>
      <c r="Q622">
        <v>0</v>
      </c>
      <c r="R622">
        <v>0.15</v>
      </c>
      <c r="S622">
        <v>0.29399999999999998</v>
      </c>
      <c r="T622">
        <v>156.21600000000001</v>
      </c>
      <c r="U622">
        <v>4</v>
      </c>
      <c r="V622" t="s">
        <v>24</v>
      </c>
    </row>
    <row r="623" spans="3:22" x14ac:dyDescent="0.35">
      <c r="C623" t="s">
        <v>1872</v>
      </c>
      <c r="D623" t="s">
        <v>204</v>
      </c>
      <c r="E623" t="s">
        <v>1873</v>
      </c>
      <c r="F623" t="s">
        <v>1874</v>
      </c>
      <c r="G623">
        <v>51</v>
      </c>
      <c r="H623">
        <v>298280</v>
      </c>
      <c r="I623" t="b">
        <v>0</v>
      </c>
      <c r="J623">
        <v>0.36599999999999999</v>
      </c>
      <c r="K623">
        <v>0.48199999999999998</v>
      </c>
      <c r="L623">
        <v>5</v>
      </c>
      <c r="M623">
        <v>-7.9</v>
      </c>
      <c r="N623">
        <v>1</v>
      </c>
      <c r="O623">
        <v>2.7799999999999998E-2</v>
      </c>
      <c r="P623">
        <v>0.28799999999999998</v>
      </c>
      <c r="Q623">
        <v>6.5500000000000003E-3</v>
      </c>
      <c r="R623">
        <v>0.11700000000000001</v>
      </c>
      <c r="S623">
        <v>0.27800000000000002</v>
      </c>
      <c r="T623">
        <v>169.67699999999999</v>
      </c>
      <c r="U623">
        <v>4</v>
      </c>
      <c r="V623" t="s">
        <v>24</v>
      </c>
    </row>
    <row r="624" spans="3:22" x14ac:dyDescent="0.35">
      <c r="C624" t="s">
        <v>1875</v>
      </c>
      <c r="D624" t="s">
        <v>712</v>
      </c>
      <c r="E624" t="s">
        <v>729</v>
      </c>
      <c r="F624" t="s">
        <v>729</v>
      </c>
      <c r="G624">
        <v>59</v>
      </c>
      <c r="H624">
        <v>241546</v>
      </c>
      <c r="I624" t="b">
        <v>0</v>
      </c>
      <c r="J624">
        <v>0.32500000000000001</v>
      </c>
      <c r="K624">
        <v>0.42399999999999999</v>
      </c>
      <c r="L624">
        <v>7</v>
      </c>
      <c r="M624">
        <v>-12.733000000000001</v>
      </c>
      <c r="N624">
        <v>1</v>
      </c>
      <c r="O624">
        <v>4.3799999999999999E-2</v>
      </c>
      <c r="P624">
        <v>0.34100000000000003</v>
      </c>
      <c r="Q624">
        <v>2.6699999999999998E-4</v>
      </c>
      <c r="R624">
        <v>0.23</v>
      </c>
      <c r="S624">
        <v>0.49399999999999999</v>
      </c>
      <c r="T624">
        <v>173.352</v>
      </c>
      <c r="U624">
        <v>3</v>
      </c>
      <c r="V624" t="s">
        <v>24</v>
      </c>
    </row>
    <row r="625" spans="3:22" x14ac:dyDescent="0.35">
      <c r="C625" t="s">
        <v>1876</v>
      </c>
      <c r="D625" t="s">
        <v>339</v>
      </c>
      <c r="E625" t="s">
        <v>363</v>
      </c>
      <c r="F625" t="s">
        <v>1877</v>
      </c>
      <c r="G625">
        <v>53</v>
      </c>
      <c r="H625">
        <v>197170</v>
      </c>
      <c r="I625" t="b">
        <v>0</v>
      </c>
      <c r="J625">
        <v>0.46</v>
      </c>
      <c r="K625">
        <v>0.19500000000000001</v>
      </c>
      <c r="L625">
        <v>10</v>
      </c>
      <c r="M625">
        <v>-12.093</v>
      </c>
      <c r="N625">
        <v>1</v>
      </c>
      <c r="O625">
        <v>4.5900000000000003E-2</v>
      </c>
      <c r="P625">
        <v>0.86699999999999999</v>
      </c>
      <c r="Q625" s="1" t="s">
        <v>1878</v>
      </c>
      <c r="R625">
        <v>0.112</v>
      </c>
      <c r="S625">
        <v>0.38400000000000001</v>
      </c>
      <c r="T625">
        <v>176.119</v>
      </c>
      <c r="U625">
        <v>4</v>
      </c>
      <c r="V625" t="s">
        <v>24</v>
      </c>
    </row>
    <row r="626" spans="3:22" x14ac:dyDescent="0.35">
      <c r="C626" t="s">
        <v>1879</v>
      </c>
      <c r="D626" t="s">
        <v>42</v>
      </c>
      <c r="E626" t="s">
        <v>1880</v>
      </c>
      <c r="F626" t="s">
        <v>1881</v>
      </c>
      <c r="G626">
        <v>47</v>
      </c>
      <c r="H626">
        <v>178093</v>
      </c>
      <c r="I626" t="b">
        <v>0</v>
      </c>
      <c r="J626">
        <v>0.61299999999999999</v>
      </c>
      <c r="K626">
        <v>0.81200000000000006</v>
      </c>
      <c r="L626">
        <v>2</v>
      </c>
      <c r="M626">
        <v>-3.524</v>
      </c>
      <c r="N626">
        <v>1</v>
      </c>
      <c r="O626">
        <v>3.5499999999999997E-2</v>
      </c>
      <c r="P626">
        <v>0.25900000000000001</v>
      </c>
      <c r="Q626">
        <v>0</v>
      </c>
      <c r="R626">
        <v>0.185</v>
      </c>
      <c r="S626">
        <v>0.39400000000000002</v>
      </c>
      <c r="T626">
        <v>119.979</v>
      </c>
      <c r="U626">
        <v>4</v>
      </c>
      <c r="V626" t="s">
        <v>24</v>
      </c>
    </row>
    <row r="627" spans="3:22" x14ac:dyDescent="0.35">
      <c r="C627" t="s">
        <v>1882</v>
      </c>
      <c r="D627" t="s">
        <v>1883</v>
      </c>
      <c r="E627" t="s">
        <v>1884</v>
      </c>
      <c r="F627" t="s">
        <v>1884</v>
      </c>
      <c r="G627">
        <v>28</v>
      </c>
      <c r="H627">
        <v>230545</v>
      </c>
      <c r="I627" t="b">
        <v>0</v>
      </c>
      <c r="J627">
        <v>0.49199999999999999</v>
      </c>
      <c r="K627">
        <v>0.33</v>
      </c>
      <c r="L627">
        <v>4</v>
      </c>
      <c r="M627">
        <v>-8.9670000000000005</v>
      </c>
      <c r="N627">
        <v>1</v>
      </c>
      <c r="O627">
        <v>2.8500000000000001E-2</v>
      </c>
      <c r="P627">
        <v>0.26600000000000001</v>
      </c>
      <c r="Q627">
        <v>0</v>
      </c>
      <c r="R627">
        <v>0.29699999999999999</v>
      </c>
      <c r="S627">
        <v>0.109</v>
      </c>
      <c r="T627">
        <v>132.005</v>
      </c>
      <c r="U627">
        <v>4</v>
      </c>
      <c r="V627" t="s">
        <v>24</v>
      </c>
    </row>
    <row r="628" spans="3:22" x14ac:dyDescent="0.35">
      <c r="C628" t="s">
        <v>1885</v>
      </c>
      <c r="D628" t="s">
        <v>1886</v>
      </c>
      <c r="E628" t="s">
        <v>1887</v>
      </c>
      <c r="F628" t="s">
        <v>1888</v>
      </c>
      <c r="G628">
        <v>30</v>
      </c>
      <c r="H628">
        <v>163813</v>
      </c>
      <c r="I628" t="b">
        <v>0</v>
      </c>
      <c r="J628">
        <v>0.56999999999999995</v>
      </c>
      <c r="K628">
        <v>0.45400000000000001</v>
      </c>
      <c r="L628">
        <v>2</v>
      </c>
      <c r="M628">
        <v>-7.6130000000000004</v>
      </c>
      <c r="N628">
        <v>0</v>
      </c>
      <c r="O628">
        <v>9.8699999999999996E-2</v>
      </c>
      <c r="P628">
        <v>0.88100000000000001</v>
      </c>
      <c r="Q628">
        <v>0.88900000000000001</v>
      </c>
      <c r="R628">
        <v>9.8299999999999998E-2</v>
      </c>
      <c r="S628">
        <v>0.38100000000000001</v>
      </c>
      <c r="T628">
        <v>101.476</v>
      </c>
      <c r="U628">
        <v>4</v>
      </c>
      <c r="V628" t="s">
        <v>24</v>
      </c>
    </row>
    <row r="629" spans="3:22" x14ac:dyDescent="0.35">
      <c r="C629" t="s">
        <v>1889</v>
      </c>
      <c r="D629" t="s">
        <v>1890</v>
      </c>
      <c r="E629" t="s">
        <v>1891</v>
      </c>
      <c r="F629" t="s">
        <v>1892</v>
      </c>
      <c r="G629">
        <v>29</v>
      </c>
      <c r="H629">
        <v>212080</v>
      </c>
      <c r="I629" t="b">
        <v>0</v>
      </c>
      <c r="J629">
        <v>0.49399999999999999</v>
      </c>
      <c r="K629">
        <v>0.46500000000000002</v>
      </c>
      <c r="L629">
        <v>6</v>
      </c>
      <c r="M629">
        <v>-6.0949999999999998</v>
      </c>
      <c r="N629">
        <v>1</v>
      </c>
      <c r="O629">
        <v>2.7E-2</v>
      </c>
      <c r="P629">
        <v>0.70499999999999996</v>
      </c>
      <c r="Q629">
        <v>0</v>
      </c>
      <c r="R629">
        <v>6.93E-2</v>
      </c>
      <c r="S629">
        <v>0.27500000000000002</v>
      </c>
      <c r="T629">
        <v>132.501</v>
      </c>
      <c r="U629">
        <v>4</v>
      </c>
      <c r="V629" t="s">
        <v>24</v>
      </c>
    </row>
    <row r="630" spans="3:22" x14ac:dyDescent="0.35">
      <c r="C630" t="s">
        <v>1893</v>
      </c>
      <c r="D630" t="s">
        <v>1316</v>
      </c>
      <c r="E630" t="s">
        <v>1316</v>
      </c>
      <c r="F630" t="s">
        <v>1894</v>
      </c>
      <c r="G630">
        <v>48</v>
      </c>
      <c r="H630">
        <v>156773</v>
      </c>
      <c r="I630" t="b">
        <v>0</v>
      </c>
      <c r="J630">
        <v>0.74</v>
      </c>
      <c r="K630">
        <v>0.377</v>
      </c>
      <c r="L630">
        <v>2</v>
      </c>
      <c r="M630">
        <v>-10.013</v>
      </c>
      <c r="N630">
        <v>1</v>
      </c>
      <c r="O630">
        <v>5.8299999999999998E-2</v>
      </c>
      <c r="P630">
        <v>0.65</v>
      </c>
      <c r="Q630">
        <v>0</v>
      </c>
      <c r="R630">
        <v>0.17799999999999999</v>
      </c>
      <c r="S630">
        <v>0.40799999999999997</v>
      </c>
      <c r="T630">
        <v>78.988</v>
      </c>
      <c r="U630">
        <v>4</v>
      </c>
      <c r="V630" t="s">
        <v>24</v>
      </c>
    </row>
    <row r="631" spans="3:22" x14ac:dyDescent="0.35">
      <c r="C631" t="s">
        <v>1895</v>
      </c>
      <c r="D631" t="s">
        <v>1896</v>
      </c>
      <c r="E631" t="s">
        <v>1897</v>
      </c>
      <c r="F631" t="s">
        <v>1898</v>
      </c>
      <c r="G631">
        <v>52</v>
      </c>
      <c r="H631">
        <v>171486</v>
      </c>
      <c r="I631" t="b">
        <v>0</v>
      </c>
      <c r="J631">
        <v>0.49</v>
      </c>
      <c r="K631">
        <v>0.26300000000000001</v>
      </c>
      <c r="L631">
        <v>5</v>
      </c>
      <c r="M631">
        <v>-9.2479999999999993</v>
      </c>
      <c r="N631">
        <v>0</v>
      </c>
      <c r="O631">
        <v>4.6199999999999998E-2</v>
      </c>
      <c r="P631">
        <v>0.92</v>
      </c>
      <c r="Q631">
        <v>0</v>
      </c>
      <c r="R631">
        <v>0.10299999999999999</v>
      </c>
      <c r="S631">
        <v>0.36099999999999999</v>
      </c>
      <c r="T631">
        <v>73.834000000000003</v>
      </c>
      <c r="U631">
        <v>4</v>
      </c>
      <c r="V631" t="s">
        <v>24</v>
      </c>
    </row>
    <row r="632" spans="3:22" x14ac:dyDescent="0.35">
      <c r="C632" t="s">
        <v>1899</v>
      </c>
      <c r="D632" t="s">
        <v>1202</v>
      </c>
      <c r="E632" t="s">
        <v>1900</v>
      </c>
      <c r="F632" t="s">
        <v>1901</v>
      </c>
      <c r="G632">
        <v>28</v>
      </c>
      <c r="H632">
        <v>312133</v>
      </c>
      <c r="I632" t="b">
        <v>0</v>
      </c>
      <c r="J632">
        <v>0.46500000000000002</v>
      </c>
      <c r="K632">
        <v>0.21099999999999999</v>
      </c>
      <c r="L632">
        <v>7</v>
      </c>
      <c r="M632">
        <v>-14.143000000000001</v>
      </c>
      <c r="N632">
        <v>1</v>
      </c>
      <c r="O632">
        <v>3.8399999999999997E-2</v>
      </c>
      <c r="P632">
        <v>0.81200000000000006</v>
      </c>
      <c r="Q632">
        <v>1.99E-3</v>
      </c>
      <c r="R632">
        <v>0.10199999999999999</v>
      </c>
      <c r="S632">
        <v>0.25600000000000001</v>
      </c>
      <c r="T632">
        <v>83.257000000000005</v>
      </c>
      <c r="U632">
        <v>4</v>
      </c>
      <c r="V632" t="s">
        <v>24</v>
      </c>
    </row>
    <row r="633" spans="3:22" x14ac:dyDescent="0.35">
      <c r="C633" t="s">
        <v>1902</v>
      </c>
      <c r="D633" t="s">
        <v>408</v>
      </c>
      <c r="E633" t="s">
        <v>1903</v>
      </c>
      <c r="F633" t="s">
        <v>1903</v>
      </c>
      <c r="G633">
        <v>51</v>
      </c>
      <c r="H633">
        <v>248386</v>
      </c>
      <c r="I633" t="b">
        <v>0</v>
      </c>
      <c r="J633">
        <v>0.47699999999999998</v>
      </c>
      <c r="K633">
        <v>0.34</v>
      </c>
      <c r="L633">
        <v>0</v>
      </c>
      <c r="M633">
        <v>-11.666</v>
      </c>
      <c r="N633">
        <v>1</v>
      </c>
      <c r="O633">
        <v>3.1899999999999998E-2</v>
      </c>
      <c r="P633">
        <v>0.84899999999999998</v>
      </c>
      <c r="Q633">
        <v>4.8799999999999999E-4</v>
      </c>
      <c r="R633">
        <v>9.9199999999999997E-2</v>
      </c>
      <c r="S633">
        <v>0.26100000000000001</v>
      </c>
      <c r="T633">
        <v>173.86</v>
      </c>
      <c r="U633">
        <v>4</v>
      </c>
      <c r="V633" t="s">
        <v>24</v>
      </c>
    </row>
    <row r="634" spans="3:22" x14ac:dyDescent="0.35">
      <c r="C634" t="s">
        <v>1904</v>
      </c>
      <c r="D634" t="s">
        <v>408</v>
      </c>
      <c r="E634" t="s">
        <v>460</v>
      </c>
      <c r="F634" t="s">
        <v>1905</v>
      </c>
      <c r="G634">
        <v>53</v>
      </c>
      <c r="H634">
        <v>291386</v>
      </c>
      <c r="I634" t="b">
        <v>0</v>
      </c>
      <c r="J634">
        <v>0.41099999999999998</v>
      </c>
      <c r="K634">
        <v>0.191</v>
      </c>
      <c r="L634">
        <v>7</v>
      </c>
      <c r="M634">
        <v>-10.178000000000001</v>
      </c>
      <c r="N634">
        <v>1</v>
      </c>
      <c r="O634">
        <v>3.0800000000000001E-2</v>
      </c>
      <c r="P634">
        <v>0.91600000000000004</v>
      </c>
      <c r="Q634">
        <v>0</v>
      </c>
      <c r="R634">
        <v>0.1</v>
      </c>
      <c r="S634">
        <v>0.155</v>
      </c>
      <c r="T634">
        <v>74.92</v>
      </c>
      <c r="U634">
        <v>3</v>
      </c>
      <c r="V634" t="s">
        <v>24</v>
      </c>
    </row>
    <row r="635" spans="3:22" x14ac:dyDescent="0.35">
      <c r="C635" t="s">
        <v>1906</v>
      </c>
      <c r="D635" t="s">
        <v>418</v>
      </c>
      <c r="E635" t="s">
        <v>1310</v>
      </c>
      <c r="F635" t="s">
        <v>1907</v>
      </c>
      <c r="G635">
        <v>52</v>
      </c>
      <c r="H635">
        <v>254026</v>
      </c>
      <c r="I635" t="b">
        <v>0</v>
      </c>
      <c r="J635">
        <v>0.59199999999999997</v>
      </c>
      <c r="K635">
        <v>0.30399999999999999</v>
      </c>
      <c r="L635">
        <v>8</v>
      </c>
      <c r="M635">
        <v>-9.8330000000000002</v>
      </c>
      <c r="N635">
        <v>1</v>
      </c>
      <c r="O635">
        <v>2.98E-2</v>
      </c>
      <c r="P635">
        <v>0.56399999999999995</v>
      </c>
      <c r="Q635">
        <v>0</v>
      </c>
      <c r="R635">
        <v>0.107</v>
      </c>
      <c r="S635">
        <v>0.307</v>
      </c>
      <c r="T635">
        <v>114.72</v>
      </c>
      <c r="U635">
        <v>3</v>
      </c>
      <c r="V635" t="s">
        <v>24</v>
      </c>
    </row>
    <row r="636" spans="3:22" x14ac:dyDescent="0.35">
      <c r="C636" t="s">
        <v>1908</v>
      </c>
      <c r="D636" t="s">
        <v>408</v>
      </c>
      <c r="E636" t="s">
        <v>1909</v>
      </c>
      <c r="F636" t="s">
        <v>1909</v>
      </c>
      <c r="G636">
        <v>42</v>
      </c>
      <c r="H636">
        <v>236000</v>
      </c>
      <c r="I636" t="b">
        <v>0</v>
      </c>
      <c r="J636">
        <v>0.439</v>
      </c>
      <c r="K636">
        <v>0.29199999999999998</v>
      </c>
      <c r="L636">
        <v>0</v>
      </c>
      <c r="M636">
        <v>-10.92</v>
      </c>
      <c r="N636">
        <v>1</v>
      </c>
      <c r="O636">
        <v>3.0800000000000001E-2</v>
      </c>
      <c r="P636">
        <v>0.74399999999999999</v>
      </c>
      <c r="Q636" s="1" t="s">
        <v>1910</v>
      </c>
      <c r="R636">
        <v>9.8699999999999996E-2</v>
      </c>
      <c r="S636">
        <v>0.153</v>
      </c>
      <c r="T636">
        <v>82.221999999999994</v>
      </c>
      <c r="U636">
        <v>4</v>
      </c>
      <c r="V636" t="s">
        <v>24</v>
      </c>
    </row>
    <row r="637" spans="3:22" x14ac:dyDescent="0.35">
      <c r="C637" t="s">
        <v>1911</v>
      </c>
      <c r="D637" t="s">
        <v>894</v>
      </c>
      <c r="E637" t="s">
        <v>1912</v>
      </c>
      <c r="F637" t="s">
        <v>1913</v>
      </c>
      <c r="G637">
        <v>29</v>
      </c>
      <c r="H637">
        <v>133840</v>
      </c>
      <c r="I637" t="b">
        <v>0</v>
      </c>
      <c r="J637">
        <v>0.65900000000000003</v>
      </c>
      <c r="K637">
        <v>0.83</v>
      </c>
      <c r="L637">
        <v>5</v>
      </c>
      <c r="M637">
        <v>-4.6589999999999998</v>
      </c>
      <c r="N637">
        <v>1</v>
      </c>
      <c r="O637">
        <v>4.4499999999999998E-2</v>
      </c>
      <c r="P637">
        <v>0.58799999999999997</v>
      </c>
      <c r="Q637">
        <v>0</v>
      </c>
      <c r="R637">
        <v>0.111</v>
      </c>
      <c r="S637">
        <v>0.93700000000000006</v>
      </c>
      <c r="T637">
        <v>127.014</v>
      </c>
      <c r="U637">
        <v>4</v>
      </c>
      <c r="V637" t="s">
        <v>24</v>
      </c>
    </row>
    <row r="638" spans="3:22" x14ac:dyDescent="0.35">
      <c r="C638" t="s">
        <v>1914</v>
      </c>
      <c r="D638" t="s">
        <v>1202</v>
      </c>
      <c r="E638" t="s">
        <v>1211</v>
      </c>
      <c r="F638" t="s">
        <v>1211</v>
      </c>
      <c r="G638">
        <v>29</v>
      </c>
      <c r="H638">
        <v>229533</v>
      </c>
      <c r="I638" t="b">
        <v>0</v>
      </c>
      <c r="J638">
        <v>0.373</v>
      </c>
      <c r="K638">
        <v>0.71599999999999997</v>
      </c>
      <c r="L638">
        <v>5</v>
      </c>
      <c r="M638">
        <v>-7.3579999999999997</v>
      </c>
      <c r="N638">
        <v>1</v>
      </c>
      <c r="O638">
        <v>3.1300000000000001E-2</v>
      </c>
      <c r="P638">
        <v>8.2000000000000003E-2</v>
      </c>
      <c r="Q638">
        <v>2.3900000000000001E-4</v>
      </c>
      <c r="R638">
        <v>0.105</v>
      </c>
      <c r="S638">
        <v>0.374</v>
      </c>
      <c r="T638">
        <v>134.76400000000001</v>
      </c>
      <c r="U638">
        <v>4</v>
      </c>
      <c r="V638" t="s">
        <v>24</v>
      </c>
    </row>
    <row r="639" spans="3:22" x14ac:dyDescent="0.35">
      <c r="C639" t="s">
        <v>1915</v>
      </c>
      <c r="D639" t="s">
        <v>140</v>
      </c>
      <c r="E639" t="s">
        <v>1916</v>
      </c>
      <c r="F639" t="s">
        <v>1917</v>
      </c>
      <c r="G639">
        <v>60</v>
      </c>
      <c r="H639">
        <v>279373</v>
      </c>
      <c r="I639" t="b">
        <v>0</v>
      </c>
      <c r="J639">
        <v>0.23599999999999999</v>
      </c>
      <c r="K639">
        <v>0.57799999999999996</v>
      </c>
      <c r="L639">
        <v>7</v>
      </c>
      <c r="M639">
        <v>-5.4770000000000003</v>
      </c>
      <c r="N639">
        <v>1</v>
      </c>
      <c r="O639">
        <v>4.0399999999999998E-2</v>
      </c>
      <c r="P639">
        <v>0.32700000000000001</v>
      </c>
      <c r="Q639">
        <v>1.4999999999999999E-4</v>
      </c>
      <c r="R639">
        <v>0.20599999999999999</v>
      </c>
      <c r="S639">
        <v>0.22700000000000001</v>
      </c>
      <c r="T639">
        <v>75.367000000000004</v>
      </c>
      <c r="U639">
        <v>4</v>
      </c>
      <c r="V639" t="s">
        <v>24</v>
      </c>
    </row>
    <row r="640" spans="3:22" x14ac:dyDescent="0.35">
      <c r="C640" t="s">
        <v>1918</v>
      </c>
      <c r="D640" t="s">
        <v>149</v>
      </c>
      <c r="E640" t="s">
        <v>285</v>
      </c>
      <c r="F640" t="s">
        <v>1919</v>
      </c>
      <c r="G640">
        <v>51</v>
      </c>
      <c r="H640">
        <v>60306</v>
      </c>
      <c r="I640" t="b">
        <v>0</v>
      </c>
      <c r="J640">
        <v>0.33700000000000002</v>
      </c>
      <c r="K640">
        <v>0.28699999999999998</v>
      </c>
      <c r="L640">
        <v>0</v>
      </c>
      <c r="M640">
        <v>-15.051</v>
      </c>
      <c r="N640">
        <v>1</v>
      </c>
      <c r="O640">
        <v>3.32E-2</v>
      </c>
      <c r="P640">
        <v>0.89800000000000002</v>
      </c>
      <c r="Q640">
        <v>0.97799999999999998</v>
      </c>
      <c r="R640">
        <v>0.12</v>
      </c>
      <c r="S640">
        <v>0.39300000000000002</v>
      </c>
      <c r="T640">
        <v>107.03100000000001</v>
      </c>
      <c r="U640">
        <v>4</v>
      </c>
      <c r="V640" t="s">
        <v>24</v>
      </c>
    </row>
    <row r="641" spans="3:22" x14ac:dyDescent="0.35">
      <c r="C641" t="s">
        <v>1920</v>
      </c>
      <c r="D641" t="s">
        <v>1921</v>
      </c>
      <c r="E641" t="s">
        <v>1665</v>
      </c>
      <c r="F641" t="s">
        <v>1922</v>
      </c>
      <c r="G641">
        <v>28</v>
      </c>
      <c r="H641">
        <v>124742</v>
      </c>
      <c r="I641" t="b">
        <v>0</v>
      </c>
      <c r="J641">
        <v>0.46200000000000002</v>
      </c>
      <c r="K641">
        <v>0.42399999999999999</v>
      </c>
      <c r="L641">
        <v>5</v>
      </c>
      <c r="M641">
        <v>-7.0380000000000003</v>
      </c>
      <c r="N641">
        <v>0</v>
      </c>
      <c r="O641">
        <v>3.0099999999999998E-2</v>
      </c>
      <c r="P641">
        <v>0.88300000000000001</v>
      </c>
      <c r="Q641">
        <v>0</v>
      </c>
      <c r="R641">
        <v>0.14699999999999999</v>
      </c>
      <c r="S641">
        <v>0.56399999999999995</v>
      </c>
      <c r="T641">
        <v>97.674999999999997</v>
      </c>
      <c r="U641">
        <v>4</v>
      </c>
      <c r="V641" t="s">
        <v>24</v>
      </c>
    </row>
    <row r="642" spans="3:22" x14ac:dyDescent="0.35">
      <c r="C642" t="s">
        <v>1923</v>
      </c>
      <c r="D642" t="s">
        <v>1924</v>
      </c>
      <c r="E642" t="s">
        <v>1925</v>
      </c>
      <c r="F642" t="s">
        <v>1926</v>
      </c>
      <c r="G642">
        <v>27</v>
      </c>
      <c r="H642">
        <v>169000</v>
      </c>
      <c r="I642" t="b">
        <v>0</v>
      </c>
      <c r="J642">
        <v>0.51</v>
      </c>
      <c r="K642">
        <v>0.48499999999999999</v>
      </c>
      <c r="L642">
        <v>9</v>
      </c>
      <c r="M642">
        <v>-4.4320000000000004</v>
      </c>
      <c r="N642">
        <v>0</v>
      </c>
      <c r="O642">
        <v>3.3399999999999999E-2</v>
      </c>
      <c r="P642">
        <v>0.61199999999999999</v>
      </c>
      <c r="Q642" s="1" t="s">
        <v>1927</v>
      </c>
      <c r="R642">
        <v>0.126</v>
      </c>
      <c r="S642">
        <v>0.45100000000000001</v>
      </c>
      <c r="T642">
        <v>154.97</v>
      </c>
      <c r="U642">
        <v>4</v>
      </c>
      <c r="V642" t="s">
        <v>24</v>
      </c>
    </row>
    <row r="643" spans="3:22" x14ac:dyDescent="0.35">
      <c r="C643" t="s">
        <v>1928</v>
      </c>
      <c r="D643" t="s">
        <v>1929</v>
      </c>
      <c r="E643" t="s">
        <v>1930</v>
      </c>
      <c r="F643" t="s">
        <v>1931</v>
      </c>
      <c r="G643">
        <v>28</v>
      </c>
      <c r="H643">
        <v>196213</v>
      </c>
      <c r="I643" t="b">
        <v>0</v>
      </c>
      <c r="J643">
        <v>0.56000000000000005</v>
      </c>
      <c r="K643">
        <v>0.755</v>
      </c>
      <c r="L643">
        <v>1</v>
      </c>
      <c r="M643">
        <v>-3.923</v>
      </c>
      <c r="N643">
        <v>0</v>
      </c>
      <c r="O643">
        <v>2.7799999999999998E-2</v>
      </c>
      <c r="P643">
        <v>0.28599999999999998</v>
      </c>
      <c r="Q643">
        <v>4.9799999999999996E-4</v>
      </c>
      <c r="R643">
        <v>0.24299999999999999</v>
      </c>
      <c r="S643">
        <v>0.49099999999999999</v>
      </c>
      <c r="T643">
        <v>147.13800000000001</v>
      </c>
      <c r="U643">
        <v>4</v>
      </c>
      <c r="V643" t="s">
        <v>24</v>
      </c>
    </row>
    <row r="644" spans="3:22" x14ac:dyDescent="0.35">
      <c r="C644" t="s">
        <v>1932</v>
      </c>
      <c r="D644" t="s">
        <v>773</v>
      </c>
      <c r="E644" t="s">
        <v>1933</v>
      </c>
      <c r="F644" t="s">
        <v>1934</v>
      </c>
      <c r="G644">
        <v>58</v>
      </c>
      <c r="H644">
        <v>169997</v>
      </c>
      <c r="I644" t="b">
        <v>0</v>
      </c>
      <c r="J644">
        <v>0.71099999999999997</v>
      </c>
      <c r="K644">
        <v>0.48299999999999998</v>
      </c>
      <c r="L644">
        <v>11</v>
      </c>
      <c r="M644">
        <v>-11.211</v>
      </c>
      <c r="N644">
        <v>1</v>
      </c>
      <c r="O644">
        <v>2.98E-2</v>
      </c>
      <c r="P644">
        <v>0.434</v>
      </c>
      <c r="Q644">
        <v>1.2E-2</v>
      </c>
      <c r="R644">
        <v>2.8400000000000002E-2</v>
      </c>
      <c r="S644">
        <v>0.88400000000000001</v>
      </c>
      <c r="T644">
        <v>91.652000000000001</v>
      </c>
      <c r="U644">
        <v>4</v>
      </c>
      <c r="V644" t="s">
        <v>24</v>
      </c>
    </row>
    <row r="645" spans="3:22" x14ac:dyDescent="0.35">
      <c r="C645" t="s">
        <v>1935</v>
      </c>
      <c r="D645" t="s">
        <v>617</v>
      </c>
      <c r="E645" t="s">
        <v>618</v>
      </c>
      <c r="F645" t="s">
        <v>1936</v>
      </c>
      <c r="G645">
        <v>54</v>
      </c>
      <c r="H645">
        <v>120720</v>
      </c>
      <c r="I645" t="b">
        <v>0</v>
      </c>
      <c r="J645">
        <v>0.75900000000000001</v>
      </c>
      <c r="K645">
        <v>0.159</v>
      </c>
      <c r="L645">
        <v>11</v>
      </c>
      <c r="M645">
        <v>-13.035</v>
      </c>
      <c r="N645">
        <v>1</v>
      </c>
      <c r="O645">
        <v>4.53E-2</v>
      </c>
      <c r="P645">
        <v>0.95699999999999996</v>
      </c>
      <c r="Q645">
        <v>4.7199999999999998E-4</v>
      </c>
      <c r="R645">
        <v>0.10299999999999999</v>
      </c>
      <c r="S645">
        <v>0.32900000000000001</v>
      </c>
      <c r="T645">
        <v>115.94499999999999</v>
      </c>
      <c r="U645">
        <v>3</v>
      </c>
      <c r="V645" t="s">
        <v>24</v>
      </c>
    </row>
    <row r="646" spans="3:22" x14ac:dyDescent="0.35">
      <c r="C646" t="s">
        <v>1937</v>
      </c>
      <c r="D646" t="s">
        <v>1938</v>
      </c>
      <c r="E646" t="s">
        <v>1939</v>
      </c>
      <c r="F646" t="s">
        <v>1940</v>
      </c>
      <c r="G646">
        <v>28</v>
      </c>
      <c r="H646">
        <v>149274</v>
      </c>
      <c r="I646" t="b">
        <v>0</v>
      </c>
      <c r="J646">
        <v>0.38</v>
      </c>
      <c r="K646">
        <v>0.39600000000000002</v>
      </c>
      <c r="L646">
        <v>6</v>
      </c>
      <c r="M646">
        <v>-6.5069999999999997</v>
      </c>
      <c r="N646">
        <v>1</v>
      </c>
      <c r="O646">
        <v>3.6600000000000001E-2</v>
      </c>
      <c r="P646">
        <v>0.20200000000000001</v>
      </c>
      <c r="Q646">
        <v>0</v>
      </c>
      <c r="R646">
        <v>0.13300000000000001</v>
      </c>
      <c r="S646">
        <v>0.192</v>
      </c>
      <c r="T646">
        <v>103.621</v>
      </c>
      <c r="U646">
        <v>4</v>
      </c>
      <c r="V646" t="s">
        <v>24</v>
      </c>
    </row>
    <row r="647" spans="3:22" x14ac:dyDescent="0.35">
      <c r="C647" t="s">
        <v>1941</v>
      </c>
      <c r="D647" t="s">
        <v>755</v>
      </c>
      <c r="E647" t="s">
        <v>920</v>
      </c>
      <c r="F647" t="s">
        <v>1942</v>
      </c>
      <c r="G647">
        <v>29</v>
      </c>
      <c r="H647">
        <v>127033</v>
      </c>
      <c r="I647" t="b">
        <v>1</v>
      </c>
      <c r="J647">
        <v>0.59799999999999998</v>
      </c>
      <c r="K647">
        <v>0.59899999999999998</v>
      </c>
      <c r="L647">
        <v>3</v>
      </c>
      <c r="M647">
        <v>-10.265000000000001</v>
      </c>
      <c r="N647">
        <v>1</v>
      </c>
      <c r="O647">
        <v>8.2299999999999998E-2</v>
      </c>
      <c r="P647">
        <v>0.32600000000000001</v>
      </c>
      <c r="Q647" s="1" t="s">
        <v>1943</v>
      </c>
      <c r="R647">
        <v>0.11700000000000001</v>
      </c>
      <c r="S647">
        <v>0.94</v>
      </c>
      <c r="T647">
        <v>90.206000000000003</v>
      </c>
      <c r="U647">
        <v>4</v>
      </c>
      <c r="V647" t="s">
        <v>24</v>
      </c>
    </row>
    <row r="648" spans="3:22" x14ac:dyDescent="0.35">
      <c r="C648" t="s">
        <v>1944</v>
      </c>
      <c r="D648" t="s">
        <v>1921</v>
      </c>
      <c r="E648" t="s">
        <v>1665</v>
      </c>
      <c r="F648" t="s">
        <v>1945</v>
      </c>
      <c r="G648">
        <v>28</v>
      </c>
      <c r="H648">
        <v>169404</v>
      </c>
      <c r="I648" t="b">
        <v>0</v>
      </c>
      <c r="J648">
        <v>0.65100000000000002</v>
      </c>
      <c r="K648">
        <v>0.42499999999999999</v>
      </c>
      <c r="L648">
        <v>3</v>
      </c>
      <c r="M648">
        <v>-6.0019999999999998</v>
      </c>
      <c r="N648">
        <v>1</v>
      </c>
      <c r="O648">
        <v>3.09E-2</v>
      </c>
      <c r="P648">
        <v>0.879</v>
      </c>
      <c r="Q648" s="1" t="s">
        <v>1946</v>
      </c>
      <c r="R648">
        <v>0.156</v>
      </c>
      <c r="S648">
        <v>0.30199999999999999</v>
      </c>
      <c r="T648">
        <v>104.819</v>
      </c>
      <c r="U648">
        <v>4</v>
      </c>
      <c r="V648" t="s">
        <v>24</v>
      </c>
    </row>
    <row r="649" spans="3:22" x14ac:dyDescent="0.35">
      <c r="C649" t="s">
        <v>1947</v>
      </c>
      <c r="D649" t="s">
        <v>1069</v>
      </c>
      <c r="E649" t="s">
        <v>1070</v>
      </c>
      <c r="F649" t="s">
        <v>1948</v>
      </c>
      <c r="G649">
        <v>28</v>
      </c>
      <c r="H649">
        <v>202594</v>
      </c>
      <c r="I649" t="b">
        <v>0</v>
      </c>
      <c r="J649">
        <v>0.30599999999999999</v>
      </c>
      <c r="K649">
        <v>0.94799999999999995</v>
      </c>
      <c r="L649">
        <v>0</v>
      </c>
      <c r="M649">
        <v>-2.8769999999999998</v>
      </c>
      <c r="N649">
        <v>1</v>
      </c>
      <c r="O649">
        <v>9.8900000000000002E-2</v>
      </c>
      <c r="P649">
        <v>0.64</v>
      </c>
      <c r="Q649">
        <v>0</v>
      </c>
      <c r="R649">
        <v>0.35299999999999998</v>
      </c>
      <c r="S649">
        <v>0.90300000000000002</v>
      </c>
      <c r="T649">
        <v>135.76</v>
      </c>
      <c r="U649">
        <v>4</v>
      </c>
      <c r="V649" t="s">
        <v>24</v>
      </c>
    </row>
    <row r="650" spans="3:22" x14ac:dyDescent="0.35">
      <c r="C650" t="s">
        <v>1949</v>
      </c>
      <c r="D650" t="s">
        <v>1950</v>
      </c>
      <c r="E650" t="s">
        <v>1950</v>
      </c>
      <c r="F650" t="s">
        <v>1951</v>
      </c>
      <c r="G650">
        <v>28</v>
      </c>
      <c r="H650">
        <v>125100</v>
      </c>
      <c r="I650" t="b">
        <v>1</v>
      </c>
      <c r="J650">
        <v>0.46899999999999997</v>
      </c>
      <c r="K650">
        <v>0.45700000000000002</v>
      </c>
      <c r="L650">
        <v>5</v>
      </c>
      <c r="M650">
        <v>-10.102</v>
      </c>
      <c r="N650">
        <v>1</v>
      </c>
      <c r="O650">
        <v>4.1200000000000001E-2</v>
      </c>
      <c r="P650">
        <v>0.69199999999999995</v>
      </c>
      <c r="Q650">
        <v>0</v>
      </c>
      <c r="R650">
        <v>5.3100000000000001E-2</v>
      </c>
      <c r="S650">
        <v>0.89300000000000002</v>
      </c>
      <c r="T650">
        <v>84.063999999999993</v>
      </c>
      <c r="U650">
        <v>4</v>
      </c>
      <c r="V650" t="s">
        <v>24</v>
      </c>
    </row>
    <row r="651" spans="3:22" x14ac:dyDescent="0.35">
      <c r="C651" t="s">
        <v>1952</v>
      </c>
      <c r="D651" t="s">
        <v>1073</v>
      </c>
      <c r="E651" t="s">
        <v>1953</v>
      </c>
      <c r="F651" t="s">
        <v>1954</v>
      </c>
      <c r="G651">
        <v>28</v>
      </c>
      <c r="H651">
        <v>202400</v>
      </c>
      <c r="I651" t="b">
        <v>0</v>
      </c>
      <c r="J651">
        <v>0.442</v>
      </c>
      <c r="K651">
        <v>0.89800000000000002</v>
      </c>
      <c r="L651">
        <v>5</v>
      </c>
      <c r="M651">
        <v>-4.6619999999999999</v>
      </c>
      <c r="N651">
        <v>1</v>
      </c>
      <c r="O651">
        <v>6.13E-2</v>
      </c>
      <c r="P651">
        <v>1.5799999999999999E-4</v>
      </c>
      <c r="Q651" s="1" t="s">
        <v>1955</v>
      </c>
      <c r="R651">
        <v>0.1</v>
      </c>
      <c r="S651">
        <v>0.44600000000000001</v>
      </c>
      <c r="T651">
        <v>144.29900000000001</v>
      </c>
      <c r="U651">
        <v>4</v>
      </c>
      <c r="V651" t="s">
        <v>24</v>
      </c>
    </row>
    <row r="652" spans="3:22" x14ac:dyDescent="0.35">
      <c r="C652" t="s">
        <v>1956</v>
      </c>
      <c r="D652" t="s">
        <v>1093</v>
      </c>
      <c r="E652">
        <v>0</v>
      </c>
      <c r="F652" t="s">
        <v>1957</v>
      </c>
      <c r="G652">
        <v>52</v>
      </c>
      <c r="H652">
        <v>406103</v>
      </c>
      <c r="I652" t="b">
        <v>0</v>
      </c>
      <c r="J652">
        <v>0.59199999999999997</v>
      </c>
      <c r="K652">
        <v>8.3299999999999999E-2</v>
      </c>
      <c r="L652">
        <v>0</v>
      </c>
      <c r="M652">
        <v>-16.516999999999999</v>
      </c>
      <c r="N652">
        <v>0</v>
      </c>
      <c r="O652">
        <v>8.3500000000000005E-2</v>
      </c>
      <c r="P652">
        <v>0.94599999999999995</v>
      </c>
      <c r="Q652">
        <v>7.9100000000000004E-2</v>
      </c>
      <c r="R652">
        <v>9.4100000000000003E-2</v>
      </c>
      <c r="S652">
        <v>0.20499999999999999</v>
      </c>
      <c r="T652">
        <v>143.24299999999999</v>
      </c>
      <c r="U652">
        <v>4</v>
      </c>
      <c r="V652" t="s">
        <v>24</v>
      </c>
    </row>
    <row r="653" spans="3:22" x14ac:dyDescent="0.35">
      <c r="C653" t="s">
        <v>1958</v>
      </c>
      <c r="D653" t="s">
        <v>339</v>
      </c>
      <c r="E653" t="s">
        <v>1959</v>
      </c>
      <c r="F653" t="s">
        <v>1959</v>
      </c>
      <c r="G653">
        <v>46</v>
      </c>
      <c r="H653">
        <v>247805</v>
      </c>
      <c r="I653" t="b">
        <v>0</v>
      </c>
      <c r="J653">
        <v>0.69799999999999995</v>
      </c>
      <c r="K653">
        <v>0.38900000000000001</v>
      </c>
      <c r="L653">
        <v>2</v>
      </c>
      <c r="M653">
        <v>-6.2460000000000004</v>
      </c>
      <c r="N653">
        <v>0</v>
      </c>
      <c r="O653">
        <v>3.2099999999999997E-2</v>
      </c>
      <c r="P653">
        <v>0.88500000000000001</v>
      </c>
      <c r="Q653">
        <v>0</v>
      </c>
      <c r="R653">
        <v>0.13600000000000001</v>
      </c>
      <c r="S653">
        <v>0.70399999999999996</v>
      </c>
      <c r="T653">
        <v>76.897000000000006</v>
      </c>
      <c r="U653">
        <v>4</v>
      </c>
      <c r="V653" t="s">
        <v>24</v>
      </c>
    </row>
    <row r="654" spans="3:22" x14ac:dyDescent="0.35">
      <c r="C654" t="s">
        <v>1960</v>
      </c>
      <c r="D654" t="s">
        <v>199</v>
      </c>
      <c r="E654" t="s">
        <v>1961</v>
      </c>
      <c r="F654" t="s">
        <v>1961</v>
      </c>
      <c r="G654">
        <v>47</v>
      </c>
      <c r="H654">
        <v>191765</v>
      </c>
      <c r="I654" t="b">
        <v>0</v>
      </c>
      <c r="J654">
        <v>0.39600000000000002</v>
      </c>
      <c r="K654">
        <v>0.29299999999999998</v>
      </c>
      <c r="L654">
        <v>1</v>
      </c>
      <c r="M654">
        <v>-10.739000000000001</v>
      </c>
      <c r="N654">
        <v>0</v>
      </c>
      <c r="O654">
        <v>3.6700000000000003E-2</v>
      </c>
      <c r="P654">
        <v>0.73199999999999998</v>
      </c>
      <c r="Q654">
        <v>0.11600000000000001</v>
      </c>
      <c r="R654">
        <v>0.10199999999999999</v>
      </c>
      <c r="S654">
        <v>0.19900000000000001</v>
      </c>
      <c r="T654">
        <v>145.55600000000001</v>
      </c>
      <c r="U654">
        <v>3</v>
      </c>
      <c r="V654" t="s">
        <v>24</v>
      </c>
    </row>
    <row r="655" spans="3:22" x14ac:dyDescent="0.35">
      <c r="C655" t="s">
        <v>1962</v>
      </c>
      <c r="D655" t="s">
        <v>1963</v>
      </c>
      <c r="E655" t="s">
        <v>1964</v>
      </c>
      <c r="F655" t="s">
        <v>1965</v>
      </c>
      <c r="G655">
        <v>39</v>
      </c>
      <c r="H655">
        <v>192397</v>
      </c>
      <c r="I655" t="b">
        <v>0</v>
      </c>
      <c r="J655">
        <v>0.55900000000000005</v>
      </c>
      <c r="K655">
        <v>0.11799999999999999</v>
      </c>
      <c r="L655">
        <v>7</v>
      </c>
      <c r="M655">
        <v>-16.34</v>
      </c>
      <c r="N655">
        <v>1</v>
      </c>
      <c r="O655">
        <v>4.2099999999999999E-2</v>
      </c>
      <c r="P655">
        <v>0.97899999999999998</v>
      </c>
      <c r="Q655">
        <v>0.93500000000000005</v>
      </c>
      <c r="R655">
        <v>0.109</v>
      </c>
      <c r="S655">
        <v>0.28899999999999998</v>
      </c>
      <c r="T655">
        <v>97.1</v>
      </c>
      <c r="U655">
        <v>4</v>
      </c>
      <c r="V655" t="s">
        <v>24</v>
      </c>
    </row>
    <row r="656" spans="3:22" x14ac:dyDescent="0.35">
      <c r="C656" t="s">
        <v>1966</v>
      </c>
      <c r="D656" t="s">
        <v>34</v>
      </c>
      <c r="E656" t="s">
        <v>1967</v>
      </c>
      <c r="F656" t="s">
        <v>1967</v>
      </c>
      <c r="G656">
        <v>50</v>
      </c>
      <c r="H656">
        <v>154732</v>
      </c>
      <c r="I656" t="b">
        <v>0</v>
      </c>
      <c r="J656">
        <v>0.52</v>
      </c>
      <c r="K656">
        <v>0.17100000000000001</v>
      </c>
      <c r="L656">
        <v>1</v>
      </c>
      <c r="M656">
        <v>-14.5</v>
      </c>
      <c r="N656">
        <v>0</v>
      </c>
      <c r="O656">
        <v>4.2299999999999997E-2</v>
      </c>
      <c r="P656">
        <v>0.85299999999999998</v>
      </c>
      <c r="Q656">
        <v>0</v>
      </c>
      <c r="R656">
        <v>0.17399999999999999</v>
      </c>
      <c r="S656">
        <v>0.23</v>
      </c>
      <c r="T656">
        <v>123.565</v>
      </c>
      <c r="U656">
        <v>3</v>
      </c>
      <c r="V656" t="s">
        <v>24</v>
      </c>
    </row>
    <row r="657" spans="3:22" x14ac:dyDescent="0.35">
      <c r="C657" t="s">
        <v>1968</v>
      </c>
      <c r="D657" t="s">
        <v>413</v>
      </c>
      <c r="E657" t="s">
        <v>1969</v>
      </c>
      <c r="F657" t="s">
        <v>1970</v>
      </c>
      <c r="G657">
        <v>43</v>
      </c>
      <c r="H657">
        <v>215746</v>
      </c>
      <c r="I657" t="b">
        <v>0</v>
      </c>
      <c r="J657">
        <v>0.23100000000000001</v>
      </c>
      <c r="K657">
        <v>0.63600000000000001</v>
      </c>
      <c r="L657">
        <v>11</v>
      </c>
      <c r="M657">
        <v>-7.2569999999999997</v>
      </c>
      <c r="N657">
        <v>1</v>
      </c>
      <c r="O657">
        <v>3.39E-2</v>
      </c>
      <c r="P657">
        <v>4.0200000000000001E-3</v>
      </c>
      <c r="Q657">
        <v>0</v>
      </c>
      <c r="R657">
        <v>5.04E-2</v>
      </c>
      <c r="S657">
        <v>0.24399999999999999</v>
      </c>
      <c r="T657">
        <v>202.09800000000001</v>
      </c>
      <c r="U657">
        <v>3</v>
      </c>
      <c r="V657" t="s">
        <v>24</v>
      </c>
    </row>
    <row r="658" spans="3:22" x14ac:dyDescent="0.35">
      <c r="C658" t="s">
        <v>1971</v>
      </c>
      <c r="D658" t="s">
        <v>83</v>
      </c>
      <c r="E658" t="s">
        <v>93</v>
      </c>
      <c r="F658" t="s">
        <v>93</v>
      </c>
      <c r="G658">
        <v>30</v>
      </c>
      <c r="H658">
        <v>218590</v>
      </c>
      <c r="I658" t="b">
        <v>0</v>
      </c>
      <c r="J658">
        <v>0.80700000000000005</v>
      </c>
      <c r="K658">
        <v>4.5900000000000003E-2</v>
      </c>
      <c r="L658">
        <v>4</v>
      </c>
      <c r="M658">
        <v>-19.882999999999999</v>
      </c>
      <c r="N658">
        <v>1</v>
      </c>
      <c r="O658">
        <v>4.8099999999999997E-2</v>
      </c>
      <c r="P658">
        <v>0.85199999999999998</v>
      </c>
      <c r="Q658" s="1" t="s">
        <v>1972</v>
      </c>
      <c r="R658">
        <v>0.10199999999999999</v>
      </c>
      <c r="S658">
        <v>0.27500000000000002</v>
      </c>
      <c r="T658">
        <v>110.512</v>
      </c>
      <c r="U658">
        <v>4</v>
      </c>
      <c r="V658" t="s">
        <v>24</v>
      </c>
    </row>
    <row r="659" spans="3:22" x14ac:dyDescent="0.35">
      <c r="C659" t="s">
        <v>1973</v>
      </c>
      <c r="D659" t="s">
        <v>998</v>
      </c>
      <c r="E659" t="s">
        <v>1974</v>
      </c>
      <c r="F659" t="s">
        <v>1975</v>
      </c>
      <c r="G659">
        <v>53</v>
      </c>
      <c r="H659">
        <v>251960</v>
      </c>
      <c r="I659" t="b">
        <v>0</v>
      </c>
      <c r="J659">
        <v>0.61899999999999999</v>
      </c>
      <c r="K659">
        <v>0.29899999999999999</v>
      </c>
      <c r="L659">
        <v>2</v>
      </c>
      <c r="M659">
        <v>-7.7439999999999998</v>
      </c>
      <c r="N659">
        <v>1</v>
      </c>
      <c r="O659">
        <v>2.7900000000000001E-2</v>
      </c>
      <c r="P659">
        <v>0.84599999999999997</v>
      </c>
      <c r="Q659" s="1" t="s">
        <v>1976</v>
      </c>
      <c r="R659">
        <v>0.24299999999999999</v>
      </c>
      <c r="S659">
        <v>0.31</v>
      </c>
      <c r="T659">
        <v>115.405</v>
      </c>
      <c r="U659">
        <v>4</v>
      </c>
      <c r="V659" t="s">
        <v>24</v>
      </c>
    </row>
    <row r="660" spans="3:22" x14ac:dyDescent="0.35">
      <c r="C660" t="s">
        <v>1977</v>
      </c>
      <c r="D660" t="s">
        <v>255</v>
      </c>
      <c r="E660" t="s">
        <v>564</v>
      </c>
      <c r="F660" t="s">
        <v>564</v>
      </c>
      <c r="G660">
        <v>51</v>
      </c>
      <c r="H660">
        <v>165223</v>
      </c>
      <c r="I660" t="b">
        <v>0</v>
      </c>
      <c r="J660">
        <v>0.60499999999999998</v>
      </c>
      <c r="K660">
        <v>0.316</v>
      </c>
      <c r="L660">
        <v>0</v>
      </c>
      <c r="M660">
        <v>-8.9239999999999995</v>
      </c>
      <c r="N660">
        <v>1</v>
      </c>
      <c r="O660">
        <v>3.1899999999999998E-2</v>
      </c>
      <c r="P660">
        <v>0.86899999999999999</v>
      </c>
      <c r="Q660" s="1" t="s">
        <v>1978</v>
      </c>
      <c r="R660">
        <v>0.14000000000000001</v>
      </c>
      <c r="S660">
        <v>0.34399999999999997</v>
      </c>
      <c r="T660">
        <v>134.054</v>
      </c>
      <c r="U660">
        <v>3</v>
      </c>
      <c r="V660" t="s">
        <v>24</v>
      </c>
    </row>
    <row r="661" spans="3:22" x14ac:dyDescent="0.35">
      <c r="C661" t="s">
        <v>1979</v>
      </c>
      <c r="D661" t="s">
        <v>1980</v>
      </c>
      <c r="E661" t="s">
        <v>1981</v>
      </c>
      <c r="F661" t="s">
        <v>1982</v>
      </c>
      <c r="G661">
        <v>31</v>
      </c>
      <c r="H661">
        <v>228387</v>
      </c>
      <c r="I661" t="b">
        <v>0</v>
      </c>
      <c r="J661">
        <v>0.52900000000000003</v>
      </c>
      <c r="K661">
        <v>0.66300000000000003</v>
      </c>
      <c r="L661">
        <v>1</v>
      </c>
      <c r="M661">
        <v>-7.0359999999999996</v>
      </c>
      <c r="N661">
        <v>1</v>
      </c>
      <c r="O661">
        <v>2.5100000000000001E-2</v>
      </c>
      <c r="P661">
        <v>0.36799999999999999</v>
      </c>
      <c r="Q661">
        <v>2.2499999999999998E-3</v>
      </c>
      <c r="R661">
        <v>0.107</v>
      </c>
      <c r="S661">
        <v>0.223</v>
      </c>
      <c r="T661">
        <v>96.991</v>
      </c>
      <c r="U661">
        <v>4</v>
      </c>
      <c r="V661" t="s">
        <v>24</v>
      </c>
    </row>
    <row r="662" spans="3:22" x14ac:dyDescent="0.35">
      <c r="C662" t="s">
        <v>1983</v>
      </c>
      <c r="D662" t="s">
        <v>991</v>
      </c>
      <c r="E662" t="s">
        <v>1984</v>
      </c>
      <c r="F662" t="s">
        <v>1985</v>
      </c>
      <c r="G662">
        <v>29</v>
      </c>
      <c r="H662">
        <v>272320</v>
      </c>
      <c r="I662" t="b">
        <v>0</v>
      </c>
      <c r="J662">
        <v>0.45900000000000002</v>
      </c>
      <c r="K662">
        <v>0.56999999999999995</v>
      </c>
      <c r="L662">
        <v>4</v>
      </c>
      <c r="M662">
        <v>-5.6719999999999997</v>
      </c>
      <c r="N662">
        <v>1</v>
      </c>
      <c r="O662">
        <v>2.93E-2</v>
      </c>
      <c r="P662">
        <v>0.19900000000000001</v>
      </c>
      <c r="Q662">
        <v>0</v>
      </c>
      <c r="R662">
        <v>0.13700000000000001</v>
      </c>
      <c r="S662">
        <v>0.36099999999999999</v>
      </c>
      <c r="T662">
        <v>72.977999999999994</v>
      </c>
      <c r="U662">
        <v>4</v>
      </c>
      <c r="V662" t="s">
        <v>24</v>
      </c>
    </row>
    <row r="663" spans="3:22" x14ac:dyDescent="0.35">
      <c r="C663" t="s">
        <v>1986</v>
      </c>
      <c r="D663" t="s">
        <v>1987</v>
      </c>
      <c r="E663" t="s">
        <v>1988</v>
      </c>
      <c r="F663" t="s">
        <v>1989</v>
      </c>
      <c r="G663">
        <v>43</v>
      </c>
      <c r="H663">
        <v>235960</v>
      </c>
      <c r="I663" t="b">
        <v>0</v>
      </c>
      <c r="J663">
        <v>0.51500000000000001</v>
      </c>
      <c r="K663">
        <v>6.8599999999999994E-2</v>
      </c>
      <c r="L663">
        <v>0</v>
      </c>
      <c r="M663">
        <v>-17.61</v>
      </c>
      <c r="N663">
        <v>1</v>
      </c>
      <c r="O663">
        <v>4.0099999999999997E-2</v>
      </c>
      <c r="P663">
        <v>0.93600000000000005</v>
      </c>
      <c r="Q663">
        <v>1.2899999999999999E-4</v>
      </c>
      <c r="R663">
        <v>0.11700000000000001</v>
      </c>
      <c r="S663">
        <v>0.33</v>
      </c>
      <c r="T663">
        <v>113.185</v>
      </c>
      <c r="U663">
        <v>5</v>
      </c>
      <c r="V663" t="s">
        <v>24</v>
      </c>
    </row>
    <row r="664" spans="3:22" x14ac:dyDescent="0.35">
      <c r="C664" t="s">
        <v>1990</v>
      </c>
      <c r="D664" t="s">
        <v>1574</v>
      </c>
      <c r="E664" t="s">
        <v>499</v>
      </c>
      <c r="F664" t="s">
        <v>499</v>
      </c>
      <c r="G664">
        <v>55</v>
      </c>
      <c r="H664">
        <v>194129</v>
      </c>
      <c r="I664" t="b">
        <v>0</v>
      </c>
      <c r="J664">
        <v>0.46</v>
      </c>
      <c r="K664">
        <v>0.31900000000000001</v>
      </c>
      <c r="L664">
        <v>1</v>
      </c>
      <c r="M664">
        <v>-8.6210000000000004</v>
      </c>
      <c r="N664">
        <v>1</v>
      </c>
      <c r="O664">
        <v>3.56E-2</v>
      </c>
      <c r="P664">
        <v>0.86099999999999999</v>
      </c>
      <c r="Q664">
        <v>0</v>
      </c>
      <c r="R664">
        <v>0.11799999999999999</v>
      </c>
      <c r="S664">
        <v>0.32900000000000001</v>
      </c>
      <c r="T664">
        <v>145.76499999999999</v>
      </c>
      <c r="U664">
        <v>4</v>
      </c>
      <c r="V664" t="s">
        <v>24</v>
      </c>
    </row>
    <row r="665" spans="3:22" x14ac:dyDescent="0.35">
      <c r="C665" t="s">
        <v>1991</v>
      </c>
      <c r="D665" t="s">
        <v>21</v>
      </c>
      <c r="E665" t="s">
        <v>1992</v>
      </c>
      <c r="F665" t="s">
        <v>1992</v>
      </c>
      <c r="G665">
        <v>50</v>
      </c>
      <c r="H665">
        <v>225533</v>
      </c>
      <c r="I665" t="b">
        <v>0</v>
      </c>
      <c r="J665">
        <v>0.82899999999999996</v>
      </c>
      <c r="K665">
        <v>0.751</v>
      </c>
      <c r="L665">
        <v>11</v>
      </c>
      <c r="M665">
        <v>-4.9370000000000003</v>
      </c>
      <c r="N665">
        <v>0</v>
      </c>
      <c r="O665">
        <v>6.4500000000000002E-2</v>
      </c>
      <c r="P665">
        <v>1.4200000000000001E-2</v>
      </c>
      <c r="Q665">
        <v>1.4E-2</v>
      </c>
      <c r="R665">
        <v>4.1399999999999999E-2</v>
      </c>
      <c r="S665">
        <v>0.96</v>
      </c>
      <c r="T665">
        <v>129.99299999999999</v>
      </c>
      <c r="U665">
        <v>4</v>
      </c>
      <c r="V665" t="s">
        <v>24</v>
      </c>
    </row>
    <row r="666" spans="3:22" x14ac:dyDescent="0.35">
      <c r="C666" t="s">
        <v>1993</v>
      </c>
      <c r="D666" t="s">
        <v>991</v>
      </c>
      <c r="E666" t="s">
        <v>1994</v>
      </c>
      <c r="F666" t="s">
        <v>1994</v>
      </c>
      <c r="G666">
        <v>30</v>
      </c>
      <c r="H666">
        <v>326413</v>
      </c>
      <c r="I666" t="b">
        <v>0</v>
      </c>
      <c r="J666">
        <v>0.52400000000000002</v>
      </c>
      <c r="K666">
        <v>0.85199999999999998</v>
      </c>
      <c r="L666">
        <v>11</v>
      </c>
      <c r="M666">
        <v>-4.7080000000000002</v>
      </c>
      <c r="N666">
        <v>1</v>
      </c>
      <c r="O666">
        <v>2.98E-2</v>
      </c>
      <c r="P666">
        <v>1.5900000000000001E-2</v>
      </c>
      <c r="Q666" s="1" t="s">
        <v>1995</v>
      </c>
      <c r="R666">
        <v>0.112</v>
      </c>
      <c r="S666">
        <v>0.63500000000000001</v>
      </c>
      <c r="T666">
        <v>92.748000000000005</v>
      </c>
      <c r="U666">
        <v>4</v>
      </c>
      <c r="V666" t="s">
        <v>24</v>
      </c>
    </row>
    <row r="667" spans="3:22" x14ac:dyDescent="0.35">
      <c r="C667" t="s">
        <v>1996</v>
      </c>
      <c r="D667" t="s">
        <v>258</v>
      </c>
      <c r="E667" t="s">
        <v>1997</v>
      </c>
      <c r="F667" t="s">
        <v>1998</v>
      </c>
      <c r="G667">
        <v>46</v>
      </c>
      <c r="H667">
        <v>208226</v>
      </c>
      <c r="I667" t="b">
        <v>0</v>
      </c>
      <c r="J667">
        <v>0.626</v>
      </c>
      <c r="K667">
        <v>0.57499999999999996</v>
      </c>
      <c r="L667">
        <v>4</v>
      </c>
      <c r="M667">
        <v>-7.5069999999999997</v>
      </c>
      <c r="N667">
        <v>1</v>
      </c>
      <c r="O667">
        <v>5.3499999999999999E-2</v>
      </c>
      <c r="P667">
        <v>6.9400000000000003E-2</v>
      </c>
      <c r="Q667" s="1" t="s">
        <v>1999</v>
      </c>
      <c r="R667">
        <v>0.114</v>
      </c>
      <c r="S667">
        <v>0.222</v>
      </c>
      <c r="T667">
        <v>119.97</v>
      </c>
      <c r="U667">
        <v>4</v>
      </c>
      <c r="V667" t="s">
        <v>24</v>
      </c>
    </row>
    <row r="668" spans="3:22" x14ac:dyDescent="0.35">
      <c r="C668" t="s">
        <v>2000</v>
      </c>
      <c r="D668" t="s">
        <v>50</v>
      </c>
      <c r="E668" t="s">
        <v>275</v>
      </c>
      <c r="F668" t="s">
        <v>2001</v>
      </c>
      <c r="G668">
        <v>46</v>
      </c>
      <c r="H668">
        <v>148000</v>
      </c>
      <c r="I668" t="b">
        <v>0</v>
      </c>
      <c r="J668">
        <v>0.49099999999999999</v>
      </c>
      <c r="K668">
        <v>0.30399999999999999</v>
      </c>
      <c r="L668">
        <v>9</v>
      </c>
      <c r="M668">
        <v>-9.3789999999999996</v>
      </c>
      <c r="N668">
        <v>1</v>
      </c>
      <c r="O668">
        <v>2.9100000000000001E-2</v>
      </c>
      <c r="P668">
        <v>0.5</v>
      </c>
      <c r="Q668">
        <v>0</v>
      </c>
      <c r="R668">
        <v>9.7500000000000003E-2</v>
      </c>
      <c r="S668">
        <v>0.45900000000000002</v>
      </c>
      <c r="T668">
        <v>149.28800000000001</v>
      </c>
      <c r="U668">
        <v>4</v>
      </c>
      <c r="V668" t="s">
        <v>24</v>
      </c>
    </row>
    <row r="669" spans="3:22" x14ac:dyDescent="0.35">
      <c r="C669" t="s">
        <v>2002</v>
      </c>
      <c r="D669" t="s">
        <v>339</v>
      </c>
      <c r="E669" t="s">
        <v>2003</v>
      </c>
      <c r="F669" t="s">
        <v>2003</v>
      </c>
      <c r="G669">
        <v>52</v>
      </c>
      <c r="H669">
        <v>260040</v>
      </c>
      <c r="I669" t="b">
        <v>0</v>
      </c>
      <c r="J669">
        <v>0.58599999999999997</v>
      </c>
      <c r="K669">
        <v>0.51400000000000001</v>
      </c>
      <c r="L669">
        <v>2</v>
      </c>
      <c r="M669">
        <v>-6.2670000000000003</v>
      </c>
      <c r="N669">
        <v>1</v>
      </c>
      <c r="O669">
        <v>2.69E-2</v>
      </c>
      <c r="P669">
        <v>0.56000000000000005</v>
      </c>
      <c r="Q669">
        <v>3.4699999999999998E-4</v>
      </c>
      <c r="R669">
        <v>0.122</v>
      </c>
      <c r="S669">
        <v>0.27</v>
      </c>
      <c r="T669">
        <v>142.02099999999999</v>
      </c>
      <c r="U669">
        <v>4</v>
      </c>
      <c r="V669" t="s">
        <v>24</v>
      </c>
    </row>
    <row r="670" spans="3:22" x14ac:dyDescent="0.35">
      <c r="C670" t="s">
        <v>2004</v>
      </c>
      <c r="D670" t="s">
        <v>2005</v>
      </c>
      <c r="E670" t="s">
        <v>2006</v>
      </c>
      <c r="F670" t="s">
        <v>2007</v>
      </c>
      <c r="G670">
        <v>44</v>
      </c>
      <c r="H670">
        <v>101539</v>
      </c>
      <c r="I670" t="b">
        <v>0</v>
      </c>
      <c r="J670">
        <v>0.65300000000000002</v>
      </c>
      <c r="K670">
        <v>0.17399999999999999</v>
      </c>
      <c r="L670">
        <v>7</v>
      </c>
      <c r="M670">
        <v>-11.07</v>
      </c>
      <c r="N670">
        <v>1</v>
      </c>
      <c r="O670">
        <v>5.1999999999999998E-2</v>
      </c>
      <c r="P670">
        <v>0.99099999999999999</v>
      </c>
      <c r="Q670">
        <v>2.48E-3</v>
      </c>
      <c r="R670">
        <v>0.106</v>
      </c>
      <c r="S670">
        <v>0.61099999999999999</v>
      </c>
      <c r="T670">
        <v>138.98099999999999</v>
      </c>
      <c r="U670">
        <v>3</v>
      </c>
      <c r="V670" t="s">
        <v>24</v>
      </c>
    </row>
    <row r="671" spans="3:22" x14ac:dyDescent="0.35">
      <c r="C671" t="s">
        <v>2008</v>
      </c>
      <c r="D671" t="s">
        <v>1611</v>
      </c>
      <c r="E671" t="s">
        <v>940</v>
      </c>
      <c r="F671" t="s">
        <v>940</v>
      </c>
      <c r="G671">
        <v>51</v>
      </c>
      <c r="H671">
        <v>178666</v>
      </c>
      <c r="I671" t="b">
        <v>0</v>
      </c>
      <c r="J671">
        <v>0.55800000000000005</v>
      </c>
      <c r="K671">
        <v>0.17199999999999999</v>
      </c>
      <c r="L671">
        <v>8</v>
      </c>
      <c r="M671">
        <v>-13.379</v>
      </c>
      <c r="N671">
        <v>1</v>
      </c>
      <c r="O671">
        <v>5.1299999999999998E-2</v>
      </c>
      <c r="P671">
        <v>0.874</v>
      </c>
      <c r="Q671">
        <v>0</v>
      </c>
      <c r="R671">
        <v>0.1</v>
      </c>
      <c r="S671">
        <v>0.51800000000000002</v>
      </c>
      <c r="T671">
        <v>90.146000000000001</v>
      </c>
      <c r="U671">
        <v>4</v>
      </c>
      <c r="V671" t="s">
        <v>24</v>
      </c>
    </row>
    <row r="672" spans="3:22" x14ac:dyDescent="0.35">
      <c r="C672" t="s">
        <v>2009</v>
      </c>
      <c r="D672" t="s">
        <v>339</v>
      </c>
      <c r="E672" t="s">
        <v>2010</v>
      </c>
      <c r="F672" t="s">
        <v>2010</v>
      </c>
      <c r="G672">
        <v>53</v>
      </c>
      <c r="H672">
        <v>236800</v>
      </c>
      <c r="I672" t="b">
        <v>0</v>
      </c>
      <c r="J672">
        <v>0.45</v>
      </c>
      <c r="K672">
        <v>0.33500000000000002</v>
      </c>
      <c r="L672">
        <v>2</v>
      </c>
      <c r="M672">
        <v>-6.8330000000000002</v>
      </c>
      <c r="N672">
        <v>1</v>
      </c>
      <c r="O672">
        <v>3.0099999999999998E-2</v>
      </c>
      <c r="P672">
        <v>0.78800000000000003</v>
      </c>
      <c r="Q672" s="1" t="s">
        <v>2011</v>
      </c>
      <c r="R672">
        <v>0.115</v>
      </c>
      <c r="S672">
        <v>0.16600000000000001</v>
      </c>
      <c r="T672">
        <v>125.48399999999999</v>
      </c>
      <c r="U672">
        <v>4</v>
      </c>
      <c r="V672" t="s">
        <v>24</v>
      </c>
    </row>
    <row r="673" spans="3:22" x14ac:dyDescent="0.35">
      <c r="C673" t="s">
        <v>2012</v>
      </c>
      <c r="D673" t="s">
        <v>305</v>
      </c>
      <c r="E673" t="s">
        <v>305</v>
      </c>
      <c r="F673" t="s">
        <v>2013</v>
      </c>
      <c r="G673">
        <v>47</v>
      </c>
      <c r="H673">
        <v>149426</v>
      </c>
      <c r="I673" t="b">
        <v>0</v>
      </c>
      <c r="J673">
        <v>0.254</v>
      </c>
      <c r="K673">
        <v>0.34899999999999998</v>
      </c>
      <c r="L673">
        <v>4</v>
      </c>
      <c r="M673">
        <v>-10.02</v>
      </c>
      <c r="N673">
        <v>0</v>
      </c>
      <c r="O673">
        <v>3.7900000000000003E-2</v>
      </c>
      <c r="P673">
        <v>0.85</v>
      </c>
      <c r="Q673" s="1" t="s">
        <v>416</v>
      </c>
      <c r="R673">
        <v>0.23400000000000001</v>
      </c>
      <c r="S673">
        <v>0.30299999999999999</v>
      </c>
      <c r="T673">
        <v>170.214</v>
      </c>
      <c r="U673">
        <v>3</v>
      </c>
      <c r="V673" t="s">
        <v>24</v>
      </c>
    </row>
    <row r="674" spans="3:22" x14ac:dyDescent="0.35">
      <c r="C674" t="s">
        <v>2014</v>
      </c>
      <c r="D674" t="s">
        <v>2015</v>
      </c>
      <c r="E674" t="s">
        <v>2016</v>
      </c>
      <c r="F674" t="s">
        <v>2017</v>
      </c>
      <c r="G674">
        <v>48</v>
      </c>
      <c r="H674">
        <v>148127</v>
      </c>
      <c r="I674" t="b">
        <v>0</v>
      </c>
      <c r="J674">
        <v>0.625</v>
      </c>
      <c r="K674">
        <v>0.28499999999999998</v>
      </c>
      <c r="L674">
        <v>0</v>
      </c>
      <c r="M674">
        <v>-13.819000000000001</v>
      </c>
      <c r="N674">
        <v>1</v>
      </c>
      <c r="O674">
        <v>5.2400000000000002E-2</v>
      </c>
      <c r="P674">
        <v>0.89700000000000002</v>
      </c>
      <c r="Q674">
        <v>0.91</v>
      </c>
      <c r="R674">
        <v>0.108</v>
      </c>
      <c r="S674">
        <v>0.17299999999999999</v>
      </c>
      <c r="T674">
        <v>141.61099999999999</v>
      </c>
      <c r="U674">
        <v>4</v>
      </c>
      <c r="V674" t="s">
        <v>24</v>
      </c>
    </row>
    <row r="675" spans="3:22" x14ac:dyDescent="0.35">
      <c r="C675" t="s">
        <v>2018</v>
      </c>
      <c r="D675" t="s">
        <v>258</v>
      </c>
      <c r="E675" t="s">
        <v>2019</v>
      </c>
      <c r="F675" t="s">
        <v>2020</v>
      </c>
      <c r="G675">
        <v>56</v>
      </c>
      <c r="H675">
        <v>221413</v>
      </c>
      <c r="I675" t="b">
        <v>0</v>
      </c>
      <c r="J675">
        <v>0.51800000000000002</v>
      </c>
      <c r="K675">
        <v>0.82799999999999996</v>
      </c>
      <c r="L675">
        <v>8</v>
      </c>
      <c r="M675">
        <v>-5.7249999999999996</v>
      </c>
      <c r="N675">
        <v>1</v>
      </c>
      <c r="O675">
        <v>0.04</v>
      </c>
      <c r="P675">
        <v>0.03</v>
      </c>
      <c r="Q675" s="1" t="s">
        <v>2021</v>
      </c>
      <c r="R675">
        <v>4.5600000000000002E-2</v>
      </c>
      <c r="S675">
        <v>0.69</v>
      </c>
      <c r="T675">
        <v>84.834999999999994</v>
      </c>
      <c r="U675">
        <v>4</v>
      </c>
      <c r="V675" t="s">
        <v>24</v>
      </c>
    </row>
    <row r="676" spans="3:22" x14ac:dyDescent="0.35">
      <c r="C676" t="s">
        <v>2022</v>
      </c>
      <c r="D676" t="s">
        <v>50</v>
      </c>
      <c r="E676" t="s">
        <v>64</v>
      </c>
      <c r="F676" t="s">
        <v>2023</v>
      </c>
      <c r="G676">
        <v>48</v>
      </c>
      <c r="H676">
        <v>190751</v>
      </c>
      <c r="I676" t="b">
        <v>0</v>
      </c>
      <c r="J676">
        <v>0.59099999999999997</v>
      </c>
      <c r="K676">
        <v>0.64700000000000002</v>
      </c>
      <c r="L676">
        <v>4</v>
      </c>
      <c r="M676">
        <v>-8.34</v>
      </c>
      <c r="N676">
        <v>1</v>
      </c>
      <c r="O676">
        <v>2.7699999999999999E-2</v>
      </c>
      <c r="P676">
        <v>6.7000000000000004E-2</v>
      </c>
      <c r="Q676" s="1" t="s">
        <v>2024</v>
      </c>
      <c r="R676">
        <v>0.23100000000000001</v>
      </c>
      <c r="S676">
        <v>0.67800000000000005</v>
      </c>
      <c r="T676">
        <v>79.680000000000007</v>
      </c>
      <c r="U676">
        <v>4</v>
      </c>
      <c r="V676" t="s">
        <v>24</v>
      </c>
    </row>
    <row r="677" spans="3:22" x14ac:dyDescent="0.35">
      <c r="C677" t="s">
        <v>2025</v>
      </c>
      <c r="D677" t="s">
        <v>2026</v>
      </c>
      <c r="E677" t="s">
        <v>2027</v>
      </c>
      <c r="F677" t="s">
        <v>2028</v>
      </c>
      <c r="G677">
        <v>47</v>
      </c>
      <c r="H677">
        <v>234600</v>
      </c>
      <c r="I677" t="b">
        <v>0</v>
      </c>
      <c r="J677">
        <v>0.60899999999999999</v>
      </c>
      <c r="K677">
        <v>0.53</v>
      </c>
      <c r="L677">
        <v>3</v>
      </c>
      <c r="M677">
        <v>-5.4649999999999999</v>
      </c>
      <c r="N677">
        <v>0</v>
      </c>
      <c r="O677">
        <v>6.4799999999999996E-2</v>
      </c>
      <c r="P677">
        <v>0.84</v>
      </c>
      <c r="Q677" s="1" t="s">
        <v>2029</v>
      </c>
      <c r="R677">
        <v>0.13300000000000001</v>
      </c>
      <c r="S677">
        <v>0.91900000000000004</v>
      </c>
      <c r="T677">
        <v>150.405</v>
      </c>
      <c r="U677">
        <v>4</v>
      </c>
      <c r="V677" t="s">
        <v>24</v>
      </c>
    </row>
    <row r="678" spans="3:22" x14ac:dyDescent="0.35">
      <c r="C678" t="s">
        <v>2030</v>
      </c>
      <c r="D678" t="s">
        <v>991</v>
      </c>
      <c r="E678" t="s">
        <v>2031</v>
      </c>
      <c r="F678" t="s">
        <v>2032</v>
      </c>
      <c r="G678">
        <v>29</v>
      </c>
      <c r="H678">
        <v>330026</v>
      </c>
      <c r="I678" t="b">
        <v>0</v>
      </c>
      <c r="J678">
        <v>0.52400000000000002</v>
      </c>
      <c r="K678">
        <v>0.79700000000000004</v>
      </c>
      <c r="L678">
        <v>7</v>
      </c>
      <c r="M678">
        <v>-6.6109999999999998</v>
      </c>
      <c r="N678">
        <v>1</v>
      </c>
      <c r="O678">
        <v>2.98E-2</v>
      </c>
      <c r="P678">
        <v>5.67E-2</v>
      </c>
      <c r="Q678">
        <v>0</v>
      </c>
      <c r="R678">
        <v>7.9600000000000004E-2</v>
      </c>
      <c r="S678">
        <v>0.76600000000000001</v>
      </c>
      <c r="T678">
        <v>105.901</v>
      </c>
      <c r="U678">
        <v>4</v>
      </c>
      <c r="V678" t="s">
        <v>24</v>
      </c>
    </row>
    <row r="679" spans="3:22" x14ac:dyDescent="0.35">
      <c r="C679" t="s">
        <v>2033</v>
      </c>
      <c r="D679" t="s">
        <v>1489</v>
      </c>
      <c r="E679" t="s">
        <v>1490</v>
      </c>
      <c r="F679" t="s">
        <v>2034</v>
      </c>
      <c r="G679">
        <v>28</v>
      </c>
      <c r="H679">
        <v>181466</v>
      </c>
      <c r="I679" t="b">
        <v>0</v>
      </c>
      <c r="J679">
        <v>0.71</v>
      </c>
      <c r="K679">
        <v>0.64600000000000002</v>
      </c>
      <c r="L679">
        <v>3</v>
      </c>
      <c r="M679">
        <v>-5.9450000000000003</v>
      </c>
      <c r="N679">
        <v>1</v>
      </c>
      <c r="O679">
        <v>3.1300000000000001E-2</v>
      </c>
      <c r="P679">
        <v>0.78900000000000003</v>
      </c>
      <c r="Q679" s="1" t="s">
        <v>2035</v>
      </c>
      <c r="R679">
        <v>0.106</v>
      </c>
      <c r="S679">
        <v>0.61499999999999999</v>
      </c>
      <c r="T679">
        <v>120.02800000000001</v>
      </c>
      <c r="U679">
        <v>4</v>
      </c>
      <c r="V679" t="s">
        <v>24</v>
      </c>
    </row>
    <row r="680" spans="3:22" x14ac:dyDescent="0.35">
      <c r="C680" t="s">
        <v>2036</v>
      </c>
      <c r="D680" t="s">
        <v>347</v>
      </c>
      <c r="E680" t="s">
        <v>2037</v>
      </c>
      <c r="F680" t="s">
        <v>2037</v>
      </c>
      <c r="G680">
        <v>28</v>
      </c>
      <c r="H680">
        <v>217466</v>
      </c>
      <c r="I680" t="b">
        <v>0</v>
      </c>
      <c r="J680">
        <v>0.57799999999999996</v>
      </c>
      <c r="K680">
        <v>0.63600000000000001</v>
      </c>
      <c r="L680">
        <v>2</v>
      </c>
      <c r="M680">
        <v>-5.5060000000000002</v>
      </c>
      <c r="N680">
        <v>1</v>
      </c>
      <c r="O680">
        <v>3.4200000000000001E-2</v>
      </c>
      <c r="P680">
        <v>8.7400000000000005E-2</v>
      </c>
      <c r="Q680">
        <v>0</v>
      </c>
      <c r="R680">
        <v>0.124</v>
      </c>
      <c r="S680">
        <v>0.55600000000000005</v>
      </c>
      <c r="T680">
        <v>124.9</v>
      </c>
      <c r="U680">
        <v>4</v>
      </c>
      <c r="V680" t="s">
        <v>24</v>
      </c>
    </row>
    <row r="681" spans="3:22" x14ac:dyDescent="0.35">
      <c r="C681" t="s">
        <v>2038</v>
      </c>
      <c r="D681" t="s">
        <v>135</v>
      </c>
      <c r="E681" t="s">
        <v>450</v>
      </c>
      <c r="F681" t="s">
        <v>2039</v>
      </c>
      <c r="G681">
        <v>67</v>
      </c>
      <c r="H681">
        <v>172373</v>
      </c>
      <c r="I681" t="b">
        <v>0</v>
      </c>
      <c r="J681">
        <v>0.748</v>
      </c>
      <c r="K681">
        <v>0.78600000000000003</v>
      </c>
      <c r="L681">
        <v>4</v>
      </c>
      <c r="M681">
        <v>-7.7880000000000003</v>
      </c>
      <c r="N681">
        <v>0</v>
      </c>
      <c r="O681">
        <v>6.4100000000000004E-2</v>
      </c>
      <c r="P681">
        <v>0.32800000000000001</v>
      </c>
      <c r="Q681">
        <v>0</v>
      </c>
      <c r="R681">
        <v>0.34</v>
      </c>
      <c r="S681">
        <v>0.91700000000000004</v>
      </c>
      <c r="T681">
        <v>104.833</v>
      </c>
      <c r="U681">
        <v>4</v>
      </c>
      <c r="V681" t="s">
        <v>24</v>
      </c>
    </row>
    <row r="682" spans="3:22" x14ac:dyDescent="0.35">
      <c r="C682" t="s">
        <v>2040</v>
      </c>
      <c r="D682" t="s">
        <v>2041</v>
      </c>
      <c r="E682" t="s">
        <v>2042</v>
      </c>
      <c r="F682" t="s">
        <v>2043</v>
      </c>
      <c r="G682">
        <v>29</v>
      </c>
      <c r="H682">
        <v>279068</v>
      </c>
      <c r="I682" t="b">
        <v>0</v>
      </c>
      <c r="J682">
        <v>0.39900000000000002</v>
      </c>
      <c r="K682">
        <v>0.46100000000000002</v>
      </c>
      <c r="L682">
        <v>3</v>
      </c>
      <c r="M682">
        <v>-10.694000000000001</v>
      </c>
      <c r="N682">
        <v>1</v>
      </c>
      <c r="O682">
        <v>4.1099999999999998E-2</v>
      </c>
      <c r="P682">
        <v>0.157</v>
      </c>
      <c r="Q682" s="1" t="s">
        <v>2044</v>
      </c>
      <c r="R682">
        <v>0.11600000000000001</v>
      </c>
      <c r="S682">
        <v>0.20499999999999999</v>
      </c>
      <c r="T682">
        <v>96.590999999999994</v>
      </c>
      <c r="U682">
        <v>4</v>
      </c>
      <c r="V682" t="s">
        <v>24</v>
      </c>
    </row>
    <row r="683" spans="3:22" x14ac:dyDescent="0.35">
      <c r="C683" t="s">
        <v>2045</v>
      </c>
      <c r="D683" t="s">
        <v>2046</v>
      </c>
      <c r="E683" t="s">
        <v>2047</v>
      </c>
      <c r="F683" t="s">
        <v>2048</v>
      </c>
      <c r="G683">
        <v>56</v>
      </c>
      <c r="H683">
        <v>146360</v>
      </c>
      <c r="I683" t="b">
        <v>0</v>
      </c>
      <c r="J683">
        <v>0.625</v>
      </c>
      <c r="K683">
        <v>0.81</v>
      </c>
      <c r="L683">
        <v>10</v>
      </c>
      <c r="M683">
        <v>-5.9950000000000001</v>
      </c>
      <c r="N683">
        <v>1</v>
      </c>
      <c r="O683">
        <v>3.3000000000000002E-2</v>
      </c>
      <c r="P683">
        <v>0.14599999999999999</v>
      </c>
      <c r="Q683" s="1" t="s">
        <v>2049</v>
      </c>
      <c r="R683">
        <v>0.13500000000000001</v>
      </c>
      <c r="S683">
        <v>0.74099999999999999</v>
      </c>
      <c r="T683">
        <v>104.066</v>
      </c>
      <c r="U683">
        <v>4</v>
      </c>
      <c r="V683" t="s">
        <v>24</v>
      </c>
    </row>
    <row r="684" spans="3:22" x14ac:dyDescent="0.35">
      <c r="C684" t="s">
        <v>2050</v>
      </c>
      <c r="D684" t="s">
        <v>622</v>
      </c>
      <c r="E684" t="s">
        <v>2051</v>
      </c>
      <c r="F684" t="s">
        <v>2052</v>
      </c>
      <c r="G684">
        <v>54</v>
      </c>
      <c r="H684">
        <v>253333</v>
      </c>
      <c r="I684" t="b">
        <v>0</v>
      </c>
      <c r="J684">
        <v>0.64</v>
      </c>
      <c r="K684">
        <v>0.496</v>
      </c>
      <c r="L684">
        <v>2</v>
      </c>
      <c r="M684">
        <v>-11.124000000000001</v>
      </c>
      <c r="N684">
        <v>1</v>
      </c>
      <c r="O684">
        <v>4.1300000000000003E-2</v>
      </c>
      <c r="P684">
        <v>0.61599999999999999</v>
      </c>
      <c r="Q684" s="1" t="s">
        <v>2053</v>
      </c>
      <c r="R684">
        <v>0.183</v>
      </c>
      <c r="S684">
        <v>0.95399999999999996</v>
      </c>
      <c r="T684">
        <v>116.63200000000001</v>
      </c>
      <c r="U684">
        <v>4</v>
      </c>
      <c r="V684" t="s">
        <v>24</v>
      </c>
    </row>
    <row r="685" spans="3:22" x14ac:dyDescent="0.35">
      <c r="C685" t="s">
        <v>2054</v>
      </c>
      <c r="D685" t="s">
        <v>408</v>
      </c>
      <c r="E685" t="s">
        <v>1909</v>
      </c>
      <c r="F685" t="s">
        <v>2055</v>
      </c>
      <c r="G685">
        <v>25</v>
      </c>
      <c r="H685">
        <v>236000</v>
      </c>
      <c r="I685" t="b">
        <v>0</v>
      </c>
      <c r="J685">
        <v>0.44600000000000001</v>
      </c>
      <c r="K685">
        <v>0.14199999999999999</v>
      </c>
      <c r="L685">
        <v>0</v>
      </c>
      <c r="M685">
        <v>-12.119</v>
      </c>
      <c r="N685">
        <v>1</v>
      </c>
      <c r="O685">
        <v>3.73E-2</v>
      </c>
      <c r="P685">
        <v>0.91</v>
      </c>
      <c r="Q685" s="1" t="s">
        <v>2056</v>
      </c>
      <c r="R685">
        <v>9.4299999999999995E-2</v>
      </c>
      <c r="S685">
        <v>0.192</v>
      </c>
      <c r="T685">
        <v>115.911</v>
      </c>
      <c r="U685">
        <v>3</v>
      </c>
      <c r="V685" t="s">
        <v>24</v>
      </c>
    </row>
    <row r="686" spans="3:22" x14ac:dyDescent="0.35">
      <c r="C686" t="s">
        <v>2057</v>
      </c>
      <c r="D686" t="s">
        <v>418</v>
      </c>
      <c r="E686" t="s">
        <v>419</v>
      </c>
      <c r="F686" t="s">
        <v>2058</v>
      </c>
      <c r="G686">
        <v>49</v>
      </c>
      <c r="H686">
        <v>226826</v>
      </c>
      <c r="I686" t="b">
        <v>0</v>
      </c>
      <c r="J686">
        <v>0.44400000000000001</v>
      </c>
      <c r="K686">
        <v>0.77100000000000002</v>
      </c>
      <c r="L686">
        <v>0</v>
      </c>
      <c r="M686">
        <v>-4.6070000000000002</v>
      </c>
      <c r="N686">
        <v>1</v>
      </c>
      <c r="O686">
        <v>4.8500000000000001E-2</v>
      </c>
      <c r="P686">
        <v>0.13</v>
      </c>
      <c r="Q686">
        <v>0</v>
      </c>
      <c r="R686">
        <v>0.27300000000000002</v>
      </c>
      <c r="S686">
        <v>0.45</v>
      </c>
      <c r="T686">
        <v>148.02799999999999</v>
      </c>
      <c r="U686">
        <v>4</v>
      </c>
      <c r="V686" t="s">
        <v>24</v>
      </c>
    </row>
    <row r="687" spans="3:22" x14ac:dyDescent="0.35">
      <c r="C687" t="s">
        <v>2059</v>
      </c>
      <c r="D687" t="s">
        <v>755</v>
      </c>
      <c r="E687" t="s">
        <v>1513</v>
      </c>
      <c r="F687" t="s">
        <v>2060</v>
      </c>
      <c r="G687">
        <v>28</v>
      </c>
      <c r="H687">
        <v>269139</v>
      </c>
      <c r="I687" t="b">
        <v>0</v>
      </c>
      <c r="J687">
        <v>0.40799999999999997</v>
      </c>
      <c r="K687">
        <v>0.68500000000000005</v>
      </c>
      <c r="L687">
        <v>9</v>
      </c>
      <c r="M687">
        <v>-10.773</v>
      </c>
      <c r="N687">
        <v>0</v>
      </c>
      <c r="O687">
        <v>7.5399999999999995E-2</v>
      </c>
      <c r="P687">
        <v>0.84</v>
      </c>
      <c r="Q687">
        <v>1.3299999999999999E-2</v>
      </c>
      <c r="R687">
        <v>0.61399999999999999</v>
      </c>
      <c r="S687">
        <v>0.90500000000000003</v>
      </c>
      <c r="T687">
        <v>159.83099999999999</v>
      </c>
      <c r="U687">
        <v>4</v>
      </c>
      <c r="V687" t="s">
        <v>24</v>
      </c>
    </row>
    <row r="688" spans="3:22" x14ac:dyDescent="0.35">
      <c r="C688" t="s">
        <v>2061</v>
      </c>
      <c r="D688" t="s">
        <v>1073</v>
      </c>
      <c r="E688" t="s">
        <v>2062</v>
      </c>
      <c r="F688" t="s">
        <v>2063</v>
      </c>
      <c r="G688">
        <v>28</v>
      </c>
      <c r="H688">
        <v>288133</v>
      </c>
      <c r="I688" t="b">
        <v>0</v>
      </c>
      <c r="J688">
        <v>0.65800000000000003</v>
      </c>
      <c r="K688">
        <v>0.67800000000000005</v>
      </c>
      <c r="L688">
        <v>4</v>
      </c>
      <c r="M688">
        <v>-6.8070000000000004</v>
      </c>
      <c r="N688">
        <v>1</v>
      </c>
      <c r="O688">
        <v>2.8400000000000002E-2</v>
      </c>
      <c r="P688">
        <v>8.9700000000000005E-3</v>
      </c>
      <c r="Q688">
        <v>0</v>
      </c>
      <c r="R688">
        <v>9.1399999999999995E-2</v>
      </c>
      <c r="S688">
        <v>0.63</v>
      </c>
      <c r="T688">
        <v>131.976</v>
      </c>
      <c r="U688">
        <v>4</v>
      </c>
      <c r="V688" t="s">
        <v>24</v>
      </c>
    </row>
    <row r="689" spans="3:22" x14ac:dyDescent="0.35">
      <c r="C689" t="s">
        <v>2064</v>
      </c>
      <c r="D689" t="s">
        <v>135</v>
      </c>
      <c r="E689" t="s">
        <v>450</v>
      </c>
      <c r="F689" t="s">
        <v>2065</v>
      </c>
      <c r="G689">
        <v>29</v>
      </c>
      <c r="H689">
        <v>214560</v>
      </c>
      <c r="I689" t="b">
        <v>0</v>
      </c>
      <c r="J689">
        <v>0.42699999999999999</v>
      </c>
      <c r="K689">
        <v>0.69499999999999995</v>
      </c>
      <c r="L689">
        <v>2</v>
      </c>
      <c r="M689">
        <v>-5.3780000000000001</v>
      </c>
      <c r="N689">
        <v>1</v>
      </c>
      <c r="O689">
        <v>3.4299999999999997E-2</v>
      </c>
      <c r="P689">
        <v>0.48699999999999999</v>
      </c>
      <c r="Q689">
        <v>0</v>
      </c>
      <c r="R689">
        <v>8.3599999999999994E-2</v>
      </c>
      <c r="S689">
        <v>0.36799999999999999</v>
      </c>
      <c r="T689">
        <v>160.142</v>
      </c>
      <c r="U689">
        <v>4</v>
      </c>
      <c r="V689" t="s">
        <v>24</v>
      </c>
    </row>
    <row r="690" spans="3:22" x14ac:dyDescent="0.35">
      <c r="C690" t="s">
        <v>2066</v>
      </c>
      <c r="D690" t="s">
        <v>149</v>
      </c>
      <c r="E690" t="s">
        <v>285</v>
      </c>
      <c r="F690" t="s">
        <v>2067</v>
      </c>
      <c r="G690">
        <v>53</v>
      </c>
      <c r="H690">
        <v>97866</v>
      </c>
      <c r="I690" t="b">
        <v>0</v>
      </c>
      <c r="J690">
        <v>0.54900000000000004</v>
      </c>
      <c r="K690">
        <v>0.78</v>
      </c>
      <c r="L690">
        <v>2</v>
      </c>
      <c r="M690">
        <v>-5.08</v>
      </c>
      <c r="N690">
        <v>1</v>
      </c>
      <c r="O690">
        <v>2.9100000000000001E-2</v>
      </c>
      <c r="P690">
        <v>1.1599999999999999E-2</v>
      </c>
      <c r="Q690">
        <v>0</v>
      </c>
      <c r="R690">
        <v>0.19500000000000001</v>
      </c>
      <c r="S690">
        <v>0.80400000000000005</v>
      </c>
      <c r="T690">
        <v>119.369</v>
      </c>
      <c r="U690">
        <v>4</v>
      </c>
      <c r="V690" t="s">
        <v>24</v>
      </c>
    </row>
    <row r="691" spans="3:22" x14ac:dyDescent="0.35">
      <c r="C691" t="s">
        <v>2068</v>
      </c>
      <c r="D691" t="s">
        <v>1073</v>
      </c>
      <c r="E691" t="s">
        <v>2062</v>
      </c>
      <c r="F691" t="s">
        <v>2069</v>
      </c>
      <c r="G691">
        <v>28</v>
      </c>
      <c r="H691">
        <v>94466</v>
      </c>
      <c r="I691" t="b">
        <v>0</v>
      </c>
      <c r="J691">
        <v>0.28399999999999997</v>
      </c>
      <c r="K691">
        <v>0.108</v>
      </c>
      <c r="L691">
        <v>7</v>
      </c>
      <c r="M691">
        <v>-9.3520000000000003</v>
      </c>
      <c r="N691">
        <v>1</v>
      </c>
      <c r="O691">
        <v>4.7300000000000002E-2</v>
      </c>
      <c r="P691">
        <v>0.67400000000000004</v>
      </c>
      <c r="Q691" s="1" t="s">
        <v>2070</v>
      </c>
      <c r="R691">
        <v>0.20399999999999999</v>
      </c>
      <c r="S691">
        <v>0.28199999999999997</v>
      </c>
      <c r="T691">
        <v>148.95599999999999</v>
      </c>
      <c r="U691">
        <v>3</v>
      </c>
      <c r="V691" t="s">
        <v>24</v>
      </c>
    </row>
    <row r="692" spans="3:22" x14ac:dyDescent="0.35">
      <c r="C692" t="s">
        <v>2071</v>
      </c>
      <c r="D692" t="s">
        <v>755</v>
      </c>
      <c r="E692" t="s">
        <v>920</v>
      </c>
      <c r="F692" t="s">
        <v>2072</v>
      </c>
      <c r="G692">
        <v>28</v>
      </c>
      <c r="H692">
        <v>148035</v>
      </c>
      <c r="I692" t="b">
        <v>0</v>
      </c>
      <c r="J692">
        <v>0.52200000000000002</v>
      </c>
      <c r="K692">
        <v>0.40300000000000002</v>
      </c>
      <c r="L692">
        <v>5</v>
      </c>
      <c r="M692">
        <v>-10.989000000000001</v>
      </c>
      <c r="N692">
        <v>1</v>
      </c>
      <c r="O692">
        <v>3.5799999999999998E-2</v>
      </c>
      <c r="P692">
        <v>0.64200000000000002</v>
      </c>
      <c r="Q692">
        <v>6.0499999999999998E-3</v>
      </c>
      <c r="R692">
        <v>0.152</v>
      </c>
      <c r="S692">
        <v>0.621</v>
      </c>
      <c r="T692">
        <v>123.196</v>
      </c>
      <c r="U692">
        <v>4</v>
      </c>
      <c r="V692" t="s">
        <v>24</v>
      </c>
    </row>
    <row r="693" spans="3:22" x14ac:dyDescent="0.35">
      <c r="C693" t="s">
        <v>2073</v>
      </c>
      <c r="D693" t="s">
        <v>2074</v>
      </c>
      <c r="E693" t="s">
        <v>2075</v>
      </c>
      <c r="F693" t="s">
        <v>2076</v>
      </c>
      <c r="G693">
        <v>28</v>
      </c>
      <c r="H693">
        <v>243840</v>
      </c>
      <c r="I693" t="b">
        <v>0</v>
      </c>
      <c r="J693">
        <v>0.71899999999999997</v>
      </c>
      <c r="K693">
        <v>0.84899999999999998</v>
      </c>
      <c r="L693">
        <v>1</v>
      </c>
      <c r="M693">
        <v>-4.2329999999999997</v>
      </c>
      <c r="N693">
        <v>0</v>
      </c>
      <c r="O693">
        <v>3.5200000000000002E-2</v>
      </c>
      <c r="P693">
        <v>1.7999999999999999E-2</v>
      </c>
      <c r="Q693" s="1" t="s">
        <v>2077</v>
      </c>
      <c r="R693">
        <v>3.7900000000000003E-2</v>
      </c>
      <c r="S693">
        <v>0.88600000000000001</v>
      </c>
      <c r="T693">
        <v>120.063</v>
      </c>
      <c r="U693">
        <v>4</v>
      </c>
      <c r="V693" t="s">
        <v>24</v>
      </c>
    </row>
    <row r="694" spans="3:22" x14ac:dyDescent="0.35">
      <c r="C694" t="s">
        <v>2078</v>
      </c>
      <c r="D694" t="s">
        <v>1069</v>
      </c>
      <c r="E694" t="s">
        <v>1070</v>
      </c>
      <c r="F694" t="s">
        <v>2079</v>
      </c>
      <c r="G694">
        <v>28</v>
      </c>
      <c r="H694">
        <v>204926</v>
      </c>
      <c r="I694" t="b">
        <v>0</v>
      </c>
      <c r="J694">
        <v>0.54400000000000004</v>
      </c>
      <c r="K694">
        <v>0.91100000000000003</v>
      </c>
      <c r="L694">
        <v>9</v>
      </c>
      <c r="M694">
        <v>-2.73</v>
      </c>
      <c r="N694">
        <v>1</v>
      </c>
      <c r="O694">
        <v>0.20399999999999999</v>
      </c>
      <c r="P694">
        <v>0.66100000000000003</v>
      </c>
      <c r="Q694">
        <v>0</v>
      </c>
      <c r="R694">
        <v>0.34399999999999997</v>
      </c>
      <c r="S694">
        <v>0.85099999999999998</v>
      </c>
      <c r="T694">
        <v>114.776</v>
      </c>
      <c r="U694">
        <v>4</v>
      </c>
      <c r="V694" t="s">
        <v>24</v>
      </c>
    </row>
    <row r="695" spans="3:22" x14ac:dyDescent="0.35">
      <c r="C695" t="s">
        <v>2080</v>
      </c>
      <c r="D695" t="s">
        <v>1069</v>
      </c>
      <c r="E695" t="s">
        <v>1070</v>
      </c>
      <c r="F695" t="s">
        <v>2081</v>
      </c>
      <c r="G695">
        <v>28</v>
      </c>
      <c r="H695">
        <v>168118</v>
      </c>
      <c r="I695" t="b">
        <v>0</v>
      </c>
      <c r="J695">
        <v>0.67200000000000004</v>
      </c>
      <c r="K695">
        <v>0.879</v>
      </c>
      <c r="L695">
        <v>9</v>
      </c>
      <c r="M695">
        <v>-3.6930000000000001</v>
      </c>
      <c r="N695">
        <v>1</v>
      </c>
      <c r="O695">
        <v>0.114</v>
      </c>
      <c r="P695">
        <v>0.629</v>
      </c>
      <c r="Q695" s="1" t="s">
        <v>2082</v>
      </c>
      <c r="R695">
        <v>0.16900000000000001</v>
      </c>
      <c r="S695">
        <v>0.74</v>
      </c>
      <c r="T695">
        <v>119.996</v>
      </c>
      <c r="U695">
        <v>4</v>
      </c>
      <c r="V695" t="s">
        <v>24</v>
      </c>
    </row>
    <row r="696" spans="3:22" x14ac:dyDescent="0.35">
      <c r="C696" t="s">
        <v>2083</v>
      </c>
      <c r="D696" t="s">
        <v>1073</v>
      </c>
      <c r="E696" t="s">
        <v>1535</v>
      </c>
      <c r="F696" t="s">
        <v>2084</v>
      </c>
      <c r="G696">
        <v>28</v>
      </c>
      <c r="H696">
        <v>174466</v>
      </c>
      <c r="I696" t="b">
        <v>1</v>
      </c>
      <c r="J696">
        <v>0.57299999999999995</v>
      </c>
      <c r="K696">
        <v>0.78900000000000003</v>
      </c>
      <c r="L696">
        <v>11</v>
      </c>
      <c r="M696">
        <v>-5.4349999999999996</v>
      </c>
      <c r="N696">
        <v>1</v>
      </c>
      <c r="O696">
        <v>0.05</v>
      </c>
      <c r="P696">
        <v>4.8799999999999999E-4</v>
      </c>
      <c r="Q696">
        <v>9.6500000000000006E-3</v>
      </c>
      <c r="R696">
        <v>0.126</v>
      </c>
      <c r="S696">
        <v>0.33200000000000002</v>
      </c>
      <c r="T696">
        <v>128.077</v>
      </c>
      <c r="U696">
        <v>4</v>
      </c>
      <c r="V696" t="s">
        <v>24</v>
      </c>
    </row>
    <row r="697" spans="3:22" x14ac:dyDescent="0.35">
      <c r="C697" t="s">
        <v>2085</v>
      </c>
      <c r="D697" t="s">
        <v>1522</v>
      </c>
      <c r="E697" t="s">
        <v>2086</v>
      </c>
      <c r="F697" t="s">
        <v>2087</v>
      </c>
      <c r="G697">
        <v>28</v>
      </c>
      <c r="H697">
        <v>272100</v>
      </c>
      <c r="I697" t="b">
        <v>1</v>
      </c>
      <c r="J697">
        <v>0.495</v>
      </c>
      <c r="K697">
        <v>0.81100000000000005</v>
      </c>
      <c r="L697">
        <v>9</v>
      </c>
      <c r="M697">
        <v>-3.1</v>
      </c>
      <c r="N697">
        <v>1</v>
      </c>
      <c r="O697">
        <v>4.1099999999999998E-2</v>
      </c>
      <c r="P697">
        <v>0.53400000000000003</v>
      </c>
      <c r="Q697">
        <v>2.8600000000000001E-4</v>
      </c>
      <c r="R697">
        <v>0.13600000000000001</v>
      </c>
      <c r="S697">
        <v>0.9</v>
      </c>
      <c r="T697">
        <v>173.56</v>
      </c>
      <c r="U697">
        <v>4</v>
      </c>
      <c r="V697" t="s">
        <v>24</v>
      </c>
    </row>
    <row r="698" spans="3:22" x14ac:dyDescent="0.35">
      <c r="C698" t="s">
        <v>2088</v>
      </c>
      <c r="D698" t="s">
        <v>2089</v>
      </c>
      <c r="E698" t="s">
        <v>1390</v>
      </c>
      <c r="F698" t="s">
        <v>2090</v>
      </c>
      <c r="G698">
        <v>29</v>
      </c>
      <c r="H698">
        <v>157000</v>
      </c>
      <c r="I698" t="b">
        <v>0</v>
      </c>
      <c r="J698">
        <v>0.48</v>
      </c>
      <c r="K698">
        <v>0.6</v>
      </c>
      <c r="L698">
        <v>0</v>
      </c>
      <c r="M698">
        <v>-8.9760000000000009</v>
      </c>
      <c r="N698">
        <v>1</v>
      </c>
      <c r="O698">
        <v>3.9800000000000002E-2</v>
      </c>
      <c r="P698">
        <v>0.24</v>
      </c>
      <c r="Q698">
        <v>0</v>
      </c>
      <c r="R698">
        <v>0.53300000000000003</v>
      </c>
      <c r="S698">
        <v>0.94399999999999995</v>
      </c>
      <c r="T698">
        <v>92.545000000000002</v>
      </c>
      <c r="U698">
        <v>4</v>
      </c>
      <c r="V698" t="s">
        <v>24</v>
      </c>
    </row>
    <row r="699" spans="3:22" x14ac:dyDescent="0.35">
      <c r="C699" t="s">
        <v>2091</v>
      </c>
      <c r="D699" t="s">
        <v>2092</v>
      </c>
      <c r="E699" t="s">
        <v>2093</v>
      </c>
      <c r="F699" t="s">
        <v>2094</v>
      </c>
      <c r="G699">
        <v>0</v>
      </c>
      <c r="H699">
        <v>216093</v>
      </c>
      <c r="I699" t="b">
        <v>0</v>
      </c>
      <c r="J699">
        <v>0.56999999999999995</v>
      </c>
      <c r="K699">
        <v>0.42699999999999999</v>
      </c>
      <c r="L699">
        <v>6</v>
      </c>
      <c r="M699">
        <v>-5.8730000000000002</v>
      </c>
      <c r="N699">
        <v>1</v>
      </c>
      <c r="O699">
        <v>2.9600000000000001E-2</v>
      </c>
      <c r="P699">
        <v>0.36799999999999999</v>
      </c>
      <c r="Q699" s="1" t="s">
        <v>2095</v>
      </c>
      <c r="R699">
        <v>0.156</v>
      </c>
      <c r="S699">
        <v>0.186</v>
      </c>
      <c r="T699">
        <v>98.995000000000005</v>
      </c>
      <c r="U699">
        <v>4</v>
      </c>
      <c r="V699" t="s">
        <v>24</v>
      </c>
    </row>
    <row r="700" spans="3:22" x14ac:dyDescent="0.35">
      <c r="C700" t="s">
        <v>2096</v>
      </c>
      <c r="D700" t="s">
        <v>2092</v>
      </c>
      <c r="E700" t="s">
        <v>2097</v>
      </c>
      <c r="F700" t="s">
        <v>2094</v>
      </c>
      <c r="G700">
        <v>0</v>
      </c>
      <c r="H700">
        <v>216093</v>
      </c>
      <c r="I700" t="b">
        <v>0</v>
      </c>
      <c r="J700">
        <v>0.56999999999999995</v>
      </c>
      <c r="K700">
        <v>0.42699999999999999</v>
      </c>
      <c r="L700">
        <v>6</v>
      </c>
      <c r="M700">
        <v>-5.8730000000000002</v>
      </c>
      <c r="N700">
        <v>1</v>
      </c>
      <c r="O700">
        <v>2.9600000000000001E-2</v>
      </c>
      <c r="P700">
        <v>0.36799999999999999</v>
      </c>
      <c r="Q700" s="1" t="s">
        <v>2095</v>
      </c>
      <c r="R700">
        <v>0.156</v>
      </c>
      <c r="S700">
        <v>0.186</v>
      </c>
      <c r="T700">
        <v>98.995000000000005</v>
      </c>
      <c r="U700">
        <v>4</v>
      </c>
      <c r="V700" t="s">
        <v>24</v>
      </c>
    </row>
    <row r="701" spans="3:22" x14ac:dyDescent="0.35">
      <c r="C701" t="s">
        <v>2098</v>
      </c>
      <c r="D701" t="s">
        <v>2092</v>
      </c>
      <c r="E701" t="s">
        <v>174</v>
      </c>
      <c r="F701" t="s">
        <v>2099</v>
      </c>
      <c r="G701">
        <v>0</v>
      </c>
      <c r="H701">
        <v>220213</v>
      </c>
      <c r="I701" t="b">
        <v>0</v>
      </c>
      <c r="J701">
        <v>0.61199999999999999</v>
      </c>
      <c r="K701">
        <v>0.48399999999999999</v>
      </c>
      <c r="L701">
        <v>9</v>
      </c>
      <c r="M701">
        <v>-9.7729999999999997</v>
      </c>
      <c r="N701">
        <v>1</v>
      </c>
      <c r="O701">
        <v>3.1899999999999998E-2</v>
      </c>
      <c r="P701">
        <v>0.64300000000000002</v>
      </c>
      <c r="Q701">
        <v>0</v>
      </c>
      <c r="R701">
        <v>0.11799999999999999</v>
      </c>
      <c r="S701">
        <v>0.254</v>
      </c>
      <c r="T701">
        <v>138.96100000000001</v>
      </c>
      <c r="U701">
        <v>4</v>
      </c>
      <c r="V701" t="s">
        <v>24</v>
      </c>
    </row>
    <row r="702" spans="3:22" x14ac:dyDescent="0.35">
      <c r="C702" t="s">
        <v>2100</v>
      </c>
      <c r="D702" t="s">
        <v>2101</v>
      </c>
      <c r="E702" t="s">
        <v>2102</v>
      </c>
      <c r="F702" t="s">
        <v>2103</v>
      </c>
      <c r="G702">
        <v>32</v>
      </c>
      <c r="H702">
        <v>245726</v>
      </c>
      <c r="I702" t="b">
        <v>0</v>
      </c>
      <c r="J702">
        <v>0.40100000000000002</v>
      </c>
      <c r="K702">
        <v>0.54600000000000004</v>
      </c>
      <c r="L702">
        <v>11</v>
      </c>
      <c r="M702">
        <v>-5.8460000000000001</v>
      </c>
      <c r="N702">
        <v>0</v>
      </c>
      <c r="O702">
        <v>3.1899999999999998E-2</v>
      </c>
      <c r="P702">
        <v>0.39500000000000002</v>
      </c>
      <c r="Q702" s="1" t="s">
        <v>2104</v>
      </c>
      <c r="R702">
        <v>0.12</v>
      </c>
      <c r="S702">
        <v>0.15</v>
      </c>
      <c r="T702">
        <v>89.331000000000003</v>
      </c>
      <c r="U702">
        <v>4</v>
      </c>
      <c r="V702" t="s">
        <v>24</v>
      </c>
    </row>
    <row r="703" spans="3:22" x14ac:dyDescent="0.35">
      <c r="C703" t="s">
        <v>2105</v>
      </c>
      <c r="D703" t="s">
        <v>192</v>
      </c>
      <c r="E703" t="s">
        <v>2106</v>
      </c>
      <c r="F703" t="s">
        <v>2106</v>
      </c>
      <c r="G703">
        <v>35</v>
      </c>
      <c r="H703">
        <v>172857</v>
      </c>
      <c r="I703" t="b">
        <v>1</v>
      </c>
      <c r="J703">
        <v>0.75900000000000001</v>
      </c>
      <c r="K703">
        <v>0.27500000000000002</v>
      </c>
      <c r="L703">
        <v>0</v>
      </c>
      <c r="M703">
        <v>-10.707000000000001</v>
      </c>
      <c r="N703">
        <v>1</v>
      </c>
      <c r="O703">
        <v>6.2600000000000003E-2</v>
      </c>
      <c r="P703">
        <v>0.81</v>
      </c>
      <c r="Q703">
        <v>0</v>
      </c>
      <c r="R703">
        <v>0.17699999999999999</v>
      </c>
      <c r="S703">
        <v>0.45700000000000002</v>
      </c>
      <c r="T703">
        <v>73.552999999999997</v>
      </c>
      <c r="U703">
        <v>4</v>
      </c>
      <c r="V703" t="s">
        <v>24</v>
      </c>
    </row>
    <row r="704" spans="3:22" x14ac:dyDescent="0.35">
      <c r="C704" t="s">
        <v>2107</v>
      </c>
      <c r="D704" t="s">
        <v>1896</v>
      </c>
      <c r="E704" t="s">
        <v>2108</v>
      </c>
      <c r="F704" t="s">
        <v>2109</v>
      </c>
      <c r="G704">
        <v>49</v>
      </c>
      <c r="H704">
        <v>155904</v>
      </c>
      <c r="I704" t="b">
        <v>0</v>
      </c>
      <c r="J704">
        <v>0.73699999999999999</v>
      </c>
      <c r="K704">
        <v>0.39100000000000001</v>
      </c>
      <c r="L704">
        <v>2</v>
      </c>
      <c r="M704">
        <v>-7.9340000000000002</v>
      </c>
      <c r="N704">
        <v>1</v>
      </c>
      <c r="O704">
        <v>6.8000000000000005E-2</v>
      </c>
      <c r="P704">
        <v>0.80700000000000005</v>
      </c>
      <c r="Q704">
        <v>0</v>
      </c>
      <c r="R704">
        <v>0.36699999999999999</v>
      </c>
      <c r="S704">
        <v>0.83599999999999997</v>
      </c>
      <c r="T704">
        <v>93.936000000000007</v>
      </c>
      <c r="U704">
        <v>4</v>
      </c>
      <c r="V704" t="s">
        <v>24</v>
      </c>
    </row>
    <row r="705" spans="3:22" x14ac:dyDescent="0.35">
      <c r="C705" t="s">
        <v>2110</v>
      </c>
      <c r="D705" t="s">
        <v>2111</v>
      </c>
      <c r="E705" t="s">
        <v>1160</v>
      </c>
      <c r="F705" t="s">
        <v>2112</v>
      </c>
      <c r="G705">
        <v>52</v>
      </c>
      <c r="H705">
        <v>175200</v>
      </c>
      <c r="I705" t="b">
        <v>0</v>
      </c>
      <c r="J705">
        <v>0.63900000000000001</v>
      </c>
      <c r="K705">
        <v>0.439</v>
      </c>
      <c r="L705">
        <v>0</v>
      </c>
      <c r="M705">
        <v>-7.157</v>
      </c>
      <c r="N705">
        <v>1</v>
      </c>
      <c r="O705">
        <v>4.8899999999999999E-2</v>
      </c>
      <c r="P705">
        <v>0.872</v>
      </c>
      <c r="Q705">
        <v>0</v>
      </c>
      <c r="R705">
        <v>9.1800000000000007E-2</v>
      </c>
      <c r="S705">
        <v>0.51</v>
      </c>
      <c r="T705">
        <v>133.87</v>
      </c>
      <c r="U705">
        <v>4</v>
      </c>
      <c r="V705" t="s">
        <v>24</v>
      </c>
    </row>
    <row r="706" spans="3:22" x14ac:dyDescent="0.35">
      <c r="C706" t="s">
        <v>2113</v>
      </c>
      <c r="D706" t="s">
        <v>1099</v>
      </c>
      <c r="E706" t="s">
        <v>2114</v>
      </c>
      <c r="F706" t="s">
        <v>2115</v>
      </c>
      <c r="G706">
        <v>31</v>
      </c>
      <c r="H706">
        <v>208386</v>
      </c>
      <c r="I706" t="b">
        <v>0</v>
      </c>
      <c r="J706">
        <v>0.53200000000000003</v>
      </c>
      <c r="K706">
        <v>0.66700000000000004</v>
      </c>
      <c r="L706">
        <v>11</v>
      </c>
      <c r="M706">
        <v>-7.0650000000000004</v>
      </c>
      <c r="N706">
        <v>0</v>
      </c>
      <c r="O706">
        <v>2.9499999999999998E-2</v>
      </c>
      <c r="P706">
        <v>0.14000000000000001</v>
      </c>
      <c r="Q706">
        <v>1.9400000000000001E-2</v>
      </c>
      <c r="R706">
        <v>0.193</v>
      </c>
      <c r="S706">
        <v>0.67</v>
      </c>
      <c r="T706">
        <v>144.90100000000001</v>
      </c>
      <c r="U706">
        <v>4</v>
      </c>
      <c r="V706" t="s">
        <v>24</v>
      </c>
    </row>
    <row r="707" spans="3:22" x14ac:dyDescent="0.35">
      <c r="C707" t="s">
        <v>2116</v>
      </c>
      <c r="D707" t="s">
        <v>1133</v>
      </c>
      <c r="E707" t="s">
        <v>2117</v>
      </c>
      <c r="F707" t="s">
        <v>2118</v>
      </c>
      <c r="G707">
        <v>28</v>
      </c>
      <c r="H707">
        <v>246786</v>
      </c>
      <c r="I707" t="b">
        <v>0</v>
      </c>
      <c r="J707">
        <v>0.65600000000000003</v>
      </c>
      <c r="K707">
        <v>0.82599999999999996</v>
      </c>
      <c r="L707">
        <v>4</v>
      </c>
      <c r="M707">
        <v>-3.9289999999999998</v>
      </c>
      <c r="N707">
        <v>1</v>
      </c>
      <c r="O707">
        <v>3.2300000000000002E-2</v>
      </c>
      <c r="P707">
        <v>4.5300000000000002E-3</v>
      </c>
      <c r="Q707" s="1" t="s">
        <v>1730</v>
      </c>
      <c r="R707">
        <v>7.9100000000000004E-2</v>
      </c>
      <c r="S707">
        <v>0.89400000000000002</v>
      </c>
      <c r="T707">
        <v>117.648</v>
      </c>
      <c r="U707">
        <v>4</v>
      </c>
      <c r="V707" t="s">
        <v>24</v>
      </c>
    </row>
    <row r="708" spans="3:22" x14ac:dyDescent="0.35">
      <c r="C708" t="s">
        <v>2119</v>
      </c>
      <c r="D708" t="s">
        <v>2120</v>
      </c>
      <c r="E708" t="s">
        <v>97</v>
      </c>
      <c r="F708" t="s">
        <v>540</v>
      </c>
      <c r="G708">
        <v>48</v>
      </c>
      <c r="H708">
        <v>219650</v>
      </c>
      <c r="I708" t="b">
        <v>0</v>
      </c>
      <c r="J708">
        <v>0.59699999999999998</v>
      </c>
      <c r="K708">
        <v>0.33400000000000002</v>
      </c>
      <c r="L708">
        <v>11</v>
      </c>
      <c r="M708">
        <v>-8.5589999999999993</v>
      </c>
      <c r="N708">
        <v>1</v>
      </c>
      <c r="O708">
        <v>2.7900000000000001E-2</v>
      </c>
      <c r="P708">
        <v>0.86</v>
      </c>
      <c r="Q708">
        <v>0</v>
      </c>
      <c r="R708">
        <v>0.123</v>
      </c>
      <c r="S708">
        <v>0.34200000000000003</v>
      </c>
      <c r="T708">
        <v>134.94</v>
      </c>
      <c r="U708">
        <v>4</v>
      </c>
      <c r="V708" t="s">
        <v>24</v>
      </c>
    </row>
    <row r="709" spans="3:22" x14ac:dyDescent="0.35">
      <c r="C709" t="s">
        <v>2121</v>
      </c>
      <c r="D709" t="s">
        <v>225</v>
      </c>
      <c r="E709" t="s">
        <v>2122</v>
      </c>
      <c r="F709" t="s">
        <v>2123</v>
      </c>
      <c r="G709">
        <v>48</v>
      </c>
      <c r="H709">
        <v>252640</v>
      </c>
      <c r="I709" t="b">
        <v>0</v>
      </c>
      <c r="J709">
        <v>0.496</v>
      </c>
      <c r="K709">
        <v>0.11</v>
      </c>
      <c r="L709">
        <v>1</v>
      </c>
      <c r="M709">
        <v>-15.584</v>
      </c>
      <c r="N709">
        <v>1</v>
      </c>
      <c r="O709">
        <v>4.2000000000000003E-2</v>
      </c>
      <c r="P709">
        <v>0.91100000000000003</v>
      </c>
      <c r="Q709" s="1" t="s">
        <v>2124</v>
      </c>
      <c r="R709">
        <v>8.2900000000000001E-2</v>
      </c>
      <c r="S709">
        <v>0.23499999999999999</v>
      </c>
      <c r="T709">
        <v>145.27699999999999</v>
      </c>
      <c r="U709">
        <v>4</v>
      </c>
      <c r="V709" t="s">
        <v>24</v>
      </c>
    </row>
    <row r="710" spans="3:22" x14ac:dyDescent="0.35">
      <c r="C710" t="s">
        <v>2125</v>
      </c>
      <c r="D710" t="s">
        <v>910</v>
      </c>
      <c r="E710" t="s">
        <v>2126</v>
      </c>
      <c r="F710" t="s">
        <v>2127</v>
      </c>
      <c r="G710">
        <v>41</v>
      </c>
      <c r="H710">
        <v>214784</v>
      </c>
      <c r="I710" t="b">
        <v>0</v>
      </c>
      <c r="J710">
        <v>0.61299999999999999</v>
      </c>
      <c r="K710">
        <v>0.34599999999999997</v>
      </c>
      <c r="L710">
        <v>7</v>
      </c>
      <c r="M710">
        <v>-11.33</v>
      </c>
      <c r="N710">
        <v>1</v>
      </c>
      <c r="O710">
        <v>3.9800000000000002E-2</v>
      </c>
      <c r="P710">
        <v>0.89</v>
      </c>
      <c r="Q710">
        <v>0.91300000000000003</v>
      </c>
      <c r="R710">
        <v>9.9400000000000002E-2</v>
      </c>
      <c r="S710">
        <v>0.128</v>
      </c>
      <c r="T710">
        <v>95.980999999999995</v>
      </c>
      <c r="U710">
        <v>4</v>
      </c>
      <c r="V710" t="s">
        <v>24</v>
      </c>
    </row>
    <row r="711" spans="3:22" x14ac:dyDescent="0.35">
      <c r="C711" t="s">
        <v>2128</v>
      </c>
      <c r="D711" t="s">
        <v>2129</v>
      </c>
      <c r="E711" t="s">
        <v>264</v>
      </c>
      <c r="F711" t="s">
        <v>2130</v>
      </c>
      <c r="G711">
        <v>47</v>
      </c>
      <c r="H711">
        <v>216040</v>
      </c>
      <c r="I711" t="b">
        <v>0</v>
      </c>
      <c r="J711">
        <v>0.61</v>
      </c>
      <c r="K711">
        <v>0.79600000000000004</v>
      </c>
      <c r="L711">
        <v>10</v>
      </c>
      <c r="M711">
        <v>-5.431</v>
      </c>
      <c r="N711">
        <v>1</v>
      </c>
      <c r="O711">
        <v>6.5600000000000006E-2</v>
      </c>
      <c r="P711">
        <v>3.6499999999999998E-2</v>
      </c>
      <c r="Q711">
        <v>0</v>
      </c>
      <c r="R711">
        <v>0.27400000000000002</v>
      </c>
      <c r="S711">
        <v>0.51</v>
      </c>
      <c r="T711">
        <v>159.94399999999999</v>
      </c>
      <c r="U711">
        <v>4</v>
      </c>
      <c r="V711" t="s">
        <v>24</v>
      </c>
    </row>
    <row r="712" spans="3:22" x14ac:dyDescent="0.35">
      <c r="C712" t="s">
        <v>2131</v>
      </c>
      <c r="D712" t="s">
        <v>1202</v>
      </c>
      <c r="E712" t="s">
        <v>2132</v>
      </c>
      <c r="F712" t="s">
        <v>2133</v>
      </c>
      <c r="G712">
        <v>28</v>
      </c>
      <c r="H712">
        <v>274133</v>
      </c>
      <c r="I712" t="b">
        <v>0</v>
      </c>
      <c r="J712">
        <v>0.63</v>
      </c>
      <c r="K712">
        <v>0.36699999999999999</v>
      </c>
      <c r="L712">
        <v>1</v>
      </c>
      <c r="M712">
        <v>-11.054</v>
      </c>
      <c r="N712">
        <v>1</v>
      </c>
      <c r="O712">
        <v>2.3199999999999998E-2</v>
      </c>
      <c r="P712">
        <v>5.1999999999999998E-2</v>
      </c>
      <c r="Q712">
        <v>2.02E-4</v>
      </c>
      <c r="R712">
        <v>0.10299999999999999</v>
      </c>
      <c r="S712">
        <v>0.54700000000000004</v>
      </c>
      <c r="T712">
        <v>98.995000000000005</v>
      </c>
      <c r="U712">
        <v>4</v>
      </c>
      <c r="V712" t="s">
        <v>24</v>
      </c>
    </row>
    <row r="713" spans="3:22" x14ac:dyDescent="0.35">
      <c r="C713" t="s">
        <v>2134</v>
      </c>
      <c r="D713" t="s">
        <v>712</v>
      </c>
      <c r="E713" t="s">
        <v>2135</v>
      </c>
      <c r="F713" t="s">
        <v>389</v>
      </c>
      <c r="G713">
        <v>60</v>
      </c>
      <c r="H713">
        <v>251933</v>
      </c>
      <c r="I713" t="b">
        <v>0</v>
      </c>
      <c r="J713">
        <v>0.65900000000000003</v>
      </c>
      <c r="K713">
        <v>0.23599999999999999</v>
      </c>
      <c r="L713">
        <v>9</v>
      </c>
      <c r="M713">
        <v>-12.56</v>
      </c>
      <c r="N713">
        <v>1</v>
      </c>
      <c r="O713">
        <v>3.04E-2</v>
      </c>
      <c r="P713">
        <v>0.84</v>
      </c>
      <c r="Q713" s="1" t="s">
        <v>2136</v>
      </c>
      <c r="R713">
        <v>0.20599999999999999</v>
      </c>
      <c r="S713">
        <v>0.216</v>
      </c>
      <c r="T713">
        <v>78.087999999999994</v>
      </c>
      <c r="U713">
        <v>4</v>
      </c>
      <c r="V713" t="s">
        <v>24</v>
      </c>
    </row>
    <row r="714" spans="3:22" x14ac:dyDescent="0.35">
      <c r="C714" t="s">
        <v>2137</v>
      </c>
      <c r="D714" t="s">
        <v>1297</v>
      </c>
      <c r="E714" t="s">
        <v>2138</v>
      </c>
      <c r="F714" t="s">
        <v>2139</v>
      </c>
      <c r="G714">
        <v>47</v>
      </c>
      <c r="H714">
        <v>296653</v>
      </c>
      <c r="I714" t="b">
        <v>0</v>
      </c>
      <c r="J714">
        <v>0.55900000000000005</v>
      </c>
      <c r="K714">
        <v>0.44800000000000001</v>
      </c>
      <c r="L714">
        <v>8</v>
      </c>
      <c r="M714">
        <v>-4.1100000000000003</v>
      </c>
      <c r="N714">
        <v>1</v>
      </c>
      <c r="O714">
        <v>2.75E-2</v>
      </c>
      <c r="P714">
        <v>0.53700000000000003</v>
      </c>
      <c r="Q714" s="1" t="s">
        <v>2140</v>
      </c>
      <c r="R714">
        <v>9.1499999999999998E-2</v>
      </c>
      <c r="S714">
        <v>0.35399999999999998</v>
      </c>
      <c r="T714">
        <v>148.02000000000001</v>
      </c>
      <c r="U714">
        <v>4</v>
      </c>
      <c r="V714" t="s">
        <v>24</v>
      </c>
    </row>
    <row r="715" spans="3:22" x14ac:dyDescent="0.35">
      <c r="C715" t="s">
        <v>2141</v>
      </c>
      <c r="D715" t="s">
        <v>42</v>
      </c>
      <c r="E715" t="s">
        <v>2142</v>
      </c>
      <c r="F715" t="s">
        <v>43</v>
      </c>
      <c r="G715">
        <v>30</v>
      </c>
      <c r="H715">
        <v>201506</v>
      </c>
      <c r="I715" t="b">
        <v>0</v>
      </c>
      <c r="J715">
        <v>0.80400000000000005</v>
      </c>
      <c r="K715">
        <v>0.45700000000000002</v>
      </c>
      <c r="L715">
        <v>6</v>
      </c>
      <c r="M715">
        <v>-7.8449999999999998</v>
      </c>
      <c r="N715">
        <v>1</v>
      </c>
      <c r="O715">
        <v>0.19700000000000001</v>
      </c>
      <c r="P715">
        <v>0.6</v>
      </c>
      <c r="Q715">
        <v>0</v>
      </c>
      <c r="R715">
        <v>0.15</v>
      </c>
      <c r="S715">
        <v>0.55200000000000005</v>
      </c>
      <c r="T715">
        <v>98.034999999999997</v>
      </c>
      <c r="U715">
        <v>4</v>
      </c>
      <c r="V715" t="s">
        <v>24</v>
      </c>
    </row>
    <row r="716" spans="3:22" x14ac:dyDescent="0.35">
      <c r="C716" t="s">
        <v>2143</v>
      </c>
      <c r="D716" t="s">
        <v>2144</v>
      </c>
      <c r="E716" t="s">
        <v>2145</v>
      </c>
      <c r="F716" t="s">
        <v>2146</v>
      </c>
      <c r="G716">
        <v>49</v>
      </c>
      <c r="H716">
        <v>201861</v>
      </c>
      <c r="I716" t="b">
        <v>0</v>
      </c>
      <c r="J716">
        <v>0.63700000000000001</v>
      </c>
      <c r="K716">
        <v>0.46</v>
      </c>
      <c r="L716">
        <v>3</v>
      </c>
      <c r="M716">
        <v>-9.07</v>
      </c>
      <c r="N716">
        <v>1</v>
      </c>
      <c r="O716">
        <v>3.8399999999999997E-2</v>
      </c>
      <c r="P716">
        <v>0.85499999999999998</v>
      </c>
      <c r="Q716" s="1" t="s">
        <v>2147</v>
      </c>
      <c r="R716">
        <v>0.114</v>
      </c>
      <c r="S716">
        <v>0.34499999999999997</v>
      </c>
      <c r="T716">
        <v>93.954999999999998</v>
      </c>
      <c r="U716">
        <v>4</v>
      </c>
      <c r="V716" t="s">
        <v>24</v>
      </c>
    </row>
    <row r="717" spans="3:22" x14ac:dyDescent="0.35">
      <c r="C717" t="s">
        <v>2148</v>
      </c>
      <c r="D717" t="s">
        <v>50</v>
      </c>
      <c r="E717" t="s">
        <v>275</v>
      </c>
      <c r="F717" t="s">
        <v>107</v>
      </c>
      <c r="G717">
        <v>51</v>
      </c>
      <c r="H717">
        <v>231266</v>
      </c>
      <c r="I717" t="b">
        <v>0</v>
      </c>
      <c r="J717">
        <v>0.79500000000000004</v>
      </c>
      <c r="K717">
        <v>0.66700000000000004</v>
      </c>
      <c r="L717">
        <v>5</v>
      </c>
      <c r="M717">
        <v>-4.8310000000000004</v>
      </c>
      <c r="N717">
        <v>0</v>
      </c>
      <c r="O717">
        <v>3.9199999999999999E-2</v>
      </c>
      <c r="P717">
        <v>0.379</v>
      </c>
      <c r="Q717">
        <v>0</v>
      </c>
      <c r="R717">
        <v>0.221</v>
      </c>
      <c r="S717">
        <v>0.754</v>
      </c>
      <c r="T717">
        <v>97.986999999999995</v>
      </c>
      <c r="U717">
        <v>4</v>
      </c>
      <c r="V717" t="s">
        <v>24</v>
      </c>
    </row>
    <row r="718" spans="3:22" x14ac:dyDescent="0.35">
      <c r="C718" t="s">
        <v>2149</v>
      </c>
      <c r="D718" t="s">
        <v>91</v>
      </c>
      <c r="E718" t="s">
        <v>92</v>
      </c>
      <c r="F718" t="s">
        <v>2150</v>
      </c>
      <c r="G718">
        <v>50</v>
      </c>
      <c r="H718">
        <v>239802</v>
      </c>
      <c r="I718" t="b">
        <v>0</v>
      </c>
      <c r="J718">
        <v>0.56999999999999995</v>
      </c>
      <c r="K718">
        <v>0.41299999999999998</v>
      </c>
      <c r="L718">
        <v>9</v>
      </c>
      <c r="M718">
        <v>-7.0339999999999998</v>
      </c>
      <c r="N718">
        <v>1</v>
      </c>
      <c r="O718">
        <v>3.4500000000000003E-2</v>
      </c>
      <c r="P718">
        <v>0.53500000000000003</v>
      </c>
      <c r="Q718">
        <v>0</v>
      </c>
      <c r="R718">
        <v>7.5999999999999998E-2</v>
      </c>
      <c r="S718">
        <v>0.27800000000000002</v>
      </c>
      <c r="T718">
        <v>152.03200000000001</v>
      </c>
      <c r="U718">
        <v>4</v>
      </c>
      <c r="V718" t="s">
        <v>24</v>
      </c>
    </row>
    <row r="719" spans="3:22" x14ac:dyDescent="0.35">
      <c r="C719" t="s">
        <v>2151</v>
      </c>
      <c r="D719" t="s">
        <v>1736</v>
      </c>
      <c r="E719" t="s">
        <v>1737</v>
      </c>
      <c r="F719" t="s">
        <v>2152</v>
      </c>
      <c r="G719">
        <v>28</v>
      </c>
      <c r="H719">
        <v>247666</v>
      </c>
      <c r="I719" t="b">
        <v>0</v>
      </c>
      <c r="J719">
        <v>0.56499999999999995</v>
      </c>
      <c r="K719">
        <v>0.56599999999999995</v>
      </c>
      <c r="L719">
        <v>6</v>
      </c>
      <c r="M719">
        <v>-7.258</v>
      </c>
      <c r="N719">
        <v>1</v>
      </c>
      <c r="O719">
        <v>2.7199999999999998E-2</v>
      </c>
      <c r="P719">
        <v>0.47199999999999998</v>
      </c>
      <c r="Q719">
        <v>4.26E-4</v>
      </c>
      <c r="R719">
        <v>0.14799999999999999</v>
      </c>
      <c r="S719">
        <v>0.55100000000000005</v>
      </c>
      <c r="T719">
        <v>92.016999999999996</v>
      </c>
      <c r="U719">
        <v>4</v>
      </c>
      <c r="V719" t="s">
        <v>24</v>
      </c>
    </row>
    <row r="720" spans="3:22" x14ac:dyDescent="0.35">
      <c r="C720" t="s">
        <v>2153</v>
      </c>
      <c r="D720" t="s">
        <v>2154</v>
      </c>
      <c r="E720" t="s">
        <v>2155</v>
      </c>
      <c r="F720" t="s">
        <v>2156</v>
      </c>
      <c r="G720">
        <v>51</v>
      </c>
      <c r="H720">
        <v>155510</v>
      </c>
      <c r="I720" t="b">
        <v>0</v>
      </c>
      <c r="J720">
        <v>0.77600000000000002</v>
      </c>
      <c r="K720">
        <v>0.31900000000000001</v>
      </c>
      <c r="L720">
        <v>8</v>
      </c>
      <c r="M720">
        <v>-7.4960000000000004</v>
      </c>
      <c r="N720">
        <v>1</v>
      </c>
      <c r="O720">
        <v>3.1E-2</v>
      </c>
      <c r="P720">
        <v>0.79100000000000004</v>
      </c>
      <c r="Q720">
        <v>0</v>
      </c>
      <c r="R720">
        <v>0.159</v>
      </c>
      <c r="S720">
        <v>0.501</v>
      </c>
      <c r="T720">
        <v>98.016000000000005</v>
      </c>
      <c r="U720">
        <v>4</v>
      </c>
      <c r="V720" t="s">
        <v>24</v>
      </c>
    </row>
    <row r="721" spans="3:22" x14ac:dyDescent="0.35">
      <c r="C721" t="s">
        <v>2157</v>
      </c>
      <c r="D721" t="s">
        <v>278</v>
      </c>
      <c r="E721" t="s">
        <v>344</v>
      </c>
      <c r="F721" t="s">
        <v>2158</v>
      </c>
      <c r="G721">
        <v>45</v>
      </c>
      <c r="H721">
        <v>164786</v>
      </c>
      <c r="I721" t="b">
        <v>0</v>
      </c>
      <c r="J721">
        <v>0.32800000000000001</v>
      </c>
      <c r="K721">
        <v>0.53</v>
      </c>
      <c r="L721">
        <v>5</v>
      </c>
      <c r="M721">
        <v>-8.1240000000000006</v>
      </c>
      <c r="N721">
        <v>1</v>
      </c>
      <c r="O721">
        <v>5.0900000000000001E-2</v>
      </c>
      <c r="P721">
        <v>6.0199999999999997E-2</v>
      </c>
      <c r="Q721">
        <v>0</v>
      </c>
      <c r="R721">
        <v>5.7000000000000002E-2</v>
      </c>
      <c r="S721">
        <v>0.753</v>
      </c>
      <c r="T721">
        <v>162.03100000000001</v>
      </c>
      <c r="U721">
        <v>4</v>
      </c>
      <c r="V721" t="s">
        <v>24</v>
      </c>
    </row>
    <row r="722" spans="3:22" x14ac:dyDescent="0.35">
      <c r="C722" t="s">
        <v>2159</v>
      </c>
      <c r="D722" t="s">
        <v>517</v>
      </c>
      <c r="E722" t="s">
        <v>566</v>
      </c>
      <c r="F722" t="s">
        <v>2160</v>
      </c>
      <c r="G722">
        <v>54</v>
      </c>
      <c r="H722">
        <v>183472</v>
      </c>
      <c r="I722" t="b">
        <v>0</v>
      </c>
      <c r="J722">
        <v>0.438</v>
      </c>
      <c r="K722">
        <v>0.44800000000000001</v>
      </c>
      <c r="L722">
        <v>1</v>
      </c>
      <c r="M722">
        <v>-7.6760000000000002</v>
      </c>
      <c r="N722">
        <v>1</v>
      </c>
      <c r="O722">
        <v>6.6600000000000006E-2</v>
      </c>
      <c r="P722">
        <v>0.70599999999999996</v>
      </c>
      <c r="Q722">
        <v>0</v>
      </c>
      <c r="R722">
        <v>0.159</v>
      </c>
      <c r="S722">
        <v>0.36599999999999999</v>
      </c>
      <c r="T722">
        <v>118.37</v>
      </c>
      <c r="U722">
        <v>5</v>
      </c>
      <c r="V722" t="s">
        <v>24</v>
      </c>
    </row>
    <row r="723" spans="3:22" x14ac:dyDescent="0.35">
      <c r="C723" t="s">
        <v>2161</v>
      </c>
      <c r="D723" t="s">
        <v>1720</v>
      </c>
      <c r="E723" t="s">
        <v>900</v>
      </c>
      <c r="F723" t="s">
        <v>2162</v>
      </c>
      <c r="G723">
        <v>54</v>
      </c>
      <c r="H723">
        <v>218502</v>
      </c>
      <c r="I723" t="b">
        <v>0</v>
      </c>
      <c r="J723">
        <v>0.54600000000000004</v>
      </c>
      <c r="K723">
        <v>0.41099999999999998</v>
      </c>
      <c r="L723">
        <v>2</v>
      </c>
      <c r="M723">
        <v>-9.3079999999999998</v>
      </c>
      <c r="N723">
        <v>1</v>
      </c>
      <c r="O723">
        <v>4.7500000000000001E-2</v>
      </c>
      <c r="P723">
        <v>0.70099999999999996</v>
      </c>
      <c r="Q723" s="1" t="s">
        <v>2163</v>
      </c>
      <c r="R723">
        <v>9.5500000000000002E-2</v>
      </c>
      <c r="S723">
        <v>0.52800000000000002</v>
      </c>
      <c r="T723">
        <v>79.784999999999997</v>
      </c>
      <c r="U723">
        <v>4</v>
      </c>
      <c r="V723" t="s">
        <v>24</v>
      </c>
    </row>
    <row r="724" spans="3:22" x14ac:dyDescent="0.35">
      <c r="C724" t="s">
        <v>2164</v>
      </c>
      <c r="D724" t="s">
        <v>2165</v>
      </c>
      <c r="E724" t="s">
        <v>2166</v>
      </c>
      <c r="F724" t="s">
        <v>2167</v>
      </c>
      <c r="G724">
        <v>57</v>
      </c>
      <c r="H724">
        <v>269209</v>
      </c>
      <c r="I724" t="b">
        <v>0</v>
      </c>
      <c r="J724">
        <v>0.42399999999999999</v>
      </c>
      <c r="K724">
        <v>0.253</v>
      </c>
      <c r="L724">
        <v>10</v>
      </c>
      <c r="M724">
        <v>-13.259</v>
      </c>
      <c r="N724">
        <v>1</v>
      </c>
      <c r="O724">
        <v>3.6600000000000001E-2</v>
      </c>
      <c r="P724">
        <v>0.82499999999999996</v>
      </c>
      <c r="Q724">
        <v>0</v>
      </c>
      <c r="R724">
        <v>0.11700000000000001</v>
      </c>
      <c r="S724">
        <v>0.16</v>
      </c>
      <c r="T724">
        <v>129.81200000000001</v>
      </c>
      <c r="U724">
        <v>3</v>
      </c>
      <c r="V724" t="s">
        <v>24</v>
      </c>
    </row>
    <row r="725" spans="3:22" x14ac:dyDescent="0.35">
      <c r="C725" t="s">
        <v>2168</v>
      </c>
      <c r="D725" t="s">
        <v>1489</v>
      </c>
      <c r="E725" t="s">
        <v>1490</v>
      </c>
      <c r="F725" t="s">
        <v>2169</v>
      </c>
      <c r="G725">
        <v>27</v>
      </c>
      <c r="H725">
        <v>242880</v>
      </c>
      <c r="I725" t="b">
        <v>0</v>
      </c>
      <c r="J725">
        <v>0.58599999999999997</v>
      </c>
      <c r="K725">
        <v>0.41499999999999998</v>
      </c>
      <c r="L725">
        <v>11</v>
      </c>
      <c r="M725">
        <v>-7.8339999999999996</v>
      </c>
      <c r="N725">
        <v>1</v>
      </c>
      <c r="O725">
        <v>2.76E-2</v>
      </c>
      <c r="P725">
        <v>0.83599999999999997</v>
      </c>
      <c r="Q725" s="1" t="s">
        <v>2170</v>
      </c>
      <c r="R725">
        <v>0.122</v>
      </c>
      <c r="S725">
        <v>0.70399999999999996</v>
      </c>
      <c r="T725">
        <v>140.005</v>
      </c>
      <c r="U725">
        <v>4</v>
      </c>
      <c r="V725" t="s">
        <v>24</v>
      </c>
    </row>
    <row r="726" spans="3:22" x14ac:dyDescent="0.35">
      <c r="C726" t="s">
        <v>2171</v>
      </c>
      <c r="D726" t="s">
        <v>305</v>
      </c>
      <c r="E726" t="s">
        <v>2172</v>
      </c>
      <c r="F726" t="s">
        <v>2173</v>
      </c>
      <c r="G726">
        <v>57</v>
      </c>
      <c r="H726">
        <v>259920</v>
      </c>
      <c r="I726" t="b">
        <v>0</v>
      </c>
      <c r="J726">
        <v>0.53200000000000003</v>
      </c>
      <c r="K726">
        <v>0.20300000000000001</v>
      </c>
      <c r="L726">
        <v>9</v>
      </c>
      <c r="M726">
        <v>-8.5239999999999991</v>
      </c>
      <c r="N726">
        <v>0</v>
      </c>
      <c r="O726">
        <v>6.6799999999999998E-2</v>
      </c>
      <c r="P726">
        <v>0.82899999999999996</v>
      </c>
      <c r="Q726">
        <v>0</v>
      </c>
      <c r="R726">
        <v>0.108</v>
      </c>
      <c r="S726">
        <v>0.54300000000000004</v>
      </c>
      <c r="T726">
        <v>89.646000000000001</v>
      </c>
      <c r="U726">
        <v>4</v>
      </c>
      <c r="V726" t="s">
        <v>24</v>
      </c>
    </row>
    <row r="727" spans="3:22" x14ac:dyDescent="0.35">
      <c r="C727" t="s">
        <v>2174</v>
      </c>
      <c r="D727" t="s">
        <v>2175</v>
      </c>
      <c r="E727" t="s">
        <v>2176</v>
      </c>
      <c r="F727" t="s">
        <v>2177</v>
      </c>
      <c r="G727">
        <v>55</v>
      </c>
      <c r="H727">
        <v>318333</v>
      </c>
      <c r="I727" t="b">
        <v>0</v>
      </c>
      <c r="J727">
        <v>0.73499999999999999</v>
      </c>
      <c r="K727">
        <v>0.35499999999999998</v>
      </c>
      <c r="L727">
        <v>9</v>
      </c>
      <c r="M727">
        <v>-19.032</v>
      </c>
      <c r="N727">
        <v>0</v>
      </c>
      <c r="O727">
        <v>3.8699999999999998E-2</v>
      </c>
      <c r="P727">
        <v>0.65600000000000003</v>
      </c>
      <c r="Q727">
        <v>9.4E-2</v>
      </c>
      <c r="R727">
        <v>0.11899999999999999</v>
      </c>
      <c r="S727">
        <v>0.72399999999999998</v>
      </c>
      <c r="T727">
        <v>93.552999999999997</v>
      </c>
      <c r="U727">
        <v>4</v>
      </c>
      <c r="V727" t="s">
        <v>24</v>
      </c>
    </row>
    <row r="728" spans="3:22" x14ac:dyDescent="0.35">
      <c r="C728" t="s">
        <v>2178</v>
      </c>
      <c r="D728" t="s">
        <v>1749</v>
      </c>
      <c r="E728" t="s">
        <v>2179</v>
      </c>
      <c r="F728" t="s">
        <v>2180</v>
      </c>
      <c r="G728">
        <v>30</v>
      </c>
      <c r="H728">
        <v>98000</v>
      </c>
      <c r="I728" t="b">
        <v>0</v>
      </c>
      <c r="J728">
        <v>0.315</v>
      </c>
      <c r="K728">
        <v>0.51600000000000001</v>
      </c>
      <c r="L728">
        <v>1</v>
      </c>
      <c r="M728">
        <v>-8.1120000000000001</v>
      </c>
      <c r="N728">
        <v>0</v>
      </c>
      <c r="O728">
        <v>6.2199999999999998E-2</v>
      </c>
      <c r="P728">
        <v>0.85899999999999999</v>
      </c>
      <c r="Q728">
        <v>0.94699999999999995</v>
      </c>
      <c r="R728">
        <v>0.115</v>
      </c>
      <c r="S728">
        <v>0.184</v>
      </c>
      <c r="T728">
        <v>188.32499999999999</v>
      </c>
      <c r="U728">
        <v>3</v>
      </c>
      <c r="V728" t="s">
        <v>24</v>
      </c>
    </row>
    <row r="729" spans="3:22" x14ac:dyDescent="0.35">
      <c r="C729" t="s">
        <v>2181</v>
      </c>
      <c r="D729" t="s">
        <v>894</v>
      </c>
      <c r="E729" t="s">
        <v>2182</v>
      </c>
      <c r="F729" t="s">
        <v>2183</v>
      </c>
      <c r="G729">
        <v>27</v>
      </c>
      <c r="H729">
        <v>182306</v>
      </c>
      <c r="I729" t="b">
        <v>0</v>
      </c>
      <c r="J729">
        <v>0.625</v>
      </c>
      <c r="K729">
        <v>0.77600000000000002</v>
      </c>
      <c r="L729">
        <v>9</v>
      </c>
      <c r="M729">
        <v>-7.3540000000000001</v>
      </c>
      <c r="N729">
        <v>1</v>
      </c>
      <c r="O729">
        <v>3.5400000000000001E-2</v>
      </c>
      <c r="P729">
        <v>2.9899999999999999E-2</v>
      </c>
      <c r="Q729">
        <v>0</v>
      </c>
      <c r="R729">
        <v>0.23</v>
      </c>
      <c r="S729">
        <v>0.61699999999999999</v>
      </c>
      <c r="T729">
        <v>88.001999999999995</v>
      </c>
      <c r="U729">
        <v>4</v>
      </c>
      <c r="V729" t="s">
        <v>24</v>
      </c>
    </row>
    <row r="730" spans="3:22" x14ac:dyDescent="0.35">
      <c r="C730" t="s">
        <v>2184</v>
      </c>
      <c r="D730" t="s">
        <v>2185</v>
      </c>
      <c r="E730" t="s">
        <v>2186</v>
      </c>
      <c r="F730" t="s">
        <v>2187</v>
      </c>
      <c r="G730">
        <v>41</v>
      </c>
      <c r="H730">
        <v>219640</v>
      </c>
      <c r="I730" t="b">
        <v>0</v>
      </c>
      <c r="J730">
        <v>0.59399999999999997</v>
      </c>
      <c r="K730">
        <v>0.74399999999999999</v>
      </c>
      <c r="L730">
        <v>6</v>
      </c>
      <c r="M730">
        <v>-10.096</v>
      </c>
      <c r="N730">
        <v>0</v>
      </c>
      <c r="O730">
        <v>3.04E-2</v>
      </c>
      <c r="P730">
        <v>0.64800000000000002</v>
      </c>
      <c r="Q730">
        <v>3.0500000000000002E-3</v>
      </c>
      <c r="R730">
        <v>0.26100000000000001</v>
      </c>
      <c r="S730">
        <v>0.77800000000000002</v>
      </c>
      <c r="T730">
        <v>102.34399999999999</v>
      </c>
      <c r="U730">
        <v>4</v>
      </c>
      <c r="V730" t="s">
        <v>24</v>
      </c>
    </row>
    <row r="731" spans="3:22" x14ac:dyDescent="0.35">
      <c r="C731" t="s">
        <v>2188</v>
      </c>
      <c r="D731" t="s">
        <v>894</v>
      </c>
      <c r="E731" t="s">
        <v>2189</v>
      </c>
      <c r="F731" t="s">
        <v>2190</v>
      </c>
      <c r="G731">
        <v>28</v>
      </c>
      <c r="H731">
        <v>361693</v>
      </c>
      <c r="I731" t="b">
        <v>0</v>
      </c>
      <c r="J731">
        <v>0.41399999999999998</v>
      </c>
      <c r="K731">
        <v>0.42</v>
      </c>
      <c r="L731">
        <v>10</v>
      </c>
      <c r="M731">
        <v>-5.6470000000000002</v>
      </c>
      <c r="N731">
        <v>1</v>
      </c>
      <c r="O731">
        <v>3.0099999999999998E-2</v>
      </c>
      <c r="P731">
        <v>0.30299999999999999</v>
      </c>
      <c r="Q731" s="1" t="s">
        <v>2191</v>
      </c>
      <c r="R731">
        <v>0.19400000000000001</v>
      </c>
      <c r="S731">
        <v>0.376</v>
      </c>
      <c r="T731">
        <v>97.135999999999996</v>
      </c>
      <c r="U731">
        <v>4</v>
      </c>
      <c r="V731" t="s">
        <v>24</v>
      </c>
    </row>
    <row r="732" spans="3:22" x14ac:dyDescent="0.35">
      <c r="C732" t="s">
        <v>2192</v>
      </c>
      <c r="D732" t="s">
        <v>50</v>
      </c>
      <c r="E732" t="s">
        <v>1614</v>
      </c>
      <c r="F732" t="s">
        <v>444</v>
      </c>
      <c r="G732">
        <v>57</v>
      </c>
      <c r="H732">
        <v>218240</v>
      </c>
      <c r="I732" t="b">
        <v>0</v>
      </c>
      <c r="J732">
        <v>0.61499999999999999</v>
      </c>
      <c r="K732">
        <v>0.81200000000000006</v>
      </c>
      <c r="L732">
        <v>7</v>
      </c>
      <c r="M732">
        <v>-6.5730000000000004</v>
      </c>
      <c r="N732">
        <v>1</v>
      </c>
      <c r="O732">
        <v>4.58E-2</v>
      </c>
      <c r="P732">
        <v>0.184</v>
      </c>
      <c r="Q732">
        <v>0</v>
      </c>
      <c r="R732">
        <v>0.32800000000000001</v>
      </c>
      <c r="S732">
        <v>0.74</v>
      </c>
      <c r="T732">
        <v>98.953999999999994</v>
      </c>
      <c r="U732">
        <v>4</v>
      </c>
      <c r="V732" t="s">
        <v>24</v>
      </c>
    </row>
    <row r="733" spans="3:22" x14ac:dyDescent="0.35">
      <c r="C733" t="s">
        <v>2193</v>
      </c>
      <c r="D733" t="s">
        <v>1002</v>
      </c>
      <c r="E733" t="s">
        <v>2194</v>
      </c>
      <c r="F733" t="s">
        <v>2195</v>
      </c>
      <c r="G733">
        <v>51</v>
      </c>
      <c r="H733">
        <v>233626</v>
      </c>
      <c r="I733" t="b">
        <v>0</v>
      </c>
      <c r="J733">
        <v>0.38100000000000001</v>
      </c>
      <c r="K733">
        <v>0.33400000000000002</v>
      </c>
      <c r="L733">
        <v>7</v>
      </c>
      <c r="M733">
        <v>-11.36</v>
      </c>
      <c r="N733">
        <v>1</v>
      </c>
      <c r="O733">
        <v>2.7099999999999999E-2</v>
      </c>
      <c r="P733">
        <v>0.20200000000000001</v>
      </c>
      <c r="Q733">
        <v>2.03E-4</v>
      </c>
      <c r="R733">
        <v>0.41099999999999998</v>
      </c>
      <c r="S733">
        <v>0.17100000000000001</v>
      </c>
      <c r="T733">
        <v>102.63200000000001</v>
      </c>
      <c r="U733">
        <v>4</v>
      </c>
      <c r="V733" t="s">
        <v>24</v>
      </c>
    </row>
    <row r="734" spans="3:22" x14ac:dyDescent="0.35">
      <c r="C734" t="s">
        <v>2196</v>
      </c>
      <c r="D734" t="s">
        <v>1786</v>
      </c>
      <c r="E734" t="s">
        <v>1787</v>
      </c>
      <c r="F734" t="s">
        <v>2197</v>
      </c>
      <c r="G734">
        <v>27</v>
      </c>
      <c r="H734">
        <v>174124</v>
      </c>
      <c r="I734" t="b">
        <v>0</v>
      </c>
      <c r="J734">
        <v>0.46600000000000003</v>
      </c>
      <c r="K734">
        <v>0.14000000000000001</v>
      </c>
      <c r="L734">
        <v>9</v>
      </c>
      <c r="M734">
        <v>-13.118</v>
      </c>
      <c r="N734">
        <v>1</v>
      </c>
      <c r="O734">
        <v>3.0099999999999998E-2</v>
      </c>
      <c r="P734">
        <v>0.92100000000000004</v>
      </c>
      <c r="Q734">
        <v>6.5900000000000004E-3</v>
      </c>
      <c r="R734">
        <v>0.35799999999999998</v>
      </c>
      <c r="S734">
        <v>0.35099999999999998</v>
      </c>
      <c r="T734">
        <v>147.328</v>
      </c>
      <c r="U734">
        <v>3</v>
      </c>
      <c r="V734" t="s">
        <v>24</v>
      </c>
    </row>
    <row r="735" spans="3:22" x14ac:dyDescent="0.35">
      <c r="C735" t="s">
        <v>2198</v>
      </c>
      <c r="D735" t="s">
        <v>1047</v>
      </c>
      <c r="E735" t="s">
        <v>1048</v>
      </c>
      <c r="F735" t="s">
        <v>2199</v>
      </c>
      <c r="G735">
        <v>27</v>
      </c>
      <c r="H735">
        <v>250987</v>
      </c>
      <c r="I735" t="b">
        <v>0</v>
      </c>
      <c r="J735">
        <v>0.63600000000000001</v>
      </c>
      <c r="K735">
        <v>0.77600000000000002</v>
      </c>
      <c r="L735">
        <v>7</v>
      </c>
      <c r="M735">
        <v>-4.7649999999999997</v>
      </c>
      <c r="N735">
        <v>1</v>
      </c>
      <c r="O735">
        <v>3.6200000000000003E-2</v>
      </c>
      <c r="P735">
        <v>6.62E-3</v>
      </c>
      <c r="Q735" s="1" t="s">
        <v>2200</v>
      </c>
      <c r="R735">
        <v>7.4099999999999999E-2</v>
      </c>
      <c r="S735">
        <v>0.40200000000000002</v>
      </c>
      <c r="T735">
        <v>95.998999999999995</v>
      </c>
      <c r="U735">
        <v>4</v>
      </c>
      <c r="V735" t="s">
        <v>24</v>
      </c>
    </row>
    <row r="736" spans="3:22" x14ac:dyDescent="0.35">
      <c r="C736" t="s">
        <v>2201</v>
      </c>
      <c r="D736" t="s">
        <v>1628</v>
      </c>
      <c r="E736" t="s">
        <v>2202</v>
      </c>
      <c r="F736" t="s">
        <v>2203</v>
      </c>
      <c r="G736">
        <v>58</v>
      </c>
      <c r="H736">
        <v>189282</v>
      </c>
      <c r="I736" t="b">
        <v>0</v>
      </c>
      <c r="J736">
        <v>0.54500000000000004</v>
      </c>
      <c r="K736">
        <v>0.64200000000000002</v>
      </c>
      <c r="L736">
        <v>10</v>
      </c>
      <c r="M736">
        <v>-7.3440000000000003</v>
      </c>
      <c r="N736">
        <v>1</v>
      </c>
      <c r="O736">
        <v>2.7900000000000001E-2</v>
      </c>
      <c r="P736">
        <v>0.51700000000000002</v>
      </c>
      <c r="Q736" s="1" t="s">
        <v>1016</v>
      </c>
      <c r="R736">
        <v>0.11600000000000001</v>
      </c>
      <c r="S736">
        <v>0.55500000000000005</v>
      </c>
      <c r="T736">
        <v>78.510000000000005</v>
      </c>
      <c r="U736">
        <v>4</v>
      </c>
      <c r="V736" t="s">
        <v>24</v>
      </c>
    </row>
    <row r="737" spans="3:22" x14ac:dyDescent="0.35">
      <c r="C737" t="s">
        <v>2204</v>
      </c>
      <c r="D737" t="s">
        <v>2205</v>
      </c>
      <c r="E737" t="s">
        <v>2206</v>
      </c>
      <c r="F737" t="s">
        <v>2207</v>
      </c>
      <c r="G737">
        <v>27</v>
      </c>
      <c r="H737">
        <v>209606</v>
      </c>
      <c r="I737" t="b">
        <v>1</v>
      </c>
      <c r="J737">
        <v>0.53200000000000003</v>
      </c>
      <c r="K737">
        <v>0.54</v>
      </c>
      <c r="L737">
        <v>10</v>
      </c>
      <c r="M737">
        <v>-6.3040000000000003</v>
      </c>
      <c r="N737">
        <v>1</v>
      </c>
      <c r="O737">
        <v>3.4599999999999999E-2</v>
      </c>
      <c r="P737">
        <v>0.72399999999999998</v>
      </c>
      <c r="Q737">
        <v>3.7599999999999998E-4</v>
      </c>
      <c r="R737">
        <v>4.6399999999999997E-2</v>
      </c>
      <c r="S737">
        <v>0.76500000000000001</v>
      </c>
      <c r="T737">
        <v>169.82599999999999</v>
      </c>
      <c r="U737">
        <v>4</v>
      </c>
      <c r="V737" t="s">
        <v>24</v>
      </c>
    </row>
    <row r="738" spans="3:22" x14ac:dyDescent="0.35">
      <c r="C738" t="s">
        <v>2208</v>
      </c>
      <c r="D738" t="s">
        <v>1047</v>
      </c>
      <c r="E738" t="s">
        <v>2209</v>
      </c>
      <c r="F738" t="s">
        <v>2210</v>
      </c>
      <c r="G738">
        <v>27</v>
      </c>
      <c r="H738">
        <v>212960</v>
      </c>
      <c r="I738" t="b">
        <v>0</v>
      </c>
      <c r="J738">
        <v>0.61499999999999999</v>
      </c>
      <c r="K738">
        <v>0.312</v>
      </c>
      <c r="L738">
        <v>2</v>
      </c>
      <c r="M738">
        <v>-10.054</v>
      </c>
      <c r="N738">
        <v>1</v>
      </c>
      <c r="O738">
        <v>3.0099999999999998E-2</v>
      </c>
      <c r="P738">
        <v>0.72699999999999998</v>
      </c>
      <c r="Q738" s="1" t="s">
        <v>2211</v>
      </c>
      <c r="R738">
        <v>0.25600000000000001</v>
      </c>
      <c r="S738">
        <v>0.35399999999999998</v>
      </c>
      <c r="T738">
        <v>135.14500000000001</v>
      </c>
      <c r="U738">
        <v>4</v>
      </c>
      <c r="V738" t="s">
        <v>24</v>
      </c>
    </row>
    <row r="739" spans="3:22" x14ac:dyDescent="0.35">
      <c r="C739" t="s">
        <v>2212</v>
      </c>
      <c r="D739" t="s">
        <v>1805</v>
      </c>
      <c r="E739" t="s">
        <v>2213</v>
      </c>
      <c r="F739" t="s">
        <v>2214</v>
      </c>
      <c r="G739">
        <v>27</v>
      </c>
      <c r="H739">
        <v>294853</v>
      </c>
      <c r="I739" t="b">
        <v>0</v>
      </c>
      <c r="J739">
        <v>0.66400000000000003</v>
      </c>
      <c r="K739">
        <v>0.45</v>
      </c>
      <c r="L739">
        <v>1</v>
      </c>
      <c r="M739">
        <v>-7.0069999999999997</v>
      </c>
      <c r="N739">
        <v>1</v>
      </c>
      <c r="O739">
        <v>2.5700000000000001E-2</v>
      </c>
      <c r="P739">
        <v>0.78100000000000003</v>
      </c>
      <c r="Q739" s="1" t="s">
        <v>2215</v>
      </c>
      <c r="R739">
        <v>0.311</v>
      </c>
      <c r="S739">
        <v>0.26</v>
      </c>
      <c r="T739">
        <v>83.986999999999995</v>
      </c>
      <c r="U739">
        <v>4</v>
      </c>
      <c r="V739" t="s">
        <v>24</v>
      </c>
    </row>
    <row r="740" spans="3:22" x14ac:dyDescent="0.35">
      <c r="C740" t="s">
        <v>2216</v>
      </c>
      <c r="D740" t="s">
        <v>2217</v>
      </c>
      <c r="E740" t="s">
        <v>2218</v>
      </c>
      <c r="F740" t="s">
        <v>2219</v>
      </c>
      <c r="G740">
        <v>28</v>
      </c>
      <c r="H740">
        <v>179920</v>
      </c>
      <c r="I740" t="b">
        <v>0</v>
      </c>
      <c r="J740">
        <v>0.46600000000000003</v>
      </c>
      <c r="K740">
        <v>0.42099999999999999</v>
      </c>
      <c r="L740">
        <v>7</v>
      </c>
      <c r="M740">
        <v>-7.4279999999999999</v>
      </c>
      <c r="N740">
        <v>1</v>
      </c>
      <c r="O740">
        <v>3.1800000000000002E-2</v>
      </c>
      <c r="P740">
        <v>7.9799999999999992E-3</v>
      </c>
      <c r="Q740" s="1" t="s">
        <v>2220</v>
      </c>
      <c r="R740">
        <v>7.17E-2</v>
      </c>
      <c r="S740">
        <v>0.78800000000000003</v>
      </c>
      <c r="T740">
        <v>146.791</v>
      </c>
      <c r="U740">
        <v>4</v>
      </c>
      <c r="V740" t="s">
        <v>24</v>
      </c>
    </row>
    <row r="741" spans="3:22" x14ac:dyDescent="0.35">
      <c r="C741" t="s">
        <v>2221</v>
      </c>
      <c r="D741" t="s">
        <v>1223</v>
      </c>
      <c r="E741" t="s">
        <v>2222</v>
      </c>
      <c r="F741" t="s">
        <v>2223</v>
      </c>
      <c r="G741">
        <v>27</v>
      </c>
      <c r="H741">
        <v>330454</v>
      </c>
      <c r="I741" t="b">
        <v>0</v>
      </c>
      <c r="J741">
        <v>0.34200000000000003</v>
      </c>
      <c r="K741">
        <v>0.73099999999999998</v>
      </c>
      <c r="L741">
        <v>3</v>
      </c>
      <c r="M741">
        <v>-6.0149999999999997</v>
      </c>
      <c r="N741">
        <v>1</v>
      </c>
      <c r="O741">
        <v>5.45E-2</v>
      </c>
      <c r="P741">
        <v>6.7500000000000004E-2</v>
      </c>
      <c r="Q741" s="1" t="s">
        <v>2224</v>
      </c>
      <c r="R741">
        <v>0.191</v>
      </c>
      <c r="S741">
        <v>0.66500000000000004</v>
      </c>
      <c r="T741">
        <v>181.81</v>
      </c>
      <c r="U741">
        <v>4</v>
      </c>
      <c r="V741" t="s">
        <v>24</v>
      </c>
    </row>
    <row r="742" spans="3:22" x14ac:dyDescent="0.35">
      <c r="C742" t="s">
        <v>2225</v>
      </c>
      <c r="D742" t="s">
        <v>755</v>
      </c>
      <c r="E742" t="s">
        <v>920</v>
      </c>
      <c r="F742" t="s">
        <v>2226</v>
      </c>
      <c r="G742">
        <v>28</v>
      </c>
      <c r="H742">
        <v>175046</v>
      </c>
      <c r="I742" t="b">
        <v>0</v>
      </c>
      <c r="J742">
        <v>0.58299999999999996</v>
      </c>
      <c r="K742">
        <v>0.53400000000000003</v>
      </c>
      <c r="L742">
        <v>2</v>
      </c>
      <c r="M742">
        <v>-11.147</v>
      </c>
      <c r="N742">
        <v>0</v>
      </c>
      <c r="O742">
        <v>4.1099999999999998E-2</v>
      </c>
      <c r="P742">
        <v>0.56899999999999995</v>
      </c>
      <c r="Q742">
        <v>0</v>
      </c>
      <c r="R742">
        <v>0.35099999999999998</v>
      </c>
      <c r="S742">
        <v>0.94299999999999995</v>
      </c>
      <c r="T742">
        <v>123.09399999999999</v>
      </c>
      <c r="U742">
        <v>4</v>
      </c>
      <c r="V742" t="s">
        <v>24</v>
      </c>
    </row>
    <row r="743" spans="3:22" x14ac:dyDescent="0.35">
      <c r="C743" t="s">
        <v>2227</v>
      </c>
      <c r="D743" t="s">
        <v>1632</v>
      </c>
      <c r="E743" t="s">
        <v>2228</v>
      </c>
      <c r="F743" t="s">
        <v>2229</v>
      </c>
      <c r="G743">
        <v>30</v>
      </c>
      <c r="H743">
        <v>153653</v>
      </c>
      <c r="I743" t="b">
        <v>0</v>
      </c>
      <c r="J743">
        <v>0.69899999999999995</v>
      </c>
      <c r="K743">
        <v>0.76100000000000001</v>
      </c>
      <c r="L743">
        <v>7</v>
      </c>
      <c r="M743">
        <v>-7.2640000000000002</v>
      </c>
      <c r="N743">
        <v>1</v>
      </c>
      <c r="O743">
        <v>0.10299999999999999</v>
      </c>
      <c r="P743">
        <v>0.80600000000000005</v>
      </c>
      <c r="Q743">
        <v>1.15E-3</v>
      </c>
      <c r="R743">
        <v>0.58799999999999997</v>
      </c>
      <c r="S743">
        <v>0.70599999999999996</v>
      </c>
      <c r="T743">
        <v>115.048</v>
      </c>
      <c r="U743">
        <v>4</v>
      </c>
      <c r="V743" t="s">
        <v>24</v>
      </c>
    </row>
    <row r="744" spans="3:22" x14ac:dyDescent="0.35">
      <c r="C744" t="s">
        <v>2230</v>
      </c>
      <c r="D744" t="s">
        <v>1660</v>
      </c>
      <c r="E744" t="s">
        <v>1661</v>
      </c>
      <c r="F744" t="s">
        <v>2231</v>
      </c>
      <c r="G744">
        <v>28</v>
      </c>
      <c r="H744">
        <v>174709</v>
      </c>
      <c r="I744" t="b">
        <v>0</v>
      </c>
      <c r="J744">
        <v>0.64500000000000002</v>
      </c>
      <c r="K744">
        <v>0.626</v>
      </c>
      <c r="L744">
        <v>7</v>
      </c>
      <c r="M744">
        <v>-7.5510000000000002</v>
      </c>
      <c r="N744">
        <v>1</v>
      </c>
      <c r="O744">
        <v>3.6400000000000002E-2</v>
      </c>
      <c r="P744">
        <v>0.25900000000000001</v>
      </c>
      <c r="Q744">
        <v>8.8699999999999994E-3</v>
      </c>
      <c r="R744">
        <v>0.115</v>
      </c>
      <c r="S744">
        <v>0.307</v>
      </c>
      <c r="T744">
        <v>118.58499999999999</v>
      </c>
      <c r="U744">
        <v>4</v>
      </c>
      <c r="V744" t="s">
        <v>24</v>
      </c>
    </row>
    <row r="745" spans="3:22" x14ac:dyDescent="0.35">
      <c r="C745" t="s">
        <v>2232</v>
      </c>
      <c r="D745" t="s">
        <v>2217</v>
      </c>
      <c r="E745" t="s">
        <v>2233</v>
      </c>
      <c r="F745" t="s">
        <v>2234</v>
      </c>
      <c r="G745">
        <v>28</v>
      </c>
      <c r="H745">
        <v>258866</v>
      </c>
      <c r="I745" t="b">
        <v>0</v>
      </c>
      <c r="J745">
        <v>0.57699999999999996</v>
      </c>
      <c r="K745">
        <v>0.45300000000000001</v>
      </c>
      <c r="L745">
        <v>2</v>
      </c>
      <c r="M745">
        <v>-8.77</v>
      </c>
      <c r="N745">
        <v>1</v>
      </c>
      <c r="O745">
        <v>4.8899999999999999E-2</v>
      </c>
      <c r="P745">
        <v>0.39500000000000002</v>
      </c>
      <c r="Q745">
        <v>0</v>
      </c>
      <c r="R745">
        <v>0.17599999999999999</v>
      </c>
      <c r="S745">
        <v>0.51</v>
      </c>
      <c r="T745">
        <v>132.94399999999999</v>
      </c>
      <c r="U745">
        <v>4</v>
      </c>
      <c r="V745" t="s">
        <v>24</v>
      </c>
    </row>
    <row r="746" spans="3:22" x14ac:dyDescent="0.35">
      <c r="C746" t="s">
        <v>2235</v>
      </c>
      <c r="D746" t="s">
        <v>1522</v>
      </c>
      <c r="E746" t="s">
        <v>2236</v>
      </c>
      <c r="F746" t="s">
        <v>2237</v>
      </c>
      <c r="G746">
        <v>28</v>
      </c>
      <c r="H746">
        <v>172121</v>
      </c>
      <c r="I746" t="b">
        <v>1</v>
      </c>
      <c r="J746">
        <v>0.52900000000000003</v>
      </c>
      <c r="K746">
        <v>0.93600000000000005</v>
      </c>
      <c r="L746">
        <v>5</v>
      </c>
      <c r="M746">
        <v>-4.0609999999999999</v>
      </c>
      <c r="N746">
        <v>0</v>
      </c>
      <c r="O746">
        <v>7.5700000000000003E-2</v>
      </c>
      <c r="P746">
        <v>0.25600000000000001</v>
      </c>
      <c r="Q746">
        <v>4.5399999999999998E-4</v>
      </c>
      <c r="R746">
        <v>0.752</v>
      </c>
      <c r="S746">
        <v>0.84899999999999998</v>
      </c>
      <c r="T746">
        <v>91.951999999999998</v>
      </c>
      <c r="U746">
        <v>4</v>
      </c>
      <c r="V746" t="s">
        <v>24</v>
      </c>
    </row>
    <row r="747" spans="3:22" x14ac:dyDescent="0.35">
      <c r="C747" t="s">
        <v>2238</v>
      </c>
      <c r="D747" t="s">
        <v>1073</v>
      </c>
      <c r="E747" t="s">
        <v>1535</v>
      </c>
      <c r="F747" t="s">
        <v>2239</v>
      </c>
      <c r="G747">
        <v>27</v>
      </c>
      <c r="H747">
        <v>119946</v>
      </c>
      <c r="I747" t="b">
        <v>1</v>
      </c>
      <c r="J747">
        <v>0.45500000000000002</v>
      </c>
      <c r="K747">
        <v>0.96099999999999997</v>
      </c>
      <c r="L747">
        <v>4</v>
      </c>
      <c r="M747">
        <v>-4.5270000000000001</v>
      </c>
      <c r="N747">
        <v>0</v>
      </c>
      <c r="O747">
        <v>8.2400000000000001E-2</v>
      </c>
      <c r="P747" s="1" t="s">
        <v>2220</v>
      </c>
      <c r="Q747">
        <v>1.3100000000000001E-2</v>
      </c>
      <c r="R747">
        <v>0.35699999999999998</v>
      </c>
      <c r="S747">
        <v>0.41699999999999998</v>
      </c>
      <c r="T747">
        <v>95.069000000000003</v>
      </c>
      <c r="U747">
        <v>4</v>
      </c>
      <c r="V747" t="s">
        <v>24</v>
      </c>
    </row>
    <row r="748" spans="3:22" x14ac:dyDescent="0.35">
      <c r="C748" t="s">
        <v>2240</v>
      </c>
      <c r="D748" t="s">
        <v>1073</v>
      </c>
      <c r="E748" t="s">
        <v>1535</v>
      </c>
      <c r="F748" t="s">
        <v>2241</v>
      </c>
      <c r="G748">
        <v>27</v>
      </c>
      <c r="H748">
        <v>159640</v>
      </c>
      <c r="I748" t="b">
        <v>1</v>
      </c>
      <c r="J748">
        <v>0.45500000000000002</v>
      </c>
      <c r="K748">
        <v>0.93799999999999994</v>
      </c>
      <c r="L748">
        <v>7</v>
      </c>
      <c r="M748">
        <v>-4.3159999999999998</v>
      </c>
      <c r="N748">
        <v>1</v>
      </c>
      <c r="O748">
        <v>7.5600000000000001E-2</v>
      </c>
      <c r="P748">
        <v>2.2000000000000001E-3</v>
      </c>
      <c r="Q748" s="1" t="s">
        <v>2242</v>
      </c>
      <c r="R748">
        <v>0.14199999999999999</v>
      </c>
      <c r="S748">
        <v>0.55200000000000005</v>
      </c>
      <c r="T748">
        <v>143.887</v>
      </c>
      <c r="U748">
        <v>4</v>
      </c>
      <c r="V748" t="s">
        <v>24</v>
      </c>
    </row>
    <row r="749" spans="3:22" x14ac:dyDescent="0.35">
      <c r="C749" t="s">
        <v>2243</v>
      </c>
      <c r="D749" t="s">
        <v>2244</v>
      </c>
      <c r="E749" t="s">
        <v>1665</v>
      </c>
      <c r="F749" t="s">
        <v>2245</v>
      </c>
      <c r="G749">
        <v>27</v>
      </c>
      <c r="H749">
        <v>244821</v>
      </c>
      <c r="I749" t="b">
        <v>0</v>
      </c>
      <c r="J749">
        <v>0.66200000000000003</v>
      </c>
      <c r="K749">
        <v>0.26800000000000002</v>
      </c>
      <c r="L749">
        <v>10</v>
      </c>
      <c r="M749">
        <v>-7.3940000000000001</v>
      </c>
      <c r="N749">
        <v>1</v>
      </c>
      <c r="O749">
        <v>3.5799999999999998E-2</v>
      </c>
      <c r="P749">
        <v>0.85799999999999998</v>
      </c>
      <c r="Q749">
        <v>0</v>
      </c>
      <c r="R749">
        <v>0.11</v>
      </c>
      <c r="S749">
        <v>0.39400000000000002</v>
      </c>
      <c r="T749">
        <v>111.59399999999999</v>
      </c>
      <c r="U749">
        <v>4</v>
      </c>
      <c r="V749" t="s">
        <v>24</v>
      </c>
    </row>
    <row r="750" spans="3:22" x14ac:dyDescent="0.35">
      <c r="C750" t="s">
        <v>2246</v>
      </c>
      <c r="D750" t="s">
        <v>755</v>
      </c>
      <c r="E750" t="s">
        <v>1513</v>
      </c>
      <c r="F750" t="s">
        <v>2247</v>
      </c>
      <c r="G750">
        <v>28</v>
      </c>
      <c r="H750">
        <v>182204</v>
      </c>
      <c r="I750" t="b">
        <v>1</v>
      </c>
      <c r="J750">
        <v>0.48599999999999999</v>
      </c>
      <c r="K750">
        <v>0.42299999999999999</v>
      </c>
      <c r="L750">
        <v>9</v>
      </c>
      <c r="M750">
        <v>-11.702999999999999</v>
      </c>
      <c r="N750">
        <v>0</v>
      </c>
      <c r="O750">
        <v>4.2599999999999999E-2</v>
      </c>
      <c r="P750">
        <v>0.78400000000000003</v>
      </c>
      <c r="Q750">
        <v>0</v>
      </c>
      <c r="R750">
        <v>0.32</v>
      </c>
      <c r="S750">
        <v>0.75</v>
      </c>
      <c r="T750">
        <v>127.551</v>
      </c>
      <c r="U750">
        <v>4</v>
      </c>
      <c r="V750" t="s">
        <v>24</v>
      </c>
    </row>
    <row r="751" spans="3:22" x14ac:dyDescent="0.35">
      <c r="C751" t="s">
        <v>2248</v>
      </c>
      <c r="D751" t="s">
        <v>1073</v>
      </c>
      <c r="E751" t="s">
        <v>1953</v>
      </c>
      <c r="F751" t="s">
        <v>98</v>
      </c>
      <c r="G751">
        <v>27</v>
      </c>
      <c r="H751">
        <v>245386</v>
      </c>
      <c r="I751" t="b">
        <v>0</v>
      </c>
      <c r="J751">
        <v>0.28499999999999998</v>
      </c>
      <c r="K751">
        <v>0.93799999999999994</v>
      </c>
      <c r="L751">
        <v>4</v>
      </c>
      <c r="M751">
        <v>-5.4139999999999997</v>
      </c>
      <c r="N751">
        <v>1</v>
      </c>
      <c r="O751">
        <v>7.9500000000000001E-2</v>
      </c>
      <c r="P751">
        <v>1.4499999999999999E-3</v>
      </c>
      <c r="Q751">
        <v>2.7300000000000002E-4</v>
      </c>
      <c r="R751">
        <v>0.38700000000000001</v>
      </c>
      <c r="S751">
        <v>0.28599999999999998</v>
      </c>
      <c r="T751">
        <v>159.017</v>
      </c>
      <c r="U751">
        <v>4</v>
      </c>
      <c r="V751" t="s">
        <v>24</v>
      </c>
    </row>
    <row r="752" spans="3:22" x14ac:dyDescent="0.35">
      <c r="C752" t="s">
        <v>2249</v>
      </c>
      <c r="D752" t="s">
        <v>1297</v>
      </c>
      <c r="E752" t="s">
        <v>2250</v>
      </c>
      <c r="F752" t="s">
        <v>2251</v>
      </c>
      <c r="G752">
        <v>65</v>
      </c>
      <c r="H752">
        <v>235240</v>
      </c>
      <c r="I752" t="b">
        <v>0</v>
      </c>
      <c r="J752">
        <v>0.67300000000000004</v>
      </c>
      <c r="K752">
        <v>0.85</v>
      </c>
      <c r="L752">
        <v>2</v>
      </c>
      <c r="M752">
        <v>-5.0209999999999999</v>
      </c>
      <c r="N752">
        <v>1</v>
      </c>
      <c r="O752">
        <v>3.3700000000000001E-2</v>
      </c>
      <c r="P752">
        <v>3.4500000000000003E-2</v>
      </c>
      <c r="Q752" s="1" t="s">
        <v>2252</v>
      </c>
      <c r="R752">
        <v>9.4299999999999995E-2</v>
      </c>
      <c r="S752">
        <v>0.79300000000000004</v>
      </c>
      <c r="T752">
        <v>100.008</v>
      </c>
      <c r="U752">
        <v>4</v>
      </c>
      <c r="V752" t="s">
        <v>24</v>
      </c>
    </row>
    <row r="753" spans="3:22" x14ac:dyDescent="0.35">
      <c r="C753" t="s">
        <v>2253</v>
      </c>
      <c r="D753" t="s">
        <v>21</v>
      </c>
      <c r="E753" t="s">
        <v>2254</v>
      </c>
      <c r="F753" t="s">
        <v>2254</v>
      </c>
      <c r="G753">
        <v>49</v>
      </c>
      <c r="H753">
        <v>290000</v>
      </c>
      <c r="I753" t="b">
        <v>0</v>
      </c>
      <c r="J753">
        <v>0.753</v>
      </c>
      <c r="K753">
        <v>0.57399999999999995</v>
      </c>
      <c r="L753">
        <v>3</v>
      </c>
      <c r="M753">
        <v>-4.57</v>
      </c>
      <c r="N753">
        <v>1</v>
      </c>
      <c r="O753">
        <v>4.8300000000000003E-2</v>
      </c>
      <c r="P753">
        <v>5.1200000000000002E-2</v>
      </c>
      <c r="Q753" s="1" t="s">
        <v>2255</v>
      </c>
      <c r="R753">
        <v>0.14099999999999999</v>
      </c>
      <c r="S753">
        <v>0.52700000000000002</v>
      </c>
      <c r="T753">
        <v>89.024000000000001</v>
      </c>
      <c r="U753">
        <v>4</v>
      </c>
      <c r="V753" t="s">
        <v>24</v>
      </c>
    </row>
    <row r="754" spans="3:22" x14ac:dyDescent="0.35">
      <c r="C754" t="s">
        <v>2256</v>
      </c>
      <c r="D754" t="s">
        <v>2185</v>
      </c>
      <c r="E754" t="s">
        <v>2257</v>
      </c>
      <c r="F754" t="s">
        <v>2257</v>
      </c>
      <c r="G754">
        <v>52</v>
      </c>
      <c r="H754">
        <v>445533</v>
      </c>
      <c r="I754" t="b">
        <v>0</v>
      </c>
      <c r="J754">
        <v>0.63900000000000001</v>
      </c>
      <c r="K754">
        <v>0.496</v>
      </c>
      <c r="L754">
        <v>1</v>
      </c>
      <c r="M754">
        <v>-6.8440000000000003</v>
      </c>
      <c r="N754">
        <v>0</v>
      </c>
      <c r="O754">
        <v>3.7499999999999999E-2</v>
      </c>
      <c r="P754">
        <v>0.71299999999999997</v>
      </c>
      <c r="Q754">
        <v>0.254</v>
      </c>
      <c r="R754">
        <v>5.45E-2</v>
      </c>
      <c r="S754">
        <v>0.46700000000000003</v>
      </c>
      <c r="T754">
        <v>140.39400000000001</v>
      </c>
      <c r="U754">
        <v>3</v>
      </c>
      <c r="V754" t="s">
        <v>24</v>
      </c>
    </row>
    <row r="755" spans="3:22" x14ac:dyDescent="0.35">
      <c r="C755" t="s">
        <v>2258</v>
      </c>
      <c r="D755" t="s">
        <v>2259</v>
      </c>
      <c r="E755" t="s">
        <v>2260</v>
      </c>
      <c r="F755" t="s">
        <v>2260</v>
      </c>
      <c r="G755">
        <v>39</v>
      </c>
      <c r="H755">
        <v>193876</v>
      </c>
      <c r="I755" t="b">
        <v>0</v>
      </c>
      <c r="J755">
        <v>0.748</v>
      </c>
      <c r="K755">
        <v>0.42799999999999999</v>
      </c>
      <c r="L755">
        <v>6</v>
      </c>
      <c r="M755">
        <v>-7.0190000000000001</v>
      </c>
      <c r="N755">
        <v>1</v>
      </c>
      <c r="O755">
        <v>3.1399999999999997E-2</v>
      </c>
      <c r="P755">
        <v>0.54200000000000004</v>
      </c>
      <c r="Q755">
        <v>0</v>
      </c>
      <c r="R755">
        <v>9.9400000000000002E-2</v>
      </c>
      <c r="S755">
        <v>0.56499999999999995</v>
      </c>
      <c r="T755">
        <v>115.06699999999999</v>
      </c>
      <c r="U755">
        <v>4</v>
      </c>
      <c r="V755" t="s">
        <v>24</v>
      </c>
    </row>
    <row r="756" spans="3:22" x14ac:dyDescent="0.35">
      <c r="C756" t="s">
        <v>2261</v>
      </c>
      <c r="D756" t="s">
        <v>278</v>
      </c>
      <c r="E756" t="s">
        <v>2262</v>
      </c>
      <c r="F756" t="s">
        <v>2263</v>
      </c>
      <c r="G756">
        <v>38</v>
      </c>
      <c r="H756">
        <v>221826</v>
      </c>
      <c r="I756" t="b">
        <v>0</v>
      </c>
      <c r="J756">
        <v>0.45800000000000002</v>
      </c>
      <c r="K756">
        <v>0.81499999999999995</v>
      </c>
      <c r="L756">
        <v>1</v>
      </c>
      <c r="M756">
        <v>-7.16</v>
      </c>
      <c r="N756">
        <v>0</v>
      </c>
      <c r="O756">
        <v>5.1499999999999997E-2</v>
      </c>
      <c r="P756">
        <v>3.7399999999999998E-3</v>
      </c>
      <c r="Q756" s="1" t="s">
        <v>429</v>
      </c>
      <c r="R756">
        <v>0.115</v>
      </c>
      <c r="S756">
        <v>0.36199999999999999</v>
      </c>
      <c r="T756">
        <v>118.226</v>
      </c>
      <c r="U756">
        <v>4</v>
      </c>
      <c r="V756" t="s">
        <v>24</v>
      </c>
    </row>
    <row r="757" spans="3:22" x14ac:dyDescent="0.35">
      <c r="C757" t="s">
        <v>2264</v>
      </c>
      <c r="D757" t="s">
        <v>184</v>
      </c>
      <c r="E757" t="s">
        <v>185</v>
      </c>
      <c r="F757" t="s">
        <v>2265</v>
      </c>
      <c r="G757">
        <v>45</v>
      </c>
      <c r="H757">
        <v>318439</v>
      </c>
      <c r="I757" t="b">
        <v>0</v>
      </c>
      <c r="J757">
        <v>0.48299999999999998</v>
      </c>
      <c r="K757">
        <v>0.80600000000000005</v>
      </c>
      <c r="L757">
        <v>7</v>
      </c>
      <c r="M757">
        <v>-5.1109999999999998</v>
      </c>
      <c r="N757">
        <v>0</v>
      </c>
      <c r="O757">
        <v>3.2099999999999997E-2</v>
      </c>
      <c r="P757">
        <v>8.8099999999999998E-2</v>
      </c>
      <c r="Q757">
        <v>8.9499999999999996E-4</v>
      </c>
      <c r="R757">
        <v>9.9099999999999994E-2</v>
      </c>
      <c r="S757">
        <v>0.19</v>
      </c>
      <c r="T757">
        <v>147.04900000000001</v>
      </c>
      <c r="U757">
        <v>4</v>
      </c>
      <c r="V757" t="s">
        <v>24</v>
      </c>
    </row>
    <row r="758" spans="3:22" x14ac:dyDescent="0.35">
      <c r="C758" t="s">
        <v>2266</v>
      </c>
      <c r="D758" t="s">
        <v>21</v>
      </c>
      <c r="E758" t="s">
        <v>2267</v>
      </c>
      <c r="F758" t="s">
        <v>2267</v>
      </c>
      <c r="G758">
        <v>41</v>
      </c>
      <c r="H758">
        <v>239933</v>
      </c>
      <c r="I758" t="b">
        <v>0</v>
      </c>
      <c r="J758">
        <v>0.64</v>
      </c>
      <c r="K758">
        <v>0.54700000000000004</v>
      </c>
      <c r="L758">
        <v>4</v>
      </c>
      <c r="M758">
        <v>-4.1289999999999996</v>
      </c>
      <c r="N758">
        <v>1</v>
      </c>
      <c r="O758">
        <v>3.7999999999999999E-2</v>
      </c>
      <c r="P758">
        <v>6.7600000000000004E-3</v>
      </c>
      <c r="Q758" s="1" t="s">
        <v>2268</v>
      </c>
      <c r="R758">
        <v>5.8500000000000003E-2</v>
      </c>
      <c r="S758">
        <v>0.95</v>
      </c>
      <c r="T758">
        <v>159.99199999999999</v>
      </c>
      <c r="U758">
        <v>4</v>
      </c>
      <c r="V758" t="s">
        <v>24</v>
      </c>
    </row>
    <row r="759" spans="3:22" x14ac:dyDescent="0.35">
      <c r="C759" t="s">
        <v>2269</v>
      </c>
      <c r="D759" t="s">
        <v>2270</v>
      </c>
      <c r="E759" t="s">
        <v>2271</v>
      </c>
      <c r="F759" t="s">
        <v>2271</v>
      </c>
      <c r="G759">
        <v>49</v>
      </c>
      <c r="H759">
        <v>194782</v>
      </c>
      <c r="I759" t="b">
        <v>0</v>
      </c>
      <c r="J759">
        <v>0.48299999999999998</v>
      </c>
      <c r="K759">
        <v>0.14299999999999999</v>
      </c>
      <c r="L759">
        <v>1</v>
      </c>
      <c r="M759">
        <v>-11.535</v>
      </c>
      <c r="N759">
        <v>1</v>
      </c>
      <c r="O759">
        <v>3.5000000000000003E-2</v>
      </c>
      <c r="P759">
        <v>0.95799999999999996</v>
      </c>
      <c r="Q759">
        <v>0</v>
      </c>
      <c r="R759">
        <v>0.11899999999999999</v>
      </c>
      <c r="S759">
        <v>0.34200000000000003</v>
      </c>
      <c r="T759">
        <v>104.932</v>
      </c>
      <c r="U759">
        <v>3</v>
      </c>
      <c r="V759" t="s">
        <v>24</v>
      </c>
    </row>
    <row r="760" spans="3:22" x14ac:dyDescent="0.35">
      <c r="C760" t="s">
        <v>2272</v>
      </c>
      <c r="D760" t="s">
        <v>1319</v>
      </c>
      <c r="E760" t="s">
        <v>2273</v>
      </c>
      <c r="F760" t="s">
        <v>2274</v>
      </c>
      <c r="G760">
        <v>28</v>
      </c>
      <c r="H760">
        <v>163200</v>
      </c>
      <c r="I760" t="b">
        <v>0</v>
      </c>
      <c r="J760">
        <v>0.51200000000000001</v>
      </c>
      <c r="K760">
        <v>0.67100000000000004</v>
      </c>
      <c r="L760">
        <v>1</v>
      </c>
      <c r="M760">
        <v>-7.7380000000000004</v>
      </c>
      <c r="N760">
        <v>1</v>
      </c>
      <c r="O760">
        <v>2.8299999999999999E-2</v>
      </c>
      <c r="P760">
        <v>3.1399999999999997E-2</v>
      </c>
      <c r="Q760">
        <v>0.161</v>
      </c>
      <c r="R760">
        <v>7.4899999999999994E-2</v>
      </c>
      <c r="S760">
        <v>0.39700000000000002</v>
      </c>
      <c r="T760">
        <v>82.341999999999999</v>
      </c>
      <c r="U760">
        <v>4</v>
      </c>
      <c r="V760" t="s">
        <v>24</v>
      </c>
    </row>
    <row r="761" spans="3:22" x14ac:dyDescent="0.35">
      <c r="C761" t="s">
        <v>2275</v>
      </c>
      <c r="D761" t="s">
        <v>1148</v>
      </c>
      <c r="E761" t="s">
        <v>2276</v>
      </c>
      <c r="F761" t="s">
        <v>2277</v>
      </c>
      <c r="G761">
        <v>51</v>
      </c>
      <c r="H761">
        <v>186503</v>
      </c>
      <c r="I761" t="b">
        <v>0</v>
      </c>
      <c r="J761">
        <v>0.81699999999999995</v>
      </c>
      <c r="K761">
        <v>0.30499999999999999</v>
      </c>
      <c r="L761">
        <v>6</v>
      </c>
      <c r="M761">
        <v>-7.73</v>
      </c>
      <c r="N761">
        <v>1</v>
      </c>
      <c r="O761">
        <v>4.5100000000000001E-2</v>
      </c>
      <c r="P761">
        <v>0.874</v>
      </c>
      <c r="Q761">
        <v>0</v>
      </c>
      <c r="R761">
        <v>0.115</v>
      </c>
      <c r="S761">
        <v>0.52</v>
      </c>
      <c r="T761">
        <v>148.017</v>
      </c>
      <c r="U761">
        <v>3</v>
      </c>
      <c r="V761" t="s">
        <v>24</v>
      </c>
    </row>
    <row r="762" spans="3:22" x14ac:dyDescent="0.35">
      <c r="C762" t="s">
        <v>2278</v>
      </c>
      <c r="D762" t="s">
        <v>2279</v>
      </c>
      <c r="E762" t="s">
        <v>2280</v>
      </c>
      <c r="F762" t="s">
        <v>2281</v>
      </c>
      <c r="G762">
        <v>35</v>
      </c>
      <c r="H762">
        <v>256760</v>
      </c>
      <c r="I762" t="b">
        <v>0</v>
      </c>
      <c r="J762">
        <v>0.505</v>
      </c>
      <c r="K762">
        <v>0.83499999999999996</v>
      </c>
      <c r="L762">
        <v>5</v>
      </c>
      <c r="M762">
        <v>-4.3010000000000002</v>
      </c>
      <c r="N762">
        <v>1</v>
      </c>
      <c r="O762">
        <v>2.9600000000000001E-2</v>
      </c>
      <c r="P762">
        <v>0.46</v>
      </c>
      <c r="Q762">
        <v>3.5199999999999999E-4</v>
      </c>
      <c r="R762">
        <v>0.16500000000000001</v>
      </c>
      <c r="S762">
        <v>0.48399999999999999</v>
      </c>
      <c r="T762">
        <v>144.17099999999999</v>
      </c>
      <c r="U762">
        <v>4</v>
      </c>
      <c r="V762" t="s">
        <v>24</v>
      </c>
    </row>
    <row r="763" spans="3:22" x14ac:dyDescent="0.35">
      <c r="C763" t="s">
        <v>2282</v>
      </c>
      <c r="D763" t="s">
        <v>935</v>
      </c>
      <c r="E763" t="s">
        <v>2283</v>
      </c>
      <c r="F763" t="s">
        <v>2284</v>
      </c>
      <c r="G763">
        <v>54</v>
      </c>
      <c r="H763">
        <v>172633</v>
      </c>
      <c r="I763" t="b">
        <v>0</v>
      </c>
      <c r="J763">
        <v>0.59099999999999997</v>
      </c>
      <c r="K763">
        <v>0.26900000000000002</v>
      </c>
      <c r="L763">
        <v>0</v>
      </c>
      <c r="M763">
        <v>-8.5540000000000003</v>
      </c>
      <c r="N763">
        <v>1</v>
      </c>
      <c r="O763">
        <v>3.0099999999999998E-2</v>
      </c>
      <c r="P763">
        <v>0.91100000000000003</v>
      </c>
      <c r="Q763">
        <v>0</v>
      </c>
      <c r="R763">
        <v>9.4500000000000001E-2</v>
      </c>
      <c r="S763">
        <v>0.246</v>
      </c>
      <c r="T763">
        <v>124.441</v>
      </c>
      <c r="U763">
        <v>4</v>
      </c>
      <c r="V763" t="s">
        <v>24</v>
      </c>
    </row>
    <row r="764" spans="3:22" x14ac:dyDescent="0.35">
      <c r="C764" t="s">
        <v>2285</v>
      </c>
      <c r="D764" t="s">
        <v>215</v>
      </c>
      <c r="E764" t="s">
        <v>1448</v>
      </c>
      <c r="F764" t="s">
        <v>2286</v>
      </c>
      <c r="G764">
        <v>48</v>
      </c>
      <c r="H764">
        <v>167186</v>
      </c>
      <c r="I764" t="b">
        <v>0</v>
      </c>
      <c r="J764">
        <v>0.47399999999999998</v>
      </c>
      <c r="K764">
        <v>6.9900000000000004E-2</v>
      </c>
      <c r="L764">
        <v>0</v>
      </c>
      <c r="M764">
        <v>-27.372</v>
      </c>
      <c r="N764">
        <v>1</v>
      </c>
      <c r="O764">
        <v>3.7999999999999999E-2</v>
      </c>
      <c r="P764">
        <v>0.99199999999999999</v>
      </c>
      <c r="Q764">
        <v>0.89800000000000002</v>
      </c>
      <c r="R764">
        <v>0.11600000000000001</v>
      </c>
      <c r="S764">
        <v>0.24299999999999999</v>
      </c>
      <c r="T764">
        <v>114.60599999999999</v>
      </c>
      <c r="U764">
        <v>4</v>
      </c>
      <c r="V764" t="s">
        <v>24</v>
      </c>
    </row>
    <row r="765" spans="3:22" x14ac:dyDescent="0.35">
      <c r="C765" t="s">
        <v>2287</v>
      </c>
      <c r="D765" t="s">
        <v>637</v>
      </c>
      <c r="E765" t="s">
        <v>2288</v>
      </c>
      <c r="F765" t="s">
        <v>2289</v>
      </c>
      <c r="G765">
        <v>60</v>
      </c>
      <c r="H765">
        <v>255510</v>
      </c>
      <c r="I765" t="b">
        <v>0</v>
      </c>
      <c r="J765">
        <v>0.42699999999999999</v>
      </c>
      <c r="K765">
        <v>0.22900000000000001</v>
      </c>
      <c r="L765">
        <v>4</v>
      </c>
      <c r="M765">
        <v>-11.564</v>
      </c>
      <c r="N765">
        <v>1</v>
      </c>
      <c r="O765">
        <v>3.6400000000000002E-2</v>
      </c>
      <c r="P765">
        <v>0.93500000000000005</v>
      </c>
      <c r="Q765" s="1" t="s">
        <v>2290</v>
      </c>
      <c r="R765">
        <v>9.5799999999999996E-2</v>
      </c>
      <c r="S765">
        <v>0.222</v>
      </c>
      <c r="T765">
        <v>125.19499999999999</v>
      </c>
      <c r="U765">
        <v>5</v>
      </c>
      <c r="V765" t="s">
        <v>24</v>
      </c>
    </row>
    <row r="766" spans="3:22" x14ac:dyDescent="0.35">
      <c r="C766" t="s">
        <v>2291</v>
      </c>
      <c r="D766" t="s">
        <v>2292</v>
      </c>
      <c r="E766" t="s">
        <v>2293</v>
      </c>
      <c r="F766" t="s">
        <v>2294</v>
      </c>
      <c r="G766">
        <v>57</v>
      </c>
      <c r="H766">
        <v>181000</v>
      </c>
      <c r="I766" t="b">
        <v>0</v>
      </c>
      <c r="J766">
        <v>0.56299999999999994</v>
      </c>
      <c r="K766">
        <v>0.54200000000000004</v>
      </c>
      <c r="L766">
        <v>9</v>
      </c>
      <c r="M766">
        <v>-10.862</v>
      </c>
      <c r="N766">
        <v>1</v>
      </c>
      <c r="O766">
        <v>9.6199999999999994E-2</v>
      </c>
      <c r="P766">
        <v>0.70599999999999996</v>
      </c>
      <c r="Q766" s="1" t="s">
        <v>2295</v>
      </c>
      <c r="R766">
        <v>0.35499999999999998</v>
      </c>
      <c r="S766">
        <v>0.78500000000000003</v>
      </c>
      <c r="T766">
        <v>133.285</v>
      </c>
      <c r="U766">
        <v>4</v>
      </c>
      <c r="V766" t="s">
        <v>24</v>
      </c>
    </row>
    <row r="767" spans="3:22" x14ac:dyDescent="0.35">
      <c r="C767" t="s">
        <v>2296</v>
      </c>
      <c r="D767" t="s">
        <v>258</v>
      </c>
      <c r="E767" t="s">
        <v>2297</v>
      </c>
      <c r="F767" t="s">
        <v>2297</v>
      </c>
      <c r="G767">
        <v>45</v>
      </c>
      <c r="H767">
        <v>276386</v>
      </c>
      <c r="I767" t="b">
        <v>0</v>
      </c>
      <c r="J767">
        <v>0.35399999999999998</v>
      </c>
      <c r="K767">
        <v>0.17499999999999999</v>
      </c>
      <c r="L767">
        <v>0</v>
      </c>
      <c r="M767">
        <v>-9.7789999999999999</v>
      </c>
      <c r="N767">
        <v>1</v>
      </c>
      <c r="O767">
        <v>3.8800000000000001E-2</v>
      </c>
      <c r="P767">
        <v>0.78100000000000003</v>
      </c>
      <c r="Q767" s="1" t="s">
        <v>2298</v>
      </c>
      <c r="R767">
        <v>0.153</v>
      </c>
      <c r="S767">
        <v>0.32300000000000001</v>
      </c>
      <c r="T767">
        <v>111.089</v>
      </c>
      <c r="U767">
        <v>4</v>
      </c>
      <c r="V767" t="s">
        <v>24</v>
      </c>
    </row>
    <row r="768" spans="3:22" x14ac:dyDescent="0.35">
      <c r="C768" t="s">
        <v>2299</v>
      </c>
      <c r="D768" t="s">
        <v>521</v>
      </c>
      <c r="E768" t="s">
        <v>2300</v>
      </c>
      <c r="F768" t="s">
        <v>2300</v>
      </c>
      <c r="G768">
        <v>34</v>
      </c>
      <c r="H768">
        <v>196487</v>
      </c>
      <c r="I768" t="b">
        <v>0</v>
      </c>
      <c r="J768">
        <v>0.51400000000000001</v>
      </c>
      <c r="K768">
        <v>0.23899999999999999</v>
      </c>
      <c r="L768">
        <v>2</v>
      </c>
      <c r="M768">
        <v>-14.957000000000001</v>
      </c>
      <c r="N768">
        <v>0</v>
      </c>
      <c r="O768">
        <v>0.10100000000000001</v>
      </c>
      <c r="P768">
        <v>0.98199999999999998</v>
      </c>
      <c r="Q768">
        <v>0.95399999999999996</v>
      </c>
      <c r="R768">
        <v>0.106</v>
      </c>
      <c r="S768">
        <v>0.33800000000000002</v>
      </c>
      <c r="T768">
        <v>119.998</v>
      </c>
      <c r="U768">
        <v>4</v>
      </c>
      <c r="V768" t="s">
        <v>24</v>
      </c>
    </row>
    <row r="769" spans="3:22" x14ac:dyDescent="0.35">
      <c r="C769" t="s">
        <v>2301</v>
      </c>
      <c r="D769" t="s">
        <v>2302</v>
      </c>
      <c r="E769" t="s">
        <v>2303</v>
      </c>
      <c r="F769" t="s">
        <v>2304</v>
      </c>
      <c r="G769">
        <v>40</v>
      </c>
      <c r="H769">
        <v>269826</v>
      </c>
      <c r="I769" t="b">
        <v>0</v>
      </c>
      <c r="J769">
        <v>0.28499999999999998</v>
      </c>
      <c r="K769">
        <v>0.30499999999999999</v>
      </c>
      <c r="L769">
        <v>7</v>
      </c>
      <c r="M769">
        <v>-10.523</v>
      </c>
      <c r="N769">
        <v>1</v>
      </c>
      <c r="O769">
        <v>2.8500000000000001E-2</v>
      </c>
      <c r="P769">
        <v>0.26</v>
      </c>
      <c r="Q769">
        <v>1.9199999999999998E-2</v>
      </c>
      <c r="R769">
        <v>0.19500000000000001</v>
      </c>
      <c r="S769">
        <v>4.19E-2</v>
      </c>
      <c r="T769">
        <v>133.51300000000001</v>
      </c>
      <c r="U769">
        <v>4</v>
      </c>
      <c r="V769" t="s">
        <v>24</v>
      </c>
    </row>
    <row r="770" spans="3:22" x14ac:dyDescent="0.35">
      <c r="C770" t="s">
        <v>2305</v>
      </c>
      <c r="D770" t="s">
        <v>26</v>
      </c>
      <c r="E770" t="s">
        <v>2306</v>
      </c>
      <c r="F770" t="s">
        <v>2306</v>
      </c>
      <c r="G770">
        <v>46</v>
      </c>
      <c r="H770">
        <v>183337</v>
      </c>
      <c r="I770" t="b">
        <v>0</v>
      </c>
      <c r="J770">
        <v>0.80200000000000005</v>
      </c>
      <c r="K770">
        <v>0.183</v>
      </c>
      <c r="L770">
        <v>8</v>
      </c>
      <c r="M770">
        <v>-17.100000000000001</v>
      </c>
      <c r="N770">
        <v>1</v>
      </c>
      <c r="O770">
        <v>0.40300000000000002</v>
      </c>
      <c r="P770">
        <v>0.80900000000000005</v>
      </c>
      <c r="Q770">
        <v>0</v>
      </c>
      <c r="R770">
        <v>0.109</v>
      </c>
      <c r="S770">
        <v>0.66400000000000003</v>
      </c>
      <c r="T770">
        <v>91.078000000000003</v>
      </c>
      <c r="U770">
        <v>4</v>
      </c>
      <c r="V770" t="s">
        <v>24</v>
      </c>
    </row>
    <row r="771" spans="3:22" x14ac:dyDescent="0.35">
      <c r="C771" t="s">
        <v>2307</v>
      </c>
      <c r="D771" t="s">
        <v>2308</v>
      </c>
      <c r="E771" t="s">
        <v>2309</v>
      </c>
      <c r="F771" t="s">
        <v>2310</v>
      </c>
      <c r="G771">
        <v>42</v>
      </c>
      <c r="H771">
        <v>217898</v>
      </c>
      <c r="I771" t="b">
        <v>0</v>
      </c>
      <c r="J771">
        <v>0.61399999999999999</v>
      </c>
      <c r="K771">
        <v>0.51700000000000002</v>
      </c>
      <c r="L771">
        <v>2</v>
      </c>
      <c r="M771">
        <v>-6.2050000000000001</v>
      </c>
      <c r="N771">
        <v>1</v>
      </c>
      <c r="O771">
        <v>3.0200000000000001E-2</v>
      </c>
      <c r="P771">
        <v>0.747</v>
      </c>
      <c r="Q771">
        <v>0</v>
      </c>
      <c r="R771">
        <v>0.13400000000000001</v>
      </c>
      <c r="S771">
        <v>0.42399999999999999</v>
      </c>
      <c r="T771">
        <v>133.86799999999999</v>
      </c>
      <c r="U771">
        <v>4</v>
      </c>
      <c r="V771" t="s">
        <v>24</v>
      </c>
    </row>
    <row r="772" spans="3:22" x14ac:dyDescent="0.35">
      <c r="C772" t="s">
        <v>2311</v>
      </c>
      <c r="D772" t="s">
        <v>2312</v>
      </c>
      <c r="E772" t="s">
        <v>2313</v>
      </c>
      <c r="F772" t="s">
        <v>2314</v>
      </c>
      <c r="G772">
        <v>36</v>
      </c>
      <c r="H772">
        <v>221070</v>
      </c>
      <c r="I772" t="b">
        <v>0</v>
      </c>
      <c r="J772">
        <v>0.63</v>
      </c>
      <c r="K772">
        <v>0.30099999999999999</v>
      </c>
      <c r="L772">
        <v>1</v>
      </c>
      <c r="M772">
        <v>-6.952</v>
      </c>
      <c r="N772">
        <v>1</v>
      </c>
      <c r="O772">
        <v>2.8799999999999999E-2</v>
      </c>
      <c r="P772">
        <v>0.877</v>
      </c>
      <c r="Q772">
        <v>0</v>
      </c>
      <c r="R772">
        <v>0.12</v>
      </c>
      <c r="S772">
        <v>0.39500000000000002</v>
      </c>
      <c r="T772">
        <v>104.959</v>
      </c>
      <c r="U772">
        <v>4</v>
      </c>
      <c r="V772" t="s">
        <v>24</v>
      </c>
    </row>
    <row r="773" spans="3:22" x14ac:dyDescent="0.35">
      <c r="C773" t="s">
        <v>2315</v>
      </c>
      <c r="D773" t="s">
        <v>50</v>
      </c>
      <c r="E773" t="s">
        <v>2316</v>
      </c>
      <c r="F773" t="s">
        <v>2317</v>
      </c>
      <c r="G773">
        <v>16</v>
      </c>
      <c r="H773">
        <v>240640</v>
      </c>
      <c r="I773" t="b">
        <v>0</v>
      </c>
      <c r="J773">
        <v>0.54300000000000004</v>
      </c>
      <c r="K773">
        <v>0.32900000000000001</v>
      </c>
      <c r="L773">
        <v>4</v>
      </c>
      <c r="M773">
        <v>-9.4600000000000009</v>
      </c>
      <c r="N773">
        <v>1</v>
      </c>
      <c r="O773">
        <v>4.4900000000000002E-2</v>
      </c>
      <c r="P773">
        <v>0.69</v>
      </c>
      <c r="Q773">
        <v>0</v>
      </c>
      <c r="R773">
        <v>0.112</v>
      </c>
      <c r="S773">
        <v>0.14099999999999999</v>
      </c>
      <c r="T773">
        <v>136.54900000000001</v>
      </c>
      <c r="U773">
        <v>3</v>
      </c>
      <c r="V773" t="s">
        <v>24</v>
      </c>
    </row>
    <row r="774" spans="3:22" x14ac:dyDescent="0.35">
      <c r="C774" t="s">
        <v>2318</v>
      </c>
      <c r="D774" t="s">
        <v>408</v>
      </c>
      <c r="E774" t="s">
        <v>2319</v>
      </c>
      <c r="F774" t="s">
        <v>2319</v>
      </c>
      <c r="G774">
        <v>46</v>
      </c>
      <c r="H774">
        <v>229519</v>
      </c>
      <c r="I774" t="b">
        <v>0</v>
      </c>
      <c r="J774">
        <v>0.39700000000000002</v>
      </c>
      <c r="K774">
        <v>0.312</v>
      </c>
      <c r="L774">
        <v>0</v>
      </c>
      <c r="M774">
        <v>-10.504</v>
      </c>
      <c r="N774">
        <v>1</v>
      </c>
      <c r="O774">
        <v>3.0700000000000002E-2</v>
      </c>
      <c r="P774">
        <v>0.77200000000000002</v>
      </c>
      <c r="Q774">
        <v>0</v>
      </c>
      <c r="R774">
        <v>0.11700000000000001</v>
      </c>
      <c r="S774">
        <v>0.14099999999999999</v>
      </c>
      <c r="T774">
        <v>179.60499999999999</v>
      </c>
      <c r="U774">
        <v>4</v>
      </c>
      <c r="V774" t="s">
        <v>24</v>
      </c>
    </row>
    <row r="775" spans="3:22" x14ac:dyDescent="0.35">
      <c r="C775" t="s">
        <v>2320</v>
      </c>
      <c r="D775" t="s">
        <v>2154</v>
      </c>
      <c r="E775" t="s">
        <v>2321</v>
      </c>
      <c r="F775" t="s">
        <v>2322</v>
      </c>
      <c r="G775">
        <v>26</v>
      </c>
      <c r="H775">
        <v>140547</v>
      </c>
      <c r="I775" t="b">
        <v>0</v>
      </c>
      <c r="J775">
        <v>0.68600000000000005</v>
      </c>
      <c r="K775">
        <v>0.34699999999999998</v>
      </c>
      <c r="L775">
        <v>0</v>
      </c>
      <c r="M775">
        <v>-6.0750000000000002</v>
      </c>
      <c r="N775">
        <v>1</v>
      </c>
      <c r="O775">
        <v>3.4099999999999998E-2</v>
      </c>
      <c r="P775">
        <v>0.72499999999999998</v>
      </c>
      <c r="Q775">
        <v>0</v>
      </c>
      <c r="R775">
        <v>0.41099999999999998</v>
      </c>
      <c r="S775">
        <v>0.53900000000000003</v>
      </c>
      <c r="T775">
        <v>145.83699999999999</v>
      </c>
      <c r="U775">
        <v>4</v>
      </c>
      <c r="V775" t="s">
        <v>24</v>
      </c>
    </row>
    <row r="776" spans="3:22" x14ac:dyDescent="0.35">
      <c r="C776" t="s">
        <v>2323</v>
      </c>
      <c r="D776" t="s">
        <v>2175</v>
      </c>
      <c r="E776" t="s">
        <v>2176</v>
      </c>
      <c r="F776" t="s">
        <v>2324</v>
      </c>
      <c r="G776">
        <v>52</v>
      </c>
      <c r="H776">
        <v>317133</v>
      </c>
      <c r="I776" t="b">
        <v>0</v>
      </c>
      <c r="J776">
        <v>0.65400000000000003</v>
      </c>
      <c r="K776">
        <v>0.316</v>
      </c>
      <c r="L776">
        <v>0</v>
      </c>
      <c r="M776">
        <v>-18.692</v>
      </c>
      <c r="N776">
        <v>0</v>
      </c>
      <c r="O776">
        <v>4.1000000000000002E-2</v>
      </c>
      <c r="P776">
        <v>0.78600000000000003</v>
      </c>
      <c r="Q776">
        <v>5.6300000000000003E-2</v>
      </c>
      <c r="R776">
        <v>0.13100000000000001</v>
      </c>
      <c r="S776">
        <v>0.69699999999999995</v>
      </c>
      <c r="T776">
        <v>94.484999999999999</v>
      </c>
      <c r="U776">
        <v>4</v>
      </c>
      <c r="V776" t="s">
        <v>24</v>
      </c>
    </row>
    <row r="777" spans="3:22" x14ac:dyDescent="0.35">
      <c r="C777" t="s">
        <v>2325</v>
      </c>
      <c r="D777" t="s">
        <v>347</v>
      </c>
      <c r="E777" t="s">
        <v>2326</v>
      </c>
      <c r="F777" t="s">
        <v>2327</v>
      </c>
      <c r="G777">
        <v>26</v>
      </c>
      <c r="H777">
        <v>317146</v>
      </c>
      <c r="I777" t="b">
        <v>0</v>
      </c>
      <c r="J777">
        <v>0.747</v>
      </c>
      <c r="K777">
        <v>0.29399999999999998</v>
      </c>
      <c r="L777">
        <v>2</v>
      </c>
      <c r="M777">
        <v>-10.272</v>
      </c>
      <c r="N777">
        <v>1</v>
      </c>
      <c r="O777">
        <v>3.6600000000000001E-2</v>
      </c>
      <c r="P777">
        <v>0.95599999999999996</v>
      </c>
      <c r="Q777" s="1" t="s">
        <v>724</v>
      </c>
      <c r="R777">
        <v>0.104</v>
      </c>
      <c r="S777">
        <v>0.41199999999999998</v>
      </c>
      <c r="T777">
        <v>119.94799999999999</v>
      </c>
      <c r="U777">
        <v>4</v>
      </c>
      <c r="V777" t="s">
        <v>24</v>
      </c>
    </row>
    <row r="778" spans="3:22" x14ac:dyDescent="0.35">
      <c r="C778" t="s">
        <v>2328</v>
      </c>
      <c r="D778" t="s">
        <v>278</v>
      </c>
      <c r="E778" t="s">
        <v>448</v>
      </c>
      <c r="F778" t="s">
        <v>2329</v>
      </c>
      <c r="G778">
        <v>50</v>
      </c>
      <c r="H778">
        <v>245160</v>
      </c>
      <c r="I778" t="b">
        <v>0</v>
      </c>
      <c r="J778">
        <v>0.27700000000000002</v>
      </c>
      <c r="K778">
        <v>0.29099999999999998</v>
      </c>
      <c r="L778">
        <v>11</v>
      </c>
      <c r="M778">
        <v>-9.8510000000000009</v>
      </c>
      <c r="N778">
        <v>0</v>
      </c>
      <c r="O778">
        <v>3.0599999999999999E-2</v>
      </c>
      <c r="P778">
        <v>0.90100000000000002</v>
      </c>
      <c r="Q778" s="1" t="s">
        <v>2330</v>
      </c>
      <c r="R778">
        <v>0.10299999999999999</v>
      </c>
      <c r="S778">
        <v>0.17499999999999999</v>
      </c>
      <c r="T778">
        <v>75.119</v>
      </c>
      <c r="U778">
        <v>3</v>
      </c>
      <c r="V778" t="s">
        <v>24</v>
      </c>
    </row>
    <row r="779" spans="3:22" x14ac:dyDescent="0.35">
      <c r="C779" t="s">
        <v>2331</v>
      </c>
      <c r="D779" t="s">
        <v>747</v>
      </c>
      <c r="E779" t="s">
        <v>747</v>
      </c>
      <c r="F779" t="s">
        <v>2332</v>
      </c>
      <c r="G779">
        <v>60</v>
      </c>
      <c r="H779">
        <v>251440</v>
      </c>
      <c r="I779" t="b">
        <v>0</v>
      </c>
      <c r="J779">
        <v>0.54</v>
      </c>
      <c r="K779">
        <v>6.7400000000000002E-2</v>
      </c>
      <c r="L779">
        <v>9</v>
      </c>
      <c r="M779">
        <v>-13.778</v>
      </c>
      <c r="N779">
        <v>1</v>
      </c>
      <c r="O779">
        <v>3.6799999999999999E-2</v>
      </c>
      <c r="P779">
        <v>0.88800000000000001</v>
      </c>
      <c r="Q779">
        <v>3.8200000000000002E-4</v>
      </c>
      <c r="R779">
        <v>0.109</v>
      </c>
      <c r="S779">
        <v>0.12</v>
      </c>
      <c r="T779">
        <v>141.988</v>
      </c>
      <c r="U779">
        <v>3</v>
      </c>
      <c r="V779" t="s">
        <v>24</v>
      </c>
    </row>
    <row r="780" spans="3:22" x14ac:dyDescent="0.35">
      <c r="C780" t="s">
        <v>2333</v>
      </c>
      <c r="D780" t="s">
        <v>595</v>
      </c>
      <c r="E780" t="s">
        <v>2334</v>
      </c>
      <c r="F780" t="s">
        <v>2335</v>
      </c>
      <c r="G780">
        <v>50</v>
      </c>
      <c r="H780">
        <v>186143</v>
      </c>
      <c r="I780" t="b">
        <v>0</v>
      </c>
      <c r="J780">
        <v>0.44400000000000001</v>
      </c>
      <c r="K780">
        <v>0.44</v>
      </c>
      <c r="L780">
        <v>8</v>
      </c>
      <c r="M780">
        <v>-11.076000000000001</v>
      </c>
      <c r="N780">
        <v>1</v>
      </c>
      <c r="O780">
        <v>3.9100000000000003E-2</v>
      </c>
      <c r="P780">
        <v>0.74099999999999999</v>
      </c>
      <c r="Q780" s="1" t="s">
        <v>2336</v>
      </c>
      <c r="R780">
        <v>0.10199999999999999</v>
      </c>
      <c r="S780">
        <v>0.33900000000000002</v>
      </c>
      <c r="T780">
        <v>76.959000000000003</v>
      </c>
      <c r="U780">
        <v>1</v>
      </c>
      <c r="V780" t="s">
        <v>24</v>
      </c>
    </row>
    <row r="781" spans="3:22" x14ac:dyDescent="0.35">
      <c r="C781" t="s">
        <v>2337</v>
      </c>
      <c r="D781" t="s">
        <v>204</v>
      </c>
      <c r="E781" t="s">
        <v>1873</v>
      </c>
      <c r="F781" t="s">
        <v>2338</v>
      </c>
      <c r="G781">
        <v>61</v>
      </c>
      <c r="H781">
        <v>207493</v>
      </c>
      <c r="I781" t="b">
        <v>0</v>
      </c>
      <c r="J781">
        <v>0.67600000000000005</v>
      </c>
      <c r="K781">
        <v>0.76200000000000001</v>
      </c>
      <c r="L781">
        <v>1</v>
      </c>
      <c r="M781">
        <v>-4.1719999999999997</v>
      </c>
      <c r="N781">
        <v>1</v>
      </c>
      <c r="O781">
        <v>3.5099999999999999E-2</v>
      </c>
      <c r="P781">
        <v>0.46100000000000002</v>
      </c>
      <c r="Q781">
        <v>0</v>
      </c>
      <c r="R781">
        <v>5.74E-2</v>
      </c>
      <c r="S781">
        <v>0.81</v>
      </c>
      <c r="T781">
        <v>119.003</v>
      </c>
      <c r="U781">
        <v>4</v>
      </c>
      <c r="V781" t="s">
        <v>24</v>
      </c>
    </row>
    <row r="782" spans="3:22" x14ac:dyDescent="0.35">
      <c r="C782" t="s">
        <v>2339</v>
      </c>
      <c r="D782" t="s">
        <v>2340</v>
      </c>
      <c r="E782" t="s">
        <v>2321</v>
      </c>
      <c r="F782" t="s">
        <v>2341</v>
      </c>
      <c r="G782">
        <v>26</v>
      </c>
      <c r="H782">
        <v>148812</v>
      </c>
      <c r="I782" t="b">
        <v>0</v>
      </c>
      <c r="J782">
        <v>0.66400000000000003</v>
      </c>
      <c r="K782">
        <v>0.27400000000000002</v>
      </c>
      <c r="L782">
        <v>10</v>
      </c>
      <c r="M782">
        <v>-11.005000000000001</v>
      </c>
      <c r="N782">
        <v>0</v>
      </c>
      <c r="O782">
        <v>4.2500000000000003E-2</v>
      </c>
      <c r="P782">
        <v>0.89900000000000002</v>
      </c>
      <c r="Q782">
        <v>0</v>
      </c>
      <c r="R782">
        <v>0.35399999999999998</v>
      </c>
      <c r="S782">
        <v>0.39200000000000002</v>
      </c>
      <c r="T782">
        <v>75.010000000000005</v>
      </c>
      <c r="U782">
        <v>4</v>
      </c>
      <c r="V782" t="s">
        <v>24</v>
      </c>
    </row>
    <row r="783" spans="3:22" x14ac:dyDescent="0.35">
      <c r="C783" t="s">
        <v>2342</v>
      </c>
      <c r="D783" t="s">
        <v>2343</v>
      </c>
      <c r="E783" t="s">
        <v>2344</v>
      </c>
      <c r="F783" t="s">
        <v>2345</v>
      </c>
      <c r="G783">
        <v>27</v>
      </c>
      <c r="H783">
        <v>199093</v>
      </c>
      <c r="I783" t="b">
        <v>0</v>
      </c>
      <c r="J783">
        <v>0.71699999999999997</v>
      </c>
      <c r="K783">
        <v>0.436</v>
      </c>
      <c r="L783">
        <v>7</v>
      </c>
      <c r="M783">
        <v>-8.5310000000000006</v>
      </c>
      <c r="N783">
        <v>1</v>
      </c>
      <c r="O783">
        <v>5.6000000000000001E-2</v>
      </c>
      <c r="P783">
        <v>5.6899999999999999E-2</v>
      </c>
      <c r="Q783">
        <v>0</v>
      </c>
      <c r="R783">
        <v>0.11</v>
      </c>
      <c r="S783">
        <v>0.31900000000000001</v>
      </c>
      <c r="T783">
        <v>128.11199999999999</v>
      </c>
      <c r="U783">
        <v>4</v>
      </c>
      <c r="V783" t="s">
        <v>24</v>
      </c>
    </row>
    <row r="784" spans="3:22" x14ac:dyDescent="0.35">
      <c r="C784" t="s">
        <v>2346</v>
      </c>
      <c r="D784" t="s">
        <v>864</v>
      </c>
      <c r="E784" t="s">
        <v>2347</v>
      </c>
      <c r="F784" t="s">
        <v>2347</v>
      </c>
      <c r="G784">
        <v>28</v>
      </c>
      <c r="H784">
        <v>191973</v>
      </c>
      <c r="I784" t="b">
        <v>0</v>
      </c>
      <c r="J784">
        <v>0.51700000000000002</v>
      </c>
      <c r="K784">
        <v>0.57799999999999996</v>
      </c>
      <c r="L784">
        <v>11</v>
      </c>
      <c r="M784">
        <v>-7.37</v>
      </c>
      <c r="N784">
        <v>1</v>
      </c>
      <c r="O784">
        <v>2.93E-2</v>
      </c>
      <c r="P784">
        <v>0.36699999999999999</v>
      </c>
      <c r="Q784" s="1" t="s">
        <v>2348</v>
      </c>
      <c r="R784">
        <v>0.17599999999999999</v>
      </c>
      <c r="S784">
        <v>0.39800000000000002</v>
      </c>
      <c r="T784">
        <v>138.178</v>
      </c>
      <c r="U784">
        <v>4</v>
      </c>
      <c r="V784" t="s">
        <v>24</v>
      </c>
    </row>
    <row r="785" spans="3:22" x14ac:dyDescent="0.35">
      <c r="C785" t="s">
        <v>2349</v>
      </c>
      <c r="D785" t="s">
        <v>271</v>
      </c>
      <c r="E785" t="s">
        <v>2350</v>
      </c>
      <c r="F785" t="s">
        <v>2351</v>
      </c>
      <c r="G785">
        <v>55</v>
      </c>
      <c r="H785">
        <v>230773</v>
      </c>
      <c r="I785" t="b">
        <v>0</v>
      </c>
      <c r="J785">
        <v>0.59499999999999997</v>
      </c>
      <c r="K785">
        <v>0.38400000000000001</v>
      </c>
      <c r="L785">
        <v>2</v>
      </c>
      <c r="M785">
        <v>-12.114000000000001</v>
      </c>
      <c r="N785">
        <v>1</v>
      </c>
      <c r="O785">
        <v>3.0499999999999999E-2</v>
      </c>
      <c r="P785">
        <v>0.68200000000000005</v>
      </c>
      <c r="Q785" s="1" t="s">
        <v>2352</v>
      </c>
      <c r="R785">
        <v>7.9600000000000004E-2</v>
      </c>
      <c r="S785">
        <v>0.69099999999999995</v>
      </c>
      <c r="T785">
        <v>90.725999999999999</v>
      </c>
      <c r="U785">
        <v>4</v>
      </c>
      <c r="V785" t="s">
        <v>24</v>
      </c>
    </row>
    <row r="786" spans="3:22" x14ac:dyDescent="0.35">
      <c r="C786" t="s">
        <v>2353</v>
      </c>
      <c r="D786" t="s">
        <v>149</v>
      </c>
      <c r="E786" t="s">
        <v>285</v>
      </c>
      <c r="F786" t="s">
        <v>2354</v>
      </c>
      <c r="G786">
        <v>45</v>
      </c>
      <c r="H786">
        <v>270466</v>
      </c>
      <c r="I786" t="b">
        <v>0</v>
      </c>
      <c r="J786">
        <v>0.33700000000000002</v>
      </c>
      <c r="K786">
        <v>0.60499999999999998</v>
      </c>
      <c r="L786">
        <v>7</v>
      </c>
      <c r="M786">
        <v>-7.84</v>
      </c>
      <c r="N786">
        <v>1</v>
      </c>
      <c r="O786">
        <v>2.7699999999999999E-2</v>
      </c>
      <c r="P786">
        <v>0.86199999999999999</v>
      </c>
      <c r="Q786">
        <v>3.0999999999999999E-3</v>
      </c>
      <c r="R786">
        <v>0.94399999999999995</v>
      </c>
      <c r="S786">
        <v>0.42399999999999999</v>
      </c>
      <c r="T786">
        <v>59.326999999999998</v>
      </c>
      <c r="U786">
        <v>4</v>
      </c>
      <c r="V786" t="s">
        <v>24</v>
      </c>
    </row>
    <row r="787" spans="3:22" x14ac:dyDescent="0.35">
      <c r="C787" t="s">
        <v>2355</v>
      </c>
      <c r="D787" t="s">
        <v>2356</v>
      </c>
      <c r="E787" t="s">
        <v>2357</v>
      </c>
      <c r="F787" t="s">
        <v>2358</v>
      </c>
      <c r="G787">
        <v>26</v>
      </c>
      <c r="H787">
        <v>279781</v>
      </c>
      <c r="I787" t="b">
        <v>0</v>
      </c>
      <c r="J787">
        <v>0.746</v>
      </c>
      <c r="K787">
        <v>0.42099999999999999</v>
      </c>
      <c r="L787">
        <v>2</v>
      </c>
      <c r="M787">
        <v>-7.944</v>
      </c>
      <c r="N787">
        <v>1</v>
      </c>
      <c r="O787">
        <v>7.5600000000000001E-2</v>
      </c>
      <c r="P787">
        <v>0.40899999999999997</v>
      </c>
      <c r="Q787">
        <v>0</v>
      </c>
      <c r="R787">
        <v>0.113</v>
      </c>
      <c r="S787">
        <v>0.54500000000000004</v>
      </c>
      <c r="T787">
        <v>97.152000000000001</v>
      </c>
      <c r="U787">
        <v>4</v>
      </c>
      <c r="V787" t="s">
        <v>24</v>
      </c>
    </row>
    <row r="788" spans="3:22" x14ac:dyDescent="0.35">
      <c r="C788" t="s">
        <v>2359</v>
      </c>
      <c r="D788" t="s">
        <v>2041</v>
      </c>
      <c r="E788" t="s">
        <v>2360</v>
      </c>
      <c r="F788" t="s">
        <v>2361</v>
      </c>
      <c r="G788">
        <v>28</v>
      </c>
      <c r="H788">
        <v>219853</v>
      </c>
      <c r="I788" t="b">
        <v>0</v>
      </c>
      <c r="J788">
        <v>0.71</v>
      </c>
      <c r="K788">
        <v>0.78200000000000003</v>
      </c>
      <c r="L788">
        <v>2</v>
      </c>
      <c r="M788">
        <v>-6.2759999999999998</v>
      </c>
      <c r="N788">
        <v>1</v>
      </c>
      <c r="O788">
        <v>8.3500000000000005E-2</v>
      </c>
      <c r="P788">
        <v>6.8400000000000002E-2</v>
      </c>
      <c r="Q788" s="1" t="s">
        <v>2362</v>
      </c>
      <c r="R788">
        <v>8.4500000000000006E-2</v>
      </c>
      <c r="S788">
        <v>0.52300000000000002</v>
      </c>
      <c r="T788">
        <v>123.04</v>
      </c>
      <c r="U788">
        <v>4</v>
      </c>
      <c r="V788" t="s">
        <v>24</v>
      </c>
    </row>
    <row r="789" spans="3:22" x14ac:dyDescent="0.35">
      <c r="C789" t="s">
        <v>2363</v>
      </c>
      <c r="D789" t="s">
        <v>149</v>
      </c>
      <c r="E789" t="s">
        <v>285</v>
      </c>
      <c r="F789" t="s">
        <v>2364</v>
      </c>
      <c r="G789">
        <v>48</v>
      </c>
      <c r="H789">
        <v>199880</v>
      </c>
      <c r="I789" t="b">
        <v>0</v>
      </c>
      <c r="J789">
        <v>0.58499999999999996</v>
      </c>
      <c r="K789">
        <v>0.441</v>
      </c>
      <c r="L789">
        <v>7</v>
      </c>
      <c r="M789">
        <v>-9.2710000000000008</v>
      </c>
      <c r="N789">
        <v>0</v>
      </c>
      <c r="O789">
        <v>3.1099999999999999E-2</v>
      </c>
      <c r="P789">
        <v>0.501</v>
      </c>
      <c r="Q789">
        <v>0.53400000000000003</v>
      </c>
      <c r="R789">
        <v>9.6699999999999994E-2</v>
      </c>
      <c r="S789">
        <v>5.91E-2</v>
      </c>
      <c r="T789">
        <v>114.09099999999999</v>
      </c>
      <c r="U789">
        <v>4</v>
      </c>
      <c r="V789" t="s">
        <v>24</v>
      </c>
    </row>
    <row r="790" spans="3:22" x14ac:dyDescent="0.35">
      <c r="C790" t="s">
        <v>2365</v>
      </c>
      <c r="D790" t="s">
        <v>2366</v>
      </c>
      <c r="E790" t="s">
        <v>2367</v>
      </c>
      <c r="F790" t="s">
        <v>2368</v>
      </c>
      <c r="G790">
        <v>27</v>
      </c>
      <c r="H790">
        <v>89760</v>
      </c>
      <c r="I790" t="b">
        <v>0</v>
      </c>
      <c r="J790">
        <v>0.67300000000000004</v>
      </c>
      <c r="K790">
        <v>0.63700000000000001</v>
      </c>
      <c r="L790">
        <v>3</v>
      </c>
      <c r="M790">
        <v>-7.5460000000000003</v>
      </c>
      <c r="N790">
        <v>1</v>
      </c>
      <c r="O790">
        <v>2.81E-2</v>
      </c>
      <c r="P790">
        <v>0.29499999999999998</v>
      </c>
      <c r="Q790">
        <v>3.8299999999999999E-4</v>
      </c>
      <c r="R790">
        <v>0.184</v>
      </c>
      <c r="S790">
        <v>0.54100000000000004</v>
      </c>
      <c r="T790">
        <v>105.04300000000001</v>
      </c>
      <c r="U790">
        <v>4</v>
      </c>
      <c r="V790" t="s">
        <v>24</v>
      </c>
    </row>
    <row r="791" spans="3:22" x14ac:dyDescent="0.35">
      <c r="C791" t="s">
        <v>2369</v>
      </c>
      <c r="D791" t="s">
        <v>1073</v>
      </c>
      <c r="E791" t="s">
        <v>1535</v>
      </c>
      <c r="F791" t="s">
        <v>2370</v>
      </c>
      <c r="G791">
        <v>27</v>
      </c>
      <c r="H791">
        <v>212893</v>
      </c>
      <c r="I791" t="b">
        <v>0</v>
      </c>
      <c r="J791">
        <v>0.49099999999999999</v>
      </c>
      <c r="K791">
        <v>0.91300000000000003</v>
      </c>
      <c r="L791">
        <v>0</v>
      </c>
      <c r="M791">
        <v>-4.5259999999999998</v>
      </c>
      <c r="N791">
        <v>1</v>
      </c>
      <c r="O791">
        <v>5.67E-2</v>
      </c>
      <c r="P791" s="1" t="s">
        <v>2371</v>
      </c>
      <c r="Q791" s="1" t="s">
        <v>586</v>
      </c>
      <c r="R791">
        <v>0.32700000000000001</v>
      </c>
      <c r="S791">
        <v>0.59</v>
      </c>
      <c r="T791">
        <v>89.986999999999995</v>
      </c>
      <c r="U791">
        <v>4</v>
      </c>
      <c r="V791" t="s">
        <v>24</v>
      </c>
    </row>
    <row r="792" spans="3:22" x14ac:dyDescent="0.35">
      <c r="C792" t="s">
        <v>2372</v>
      </c>
      <c r="D792" t="s">
        <v>1929</v>
      </c>
      <c r="E792" t="s">
        <v>1930</v>
      </c>
      <c r="F792" t="s">
        <v>2373</v>
      </c>
      <c r="G792">
        <v>26</v>
      </c>
      <c r="H792">
        <v>236293</v>
      </c>
      <c r="I792" t="b">
        <v>0</v>
      </c>
      <c r="J792">
        <v>0.64300000000000002</v>
      </c>
      <c r="K792">
        <v>0.40699999999999997</v>
      </c>
      <c r="L792">
        <v>0</v>
      </c>
      <c r="M792">
        <v>-6.0860000000000003</v>
      </c>
      <c r="N792">
        <v>1</v>
      </c>
      <c r="O792">
        <v>3.5499999999999997E-2</v>
      </c>
      <c r="P792">
        <v>0.41399999999999998</v>
      </c>
      <c r="Q792">
        <v>3.8499999999999998E-4</v>
      </c>
      <c r="R792">
        <v>0.11600000000000001</v>
      </c>
      <c r="S792">
        <v>0.33200000000000002</v>
      </c>
      <c r="T792">
        <v>132.44900000000001</v>
      </c>
      <c r="U792">
        <v>3</v>
      </c>
      <c r="V792" t="s">
        <v>24</v>
      </c>
    </row>
    <row r="793" spans="3:22" x14ac:dyDescent="0.35">
      <c r="C793" t="s">
        <v>2374</v>
      </c>
      <c r="D793" t="s">
        <v>1660</v>
      </c>
      <c r="E793" t="s">
        <v>2375</v>
      </c>
      <c r="F793" t="s">
        <v>2376</v>
      </c>
      <c r="G793">
        <v>28</v>
      </c>
      <c r="H793">
        <v>73066</v>
      </c>
      <c r="I793" t="b">
        <v>1</v>
      </c>
      <c r="J793">
        <v>0.495</v>
      </c>
      <c r="K793">
        <v>0.53100000000000003</v>
      </c>
      <c r="L793">
        <v>0</v>
      </c>
      <c r="M793">
        <v>-6.3719999999999999</v>
      </c>
      <c r="N793">
        <v>1</v>
      </c>
      <c r="O793">
        <v>5.8200000000000002E-2</v>
      </c>
      <c r="P793">
        <v>0.69599999999999995</v>
      </c>
      <c r="Q793">
        <v>0</v>
      </c>
      <c r="R793">
        <v>0.16500000000000001</v>
      </c>
      <c r="S793">
        <v>0.82699999999999996</v>
      </c>
      <c r="T793">
        <v>155.227</v>
      </c>
      <c r="U793">
        <v>4</v>
      </c>
      <c r="V793" t="s">
        <v>24</v>
      </c>
    </row>
    <row r="794" spans="3:22" x14ac:dyDescent="0.35">
      <c r="C794" t="s">
        <v>2377</v>
      </c>
      <c r="D794" t="s">
        <v>1510</v>
      </c>
      <c r="E794" t="s">
        <v>2378</v>
      </c>
      <c r="F794" t="s">
        <v>2379</v>
      </c>
      <c r="G794">
        <v>28</v>
      </c>
      <c r="H794">
        <v>185250</v>
      </c>
      <c r="I794" t="b">
        <v>0</v>
      </c>
      <c r="J794">
        <v>0.58199999999999996</v>
      </c>
      <c r="K794">
        <v>0.54100000000000004</v>
      </c>
      <c r="L794">
        <v>8</v>
      </c>
      <c r="M794">
        <v>-5.4989999999999997</v>
      </c>
      <c r="N794">
        <v>1</v>
      </c>
      <c r="O794">
        <v>5.8999999999999997E-2</v>
      </c>
      <c r="P794">
        <v>0.32400000000000001</v>
      </c>
      <c r="Q794">
        <v>0</v>
      </c>
      <c r="R794">
        <v>6.4600000000000005E-2</v>
      </c>
      <c r="S794">
        <v>0.56200000000000006</v>
      </c>
      <c r="T794">
        <v>154.87100000000001</v>
      </c>
      <c r="U794">
        <v>4</v>
      </c>
      <c r="V794" t="s">
        <v>24</v>
      </c>
    </row>
    <row r="795" spans="3:22" x14ac:dyDescent="0.35">
      <c r="C795" t="s">
        <v>2380</v>
      </c>
      <c r="D795" t="s">
        <v>1660</v>
      </c>
      <c r="E795" t="s">
        <v>2375</v>
      </c>
      <c r="F795" t="s">
        <v>2381</v>
      </c>
      <c r="G795">
        <v>28</v>
      </c>
      <c r="H795">
        <v>122600</v>
      </c>
      <c r="I795" t="b">
        <v>1</v>
      </c>
      <c r="J795">
        <v>0.46300000000000002</v>
      </c>
      <c r="K795">
        <v>0.65600000000000003</v>
      </c>
      <c r="L795">
        <v>0</v>
      </c>
      <c r="M795">
        <v>-3.0779999999999998</v>
      </c>
      <c r="N795">
        <v>1</v>
      </c>
      <c r="O795">
        <v>4.6800000000000001E-2</v>
      </c>
      <c r="P795">
        <v>8.4500000000000006E-2</v>
      </c>
      <c r="Q795">
        <v>2.2399999999999998E-3</v>
      </c>
      <c r="R795">
        <v>0.16</v>
      </c>
      <c r="S795">
        <v>0.79800000000000004</v>
      </c>
      <c r="T795">
        <v>176.90700000000001</v>
      </c>
      <c r="U795">
        <v>4</v>
      </c>
      <c r="V795" t="s">
        <v>24</v>
      </c>
    </row>
    <row r="796" spans="3:22" x14ac:dyDescent="0.35">
      <c r="C796" t="s">
        <v>2382</v>
      </c>
      <c r="D796" t="s">
        <v>2383</v>
      </c>
      <c r="E796" t="s">
        <v>2384</v>
      </c>
      <c r="F796" t="s">
        <v>2385</v>
      </c>
      <c r="G796">
        <v>29</v>
      </c>
      <c r="H796">
        <v>91893</v>
      </c>
      <c r="I796" t="b">
        <v>0</v>
      </c>
      <c r="J796">
        <v>0.5</v>
      </c>
      <c r="K796">
        <v>0.76400000000000001</v>
      </c>
      <c r="L796">
        <v>4</v>
      </c>
      <c r="M796">
        <v>-7.8339999999999996</v>
      </c>
      <c r="N796">
        <v>1</v>
      </c>
      <c r="O796">
        <v>6.2600000000000003E-2</v>
      </c>
      <c r="P796">
        <v>0.16800000000000001</v>
      </c>
      <c r="Q796">
        <v>0</v>
      </c>
      <c r="R796">
        <v>0.22600000000000001</v>
      </c>
      <c r="S796">
        <v>0.96599999999999997</v>
      </c>
      <c r="T796">
        <v>126.899</v>
      </c>
      <c r="U796">
        <v>4</v>
      </c>
      <c r="V796" t="s">
        <v>24</v>
      </c>
    </row>
    <row r="797" spans="3:22" x14ac:dyDescent="0.35">
      <c r="C797" t="s">
        <v>2386</v>
      </c>
      <c r="D797" t="s">
        <v>2387</v>
      </c>
      <c r="E797" t="s">
        <v>1665</v>
      </c>
      <c r="F797" t="s">
        <v>2388</v>
      </c>
      <c r="G797">
        <v>27</v>
      </c>
      <c r="H797">
        <v>175336</v>
      </c>
      <c r="I797" t="b">
        <v>0</v>
      </c>
      <c r="J797">
        <v>0.70899999999999996</v>
      </c>
      <c r="K797">
        <v>0.156</v>
      </c>
      <c r="L797">
        <v>3</v>
      </c>
      <c r="M797">
        <v>-17.423999999999999</v>
      </c>
      <c r="N797">
        <v>1</v>
      </c>
      <c r="O797">
        <v>3.5700000000000003E-2</v>
      </c>
      <c r="P797">
        <v>0.92400000000000004</v>
      </c>
      <c r="Q797" s="1" t="s">
        <v>2389</v>
      </c>
      <c r="R797">
        <v>8.9499999999999996E-2</v>
      </c>
      <c r="S797">
        <v>0.188</v>
      </c>
      <c r="T797">
        <v>109.79900000000001</v>
      </c>
      <c r="U797">
        <v>4</v>
      </c>
      <c r="V797" t="s">
        <v>24</v>
      </c>
    </row>
    <row r="798" spans="3:22" x14ac:dyDescent="0.35">
      <c r="C798" t="s">
        <v>2390</v>
      </c>
      <c r="D798" t="s">
        <v>755</v>
      </c>
      <c r="E798" t="s">
        <v>2391</v>
      </c>
      <c r="F798" t="s">
        <v>2392</v>
      </c>
      <c r="G798">
        <v>28</v>
      </c>
      <c r="H798">
        <v>214099</v>
      </c>
      <c r="I798" t="b">
        <v>1</v>
      </c>
      <c r="J798">
        <v>0.434</v>
      </c>
      <c r="K798">
        <v>0.83199999999999996</v>
      </c>
      <c r="L798">
        <v>0</v>
      </c>
      <c r="M798">
        <v>-9.5129999999999999</v>
      </c>
      <c r="N798">
        <v>1</v>
      </c>
      <c r="O798">
        <v>7.1599999999999997E-2</v>
      </c>
      <c r="P798">
        <v>0.34799999999999998</v>
      </c>
      <c r="Q798" s="1" t="s">
        <v>2393</v>
      </c>
      <c r="R798">
        <v>0.158</v>
      </c>
      <c r="S798">
        <v>0.59099999999999997</v>
      </c>
      <c r="T798">
        <v>93.674000000000007</v>
      </c>
      <c r="U798">
        <v>4</v>
      </c>
      <c r="V798" t="s">
        <v>24</v>
      </c>
    </row>
    <row r="799" spans="3:22" x14ac:dyDescent="0.35">
      <c r="C799" t="s">
        <v>2394</v>
      </c>
      <c r="D799" t="s">
        <v>1073</v>
      </c>
      <c r="E799" t="s">
        <v>2241</v>
      </c>
      <c r="F799" t="s">
        <v>2241</v>
      </c>
      <c r="G799">
        <v>27</v>
      </c>
      <c r="H799">
        <v>159019</v>
      </c>
      <c r="I799" t="b">
        <v>1</v>
      </c>
      <c r="J799">
        <v>0.42399999999999999</v>
      </c>
      <c r="K799">
        <v>0.94199999999999995</v>
      </c>
      <c r="L799">
        <v>7</v>
      </c>
      <c r="M799">
        <v>-3.3380000000000001</v>
      </c>
      <c r="N799">
        <v>1</v>
      </c>
      <c r="O799">
        <v>0.11799999999999999</v>
      </c>
      <c r="P799">
        <v>2.5000000000000001E-3</v>
      </c>
      <c r="Q799" s="1" t="s">
        <v>246</v>
      </c>
      <c r="R799">
        <v>0.23</v>
      </c>
      <c r="S799">
        <v>0.44700000000000001</v>
      </c>
      <c r="T799">
        <v>143.67099999999999</v>
      </c>
      <c r="U799">
        <v>4</v>
      </c>
      <c r="V799" t="s">
        <v>24</v>
      </c>
    </row>
    <row r="800" spans="3:22" x14ac:dyDescent="0.35">
      <c r="C800" t="s">
        <v>2395</v>
      </c>
      <c r="D800" t="s">
        <v>140</v>
      </c>
      <c r="E800" t="s">
        <v>1540</v>
      </c>
      <c r="F800" t="s">
        <v>145</v>
      </c>
      <c r="G800">
        <v>60</v>
      </c>
      <c r="H800">
        <v>206267</v>
      </c>
      <c r="I800" t="b">
        <v>0</v>
      </c>
      <c r="J800">
        <v>0.60599999999999998</v>
      </c>
      <c r="K800">
        <v>0.32600000000000001</v>
      </c>
      <c r="L800">
        <v>10</v>
      </c>
      <c r="M800">
        <v>-10.031000000000001</v>
      </c>
      <c r="N800">
        <v>1</v>
      </c>
      <c r="O800">
        <v>2.9399999999999999E-2</v>
      </c>
      <c r="P800">
        <v>0.84099999999999997</v>
      </c>
      <c r="Q800">
        <v>0</v>
      </c>
      <c r="R800">
        <v>0.13900000000000001</v>
      </c>
      <c r="S800">
        <v>0.41399999999999998</v>
      </c>
      <c r="T800">
        <v>91.626000000000005</v>
      </c>
      <c r="U800">
        <v>4</v>
      </c>
      <c r="V800" t="s">
        <v>24</v>
      </c>
    </row>
    <row r="801" spans="3:22" x14ac:dyDescent="0.35">
      <c r="C801" t="s">
        <v>2396</v>
      </c>
      <c r="D801" t="s">
        <v>1230</v>
      </c>
      <c r="E801" t="s">
        <v>1386</v>
      </c>
      <c r="F801" t="s">
        <v>2397</v>
      </c>
      <c r="G801">
        <v>28</v>
      </c>
      <c r="H801">
        <v>233306</v>
      </c>
      <c r="I801" t="b">
        <v>0</v>
      </c>
      <c r="J801">
        <v>0.48799999999999999</v>
      </c>
      <c r="K801">
        <v>0.627</v>
      </c>
      <c r="L801">
        <v>0</v>
      </c>
      <c r="M801">
        <v>-5.867</v>
      </c>
      <c r="N801">
        <v>1</v>
      </c>
      <c r="O801">
        <v>5.3400000000000003E-2</v>
      </c>
      <c r="P801">
        <v>0.41599999999999998</v>
      </c>
      <c r="Q801">
        <v>0</v>
      </c>
      <c r="R801">
        <v>0.10299999999999999</v>
      </c>
      <c r="S801">
        <v>0.75700000000000001</v>
      </c>
      <c r="T801">
        <v>118.434</v>
      </c>
      <c r="U801">
        <v>4</v>
      </c>
      <c r="V801" t="s">
        <v>24</v>
      </c>
    </row>
    <row r="802" spans="3:22" x14ac:dyDescent="0.35">
      <c r="C802" t="s">
        <v>2398</v>
      </c>
      <c r="D802" t="s">
        <v>21</v>
      </c>
      <c r="E802" t="s">
        <v>2399</v>
      </c>
      <c r="F802" t="s">
        <v>2400</v>
      </c>
      <c r="G802">
        <v>48</v>
      </c>
      <c r="H802">
        <v>241466</v>
      </c>
      <c r="I802" t="b">
        <v>0</v>
      </c>
      <c r="J802">
        <v>0.78200000000000003</v>
      </c>
      <c r="K802">
        <v>0.68400000000000005</v>
      </c>
      <c r="L802">
        <v>1</v>
      </c>
      <c r="M802">
        <v>-5.774</v>
      </c>
      <c r="N802">
        <v>1</v>
      </c>
      <c r="O802">
        <v>3.9800000000000002E-2</v>
      </c>
      <c r="P802">
        <v>2.1000000000000001E-2</v>
      </c>
      <c r="Q802">
        <v>0</v>
      </c>
      <c r="R802">
        <v>0.125</v>
      </c>
      <c r="S802">
        <v>0.85799999999999998</v>
      </c>
      <c r="T802">
        <v>108.17100000000001</v>
      </c>
      <c r="U802">
        <v>4</v>
      </c>
      <c r="V802" t="s">
        <v>24</v>
      </c>
    </row>
    <row r="803" spans="3:22" x14ac:dyDescent="0.35">
      <c r="C803" t="s">
        <v>2401</v>
      </c>
      <c r="D803" t="s">
        <v>2402</v>
      </c>
      <c r="E803" t="s">
        <v>2403</v>
      </c>
      <c r="F803" t="s">
        <v>2404</v>
      </c>
      <c r="G803">
        <v>43</v>
      </c>
      <c r="H803">
        <v>188712</v>
      </c>
      <c r="I803" t="b">
        <v>0</v>
      </c>
      <c r="J803">
        <v>0.66400000000000003</v>
      </c>
      <c r="K803">
        <v>0.26300000000000001</v>
      </c>
      <c r="L803">
        <v>9</v>
      </c>
      <c r="M803">
        <v>-7.9880000000000004</v>
      </c>
      <c r="N803">
        <v>1</v>
      </c>
      <c r="O803">
        <v>2.7400000000000001E-2</v>
      </c>
      <c r="P803">
        <v>0.81399999999999995</v>
      </c>
      <c r="Q803">
        <v>0</v>
      </c>
      <c r="R803">
        <v>8.1699999999999995E-2</v>
      </c>
      <c r="S803">
        <v>0.371</v>
      </c>
      <c r="T803">
        <v>96.213999999999999</v>
      </c>
      <c r="U803">
        <v>4</v>
      </c>
      <c r="V803" t="s">
        <v>24</v>
      </c>
    </row>
    <row r="804" spans="3:22" x14ac:dyDescent="0.35">
      <c r="C804" t="s">
        <v>2405</v>
      </c>
      <c r="D804" t="s">
        <v>2406</v>
      </c>
      <c r="E804" t="s">
        <v>2407</v>
      </c>
      <c r="F804" t="s">
        <v>2408</v>
      </c>
      <c r="G804">
        <v>54</v>
      </c>
      <c r="H804">
        <v>233488</v>
      </c>
      <c r="I804" t="b">
        <v>0</v>
      </c>
      <c r="J804">
        <v>0.60099999999999998</v>
      </c>
      <c r="K804">
        <v>0.372</v>
      </c>
      <c r="L804">
        <v>3</v>
      </c>
      <c r="M804">
        <v>-6.1479999999999997</v>
      </c>
      <c r="N804">
        <v>1</v>
      </c>
      <c r="O804">
        <v>2.92E-2</v>
      </c>
      <c r="P804">
        <v>0.83499999999999996</v>
      </c>
      <c r="Q804">
        <v>0</v>
      </c>
      <c r="R804">
        <v>0.129</v>
      </c>
      <c r="S804">
        <v>0.44400000000000001</v>
      </c>
      <c r="T804">
        <v>146.08600000000001</v>
      </c>
      <c r="U804">
        <v>4</v>
      </c>
      <c r="V804" t="s">
        <v>24</v>
      </c>
    </row>
    <row r="805" spans="3:22" x14ac:dyDescent="0.35">
      <c r="C805" t="s">
        <v>2409</v>
      </c>
      <c r="D805" t="s">
        <v>278</v>
      </c>
      <c r="E805" t="s">
        <v>344</v>
      </c>
      <c r="F805" t="s">
        <v>419</v>
      </c>
      <c r="G805">
        <v>49</v>
      </c>
      <c r="H805">
        <v>245653</v>
      </c>
      <c r="I805" t="b">
        <v>0</v>
      </c>
      <c r="J805">
        <v>0.65200000000000002</v>
      </c>
      <c r="K805">
        <v>0.58599999999999997</v>
      </c>
      <c r="L805">
        <v>1</v>
      </c>
      <c r="M805">
        <v>-8.2810000000000006</v>
      </c>
      <c r="N805">
        <v>1</v>
      </c>
      <c r="O805">
        <v>4.02E-2</v>
      </c>
      <c r="P805">
        <v>0.46899999999999997</v>
      </c>
      <c r="Q805">
        <v>0</v>
      </c>
      <c r="R805">
        <v>8.4599999999999995E-2</v>
      </c>
      <c r="S805">
        <v>0.55400000000000005</v>
      </c>
      <c r="T805">
        <v>144.03100000000001</v>
      </c>
      <c r="U805">
        <v>4</v>
      </c>
      <c r="V805" t="s">
        <v>24</v>
      </c>
    </row>
    <row r="806" spans="3:22" x14ac:dyDescent="0.35">
      <c r="C806" t="s">
        <v>2410</v>
      </c>
      <c r="D806" t="s">
        <v>1687</v>
      </c>
      <c r="E806" t="s">
        <v>2411</v>
      </c>
      <c r="F806" t="s">
        <v>2412</v>
      </c>
      <c r="G806">
        <v>45</v>
      </c>
      <c r="H806">
        <v>198386</v>
      </c>
      <c r="I806" t="b">
        <v>0</v>
      </c>
      <c r="J806">
        <v>0.47</v>
      </c>
      <c r="K806">
        <v>0.29199999999999998</v>
      </c>
      <c r="L806">
        <v>6</v>
      </c>
      <c r="M806">
        <v>-9.8989999999999991</v>
      </c>
      <c r="N806">
        <v>0</v>
      </c>
      <c r="O806">
        <v>2.8400000000000002E-2</v>
      </c>
      <c r="P806">
        <v>0.90400000000000003</v>
      </c>
      <c r="Q806">
        <v>1.0399999999999999E-4</v>
      </c>
      <c r="R806">
        <v>8.8900000000000007E-2</v>
      </c>
      <c r="S806">
        <v>0.16800000000000001</v>
      </c>
      <c r="T806">
        <v>66.108999999999995</v>
      </c>
      <c r="U806">
        <v>4</v>
      </c>
      <c r="V806" t="s">
        <v>24</v>
      </c>
    </row>
    <row r="807" spans="3:22" x14ac:dyDescent="0.35">
      <c r="C807" t="s">
        <v>2413</v>
      </c>
      <c r="D807" t="s">
        <v>2414</v>
      </c>
      <c r="E807" t="s">
        <v>2415</v>
      </c>
      <c r="F807" t="s">
        <v>2415</v>
      </c>
      <c r="G807">
        <v>27</v>
      </c>
      <c r="H807">
        <v>319533</v>
      </c>
      <c r="I807" t="b">
        <v>0</v>
      </c>
      <c r="J807">
        <v>0.67300000000000004</v>
      </c>
      <c r="K807">
        <v>0.65800000000000003</v>
      </c>
      <c r="L807">
        <v>10</v>
      </c>
      <c r="M807">
        <v>-8.8640000000000008</v>
      </c>
      <c r="N807">
        <v>0</v>
      </c>
      <c r="O807">
        <v>3.4299999999999997E-2</v>
      </c>
      <c r="P807">
        <v>0.17599999999999999</v>
      </c>
      <c r="Q807" s="1" t="s">
        <v>2416</v>
      </c>
      <c r="R807">
        <v>0.08</v>
      </c>
      <c r="S807">
        <v>0.86299999999999999</v>
      </c>
      <c r="T807">
        <v>97.989000000000004</v>
      </c>
      <c r="U807">
        <v>4</v>
      </c>
      <c r="V807" t="s">
        <v>24</v>
      </c>
    </row>
    <row r="808" spans="3:22" x14ac:dyDescent="0.35">
      <c r="C808" t="s">
        <v>2417</v>
      </c>
      <c r="D808" t="s">
        <v>418</v>
      </c>
      <c r="E808" t="s">
        <v>2418</v>
      </c>
      <c r="F808" t="s">
        <v>2418</v>
      </c>
      <c r="G808">
        <v>52</v>
      </c>
      <c r="H808">
        <v>219066</v>
      </c>
      <c r="I808" t="b">
        <v>0</v>
      </c>
      <c r="J808">
        <v>0.65500000000000003</v>
      </c>
      <c r="K808">
        <v>0.58699999999999997</v>
      </c>
      <c r="L808">
        <v>1</v>
      </c>
      <c r="M808">
        <v>-8.7360000000000007</v>
      </c>
      <c r="N808">
        <v>1</v>
      </c>
      <c r="O808">
        <v>4.4999999999999998E-2</v>
      </c>
      <c r="P808">
        <v>0.26</v>
      </c>
      <c r="Q808" s="1" t="s">
        <v>2419</v>
      </c>
      <c r="R808">
        <v>9.5299999999999996E-2</v>
      </c>
      <c r="S808">
        <v>0.52100000000000002</v>
      </c>
      <c r="T808">
        <v>91.494</v>
      </c>
      <c r="U808">
        <v>4</v>
      </c>
      <c r="V808" t="s">
        <v>24</v>
      </c>
    </row>
    <row r="809" spans="3:22" x14ac:dyDescent="0.35">
      <c r="C809" t="s">
        <v>2420</v>
      </c>
      <c r="D809" t="s">
        <v>2421</v>
      </c>
      <c r="E809" t="s">
        <v>2422</v>
      </c>
      <c r="F809" t="s">
        <v>2423</v>
      </c>
      <c r="G809">
        <v>41</v>
      </c>
      <c r="H809">
        <v>139612</v>
      </c>
      <c r="I809" t="b">
        <v>0</v>
      </c>
      <c r="J809">
        <v>0.28699999999999998</v>
      </c>
      <c r="K809">
        <v>0.245</v>
      </c>
      <c r="L809">
        <v>11</v>
      </c>
      <c r="M809">
        <v>-20.673999999999999</v>
      </c>
      <c r="N809">
        <v>0</v>
      </c>
      <c r="O809">
        <v>4.9299999999999997E-2</v>
      </c>
      <c r="P809">
        <v>0.91500000000000004</v>
      </c>
      <c r="Q809">
        <v>0.83599999999999997</v>
      </c>
      <c r="R809">
        <v>0.112</v>
      </c>
      <c r="S809">
        <v>0.624</v>
      </c>
      <c r="T809">
        <v>84.055999999999997</v>
      </c>
      <c r="U809">
        <v>4</v>
      </c>
      <c r="V809" t="s">
        <v>24</v>
      </c>
    </row>
    <row r="810" spans="3:22" x14ac:dyDescent="0.35">
      <c r="C810" t="s">
        <v>2424</v>
      </c>
      <c r="D810" t="s">
        <v>813</v>
      </c>
      <c r="E810" t="s">
        <v>2425</v>
      </c>
      <c r="F810" t="s">
        <v>2426</v>
      </c>
      <c r="G810">
        <v>51</v>
      </c>
      <c r="H810">
        <v>178615</v>
      </c>
      <c r="I810" t="b">
        <v>0</v>
      </c>
      <c r="J810">
        <v>0.45600000000000002</v>
      </c>
      <c r="K810">
        <v>0.13400000000000001</v>
      </c>
      <c r="L810">
        <v>4</v>
      </c>
      <c r="M810">
        <v>-11.247999999999999</v>
      </c>
      <c r="N810">
        <v>1</v>
      </c>
      <c r="O810">
        <v>3.6400000000000002E-2</v>
      </c>
      <c r="P810">
        <v>0.97599999999999998</v>
      </c>
      <c r="Q810" s="1" t="s">
        <v>2427</v>
      </c>
      <c r="R810">
        <v>0.107</v>
      </c>
      <c r="S810">
        <v>0.316</v>
      </c>
      <c r="T810">
        <v>127.976</v>
      </c>
      <c r="U810">
        <v>3</v>
      </c>
      <c r="V810" t="s">
        <v>24</v>
      </c>
    </row>
    <row r="811" spans="3:22" x14ac:dyDescent="0.35">
      <c r="C811" t="s">
        <v>2428</v>
      </c>
      <c r="D811" t="s">
        <v>34</v>
      </c>
      <c r="E811" t="s">
        <v>2429</v>
      </c>
      <c r="F811" t="s">
        <v>2429</v>
      </c>
      <c r="G811">
        <v>48</v>
      </c>
      <c r="H811">
        <v>119423</v>
      </c>
      <c r="I811" t="b">
        <v>0</v>
      </c>
      <c r="J811">
        <v>0.67600000000000005</v>
      </c>
      <c r="K811">
        <v>0.11799999999999999</v>
      </c>
      <c r="L811">
        <v>7</v>
      </c>
      <c r="M811">
        <v>-11.443</v>
      </c>
      <c r="N811">
        <v>1</v>
      </c>
      <c r="O811">
        <v>3.2000000000000001E-2</v>
      </c>
      <c r="P811">
        <v>0.93500000000000005</v>
      </c>
      <c r="Q811">
        <v>0</v>
      </c>
      <c r="R811">
        <v>0.29199999999999998</v>
      </c>
      <c r="S811">
        <v>0.51700000000000002</v>
      </c>
      <c r="T811">
        <v>103.94799999999999</v>
      </c>
      <c r="U811">
        <v>4</v>
      </c>
      <c r="V811" t="s">
        <v>24</v>
      </c>
    </row>
    <row r="812" spans="3:22" x14ac:dyDescent="0.35">
      <c r="C812" t="s">
        <v>2430</v>
      </c>
      <c r="D812" t="s">
        <v>352</v>
      </c>
      <c r="E812" t="s">
        <v>2431</v>
      </c>
      <c r="F812" t="s">
        <v>2432</v>
      </c>
      <c r="G812">
        <v>52</v>
      </c>
      <c r="H812">
        <v>201885</v>
      </c>
      <c r="I812" t="b">
        <v>0</v>
      </c>
      <c r="J812">
        <v>0.57999999999999996</v>
      </c>
      <c r="K812">
        <v>0.188</v>
      </c>
      <c r="L812">
        <v>9</v>
      </c>
      <c r="M812">
        <v>-9.34</v>
      </c>
      <c r="N812">
        <v>1</v>
      </c>
      <c r="O812">
        <v>5.11E-2</v>
      </c>
      <c r="P812">
        <v>0.93500000000000005</v>
      </c>
      <c r="Q812">
        <v>0</v>
      </c>
      <c r="R812">
        <v>0.26400000000000001</v>
      </c>
      <c r="S812">
        <v>0.43099999999999999</v>
      </c>
      <c r="T812">
        <v>121.648</v>
      </c>
      <c r="U812">
        <v>4</v>
      </c>
      <c r="V812" t="s">
        <v>24</v>
      </c>
    </row>
    <row r="813" spans="3:22" x14ac:dyDescent="0.35">
      <c r="C813" t="s">
        <v>2433</v>
      </c>
      <c r="D813" t="s">
        <v>2312</v>
      </c>
      <c r="E813" t="s">
        <v>2434</v>
      </c>
      <c r="F813" t="s">
        <v>2435</v>
      </c>
      <c r="G813">
        <v>39</v>
      </c>
      <c r="H813">
        <v>219653</v>
      </c>
      <c r="I813" t="b">
        <v>0</v>
      </c>
      <c r="J813">
        <v>0.80900000000000005</v>
      </c>
      <c r="K813">
        <v>0.55500000000000005</v>
      </c>
      <c r="L813">
        <v>0</v>
      </c>
      <c r="M813">
        <v>-5.6890000000000001</v>
      </c>
      <c r="N813">
        <v>1</v>
      </c>
      <c r="O813">
        <v>6.1699999999999998E-2</v>
      </c>
      <c r="P813">
        <v>0.48099999999999998</v>
      </c>
      <c r="Q813" s="1" t="s">
        <v>2436</v>
      </c>
      <c r="R813">
        <v>0.13300000000000001</v>
      </c>
      <c r="S813">
        <v>0.47299999999999998</v>
      </c>
      <c r="T813">
        <v>104.08499999999999</v>
      </c>
      <c r="U813">
        <v>4</v>
      </c>
      <c r="V813" t="s">
        <v>24</v>
      </c>
    </row>
    <row r="814" spans="3:22" x14ac:dyDescent="0.35">
      <c r="C814" t="s">
        <v>2437</v>
      </c>
      <c r="D814" t="s">
        <v>2438</v>
      </c>
      <c r="E814" t="s">
        <v>2439</v>
      </c>
      <c r="F814" t="s">
        <v>2440</v>
      </c>
      <c r="G814">
        <v>27</v>
      </c>
      <c r="H814">
        <v>279386</v>
      </c>
      <c r="I814" t="b">
        <v>0</v>
      </c>
      <c r="J814">
        <v>0.42199999999999999</v>
      </c>
      <c r="K814">
        <v>0.248</v>
      </c>
      <c r="L814">
        <v>8</v>
      </c>
      <c r="M814">
        <v>-8.2449999999999992</v>
      </c>
      <c r="N814">
        <v>1</v>
      </c>
      <c r="O814">
        <v>0.03</v>
      </c>
      <c r="P814">
        <v>0.95</v>
      </c>
      <c r="Q814" s="1" t="s">
        <v>2441</v>
      </c>
      <c r="R814">
        <v>0.32500000000000001</v>
      </c>
      <c r="S814">
        <v>0.219</v>
      </c>
      <c r="T814">
        <v>134.042</v>
      </c>
      <c r="U814">
        <v>4</v>
      </c>
      <c r="V814" t="s">
        <v>24</v>
      </c>
    </row>
    <row r="815" spans="3:22" x14ac:dyDescent="0.35">
      <c r="C815" t="s">
        <v>2442</v>
      </c>
      <c r="D815" t="s">
        <v>39</v>
      </c>
      <c r="E815" t="s">
        <v>2443</v>
      </c>
      <c r="F815" t="s">
        <v>2443</v>
      </c>
      <c r="G815">
        <v>41</v>
      </c>
      <c r="H815">
        <v>222400</v>
      </c>
      <c r="I815" t="b">
        <v>0</v>
      </c>
      <c r="J815">
        <v>0.49</v>
      </c>
      <c r="K815">
        <v>0.45600000000000002</v>
      </c>
      <c r="L815">
        <v>8</v>
      </c>
      <c r="M815">
        <v>-9.7669999999999995</v>
      </c>
      <c r="N815">
        <v>1</v>
      </c>
      <c r="O815">
        <v>4.4699999999999997E-2</v>
      </c>
      <c r="P815">
        <v>1.5599999999999999E-2</v>
      </c>
      <c r="Q815">
        <v>0</v>
      </c>
      <c r="R815">
        <v>8.2500000000000004E-2</v>
      </c>
      <c r="S815">
        <v>0.40500000000000003</v>
      </c>
      <c r="T815">
        <v>154.80500000000001</v>
      </c>
      <c r="U815">
        <v>4</v>
      </c>
      <c r="V815" t="s">
        <v>24</v>
      </c>
    </row>
    <row r="816" spans="3:22" x14ac:dyDescent="0.35">
      <c r="C816" t="s">
        <v>2444</v>
      </c>
      <c r="D816" t="s">
        <v>240</v>
      </c>
      <c r="E816" t="s">
        <v>2445</v>
      </c>
      <c r="F816" t="s">
        <v>2446</v>
      </c>
      <c r="G816">
        <v>43</v>
      </c>
      <c r="H816">
        <v>200227</v>
      </c>
      <c r="I816" t="b">
        <v>0</v>
      </c>
      <c r="J816">
        <v>0.60499999999999998</v>
      </c>
      <c r="K816">
        <v>0.39600000000000002</v>
      </c>
      <c r="L816">
        <v>1</v>
      </c>
      <c r="M816">
        <v>-7.5860000000000003</v>
      </c>
      <c r="N816">
        <v>1</v>
      </c>
      <c r="O816">
        <v>6.6699999999999995E-2</v>
      </c>
      <c r="P816">
        <v>0.38700000000000001</v>
      </c>
      <c r="Q816">
        <v>0</v>
      </c>
      <c r="R816">
        <v>5.5599999999999997E-2</v>
      </c>
      <c r="S816">
        <v>0.32500000000000001</v>
      </c>
      <c r="T816">
        <v>132.08000000000001</v>
      </c>
      <c r="U816">
        <v>4</v>
      </c>
      <c r="V816" t="s">
        <v>24</v>
      </c>
    </row>
    <row r="817" spans="3:22" x14ac:dyDescent="0.35">
      <c r="C817" t="s">
        <v>2447</v>
      </c>
      <c r="D817" t="s">
        <v>2448</v>
      </c>
      <c r="E817" t="s">
        <v>2449</v>
      </c>
      <c r="F817" t="s">
        <v>2450</v>
      </c>
      <c r="G817">
        <v>45</v>
      </c>
      <c r="H817">
        <v>145753</v>
      </c>
      <c r="I817" t="b">
        <v>0</v>
      </c>
      <c r="J817">
        <v>0.46300000000000002</v>
      </c>
      <c r="K817">
        <v>0.156</v>
      </c>
      <c r="L817">
        <v>6</v>
      </c>
      <c r="M817">
        <v>-13.416</v>
      </c>
      <c r="N817">
        <v>1</v>
      </c>
      <c r="O817">
        <v>0.189</v>
      </c>
      <c r="P817">
        <v>0.89</v>
      </c>
      <c r="Q817">
        <v>0</v>
      </c>
      <c r="R817">
        <v>0.115</v>
      </c>
      <c r="S817">
        <v>0.47799999999999998</v>
      </c>
      <c r="T817">
        <v>180.191</v>
      </c>
      <c r="U817">
        <v>4</v>
      </c>
      <c r="V817" t="s">
        <v>24</v>
      </c>
    </row>
    <row r="818" spans="3:22" x14ac:dyDescent="0.35">
      <c r="C818" t="s">
        <v>2451</v>
      </c>
      <c r="D818" t="s">
        <v>2452</v>
      </c>
      <c r="E818" t="s">
        <v>2453</v>
      </c>
      <c r="F818" t="s">
        <v>2454</v>
      </c>
      <c r="G818">
        <v>27</v>
      </c>
      <c r="H818">
        <v>245600</v>
      </c>
      <c r="I818" t="b">
        <v>0</v>
      </c>
      <c r="J818">
        <v>0.53200000000000003</v>
      </c>
      <c r="K818">
        <v>0.92800000000000005</v>
      </c>
      <c r="L818">
        <v>9</v>
      </c>
      <c r="M818">
        <v>-1.9630000000000001</v>
      </c>
      <c r="N818">
        <v>0</v>
      </c>
      <c r="O818">
        <v>3.9699999999999999E-2</v>
      </c>
      <c r="P818">
        <v>0.108</v>
      </c>
      <c r="Q818">
        <v>2.9100000000000001E-2</v>
      </c>
      <c r="R818">
        <v>0.20100000000000001</v>
      </c>
      <c r="S818">
        <v>0.80800000000000005</v>
      </c>
      <c r="T818">
        <v>113.92700000000001</v>
      </c>
      <c r="U818">
        <v>3</v>
      </c>
      <c r="V818" t="s">
        <v>24</v>
      </c>
    </row>
    <row r="819" spans="3:22" x14ac:dyDescent="0.35">
      <c r="C819" t="s">
        <v>2455</v>
      </c>
      <c r="D819" t="s">
        <v>2456</v>
      </c>
      <c r="E819" t="s">
        <v>2457</v>
      </c>
      <c r="F819" t="s">
        <v>2458</v>
      </c>
      <c r="G819">
        <v>41</v>
      </c>
      <c r="H819">
        <v>150346</v>
      </c>
      <c r="I819" t="b">
        <v>0</v>
      </c>
      <c r="J819">
        <v>0.38700000000000001</v>
      </c>
      <c r="K819">
        <v>0.41</v>
      </c>
      <c r="L819">
        <v>11</v>
      </c>
      <c r="M819">
        <v>-8.1240000000000006</v>
      </c>
      <c r="N819">
        <v>0</v>
      </c>
      <c r="O819">
        <v>3.1E-2</v>
      </c>
      <c r="P819">
        <v>0.60799999999999998</v>
      </c>
      <c r="Q819">
        <v>5.8900000000000003E-3</v>
      </c>
      <c r="R819">
        <v>0.10199999999999999</v>
      </c>
      <c r="S819">
        <v>0.14899999999999999</v>
      </c>
      <c r="T819">
        <v>117.39100000000001</v>
      </c>
      <c r="U819">
        <v>4</v>
      </c>
      <c r="V819" t="s">
        <v>24</v>
      </c>
    </row>
    <row r="820" spans="3:22" x14ac:dyDescent="0.35">
      <c r="C820" t="s">
        <v>2459</v>
      </c>
      <c r="D820" t="s">
        <v>2460</v>
      </c>
      <c r="E820" t="s">
        <v>2461</v>
      </c>
      <c r="F820" t="s">
        <v>2462</v>
      </c>
      <c r="G820">
        <v>33</v>
      </c>
      <c r="H820">
        <v>214860</v>
      </c>
      <c r="I820" t="b">
        <v>0</v>
      </c>
      <c r="J820">
        <v>0.75800000000000001</v>
      </c>
      <c r="K820">
        <v>0.20599999999999999</v>
      </c>
      <c r="L820">
        <v>9</v>
      </c>
      <c r="M820">
        <v>-14.68</v>
      </c>
      <c r="N820">
        <v>1</v>
      </c>
      <c r="O820">
        <v>7.2900000000000006E-2</v>
      </c>
      <c r="P820">
        <v>0.628</v>
      </c>
      <c r="Q820">
        <v>0</v>
      </c>
      <c r="R820">
        <v>0.14799999999999999</v>
      </c>
      <c r="S820">
        <v>0.25</v>
      </c>
      <c r="T820">
        <v>124.873</v>
      </c>
      <c r="U820">
        <v>4</v>
      </c>
      <c r="V820" t="s">
        <v>24</v>
      </c>
    </row>
    <row r="821" spans="3:22" x14ac:dyDescent="0.35">
      <c r="C821" t="s">
        <v>2463</v>
      </c>
      <c r="D821" t="s">
        <v>339</v>
      </c>
      <c r="E821" t="s">
        <v>92</v>
      </c>
      <c r="F821" t="s">
        <v>1965</v>
      </c>
      <c r="G821">
        <v>47</v>
      </c>
      <c r="H821">
        <v>257390</v>
      </c>
      <c r="I821" t="b">
        <v>0</v>
      </c>
      <c r="J821">
        <v>0.63100000000000001</v>
      </c>
      <c r="K821">
        <v>0.28999999999999998</v>
      </c>
      <c r="L821">
        <v>1</v>
      </c>
      <c r="M821">
        <v>-9.1590000000000007</v>
      </c>
      <c r="N821">
        <v>1</v>
      </c>
      <c r="O821">
        <v>2.7900000000000001E-2</v>
      </c>
      <c r="P821">
        <v>0.85699999999999998</v>
      </c>
      <c r="Q821">
        <v>0</v>
      </c>
      <c r="R821">
        <v>0.18099999999999999</v>
      </c>
      <c r="S821">
        <v>0.39800000000000002</v>
      </c>
      <c r="T821">
        <v>96.593000000000004</v>
      </c>
      <c r="U821">
        <v>3</v>
      </c>
      <c r="V821" t="s">
        <v>24</v>
      </c>
    </row>
    <row r="822" spans="3:22" x14ac:dyDescent="0.35">
      <c r="C822" t="s">
        <v>2464</v>
      </c>
      <c r="D822" t="s">
        <v>352</v>
      </c>
      <c r="E822" t="s">
        <v>2465</v>
      </c>
      <c r="F822" t="s">
        <v>2466</v>
      </c>
      <c r="G822">
        <v>48</v>
      </c>
      <c r="H822">
        <v>202928</v>
      </c>
      <c r="I822" t="b">
        <v>0</v>
      </c>
      <c r="J822">
        <v>0.54500000000000004</v>
      </c>
      <c r="K822">
        <v>0.16900000000000001</v>
      </c>
      <c r="L822">
        <v>6</v>
      </c>
      <c r="M822">
        <v>-10.145</v>
      </c>
      <c r="N822">
        <v>1</v>
      </c>
      <c r="O822">
        <v>4.5699999999999998E-2</v>
      </c>
      <c r="P822">
        <v>0.95299999999999996</v>
      </c>
      <c r="Q822">
        <v>0</v>
      </c>
      <c r="R822">
        <v>0.152</v>
      </c>
      <c r="S822">
        <v>0.29099999999999998</v>
      </c>
      <c r="T822">
        <v>138.19900000000001</v>
      </c>
      <c r="U822">
        <v>4</v>
      </c>
      <c r="V822" t="s">
        <v>24</v>
      </c>
    </row>
    <row r="823" spans="3:22" x14ac:dyDescent="0.35">
      <c r="C823" t="s">
        <v>2467</v>
      </c>
      <c r="D823" t="s">
        <v>1297</v>
      </c>
      <c r="E823" t="s">
        <v>2468</v>
      </c>
      <c r="F823">
        <v>3636</v>
      </c>
      <c r="G823">
        <v>44</v>
      </c>
      <c r="H823">
        <v>251720</v>
      </c>
      <c r="I823" t="b">
        <v>0</v>
      </c>
      <c r="J823">
        <v>0.57899999999999996</v>
      </c>
      <c r="K823">
        <v>0.61199999999999999</v>
      </c>
      <c r="L823">
        <v>10</v>
      </c>
      <c r="M823">
        <v>-5.0880000000000001</v>
      </c>
      <c r="N823">
        <v>1</v>
      </c>
      <c r="O823">
        <v>2.6599999999999999E-2</v>
      </c>
      <c r="P823">
        <v>0.70199999999999996</v>
      </c>
      <c r="Q823">
        <v>1.9499999999999999E-3</v>
      </c>
      <c r="R823">
        <v>0.254</v>
      </c>
      <c r="S823">
        <v>0.623</v>
      </c>
      <c r="T823">
        <v>155.92099999999999</v>
      </c>
      <c r="U823">
        <v>4</v>
      </c>
      <c r="V823" t="s">
        <v>24</v>
      </c>
    </row>
    <row r="824" spans="3:22" x14ac:dyDescent="0.35">
      <c r="C824" t="s">
        <v>2469</v>
      </c>
      <c r="D824" t="s">
        <v>1297</v>
      </c>
      <c r="E824" t="s">
        <v>2250</v>
      </c>
      <c r="F824" t="s">
        <v>2470</v>
      </c>
      <c r="G824">
        <v>64</v>
      </c>
      <c r="H824">
        <v>246306</v>
      </c>
      <c r="I824" t="b">
        <v>0</v>
      </c>
      <c r="J824">
        <v>0.52400000000000002</v>
      </c>
      <c r="K824">
        <v>0.68700000000000006</v>
      </c>
      <c r="L824">
        <v>7</v>
      </c>
      <c r="M824">
        <v>-4.0389999999999997</v>
      </c>
      <c r="N824">
        <v>1</v>
      </c>
      <c r="O824">
        <v>2.6700000000000002E-2</v>
      </c>
      <c r="P824">
        <v>1.3500000000000001E-3</v>
      </c>
      <c r="Q824">
        <v>0</v>
      </c>
      <c r="R824">
        <v>0.16900000000000001</v>
      </c>
      <c r="S824">
        <v>0.61899999999999999</v>
      </c>
      <c r="T824">
        <v>99.918999999999997</v>
      </c>
      <c r="U824">
        <v>4</v>
      </c>
      <c r="V824" t="s">
        <v>24</v>
      </c>
    </row>
    <row r="825" spans="3:22" x14ac:dyDescent="0.35">
      <c r="C825" t="s">
        <v>2471</v>
      </c>
      <c r="D825" t="s">
        <v>339</v>
      </c>
      <c r="E825" t="s">
        <v>97</v>
      </c>
      <c r="F825" t="s">
        <v>2472</v>
      </c>
      <c r="G825">
        <v>49</v>
      </c>
      <c r="H825">
        <v>280652</v>
      </c>
      <c r="I825" t="b">
        <v>0</v>
      </c>
      <c r="J825">
        <v>0.747</v>
      </c>
      <c r="K825">
        <v>9.2600000000000002E-2</v>
      </c>
      <c r="L825">
        <v>8</v>
      </c>
      <c r="M825">
        <v>-11.531000000000001</v>
      </c>
      <c r="N825">
        <v>1</v>
      </c>
      <c r="O825">
        <v>3.0800000000000001E-2</v>
      </c>
      <c r="P825">
        <v>0.92100000000000004</v>
      </c>
      <c r="Q825">
        <v>0</v>
      </c>
      <c r="R825">
        <v>0.112</v>
      </c>
      <c r="S825">
        <v>0.32800000000000001</v>
      </c>
      <c r="T825">
        <v>77.94</v>
      </c>
      <c r="U825">
        <v>4</v>
      </c>
      <c r="V825" t="s">
        <v>24</v>
      </c>
    </row>
    <row r="826" spans="3:22" x14ac:dyDescent="0.35">
      <c r="C826" t="s">
        <v>2473</v>
      </c>
      <c r="D826" t="s">
        <v>1319</v>
      </c>
      <c r="E826" t="s">
        <v>2474</v>
      </c>
      <c r="F826" t="s">
        <v>2474</v>
      </c>
      <c r="G826">
        <v>49</v>
      </c>
      <c r="H826">
        <v>204333</v>
      </c>
      <c r="I826" t="b">
        <v>0</v>
      </c>
      <c r="J826">
        <v>0.42199999999999999</v>
      </c>
      <c r="K826">
        <v>0.11899999999999999</v>
      </c>
      <c r="L826">
        <v>8</v>
      </c>
      <c r="M826">
        <v>-15.182</v>
      </c>
      <c r="N826">
        <v>1</v>
      </c>
      <c r="O826">
        <v>3.5400000000000001E-2</v>
      </c>
      <c r="P826">
        <v>0.55500000000000005</v>
      </c>
      <c r="Q826">
        <v>0</v>
      </c>
      <c r="R826">
        <v>9.5899999999999999E-2</v>
      </c>
      <c r="S826">
        <v>0.40500000000000003</v>
      </c>
      <c r="T826">
        <v>179.84399999999999</v>
      </c>
      <c r="U826">
        <v>3</v>
      </c>
      <c r="V826" t="s">
        <v>24</v>
      </c>
    </row>
    <row r="827" spans="3:22" x14ac:dyDescent="0.35">
      <c r="C827" t="s">
        <v>2475</v>
      </c>
      <c r="D827" t="s">
        <v>408</v>
      </c>
      <c r="E827" t="s">
        <v>2476</v>
      </c>
      <c r="F827" t="s">
        <v>2476</v>
      </c>
      <c r="G827">
        <v>45</v>
      </c>
      <c r="H827">
        <v>186373</v>
      </c>
      <c r="I827" t="b">
        <v>0</v>
      </c>
      <c r="J827">
        <v>0.53900000000000003</v>
      </c>
      <c r="K827">
        <v>0.35599999999999998</v>
      </c>
      <c r="L827">
        <v>7</v>
      </c>
      <c r="M827">
        <v>-9.7490000000000006</v>
      </c>
      <c r="N827">
        <v>1</v>
      </c>
      <c r="O827">
        <v>3.2099999999999997E-2</v>
      </c>
      <c r="P827">
        <v>0.76400000000000001</v>
      </c>
      <c r="Q827">
        <v>1.5399999999999999E-3</v>
      </c>
      <c r="R827">
        <v>0.127</v>
      </c>
      <c r="S827">
        <v>0.48899999999999999</v>
      </c>
      <c r="T827">
        <v>73.703000000000003</v>
      </c>
      <c r="U827">
        <v>4</v>
      </c>
      <c r="V827" t="s">
        <v>24</v>
      </c>
    </row>
    <row r="828" spans="3:22" x14ac:dyDescent="0.35">
      <c r="C828" t="s">
        <v>2477</v>
      </c>
      <c r="D828" t="s">
        <v>2478</v>
      </c>
      <c r="E828" t="s">
        <v>2479</v>
      </c>
      <c r="F828" t="s">
        <v>2479</v>
      </c>
      <c r="G828">
        <v>26</v>
      </c>
      <c r="H828">
        <v>169315</v>
      </c>
      <c r="I828" t="b">
        <v>0</v>
      </c>
      <c r="J828">
        <v>0.73699999999999999</v>
      </c>
      <c r="K828">
        <v>0.23799999999999999</v>
      </c>
      <c r="L828">
        <v>0</v>
      </c>
      <c r="M828">
        <v>-9.0519999999999996</v>
      </c>
      <c r="N828">
        <v>1</v>
      </c>
      <c r="O828">
        <v>3.4000000000000002E-2</v>
      </c>
      <c r="P828">
        <v>0.89100000000000001</v>
      </c>
      <c r="Q828">
        <v>3.3600000000000001E-3</v>
      </c>
      <c r="R828">
        <v>9.5899999999999999E-2</v>
      </c>
      <c r="S828">
        <v>0.23400000000000001</v>
      </c>
      <c r="T828">
        <v>119.08499999999999</v>
      </c>
      <c r="U828">
        <v>4</v>
      </c>
      <c r="V828" t="s">
        <v>24</v>
      </c>
    </row>
    <row r="829" spans="3:22" x14ac:dyDescent="0.35">
      <c r="C829" t="s">
        <v>2480</v>
      </c>
      <c r="D829" t="s">
        <v>696</v>
      </c>
      <c r="E829" t="s">
        <v>2481</v>
      </c>
      <c r="F829" t="s">
        <v>2482</v>
      </c>
      <c r="G829">
        <v>47</v>
      </c>
      <c r="H829">
        <v>251164</v>
      </c>
      <c r="I829" t="b">
        <v>0</v>
      </c>
      <c r="J829">
        <v>0.64200000000000002</v>
      </c>
      <c r="K829">
        <v>0.15</v>
      </c>
      <c r="L829">
        <v>0</v>
      </c>
      <c r="M829">
        <v>-11.316000000000001</v>
      </c>
      <c r="N829">
        <v>1</v>
      </c>
      <c r="O829">
        <v>3.5099999999999999E-2</v>
      </c>
      <c r="P829">
        <v>0.83199999999999996</v>
      </c>
      <c r="Q829">
        <v>0</v>
      </c>
      <c r="R829">
        <v>0.126</v>
      </c>
      <c r="S829">
        <v>0.27</v>
      </c>
      <c r="T829">
        <v>104.97799999999999</v>
      </c>
      <c r="U829">
        <v>4</v>
      </c>
      <c r="V829" t="s">
        <v>24</v>
      </c>
    </row>
    <row r="830" spans="3:22" x14ac:dyDescent="0.35">
      <c r="C830" t="s">
        <v>2483</v>
      </c>
      <c r="D830" t="s">
        <v>1202</v>
      </c>
      <c r="E830" t="s">
        <v>2484</v>
      </c>
      <c r="F830" t="s">
        <v>2485</v>
      </c>
      <c r="G830">
        <v>27</v>
      </c>
      <c r="H830">
        <v>322140</v>
      </c>
      <c r="I830" t="b">
        <v>0</v>
      </c>
      <c r="J830">
        <v>0.73099999999999998</v>
      </c>
      <c r="K830">
        <v>0.48499999999999999</v>
      </c>
      <c r="L830">
        <v>7</v>
      </c>
      <c r="M830">
        <v>-10.113</v>
      </c>
      <c r="N830">
        <v>1</v>
      </c>
      <c r="O830">
        <v>3.8699999999999998E-2</v>
      </c>
      <c r="P830">
        <v>0.28399999999999997</v>
      </c>
      <c r="Q830">
        <v>4.64E-3</v>
      </c>
      <c r="R830">
        <v>0.14699999999999999</v>
      </c>
      <c r="S830">
        <v>0.46300000000000002</v>
      </c>
      <c r="T830">
        <v>106.05200000000001</v>
      </c>
      <c r="U830">
        <v>4</v>
      </c>
      <c r="V830" t="s">
        <v>24</v>
      </c>
    </row>
    <row r="831" spans="3:22" x14ac:dyDescent="0.35">
      <c r="C831" t="s">
        <v>2486</v>
      </c>
      <c r="D831" t="s">
        <v>1489</v>
      </c>
      <c r="E831" t="s">
        <v>2487</v>
      </c>
      <c r="F831" t="s">
        <v>2488</v>
      </c>
      <c r="G831">
        <v>26</v>
      </c>
      <c r="H831">
        <v>260853</v>
      </c>
      <c r="I831" t="b">
        <v>0</v>
      </c>
      <c r="J831">
        <v>0.58699999999999997</v>
      </c>
      <c r="K831">
        <v>0.311</v>
      </c>
      <c r="L831">
        <v>4</v>
      </c>
      <c r="M831">
        <v>-8.9870000000000001</v>
      </c>
      <c r="N831">
        <v>1</v>
      </c>
      <c r="O831">
        <v>3.0700000000000002E-2</v>
      </c>
      <c r="P831">
        <v>0.81699999999999995</v>
      </c>
      <c r="Q831">
        <v>0</v>
      </c>
      <c r="R831">
        <v>8.6300000000000002E-2</v>
      </c>
      <c r="S831">
        <v>0.374</v>
      </c>
      <c r="T831">
        <v>113.68300000000001</v>
      </c>
      <c r="U831">
        <v>4</v>
      </c>
      <c r="V831" t="s">
        <v>24</v>
      </c>
    </row>
    <row r="832" spans="3:22" x14ac:dyDescent="0.35">
      <c r="C832" t="s">
        <v>2489</v>
      </c>
      <c r="D832" t="s">
        <v>408</v>
      </c>
      <c r="E832" t="s">
        <v>460</v>
      </c>
      <c r="F832" t="s">
        <v>2490</v>
      </c>
      <c r="G832">
        <v>48</v>
      </c>
      <c r="H832">
        <v>306853</v>
      </c>
      <c r="I832" t="b">
        <v>0</v>
      </c>
      <c r="J832">
        <v>0.27700000000000002</v>
      </c>
      <c r="K832">
        <v>0.19800000000000001</v>
      </c>
      <c r="L832">
        <v>7</v>
      </c>
      <c r="M832">
        <v>-11.923</v>
      </c>
      <c r="N832">
        <v>1</v>
      </c>
      <c r="O832">
        <v>3.0599999999999999E-2</v>
      </c>
      <c r="P832">
        <v>0.498</v>
      </c>
      <c r="Q832">
        <v>6.2300000000000003E-3</v>
      </c>
      <c r="R832">
        <v>9.8400000000000001E-2</v>
      </c>
      <c r="S832">
        <v>0.13400000000000001</v>
      </c>
      <c r="T832">
        <v>149.93700000000001</v>
      </c>
      <c r="U832">
        <v>3</v>
      </c>
      <c r="V832" t="s">
        <v>24</v>
      </c>
    </row>
    <row r="833" spans="3:22" x14ac:dyDescent="0.35">
      <c r="C833" t="s">
        <v>2491</v>
      </c>
      <c r="D833" t="s">
        <v>2492</v>
      </c>
      <c r="E833" t="s">
        <v>2493</v>
      </c>
      <c r="F833" t="s">
        <v>2494</v>
      </c>
      <c r="G833">
        <v>59</v>
      </c>
      <c r="H833">
        <v>162040</v>
      </c>
      <c r="I833" t="b">
        <v>0</v>
      </c>
      <c r="J833">
        <v>0.67600000000000005</v>
      </c>
      <c r="K833">
        <v>0.33400000000000002</v>
      </c>
      <c r="L833">
        <v>5</v>
      </c>
      <c r="M833">
        <v>-10.571999999999999</v>
      </c>
      <c r="N833">
        <v>1</v>
      </c>
      <c r="O833">
        <v>5.0799999999999998E-2</v>
      </c>
      <c r="P833">
        <v>0.86199999999999999</v>
      </c>
      <c r="Q833">
        <v>0</v>
      </c>
      <c r="R833">
        <v>0.32</v>
      </c>
      <c r="S833">
        <v>0.86699999999999999</v>
      </c>
      <c r="T833">
        <v>158</v>
      </c>
      <c r="U833">
        <v>4</v>
      </c>
      <c r="V833" t="s">
        <v>24</v>
      </c>
    </row>
    <row r="834" spans="3:22" x14ac:dyDescent="0.35">
      <c r="C834" t="s">
        <v>2495</v>
      </c>
      <c r="D834" t="s">
        <v>2496</v>
      </c>
      <c r="E834" t="s">
        <v>2497</v>
      </c>
      <c r="F834" t="s">
        <v>2498</v>
      </c>
      <c r="G834">
        <v>26</v>
      </c>
      <c r="H834">
        <v>199866</v>
      </c>
      <c r="I834" t="b">
        <v>0</v>
      </c>
      <c r="J834">
        <v>0.67300000000000004</v>
      </c>
      <c r="K834">
        <v>0.42399999999999999</v>
      </c>
      <c r="L834">
        <v>8</v>
      </c>
      <c r="M834">
        <v>-11.49</v>
      </c>
      <c r="N834">
        <v>1</v>
      </c>
      <c r="O834">
        <v>3.0499999999999999E-2</v>
      </c>
      <c r="P834">
        <v>0.3</v>
      </c>
      <c r="Q834">
        <v>0</v>
      </c>
      <c r="R834">
        <v>0.22900000000000001</v>
      </c>
      <c r="S834">
        <v>0.70899999999999996</v>
      </c>
      <c r="T834">
        <v>115.038</v>
      </c>
      <c r="U834">
        <v>4</v>
      </c>
      <c r="V834" t="s">
        <v>24</v>
      </c>
    </row>
    <row r="835" spans="3:22" x14ac:dyDescent="0.35">
      <c r="C835" t="s">
        <v>2499</v>
      </c>
      <c r="D835" t="s">
        <v>1480</v>
      </c>
      <c r="E835" t="s">
        <v>2500</v>
      </c>
      <c r="F835" t="s">
        <v>2501</v>
      </c>
      <c r="G835">
        <v>53</v>
      </c>
      <c r="H835">
        <v>251453</v>
      </c>
      <c r="I835" t="b">
        <v>0</v>
      </c>
      <c r="J835">
        <v>0.60199999999999998</v>
      </c>
      <c r="K835">
        <v>0.52</v>
      </c>
      <c r="L835">
        <v>3</v>
      </c>
      <c r="M835">
        <v>-10.831</v>
      </c>
      <c r="N835">
        <v>1</v>
      </c>
      <c r="O835">
        <v>2.8000000000000001E-2</v>
      </c>
      <c r="P835">
        <v>0.73199999999999998</v>
      </c>
      <c r="Q835">
        <v>0.221</v>
      </c>
      <c r="R835">
        <v>9.8199999999999996E-2</v>
      </c>
      <c r="S835">
        <v>0.52300000000000002</v>
      </c>
      <c r="T835">
        <v>151.91200000000001</v>
      </c>
      <c r="U835">
        <v>4</v>
      </c>
      <c r="V835" t="s">
        <v>24</v>
      </c>
    </row>
    <row r="836" spans="3:22" x14ac:dyDescent="0.35">
      <c r="C836" t="s">
        <v>2502</v>
      </c>
      <c r="D836" t="s">
        <v>2340</v>
      </c>
      <c r="E836" t="s">
        <v>1665</v>
      </c>
      <c r="F836" t="s">
        <v>2503</v>
      </c>
      <c r="G836">
        <v>26</v>
      </c>
      <c r="H836">
        <v>149783</v>
      </c>
      <c r="I836" t="b">
        <v>0</v>
      </c>
      <c r="J836">
        <v>0.58199999999999996</v>
      </c>
      <c r="K836">
        <v>0.18099999999999999</v>
      </c>
      <c r="L836">
        <v>10</v>
      </c>
      <c r="M836">
        <v>-11.294</v>
      </c>
      <c r="N836">
        <v>0</v>
      </c>
      <c r="O836">
        <v>3.8600000000000002E-2</v>
      </c>
      <c r="P836">
        <v>0.82099999999999995</v>
      </c>
      <c r="Q836">
        <v>0</v>
      </c>
      <c r="R836">
        <v>0.23699999999999999</v>
      </c>
      <c r="S836">
        <v>0.17199999999999999</v>
      </c>
      <c r="T836">
        <v>133.43100000000001</v>
      </c>
      <c r="U836">
        <v>4</v>
      </c>
      <c r="V836" t="s">
        <v>24</v>
      </c>
    </row>
    <row r="837" spans="3:22" x14ac:dyDescent="0.35">
      <c r="C837" t="s">
        <v>2504</v>
      </c>
      <c r="D837" t="s">
        <v>2505</v>
      </c>
      <c r="E837" t="s">
        <v>2506</v>
      </c>
      <c r="F837" t="s">
        <v>2507</v>
      </c>
      <c r="G837">
        <v>26</v>
      </c>
      <c r="H837">
        <v>210901</v>
      </c>
      <c r="I837" t="b">
        <v>0</v>
      </c>
      <c r="J837">
        <v>0.48899999999999999</v>
      </c>
      <c r="K837">
        <v>0.124</v>
      </c>
      <c r="L837">
        <v>9</v>
      </c>
      <c r="M837">
        <v>-10.145</v>
      </c>
      <c r="N837">
        <v>1</v>
      </c>
      <c r="O837">
        <v>4.36E-2</v>
      </c>
      <c r="P837">
        <v>0.95199999999999996</v>
      </c>
      <c r="Q837">
        <v>0</v>
      </c>
      <c r="R837">
        <v>0.24299999999999999</v>
      </c>
      <c r="S837">
        <v>0.25700000000000001</v>
      </c>
      <c r="T837">
        <v>91.385999999999996</v>
      </c>
      <c r="U837">
        <v>4</v>
      </c>
      <c r="V837" t="s">
        <v>24</v>
      </c>
    </row>
    <row r="838" spans="3:22" x14ac:dyDescent="0.35">
      <c r="C838" t="s">
        <v>2508</v>
      </c>
      <c r="D838" t="s">
        <v>1489</v>
      </c>
      <c r="E838" t="s">
        <v>2487</v>
      </c>
      <c r="F838" t="s">
        <v>2509</v>
      </c>
      <c r="G838">
        <v>26</v>
      </c>
      <c r="H838">
        <v>306092</v>
      </c>
      <c r="I838" t="b">
        <v>0</v>
      </c>
      <c r="J838">
        <v>0.69599999999999995</v>
      </c>
      <c r="K838">
        <v>0.379</v>
      </c>
      <c r="L838">
        <v>0</v>
      </c>
      <c r="M838">
        <v>-9.7240000000000002</v>
      </c>
      <c r="N838">
        <v>1</v>
      </c>
      <c r="O838">
        <v>2.8400000000000002E-2</v>
      </c>
      <c r="P838">
        <v>0.77200000000000002</v>
      </c>
      <c r="Q838" s="1" t="s">
        <v>1533</v>
      </c>
      <c r="R838">
        <v>0.10100000000000001</v>
      </c>
      <c r="S838">
        <v>0.35899999999999999</v>
      </c>
      <c r="T838">
        <v>112.967</v>
      </c>
      <c r="U838">
        <v>4</v>
      </c>
      <c r="V838" t="s">
        <v>24</v>
      </c>
    </row>
    <row r="839" spans="3:22" x14ac:dyDescent="0.35">
      <c r="C839" t="s">
        <v>2510</v>
      </c>
      <c r="D839" t="s">
        <v>50</v>
      </c>
      <c r="E839" t="s">
        <v>64</v>
      </c>
      <c r="F839" t="s">
        <v>2511</v>
      </c>
      <c r="G839">
        <v>48</v>
      </c>
      <c r="H839">
        <v>235080</v>
      </c>
      <c r="I839" t="b">
        <v>0</v>
      </c>
      <c r="J839">
        <v>0.65</v>
      </c>
      <c r="K839">
        <v>0.628</v>
      </c>
      <c r="L839">
        <v>7</v>
      </c>
      <c r="M839">
        <v>-7.16</v>
      </c>
      <c r="N839">
        <v>1</v>
      </c>
      <c r="O839">
        <v>2.3199999999999998E-2</v>
      </c>
      <c r="P839">
        <v>4.8300000000000003E-2</v>
      </c>
      <c r="Q839">
        <v>0</v>
      </c>
      <c r="R839">
        <v>0.11899999999999999</v>
      </c>
      <c r="S839">
        <v>0.7</v>
      </c>
      <c r="T839">
        <v>84.141000000000005</v>
      </c>
      <c r="U839">
        <v>4</v>
      </c>
      <c r="V839" t="s">
        <v>24</v>
      </c>
    </row>
    <row r="840" spans="3:22" x14ac:dyDescent="0.35">
      <c r="C840" t="s">
        <v>2512</v>
      </c>
      <c r="D840" t="s">
        <v>135</v>
      </c>
      <c r="E840" t="s">
        <v>450</v>
      </c>
      <c r="F840" t="s">
        <v>2065</v>
      </c>
      <c r="G840">
        <v>61</v>
      </c>
      <c r="H840">
        <v>214560</v>
      </c>
      <c r="I840" t="b">
        <v>0</v>
      </c>
      <c r="J840">
        <v>0.501</v>
      </c>
      <c r="K840">
        <v>0.68400000000000005</v>
      </c>
      <c r="L840">
        <v>2</v>
      </c>
      <c r="M840">
        <v>-5.3680000000000003</v>
      </c>
      <c r="N840">
        <v>1</v>
      </c>
      <c r="O840">
        <v>3.0200000000000001E-2</v>
      </c>
      <c r="P840">
        <v>0.48499999999999999</v>
      </c>
      <c r="Q840">
        <v>0</v>
      </c>
      <c r="R840">
        <v>8.3000000000000004E-2</v>
      </c>
      <c r="S840">
        <v>0.36899999999999999</v>
      </c>
      <c r="T840">
        <v>80.039000000000001</v>
      </c>
      <c r="U840">
        <v>4</v>
      </c>
      <c r="V840" t="s">
        <v>24</v>
      </c>
    </row>
    <row r="841" spans="3:22" x14ac:dyDescent="0.35">
      <c r="C841" t="s">
        <v>2513</v>
      </c>
      <c r="D841" t="s">
        <v>755</v>
      </c>
      <c r="E841" t="s">
        <v>2514</v>
      </c>
      <c r="F841" t="s">
        <v>2515</v>
      </c>
      <c r="G841">
        <v>27</v>
      </c>
      <c r="H841">
        <v>70506</v>
      </c>
      <c r="I841" t="b">
        <v>1</v>
      </c>
      <c r="J841">
        <v>0.38900000000000001</v>
      </c>
      <c r="K841">
        <v>0.49399999999999999</v>
      </c>
      <c r="L841">
        <v>9</v>
      </c>
      <c r="M841">
        <v>-10.78</v>
      </c>
      <c r="N841">
        <v>1</v>
      </c>
      <c r="O841">
        <v>0.13100000000000001</v>
      </c>
      <c r="P841">
        <v>0.186</v>
      </c>
      <c r="Q841">
        <v>1.3799999999999999E-4</v>
      </c>
      <c r="R841">
        <v>5.57E-2</v>
      </c>
      <c r="S841">
        <v>0.90900000000000003</v>
      </c>
      <c r="T841">
        <v>86.872</v>
      </c>
      <c r="U841">
        <v>4</v>
      </c>
      <c r="V841" t="s">
        <v>24</v>
      </c>
    </row>
    <row r="842" spans="3:22" x14ac:dyDescent="0.35">
      <c r="C842" t="s">
        <v>2516</v>
      </c>
      <c r="D842" t="s">
        <v>1805</v>
      </c>
      <c r="E842" t="s">
        <v>1806</v>
      </c>
      <c r="F842" t="s">
        <v>2517</v>
      </c>
      <c r="G842">
        <v>26</v>
      </c>
      <c r="H842">
        <v>188040</v>
      </c>
      <c r="I842" t="b">
        <v>0</v>
      </c>
      <c r="J842">
        <v>0.72099999999999997</v>
      </c>
      <c r="K842">
        <v>0.44600000000000001</v>
      </c>
      <c r="L842">
        <v>8</v>
      </c>
      <c r="M842">
        <v>-10.053000000000001</v>
      </c>
      <c r="N842">
        <v>1</v>
      </c>
      <c r="O842">
        <v>3.0499999999999999E-2</v>
      </c>
      <c r="P842">
        <v>0.79700000000000004</v>
      </c>
      <c r="Q842" s="1" t="s">
        <v>2518</v>
      </c>
      <c r="R842">
        <v>0.13600000000000001</v>
      </c>
      <c r="S842">
        <v>0.54200000000000004</v>
      </c>
      <c r="T842">
        <v>118.001</v>
      </c>
      <c r="U842">
        <v>4</v>
      </c>
      <c r="V842" t="s">
        <v>24</v>
      </c>
    </row>
    <row r="843" spans="3:22" x14ac:dyDescent="0.35">
      <c r="C843" t="s">
        <v>2519</v>
      </c>
      <c r="D843" t="s">
        <v>149</v>
      </c>
      <c r="E843" t="s">
        <v>285</v>
      </c>
      <c r="F843" t="s">
        <v>2520</v>
      </c>
      <c r="G843">
        <v>50</v>
      </c>
      <c r="H843">
        <v>135320</v>
      </c>
      <c r="I843" t="b">
        <v>0</v>
      </c>
      <c r="J843">
        <v>0.46700000000000003</v>
      </c>
      <c r="K843">
        <v>0.85499999999999998</v>
      </c>
      <c r="L843">
        <v>4</v>
      </c>
      <c r="M843">
        <v>-5.375</v>
      </c>
      <c r="N843">
        <v>1</v>
      </c>
      <c r="O843">
        <v>5.1499999999999997E-2</v>
      </c>
      <c r="P843">
        <v>0.17399999999999999</v>
      </c>
      <c r="Q843" s="1" t="s">
        <v>2521</v>
      </c>
      <c r="R843">
        <v>0.11</v>
      </c>
      <c r="S843">
        <v>0.56499999999999995</v>
      </c>
      <c r="T843">
        <v>135.81299999999999</v>
      </c>
      <c r="U843">
        <v>4</v>
      </c>
      <c r="V843" t="s">
        <v>24</v>
      </c>
    </row>
    <row r="844" spans="3:22" x14ac:dyDescent="0.35">
      <c r="C844" t="s">
        <v>2522</v>
      </c>
      <c r="D844" t="s">
        <v>2523</v>
      </c>
      <c r="E844" t="s">
        <v>2524</v>
      </c>
      <c r="F844" t="s">
        <v>2525</v>
      </c>
      <c r="G844">
        <v>26</v>
      </c>
      <c r="H844">
        <v>111641</v>
      </c>
      <c r="I844" t="b">
        <v>1</v>
      </c>
      <c r="J844">
        <v>0.37</v>
      </c>
      <c r="K844">
        <v>0.70299999999999996</v>
      </c>
      <c r="L844">
        <v>7</v>
      </c>
      <c r="M844">
        <v>-6.7649999999999997</v>
      </c>
      <c r="N844">
        <v>1</v>
      </c>
      <c r="O844">
        <v>7.5499999999999998E-2</v>
      </c>
      <c r="P844">
        <v>0.36599999999999999</v>
      </c>
      <c r="Q844">
        <v>0</v>
      </c>
      <c r="R844">
        <v>0.39400000000000002</v>
      </c>
      <c r="S844">
        <v>0.48199999999999998</v>
      </c>
      <c r="T844">
        <v>143.84800000000001</v>
      </c>
      <c r="U844">
        <v>4</v>
      </c>
      <c r="V844" t="s">
        <v>24</v>
      </c>
    </row>
    <row r="845" spans="3:22" x14ac:dyDescent="0.35">
      <c r="C845" t="s">
        <v>2526</v>
      </c>
      <c r="D845" t="s">
        <v>1660</v>
      </c>
      <c r="E845" t="s">
        <v>2527</v>
      </c>
      <c r="F845" t="s">
        <v>2528</v>
      </c>
      <c r="G845">
        <v>27</v>
      </c>
      <c r="H845">
        <v>163385</v>
      </c>
      <c r="I845" t="b">
        <v>0</v>
      </c>
      <c r="J845">
        <v>0.33600000000000002</v>
      </c>
      <c r="K845">
        <v>0.76100000000000001</v>
      </c>
      <c r="L845">
        <v>9</v>
      </c>
      <c r="M845">
        <v>-6.3120000000000003</v>
      </c>
      <c r="N845">
        <v>1</v>
      </c>
      <c r="O845">
        <v>3.9899999999999998E-2</v>
      </c>
      <c r="P845">
        <v>5.4600000000000004E-4</v>
      </c>
      <c r="Q845">
        <v>2.8400000000000001E-3</v>
      </c>
      <c r="R845">
        <v>0.113</v>
      </c>
      <c r="S845">
        <v>0.501</v>
      </c>
      <c r="T845">
        <v>127.065</v>
      </c>
      <c r="U845">
        <v>4</v>
      </c>
      <c r="V845" t="s">
        <v>24</v>
      </c>
    </row>
    <row r="846" spans="3:22" x14ac:dyDescent="0.35">
      <c r="C846" t="s">
        <v>2529</v>
      </c>
      <c r="D846" t="s">
        <v>1073</v>
      </c>
      <c r="E846" t="s">
        <v>1535</v>
      </c>
      <c r="F846" t="s">
        <v>2530</v>
      </c>
      <c r="G846">
        <v>26</v>
      </c>
      <c r="H846">
        <v>240866</v>
      </c>
      <c r="I846" t="b">
        <v>0</v>
      </c>
      <c r="J846">
        <v>0.52400000000000002</v>
      </c>
      <c r="K846">
        <v>0.57799999999999996</v>
      </c>
      <c r="L846">
        <v>7</v>
      </c>
      <c r="M846">
        <v>-5.9740000000000002</v>
      </c>
      <c r="N846">
        <v>1</v>
      </c>
      <c r="O846">
        <v>2.6700000000000002E-2</v>
      </c>
      <c r="P846">
        <v>9.7099999999999997E-4</v>
      </c>
      <c r="Q846" s="1" t="s">
        <v>2531</v>
      </c>
      <c r="R846">
        <v>0.32600000000000001</v>
      </c>
      <c r="S846">
        <v>0.28999999999999998</v>
      </c>
      <c r="T846">
        <v>75.031999999999996</v>
      </c>
      <c r="U846">
        <v>4</v>
      </c>
      <c r="V846" t="s">
        <v>24</v>
      </c>
    </row>
    <row r="847" spans="3:22" x14ac:dyDescent="0.35">
      <c r="C847" t="s">
        <v>2532</v>
      </c>
      <c r="D847" t="s">
        <v>1073</v>
      </c>
      <c r="E847" t="s">
        <v>2533</v>
      </c>
      <c r="F847" t="s">
        <v>2534</v>
      </c>
      <c r="G847">
        <v>26</v>
      </c>
      <c r="H847">
        <v>88626</v>
      </c>
      <c r="I847" t="b">
        <v>0</v>
      </c>
      <c r="J847">
        <v>0.54800000000000004</v>
      </c>
      <c r="K847">
        <v>0.66600000000000004</v>
      </c>
      <c r="L847">
        <v>4</v>
      </c>
      <c r="M847">
        <v>-2.2770000000000001</v>
      </c>
      <c r="N847">
        <v>1</v>
      </c>
      <c r="O847">
        <v>3.5999999999999997E-2</v>
      </c>
      <c r="P847">
        <v>0.28100000000000003</v>
      </c>
      <c r="Q847">
        <v>0</v>
      </c>
      <c r="R847">
        <v>0.23100000000000001</v>
      </c>
      <c r="S847">
        <v>0.58199999999999996</v>
      </c>
      <c r="T847">
        <v>98.805999999999997</v>
      </c>
      <c r="U847">
        <v>4</v>
      </c>
      <c r="V847" t="s">
        <v>24</v>
      </c>
    </row>
    <row r="848" spans="3:22" x14ac:dyDescent="0.35">
      <c r="C848" t="s">
        <v>2535</v>
      </c>
      <c r="D848" t="s">
        <v>765</v>
      </c>
      <c r="E848" t="s">
        <v>2536</v>
      </c>
      <c r="F848" t="s">
        <v>2537</v>
      </c>
      <c r="G848">
        <v>49</v>
      </c>
      <c r="H848">
        <v>228960</v>
      </c>
      <c r="I848" t="b">
        <v>0</v>
      </c>
      <c r="J848">
        <v>0.45900000000000002</v>
      </c>
      <c r="K848">
        <v>0.82299999999999995</v>
      </c>
      <c r="L848">
        <v>4</v>
      </c>
      <c r="M848">
        <v>-6.4809999999999999</v>
      </c>
      <c r="N848">
        <v>1</v>
      </c>
      <c r="O848">
        <v>3.6999999999999998E-2</v>
      </c>
      <c r="P848">
        <v>3.32E-3</v>
      </c>
      <c r="Q848" s="1" t="s">
        <v>2538</v>
      </c>
      <c r="R848">
        <v>0.189</v>
      </c>
      <c r="S848">
        <v>0.55000000000000004</v>
      </c>
      <c r="T848">
        <v>152.06200000000001</v>
      </c>
      <c r="U848">
        <v>4</v>
      </c>
      <c r="V848" t="s">
        <v>24</v>
      </c>
    </row>
    <row r="849" spans="3:22" x14ac:dyDescent="0.35">
      <c r="C849" t="s">
        <v>2539</v>
      </c>
      <c r="D849" t="s">
        <v>755</v>
      </c>
      <c r="E849" t="s">
        <v>920</v>
      </c>
      <c r="F849" t="s">
        <v>2540</v>
      </c>
      <c r="G849">
        <v>27</v>
      </c>
      <c r="H849">
        <v>207151</v>
      </c>
      <c r="I849" t="b">
        <v>1</v>
      </c>
      <c r="J849">
        <v>0.316</v>
      </c>
      <c r="K849">
        <v>0.879</v>
      </c>
      <c r="L849">
        <v>7</v>
      </c>
      <c r="M849">
        <v>-9.4139999999999997</v>
      </c>
      <c r="N849">
        <v>0</v>
      </c>
      <c r="O849">
        <v>0.113</v>
      </c>
      <c r="P849">
        <v>0.82699999999999996</v>
      </c>
      <c r="Q849">
        <v>2.3900000000000002E-3</v>
      </c>
      <c r="R849">
        <v>0.27800000000000002</v>
      </c>
      <c r="S849">
        <v>0.64700000000000002</v>
      </c>
      <c r="T849">
        <v>88.614000000000004</v>
      </c>
      <c r="U849">
        <v>4</v>
      </c>
      <c r="V849" t="s">
        <v>24</v>
      </c>
    </row>
    <row r="850" spans="3:22" x14ac:dyDescent="0.35">
      <c r="C850" t="s">
        <v>2541</v>
      </c>
      <c r="D850" t="s">
        <v>1801</v>
      </c>
      <c r="E850" t="s">
        <v>2542</v>
      </c>
      <c r="F850" t="s">
        <v>2543</v>
      </c>
      <c r="G850">
        <v>27</v>
      </c>
      <c r="H850">
        <v>162293</v>
      </c>
      <c r="I850" t="b">
        <v>1</v>
      </c>
      <c r="J850">
        <v>0.74099999999999999</v>
      </c>
      <c r="K850">
        <v>0.66</v>
      </c>
      <c r="L850">
        <v>2</v>
      </c>
      <c r="M850">
        <v>-5.1159999999999997</v>
      </c>
      <c r="N850">
        <v>1</v>
      </c>
      <c r="O850">
        <v>4.0800000000000003E-2</v>
      </c>
      <c r="P850">
        <v>0.52100000000000002</v>
      </c>
      <c r="Q850" s="1" t="s">
        <v>2544</v>
      </c>
      <c r="R850">
        <v>9.4100000000000003E-2</v>
      </c>
      <c r="S850">
        <v>0.85599999999999998</v>
      </c>
      <c r="T850">
        <v>81.061000000000007</v>
      </c>
      <c r="U850">
        <v>4</v>
      </c>
      <c r="V850" t="s">
        <v>24</v>
      </c>
    </row>
    <row r="851" spans="3:22" x14ac:dyDescent="0.35">
      <c r="C851" t="s">
        <v>2545</v>
      </c>
      <c r="D851" t="s">
        <v>769</v>
      </c>
      <c r="E851" t="s">
        <v>2546</v>
      </c>
      <c r="F851" t="s">
        <v>2547</v>
      </c>
      <c r="G851">
        <v>26</v>
      </c>
      <c r="H851">
        <v>158906</v>
      </c>
      <c r="I851" t="b">
        <v>0</v>
      </c>
      <c r="J851">
        <v>0.47399999999999998</v>
      </c>
      <c r="K851">
        <v>0.84299999999999997</v>
      </c>
      <c r="L851">
        <v>5</v>
      </c>
      <c r="M851">
        <v>-4.4530000000000003</v>
      </c>
      <c r="N851">
        <v>0</v>
      </c>
      <c r="O851">
        <v>0.20899999999999999</v>
      </c>
      <c r="P851">
        <v>2.0500000000000001E-2</v>
      </c>
      <c r="Q851" s="1" t="s">
        <v>2548</v>
      </c>
      <c r="R851">
        <v>6.3600000000000004E-2</v>
      </c>
      <c r="S851">
        <v>0.90100000000000002</v>
      </c>
      <c r="T851">
        <v>131.99199999999999</v>
      </c>
      <c r="U851">
        <v>4</v>
      </c>
      <c r="V851" t="s">
        <v>24</v>
      </c>
    </row>
    <row r="852" spans="3:22" x14ac:dyDescent="0.35">
      <c r="C852" t="s">
        <v>2549</v>
      </c>
      <c r="D852" t="s">
        <v>21</v>
      </c>
      <c r="E852" t="s">
        <v>1262</v>
      </c>
      <c r="F852" t="s">
        <v>2550</v>
      </c>
      <c r="G852">
        <v>47</v>
      </c>
      <c r="H852">
        <v>182000</v>
      </c>
      <c r="I852" t="b">
        <v>0</v>
      </c>
      <c r="J852">
        <v>0.629</v>
      </c>
      <c r="K852">
        <v>0.441</v>
      </c>
      <c r="L852">
        <v>9</v>
      </c>
      <c r="M852">
        <v>-4.6139999999999999</v>
      </c>
      <c r="N852">
        <v>1</v>
      </c>
      <c r="O852">
        <v>0.126</v>
      </c>
      <c r="P852">
        <v>3.39E-2</v>
      </c>
      <c r="Q852">
        <v>0</v>
      </c>
      <c r="R852">
        <v>0.23400000000000001</v>
      </c>
      <c r="S852">
        <v>0.78200000000000003</v>
      </c>
      <c r="T852">
        <v>78.177000000000007</v>
      </c>
      <c r="U852">
        <v>4</v>
      </c>
      <c r="V852" t="s">
        <v>24</v>
      </c>
    </row>
    <row r="853" spans="3:22" x14ac:dyDescent="0.35">
      <c r="C853" t="s">
        <v>2551</v>
      </c>
      <c r="D853" t="s">
        <v>2552</v>
      </c>
      <c r="E853" t="s">
        <v>2553</v>
      </c>
      <c r="F853" t="s">
        <v>2554</v>
      </c>
      <c r="G853">
        <v>33</v>
      </c>
      <c r="H853">
        <v>578064</v>
      </c>
      <c r="I853" t="b">
        <v>0</v>
      </c>
      <c r="J853">
        <v>0.68500000000000005</v>
      </c>
      <c r="K853">
        <v>0.48299999999999998</v>
      </c>
      <c r="L853">
        <v>7</v>
      </c>
      <c r="M853">
        <v>-9.0820000000000007</v>
      </c>
      <c r="N853">
        <v>1</v>
      </c>
      <c r="O853">
        <v>2.53E-2</v>
      </c>
      <c r="P853">
        <v>7.7200000000000005E-2</v>
      </c>
      <c r="Q853" s="1" t="s">
        <v>2555</v>
      </c>
      <c r="R853">
        <v>0.113</v>
      </c>
      <c r="S853">
        <v>0.33100000000000002</v>
      </c>
      <c r="T853">
        <v>93.031999999999996</v>
      </c>
      <c r="U853">
        <v>4</v>
      </c>
      <c r="V853" t="s">
        <v>24</v>
      </c>
    </row>
    <row r="854" spans="3:22" x14ac:dyDescent="0.35">
      <c r="C854" t="s">
        <v>2556</v>
      </c>
      <c r="D854" t="s">
        <v>2557</v>
      </c>
      <c r="E854" t="s">
        <v>2558</v>
      </c>
      <c r="F854" t="s">
        <v>2558</v>
      </c>
      <c r="G854">
        <v>57</v>
      </c>
      <c r="H854">
        <v>247683</v>
      </c>
      <c r="I854" t="b">
        <v>0</v>
      </c>
      <c r="J854">
        <v>0.627</v>
      </c>
      <c r="K854">
        <v>0.246</v>
      </c>
      <c r="L854">
        <v>1</v>
      </c>
      <c r="M854">
        <v>-11.41</v>
      </c>
      <c r="N854">
        <v>1</v>
      </c>
      <c r="O854">
        <v>3.4200000000000001E-2</v>
      </c>
      <c r="P854">
        <v>0.78800000000000003</v>
      </c>
      <c r="Q854">
        <v>0</v>
      </c>
      <c r="R854">
        <v>0.11799999999999999</v>
      </c>
      <c r="S854">
        <v>0.52</v>
      </c>
      <c r="T854">
        <v>141.303</v>
      </c>
      <c r="U854">
        <v>4</v>
      </c>
      <c r="V854" t="s">
        <v>24</v>
      </c>
    </row>
    <row r="855" spans="3:22" x14ac:dyDescent="0.35">
      <c r="C855" t="s">
        <v>2559</v>
      </c>
      <c r="D855" t="s">
        <v>278</v>
      </c>
      <c r="E855" t="s">
        <v>344</v>
      </c>
      <c r="F855" t="s">
        <v>2262</v>
      </c>
      <c r="G855">
        <v>44</v>
      </c>
      <c r="H855">
        <v>197546</v>
      </c>
      <c r="I855" t="b">
        <v>0</v>
      </c>
      <c r="J855">
        <v>0.59199999999999997</v>
      </c>
      <c r="K855">
        <v>0.68600000000000005</v>
      </c>
      <c r="L855">
        <v>9</v>
      </c>
      <c r="M855">
        <v>-6.9039999999999999</v>
      </c>
      <c r="N855">
        <v>1</v>
      </c>
      <c r="O855">
        <v>3.8899999999999997E-2</v>
      </c>
      <c r="P855">
        <v>0.17799999999999999</v>
      </c>
      <c r="Q855">
        <v>0</v>
      </c>
      <c r="R855">
        <v>0.111</v>
      </c>
      <c r="S855">
        <v>0.39700000000000002</v>
      </c>
      <c r="T855">
        <v>101.015</v>
      </c>
      <c r="U855">
        <v>4</v>
      </c>
      <c r="V855" t="s">
        <v>24</v>
      </c>
    </row>
    <row r="856" spans="3:22" x14ac:dyDescent="0.35">
      <c r="C856" t="s">
        <v>2560</v>
      </c>
      <c r="D856" t="s">
        <v>2561</v>
      </c>
      <c r="E856" t="s">
        <v>2562</v>
      </c>
      <c r="F856" t="s">
        <v>2562</v>
      </c>
      <c r="G856">
        <v>58</v>
      </c>
      <c r="H856">
        <v>163913</v>
      </c>
      <c r="I856" t="b">
        <v>0</v>
      </c>
      <c r="J856">
        <v>0.66300000000000003</v>
      </c>
      <c r="K856">
        <v>0.17799999999999999</v>
      </c>
      <c r="L856">
        <v>9</v>
      </c>
      <c r="M856">
        <v>-12.252000000000001</v>
      </c>
      <c r="N856">
        <v>1</v>
      </c>
      <c r="O856">
        <v>5.3199999999999997E-2</v>
      </c>
      <c r="P856">
        <v>0.67600000000000005</v>
      </c>
      <c r="Q856">
        <v>0</v>
      </c>
      <c r="R856">
        <v>0.27900000000000003</v>
      </c>
      <c r="S856">
        <v>0.54100000000000004</v>
      </c>
      <c r="T856">
        <v>82.372</v>
      </c>
      <c r="U856">
        <v>4</v>
      </c>
      <c r="V856" t="s">
        <v>24</v>
      </c>
    </row>
    <row r="857" spans="3:22" x14ac:dyDescent="0.35">
      <c r="C857" t="s">
        <v>2563</v>
      </c>
      <c r="D857" t="s">
        <v>1019</v>
      </c>
      <c r="E857" t="s">
        <v>855</v>
      </c>
      <c r="F857" t="s">
        <v>855</v>
      </c>
      <c r="G857">
        <v>48</v>
      </c>
      <c r="H857">
        <v>197195</v>
      </c>
      <c r="I857" t="b">
        <v>0</v>
      </c>
      <c r="J857">
        <v>0.53</v>
      </c>
      <c r="K857">
        <v>7.7600000000000002E-2</v>
      </c>
      <c r="L857">
        <v>6</v>
      </c>
      <c r="M857">
        <v>-15.478</v>
      </c>
      <c r="N857">
        <v>1</v>
      </c>
      <c r="O857">
        <v>4.6199999999999998E-2</v>
      </c>
      <c r="P857">
        <v>0.93700000000000006</v>
      </c>
      <c r="Q857">
        <v>0</v>
      </c>
      <c r="R857">
        <v>0.122</v>
      </c>
      <c r="S857">
        <v>0.28199999999999997</v>
      </c>
      <c r="T857">
        <v>179.911</v>
      </c>
      <c r="U857">
        <v>1</v>
      </c>
      <c r="V857" t="s">
        <v>24</v>
      </c>
    </row>
    <row r="858" spans="3:22" x14ac:dyDescent="0.35">
      <c r="C858" t="s">
        <v>2564</v>
      </c>
      <c r="D858" t="s">
        <v>221</v>
      </c>
      <c r="E858" t="s">
        <v>2565</v>
      </c>
      <c r="F858" t="s">
        <v>2566</v>
      </c>
      <c r="G858">
        <v>39</v>
      </c>
      <c r="H858">
        <v>210226</v>
      </c>
      <c r="I858" t="b">
        <v>0</v>
      </c>
      <c r="J858">
        <v>0.53700000000000003</v>
      </c>
      <c r="K858">
        <v>0.67400000000000004</v>
      </c>
      <c r="L858">
        <v>11</v>
      </c>
      <c r="M858">
        <v>-5.32</v>
      </c>
      <c r="N858">
        <v>1</v>
      </c>
      <c r="O858">
        <v>2.8400000000000002E-2</v>
      </c>
      <c r="P858">
        <v>0.42599999999999999</v>
      </c>
      <c r="Q858">
        <v>0</v>
      </c>
      <c r="R858">
        <v>0.128</v>
      </c>
      <c r="S858">
        <v>0.32900000000000001</v>
      </c>
      <c r="T858">
        <v>92.049000000000007</v>
      </c>
      <c r="U858">
        <v>4</v>
      </c>
      <c r="V858" t="s">
        <v>24</v>
      </c>
    </row>
    <row r="859" spans="3:22" x14ac:dyDescent="0.35">
      <c r="C859" t="s">
        <v>2567</v>
      </c>
      <c r="D859" t="s">
        <v>2568</v>
      </c>
      <c r="E859" t="s">
        <v>2569</v>
      </c>
      <c r="F859" t="s">
        <v>2569</v>
      </c>
      <c r="G859">
        <v>45</v>
      </c>
      <c r="H859">
        <v>209669</v>
      </c>
      <c r="I859" t="b">
        <v>0</v>
      </c>
      <c r="J859">
        <v>0.69899999999999995</v>
      </c>
      <c r="K859">
        <v>0.189</v>
      </c>
      <c r="L859">
        <v>1</v>
      </c>
      <c r="M859">
        <v>-11.420999999999999</v>
      </c>
      <c r="N859">
        <v>1</v>
      </c>
      <c r="O859">
        <v>4.6899999999999997E-2</v>
      </c>
      <c r="P859">
        <v>0.94399999999999995</v>
      </c>
      <c r="Q859">
        <v>0</v>
      </c>
      <c r="R859">
        <v>0.10299999999999999</v>
      </c>
      <c r="S859">
        <v>0.32800000000000001</v>
      </c>
      <c r="T859">
        <v>129.79400000000001</v>
      </c>
      <c r="U859">
        <v>4</v>
      </c>
      <c r="V859" t="s">
        <v>24</v>
      </c>
    </row>
    <row r="860" spans="3:22" x14ac:dyDescent="0.35">
      <c r="C860" t="s">
        <v>2570</v>
      </c>
      <c r="D860" t="s">
        <v>60</v>
      </c>
      <c r="E860" t="s">
        <v>2571</v>
      </c>
      <c r="F860" t="s">
        <v>2571</v>
      </c>
      <c r="G860">
        <v>49</v>
      </c>
      <c r="H860">
        <v>206451</v>
      </c>
      <c r="I860" t="b">
        <v>0</v>
      </c>
      <c r="J860">
        <v>0.68300000000000005</v>
      </c>
      <c r="K860">
        <v>0.45900000000000002</v>
      </c>
      <c r="L860">
        <v>11</v>
      </c>
      <c r="M860">
        <v>-8.8480000000000008</v>
      </c>
      <c r="N860">
        <v>1</v>
      </c>
      <c r="O860">
        <v>0.11899999999999999</v>
      </c>
      <c r="P860">
        <v>0.25700000000000001</v>
      </c>
      <c r="Q860">
        <v>1.02E-4</v>
      </c>
      <c r="R860">
        <v>7.5899999999999995E-2</v>
      </c>
      <c r="S860">
        <v>0.28699999999999998</v>
      </c>
      <c r="T860">
        <v>93.082999999999998</v>
      </c>
      <c r="U860">
        <v>4</v>
      </c>
      <c r="V860" t="s">
        <v>24</v>
      </c>
    </row>
    <row r="861" spans="3:22" x14ac:dyDescent="0.35">
      <c r="C861" t="s">
        <v>2572</v>
      </c>
      <c r="D861" t="s">
        <v>1723</v>
      </c>
      <c r="E861" t="s">
        <v>1020</v>
      </c>
      <c r="F861" t="s">
        <v>2573</v>
      </c>
      <c r="G861">
        <v>44</v>
      </c>
      <c r="H861">
        <v>252567</v>
      </c>
      <c r="I861" t="b">
        <v>0</v>
      </c>
      <c r="J861">
        <v>0.375</v>
      </c>
      <c r="K861">
        <v>0.29799999999999999</v>
      </c>
      <c r="L861">
        <v>1</v>
      </c>
      <c r="M861">
        <v>-11.928000000000001</v>
      </c>
      <c r="N861">
        <v>1</v>
      </c>
      <c r="O861">
        <v>3.95E-2</v>
      </c>
      <c r="P861">
        <v>0.82199999999999995</v>
      </c>
      <c r="Q861">
        <v>0</v>
      </c>
      <c r="R861">
        <v>0.13700000000000001</v>
      </c>
      <c r="S861">
        <v>0.42499999999999999</v>
      </c>
      <c r="T861">
        <v>174.03</v>
      </c>
      <c r="U861">
        <v>4</v>
      </c>
      <c r="V861" t="s">
        <v>24</v>
      </c>
    </row>
    <row r="862" spans="3:22" x14ac:dyDescent="0.35">
      <c r="C862" t="s">
        <v>2574</v>
      </c>
      <c r="D862" t="s">
        <v>517</v>
      </c>
      <c r="E862" t="s">
        <v>2575</v>
      </c>
      <c r="F862" t="s">
        <v>2575</v>
      </c>
      <c r="G862">
        <v>44</v>
      </c>
      <c r="H862">
        <v>216841</v>
      </c>
      <c r="I862" t="b">
        <v>0</v>
      </c>
      <c r="J862">
        <v>0.42099999999999999</v>
      </c>
      <c r="K862">
        <v>0.107</v>
      </c>
      <c r="L862">
        <v>6</v>
      </c>
      <c r="M862">
        <v>-15.191000000000001</v>
      </c>
      <c r="N862">
        <v>1</v>
      </c>
      <c r="O862">
        <v>3.3500000000000002E-2</v>
      </c>
      <c r="P862">
        <v>0.94799999999999995</v>
      </c>
      <c r="Q862">
        <v>0</v>
      </c>
      <c r="R862">
        <v>8.8099999999999998E-2</v>
      </c>
      <c r="S862">
        <v>0.11799999999999999</v>
      </c>
      <c r="T862">
        <v>104.218</v>
      </c>
      <c r="U862">
        <v>4</v>
      </c>
      <c r="V862" t="s">
        <v>24</v>
      </c>
    </row>
    <row r="863" spans="3:22" x14ac:dyDescent="0.35">
      <c r="C863" t="s">
        <v>2576</v>
      </c>
      <c r="D863" t="s">
        <v>2577</v>
      </c>
      <c r="E863" t="s">
        <v>223</v>
      </c>
      <c r="F863" t="s">
        <v>223</v>
      </c>
      <c r="G863">
        <v>51</v>
      </c>
      <c r="H863">
        <v>254306</v>
      </c>
      <c r="I863" t="b">
        <v>0</v>
      </c>
      <c r="J863">
        <v>0.51600000000000001</v>
      </c>
      <c r="K863">
        <v>0.311</v>
      </c>
      <c r="L863">
        <v>1</v>
      </c>
      <c r="M863">
        <v>-13.521000000000001</v>
      </c>
      <c r="N863">
        <v>1</v>
      </c>
      <c r="O863">
        <v>3.0599999999999999E-2</v>
      </c>
      <c r="P863">
        <v>0.93600000000000005</v>
      </c>
      <c r="Q863">
        <v>2.81E-4</v>
      </c>
      <c r="R863">
        <v>0.107</v>
      </c>
      <c r="S863">
        <v>0.55800000000000005</v>
      </c>
      <c r="T863">
        <v>129.958</v>
      </c>
      <c r="U863">
        <v>4</v>
      </c>
      <c r="V863" t="s">
        <v>24</v>
      </c>
    </row>
    <row r="864" spans="3:22" x14ac:dyDescent="0.35">
      <c r="C864" t="s">
        <v>2578</v>
      </c>
      <c r="D864" t="s">
        <v>2579</v>
      </c>
      <c r="E864" t="s">
        <v>2580</v>
      </c>
      <c r="F864" t="s">
        <v>2581</v>
      </c>
      <c r="G864">
        <v>41</v>
      </c>
      <c r="H864">
        <v>59823</v>
      </c>
      <c r="I864" t="b">
        <v>0</v>
      </c>
      <c r="J864">
        <v>0.70899999999999996</v>
      </c>
      <c r="K864">
        <v>0.11899999999999999</v>
      </c>
      <c r="L864">
        <v>11</v>
      </c>
      <c r="M864">
        <v>-20.329999999999998</v>
      </c>
      <c r="N864">
        <v>0</v>
      </c>
      <c r="O864">
        <v>4.5900000000000003E-2</v>
      </c>
      <c r="P864">
        <v>0.90200000000000002</v>
      </c>
      <c r="Q864">
        <v>0.436</v>
      </c>
      <c r="R864">
        <v>0.109</v>
      </c>
      <c r="S864">
        <v>0.33600000000000002</v>
      </c>
      <c r="T864">
        <v>135.22300000000001</v>
      </c>
      <c r="U864">
        <v>4</v>
      </c>
      <c r="V864" t="s">
        <v>24</v>
      </c>
    </row>
    <row r="865" spans="3:22" x14ac:dyDescent="0.35">
      <c r="C865" t="s">
        <v>2582</v>
      </c>
      <c r="D865" t="s">
        <v>1110</v>
      </c>
      <c r="E865" t="s">
        <v>2583</v>
      </c>
      <c r="F865" t="s">
        <v>2584</v>
      </c>
      <c r="G865">
        <v>58</v>
      </c>
      <c r="H865">
        <v>186660</v>
      </c>
      <c r="I865" t="b">
        <v>0</v>
      </c>
      <c r="J865">
        <v>0.56999999999999995</v>
      </c>
      <c r="K865">
        <v>0.27100000000000002</v>
      </c>
      <c r="L865">
        <v>0</v>
      </c>
      <c r="M865">
        <v>-11.334</v>
      </c>
      <c r="N865">
        <v>1</v>
      </c>
      <c r="O865">
        <v>3.04E-2</v>
      </c>
      <c r="P865">
        <v>0.82</v>
      </c>
      <c r="Q865" s="1" t="s">
        <v>1312</v>
      </c>
      <c r="R865">
        <v>0.108</v>
      </c>
      <c r="S865">
        <v>0.27300000000000002</v>
      </c>
      <c r="T865">
        <v>125.86199999999999</v>
      </c>
      <c r="U865">
        <v>4</v>
      </c>
      <c r="V865" t="s">
        <v>24</v>
      </c>
    </row>
    <row r="866" spans="3:22" x14ac:dyDescent="0.35">
      <c r="C866" t="s">
        <v>2585</v>
      </c>
      <c r="D866" t="s">
        <v>2586</v>
      </c>
      <c r="E866" t="s">
        <v>2587</v>
      </c>
      <c r="F866" t="s">
        <v>2587</v>
      </c>
      <c r="G866">
        <v>54</v>
      </c>
      <c r="H866">
        <v>151618</v>
      </c>
      <c r="I866" t="b">
        <v>0</v>
      </c>
      <c r="J866">
        <v>0.40400000000000003</v>
      </c>
      <c r="K866">
        <v>0.16700000000000001</v>
      </c>
      <c r="L866">
        <v>9</v>
      </c>
      <c r="M866">
        <v>-12.462999999999999</v>
      </c>
      <c r="N866">
        <v>0</v>
      </c>
      <c r="O866">
        <v>6.0400000000000002E-2</v>
      </c>
      <c r="P866">
        <v>0.89100000000000001</v>
      </c>
      <c r="Q866">
        <v>0</v>
      </c>
      <c r="R866">
        <v>0.10299999999999999</v>
      </c>
      <c r="S866">
        <v>0.29799999999999999</v>
      </c>
      <c r="T866">
        <v>202.99600000000001</v>
      </c>
      <c r="U866">
        <v>4</v>
      </c>
      <c r="V866" t="s">
        <v>24</v>
      </c>
    </row>
    <row r="867" spans="3:22" x14ac:dyDescent="0.35">
      <c r="C867" t="s">
        <v>2588</v>
      </c>
      <c r="D867" t="s">
        <v>1987</v>
      </c>
      <c r="E867" t="s">
        <v>2589</v>
      </c>
      <c r="F867" t="s">
        <v>2590</v>
      </c>
      <c r="G867">
        <v>41</v>
      </c>
      <c r="H867">
        <v>227413</v>
      </c>
      <c r="I867" t="b">
        <v>0</v>
      </c>
      <c r="J867">
        <v>0.55900000000000005</v>
      </c>
      <c r="K867">
        <v>0.24099999999999999</v>
      </c>
      <c r="L867">
        <v>3</v>
      </c>
      <c r="M867">
        <v>-10.688000000000001</v>
      </c>
      <c r="N867">
        <v>1</v>
      </c>
      <c r="O867">
        <v>2.8899999999999999E-2</v>
      </c>
      <c r="P867">
        <v>0.96299999999999997</v>
      </c>
      <c r="Q867" s="1" t="s">
        <v>2591</v>
      </c>
      <c r="R867">
        <v>0.187</v>
      </c>
      <c r="S867">
        <v>0.14199999999999999</v>
      </c>
      <c r="T867">
        <v>118.916</v>
      </c>
      <c r="U867">
        <v>4</v>
      </c>
      <c r="V867" t="s">
        <v>24</v>
      </c>
    </row>
    <row r="868" spans="3:22" x14ac:dyDescent="0.35">
      <c r="C868" t="s">
        <v>2592</v>
      </c>
      <c r="D868" t="s">
        <v>2593</v>
      </c>
      <c r="E868" t="s">
        <v>2155</v>
      </c>
      <c r="F868" t="s">
        <v>2594</v>
      </c>
      <c r="G868">
        <v>46</v>
      </c>
      <c r="H868">
        <v>118878</v>
      </c>
      <c r="I868" t="b">
        <v>0</v>
      </c>
      <c r="J868">
        <v>0.76800000000000002</v>
      </c>
      <c r="K868">
        <v>0.33100000000000002</v>
      </c>
      <c r="L868">
        <v>6</v>
      </c>
      <c r="M868">
        <v>-6.6870000000000003</v>
      </c>
      <c r="N868">
        <v>1</v>
      </c>
      <c r="O868">
        <v>2.92E-2</v>
      </c>
      <c r="P868">
        <v>0.57599999999999996</v>
      </c>
      <c r="Q868">
        <v>0</v>
      </c>
      <c r="R868">
        <v>0.216</v>
      </c>
      <c r="S868">
        <v>0.66300000000000003</v>
      </c>
      <c r="T868">
        <v>107.044</v>
      </c>
      <c r="U868">
        <v>4</v>
      </c>
      <c r="V868" t="s">
        <v>24</v>
      </c>
    </row>
    <row r="869" spans="3:22" x14ac:dyDescent="0.35">
      <c r="C869" t="s">
        <v>2595</v>
      </c>
      <c r="D869" t="s">
        <v>1133</v>
      </c>
      <c r="E869" t="s">
        <v>1134</v>
      </c>
      <c r="F869" t="s">
        <v>2596</v>
      </c>
      <c r="G869">
        <v>26</v>
      </c>
      <c r="H869">
        <v>253600</v>
      </c>
      <c r="I869" t="b">
        <v>0</v>
      </c>
      <c r="J869">
        <v>0.59199999999999997</v>
      </c>
      <c r="K869">
        <v>0.77300000000000002</v>
      </c>
      <c r="L869">
        <v>7</v>
      </c>
      <c r="M869">
        <v>-7.093</v>
      </c>
      <c r="N869">
        <v>1</v>
      </c>
      <c r="O869">
        <v>2.81E-2</v>
      </c>
      <c r="P869">
        <v>0.223</v>
      </c>
      <c r="Q869">
        <v>5.6999999999999998E-4</v>
      </c>
      <c r="R869">
        <v>0.11600000000000001</v>
      </c>
      <c r="S869">
        <v>0.72899999999999998</v>
      </c>
      <c r="T869">
        <v>121.09699999999999</v>
      </c>
      <c r="U869">
        <v>4</v>
      </c>
      <c r="V869" t="s">
        <v>24</v>
      </c>
    </row>
    <row r="870" spans="3:22" x14ac:dyDescent="0.35">
      <c r="C870" t="s">
        <v>2597</v>
      </c>
      <c r="D870" t="s">
        <v>129</v>
      </c>
      <c r="E870" t="s">
        <v>2598</v>
      </c>
      <c r="F870" t="s">
        <v>2598</v>
      </c>
      <c r="G870">
        <v>56</v>
      </c>
      <c r="H870">
        <v>259558</v>
      </c>
      <c r="I870" t="b">
        <v>0</v>
      </c>
      <c r="J870">
        <v>0.35399999999999998</v>
      </c>
      <c r="K870">
        <v>0.20599999999999999</v>
      </c>
      <c r="L870">
        <v>0</v>
      </c>
      <c r="M870">
        <v>-11.798999999999999</v>
      </c>
      <c r="N870">
        <v>1</v>
      </c>
      <c r="O870">
        <v>3.6499999999999998E-2</v>
      </c>
      <c r="P870">
        <v>0.77900000000000003</v>
      </c>
      <c r="Q870">
        <v>2.1000000000000001E-4</v>
      </c>
      <c r="R870">
        <v>9.5899999999999999E-2</v>
      </c>
      <c r="S870">
        <v>0.20200000000000001</v>
      </c>
      <c r="T870">
        <v>139.05600000000001</v>
      </c>
      <c r="U870">
        <v>4</v>
      </c>
      <c r="V870" t="s">
        <v>24</v>
      </c>
    </row>
    <row r="871" spans="3:22" x14ac:dyDescent="0.35">
      <c r="C871" t="s">
        <v>2599</v>
      </c>
      <c r="D871" t="s">
        <v>991</v>
      </c>
      <c r="E871" t="s">
        <v>2600</v>
      </c>
      <c r="F871" t="s">
        <v>2601</v>
      </c>
      <c r="G871">
        <v>27</v>
      </c>
      <c r="H871">
        <v>278613</v>
      </c>
      <c r="I871" t="b">
        <v>0</v>
      </c>
      <c r="J871">
        <v>0.495</v>
      </c>
      <c r="K871">
        <v>0.86499999999999999</v>
      </c>
      <c r="L871">
        <v>7</v>
      </c>
      <c r="M871">
        <v>-3.21</v>
      </c>
      <c r="N871">
        <v>1</v>
      </c>
      <c r="O871">
        <v>4.1399999999999999E-2</v>
      </c>
      <c r="P871">
        <v>7.9100000000000004E-4</v>
      </c>
      <c r="Q871" s="1" t="s">
        <v>2602</v>
      </c>
      <c r="R871">
        <v>0.247</v>
      </c>
      <c r="S871">
        <v>0.88100000000000001</v>
      </c>
      <c r="T871">
        <v>156.92400000000001</v>
      </c>
      <c r="U871">
        <v>4</v>
      </c>
      <c r="V871" t="s">
        <v>24</v>
      </c>
    </row>
    <row r="872" spans="3:22" x14ac:dyDescent="0.35">
      <c r="C872" t="s">
        <v>2603</v>
      </c>
      <c r="D872" t="s">
        <v>696</v>
      </c>
      <c r="E872" t="s">
        <v>1466</v>
      </c>
      <c r="F872" t="s">
        <v>2604</v>
      </c>
      <c r="G872">
        <v>46</v>
      </c>
      <c r="H872">
        <v>257706</v>
      </c>
      <c r="I872" t="b">
        <v>0</v>
      </c>
      <c r="J872">
        <v>0.35599999999999998</v>
      </c>
      <c r="K872">
        <v>0.193</v>
      </c>
      <c r="L872">
        <v>11</v>
      </c>
      <c r="M872">
        <v>-10.476000000000001</v>
      </c>
      <c r="N872">
        <v>1</v>
      </c>
      <c r="O872">
        <v>3.1099999999999999E-2</v>
      </c>
      <c r="P872">
        <v>0.14000000000000001</v>
      </c>
      <c r="Q872" s="1" t="s">
        <v>2605</v>
      </c>
      <c r="R872">
        <v>0.11600000000000001</v>
      </c>
      <c r="S872">
        <v>0.14000000000000001</v>
      </c>
      <c r="T872">
        <v>145.428</v>
      </c>
      <c r="U872">
        <v>4</v>
      </c>
      <c r="V872" t="s">
        <v>24</v>
      </c>
    </row>
    <row r="873" spans="3:22" x14ac:dyDescent="0.35">
      <c r="C873" t="s">
        <v>2606</v>
      </c>
      <c r="D873" t="s">
        <v>894</v>
      </c>
      <c r="E873" t="s">
        <v>1912</v>
      </c>
      <c r="F873" t="s">
        <v>2607</v>
      </c>
      <c r="G873">
        <v>26</v>
      </c>
      <c r="H873">
        <v>177613</v>
      </c>
      <c r="I873" t="b">
        <v>0</v>
      </c>
      <c r="J873">
        <v>0.41699999999999998</v>
      </c>
      <c r="K873">
        <v>0.26400000000000001</v>
      </c>
      <c r="L873">
        <v>7</v>
      </c>
      <c r="M873">
        <v>-10.353</v>
      </c>
      <c r="N873">
        <v>1</v>
      </c>
      <c r="O873">
        <v>3.2800000000000003E-2</v>
      </c>
      <c r="P873">
        <v>0.27900000000000003</v>
      </c>
      <c r="Q873">
        <v>0</v>
      </c>
      <c r="R873">
        <v>9.6600000000000005E-2</v>
      </c>
      <c r="S873">
        <v>0.501</v>
      </c>
      <c r="T873">
        <v>86.328000000000003</v>
      </c>
      <c r="U873">
        <v>4</v>
      </c>
      <c r="V873" t="s">
        <v>24</v>
      </c>
    </row>
    <row r="874" spans="3:22" x14ac:dyDescent="0.35">
      <c r="C874" t="s">
        <v>2608</v>
      </c>
      <c r="D874" t="s">
        <v>2609</v>
      </c>
      <c r="E874" t="s">
        <v>2610</v>
      </c>
      <c r="F874" t="s">
        <v>2610</v>
      </c>
      <c r="G874">
        <v>27</v>
      </c>
      <c r="H874">
        <v>177666</v>
      </c>
      <c r="I874" t="b">
        <v>0</v>
      </c>
      <c r="J874">
        <v>0.73099999999999998</v>
      </c>
      <c r="K874">
        <v>0.86799999999999999</v>
      </c>
      <c r="L874">
        <v>9</v>
      </c>
      <c r="M874">
        <v>-6.2169999999999996</v>
      </c>
      <c r="N874">
        <v>1</v>
      </c>
      <c r="O874">
        <v>2.7099999999999999E-2</v>
      </c>
      <c r="P874">
        <v>0.111</v>
      </c>
      <c r="Q874">
        <v>0</v>
      </c>
      <c r="R874">
        <v>0.25800000000000001</v>
      </c>
      <c r="S874">
        <v>0.97499999999999998</v>
      </c>
      <c r="T874">
        <v>111.154</v>
      </c>
      <c r="U874">
        <v>4</v>
      </c>
      <c r="V874" t="s">
        <v>24</v>
      </c>
    </row>
    <row r="875" spans="3:22" x14ac:dyDescent="0.35">
      <c r="C875" t="s">
        <v>2611</v>
      </c>
      <c r="D875" t="s">
        <v>2612</v>
      </c>
      <c r="E875" t="s">
        <v>736</v>
      </c>
      <c r="F875" t="s">
        <v>723</v>
      </c>
      <c r="G875">
        <v>52</v>
      </c>
      <c r="H875">
        <v>294736</v>
      </c>
      <c r="I875" t="b">
        <v>0</v>
      </c>
      <c r="J875">
        <v>0.42099999999999999</v>
      </c>
      <c r="K875">
        <v>0.441</v>
      </c>
      <c r="L875">
        <v>3</v>
      </c>
      <c r="M875">
        <v>-8.0120000000000005</v>
      </c>
      <c r="N875">
        <v>1</v>
      </c>
      <c r="O875">
        <v>2.7099999999999999E-2</v>
      </c>
      <c r="P875">
        <v>0.41299999999999998</v>
      </c>
      <c r="Q875" s="1" t="s">
        <v>2613</v>
      </c>
      <c r="R875">
        <v>0.11799999999999999</v>
      </c>
      <c r="S875">
        <v>9.9199999999999997E-2</v>
      </c>
      <c r="T875">
        <v>138.07</v>
      </c>
      <c r="U875">
        <v>4</v>
      </c>
      <c r="V875" t="s">
        <v>24</v>
      </c>
    </row>
    <row r="876" spans="3:22" x14ac:dyDescent="0.35">
      <c r="C876" t="s">
        <v>2614</v>
      </c>
      <c r="D876" t="s">
        <v>1047</v>
      </c>
      <c r="E876" t="s">
        <v>1048</v>
      </c>
      <c r="F876" t="s">
        <v>2615</v>
      </c>
      <c r="G876">
        <v>26</v>
      </c>
      <c r="H876">
        <v>258271</v>
      </c>
      <c r="I876" t="b">
        <v>0</v>
      </c>
      <c r="J876">
        <v>0.6</v>
      </c>
      <c r="K876">
        <v>0.65</v>
      </c>
      <c r="L876">
        <v>11</v>
      </c>
      <c r="M876">
        <v>-5.1269999999999998</v>
      </c>
      <c r="N876">
        <v>1</v>
      </c>
      <c r="O876">
        <v>2.8199999999999999E-2</v>
      </c>
      <c r="P876">
        <v>9.2099999999999994E-3</v>
      </c>
      <c r="Q876">
        <v>4.6899999999999997E-2</v>
      </c>
      <c r="R876">
        <v>7.8100000000000003E-2</v>
      </c>
      <c r="S876">
        <v>0.49</v>
      </c>
      <c r="T876">
        <v>139.97499999999999</v>
      </c>
      <c r="U876">
        <v>3</v>
      </c>
      <c r="V876" t="s">
        <v>24</v>
      </c>
    </row>
    <row r="877" spans="3:22" x14ac:dyDescent="0.35">
      <c r="C877" t="s">
        <v>2616</v>
      </c>
      <c r="D877" t="s">
        <v>2312</v>
      </c>
      <c r="E877" t="s">
        <v>2617</v>
      </c>
      <c r="F877" t="s">
        <v>2618</v>
      </c>
      <c r="G877">
        <v>55</v>
      </c>
      <c r="H877">
        <v>203070</v>
      </c>
      <c r="I877" t="b">
        <v>0</v>
      </c>
      <c r="J877">
        <v>0.501</v>
      </c>
      <c r="K877">
        <v>0.71599999999999997</v>
      </c>
      <c r="L877">
        <v>10</v>
      </c>
      <c r="M877">
        <v>-4.6609999999999996</v>
      </c>
      <c r="N877">
        <v>1</v>
      </c>
      <c r="O877">
        <v>4.1099999999999998E-2</v>
      </c>
      <c r="P877">
        <v>0.189</v>
      </c>
      <c r="Q877">
        <v>0</v>
      </c>
      <c r="R877">
        <v>6.0600000000000001E-2</v>
      </c>
      <c r="S877">
        <v>0.36299999999999999</v>
      </c>
      <c r="T877">
        <v>70.918999999999997</v>
      </c>
      <c r="U877">
        <v>4</v>
      </c>
      <c r="V877" t="s">
        <v>24</v>
      </c>
    </row>
    <row r="878" spans="3:22" x14ac:dyDescent="0.35">
      <c r="C878" t="s">
        <v>2619</v>
      </c>
      <c r="D878" t="s">
        <v>2343</v>
      </c>
      <c r="E878" t="s">
        <v>2344</v>
      </c>
      <c r="F878" t="s">
        <v>2344</v>
      </c>
      <c r="G878">
        <v>26</v>
      </c>
      <c r="H878">
        <v>200720</v>
      </c>
      <c r="I878" t="b">
        <v>0</v>
      </c>
      <c r="J878">
        <v>0.71699999999999997</v>
      </c>
      <c r="K878">
        <v>0.55400000000000005</v>
      </c>
      <c r="L878">
        <v>7</v>
      </c>
      <c r="M878">
        <v>-5.3890000000000002</v>
      </c>
      <c r="N878">
        <v>1</v>
      </c>
      <c r="O878">
        <v>4.3999999999999997E-2</v>
      </c>
      <c r="P878">
        <v>5.9200000000000003E-2</v>
      </c>
      <c r="Q878">
        <v>0</v>
      </c>
      <c r="R878">
        <v>0.11</v>
      </c>
      <c r="S878">
        <v>0.32400000000000001</v>
      </c>
      <c r="T878">
        <v>128.03899999999999</v>
      </c>
      <c r="U878">
        <v>4</v>
      </c>
      <c r="V878" t="s">
        <v>24</v>
      </c>
    </row>
    <row r="879" spans="3:22" x14ac:dyDescent="0.35">
      <c r="C879" t="s">
        <v>2620</v>
      </c>
      <c r="D879" t="s">
        <v>149</v>
      </c>
      <c r="E879" t="s">
        <v>2621</v>
      </c>
      <c r="F879" t="s">
        <v>2622</v>
      </c>
      <c r="G879">
        <v>51</v>
      </c>
      <c r="H879">
        <v>286950</v>
      </c>
      <c r="I879" t="b">
        <v>0</v>
      </c>
      <c r="J879">
        <v>0.57799999999999996</v>
      </c>
      <c r="K879">
        <v>0.74199999999999999</v>
      </c>
      <c r="L879">
        <v>7</v>
      </c>
      <c r="M879">
        <v>-5.4939999999999998</v>
      </c>
      <c r="N879">
        <v>1</v>
      </c>
      <c r="O879">
        <v>2.5999999999999999E-2</v>
      </c>
      <c r="P879">
        <v>5.11E-3</v>
      </c>
      <c r="Q879" s="1" t="s">
        <v>2623</v>
      </c>
      <c r="R879">
        <v>0.11700000000000001</v>
      </c>
      <c r="S879">
        <v>0.2</v>
      </c>
      <c r="T879">
        <v>107.02800000000001</v>
      </c>
      <c r="U879">
        <v>4</v>
      </c>
      <c r="V879" t="s">
        <v>24</v>
      </c>
    </row>
    <row r="880" spans="3:22" x14ac:dyDescent="0.35">
      <c r="C880" t="s">
        <v>2624</v>
      </c>
      <c r="D880" t="s">
        <v>2625</v>
      </c>
      <c r="E880" t="s">
        <v>2626</v>
      </c>
      <c r="F880" t="s">
        <v>2627</v>
      </c>
      <c r="G880">
        <v>51</v>
      </c>
      <c r="H880">
        <v>212373</v>
      </c>
      <c r="I880" t="b">
        <v>0</v>
      </c>
      <c r="J880">
        <v>0.63600000000000001</v>
      </c>
      <c r="K880">
        <v>0.73499999999999999</v>
      </c>
      <c r="L880">
        <v>6</v>
      </c>
      <c r="M880">
        <v>-5.1619999999999999</v>
      </c>
      <c r="N880">
        <v>1</v>
      </c>
      <c r="O880">
        <v>3.1800000000000002E-2</v>
      </c>
      <c r="P880">
        <v>3.5999999999999997E-2</v>
      </c>
      <c r="Q880" s="1" t="s">
        <v>2628</v>
      </c>
      <c r="R880">
        <v>9.1499999999999998E-2</v>
      </c>
      <c r="S880">
        <v>0.53700000000000003</v>
      </c>
      <c r="T880">
        <v>120.96899999999999</v>
      </c>
      <c r="U880">
        <v>4</v>
      </c>
      <c r="V880" t="s">
        <v>24</v>
      </c>
    </row>
    <row r="881" spans="3:22" x14ac:dyDescent="0.35">
      <c r="C881" t="s">
        <v>2629</v>
      </c>
      <c r="D881" t="s">
        <v>521</v>
      </c>
      <c r="E881" t="s">
        <v>2630</v>
      </c>
      <c r="F881" t="s">
        <v>875</v>
      </c>
      <c r="G881">
        <v>49</v>
      </c>
      <c r="H881">
        <v>138748</v>
      </c>
      <c r="I881" t="b">
        <v>0</v>
      </c>
      <c r="J881">
        <v>0.51600000000000001</v>
      </c>
      <c r="K881">
        <v>0.14399999999999999</v>
      </c>
      <c r="L881">
        <v>2</v>
      </c>
      <c r="M881">
        <v>-18.858000000000001</v>
      </c>
      <c r="N881">
        <v>1</v>
      </c>
      <c r="O881">
        <v>5.0999999999999997E-2</v>
      </c>
      <c r="P881">
        <v>0.99199999999999999</v>
      </c>
      <c r="Q881">
        <v>0.95199999999999996</v>
      </c>
      <c r="R881">
        <v>0.115</v>
      </c>
      <c r="S881">
        <v>0.433</v>
      </c>
      <c r="T881">
        <v>134.68799999999999</v>
      </c>
      <c r="U881">
        <v>4</v>
      </c>
      <c r="V881" t="s">
        <v>24</v>
      </c>
    </row>
    <row r="882" spans="3:22" x14ac:dyDescent="0.35">
      <c r="C882" t="s">
        <v>2631</v>
      </c>
      <c r="D882" t="s">
        <v>149</v>
      </c>
      <c r="E882" t="s">
        <v>285</v>
      </c>
      <c r="F882" t="s">
        <v>2632</v>
      </c>
      <c r="G882">
        <v>47</v>
      </c>
      <c r="H882">
        <v>217400</v>
      </c>
      <c r="I882" t="b">
        <v>0</v>
      </c>
      <c r="J882">
        <v>0.379</v>
      </c>
      <c r="K882">
        <v>0.53</v>
      </c>
      <c r="L882">
        <v>7</v>
      </c>
      <c r="M882">
        <v>-7.2290000000000001</v>
      </c>
      <c r="N882">
        <v>1</v>
      </c>
      <c r="O882">
        <v>3.5499999999999997E-2</v>
      </c>
      <c r="P882">
        <v>0.46800000000000003</v>
      </c>
      <c r="Q882">
        <v>2.1599999999999999E-4</v>
      </c>
      <c r="R882">
        <v>8.1799999999999998E-2</v>
      </c>
      <c r="S882">
        <v>0.57699999999999996</v>
      </c>
      <c r="T882">
        <v>62.06</v>
      </c>
      <c r="U882">
        <v>4</v>
      </c>
      <c r="V882" t="s">
        <v>24</v>
      </c>
    </row>
    <row r="883" spans="3:22" x14ac:dyDescent="0.35">
      <c r="C883" t="s">
        <v>2633</v>
      </c>
      <c r="D883" t="s">
        <v>1496</v>
      </c>
      <c r="E883" t="s">
        <v>1496</v>
      </c>
      <c r="F883" t="s">
        <v>2634</v>
      </c>
      <c r="G883">
        <v>58</v>
      </c>
      <c r="H883">
        <v>170000</v>
      </c>
      <c r="I883" t="b">
        <v>0</v>
      </c>
      <c r="J883">
        <v>0.82099999999999995</v>
      </c>
      <c r="K883">
        <v>0.376</v>
      </c>
      <c r="L883">
        <v>0</v>
      </c>
      <c r="M883">
        <v>-13.622</v>
      </c>
      <c r="N883">
        <v>1</v>
      </c>
      <c r="O883">
        <v>4.87E-2</v>
      </c>
      <c r="P883">
        <v>0.66900000000000004</v>
      </c>
      <c r="Q883" s="1" t="s">
        <v>2635</v>
      </c>
      <c r="R883">
        <v>0.106</v>
      </c>
      <c r="S883">
        <v>0.82399999999999995</v>
      </c>
      <c r="T883">
        <v>119.039</v>
      </c>
      <c r="U883">
        <v>4</v>
      </c>
      <c r="V883" t="s">
        <v>24</v>
      </c>
    </row>
    <row r="884" spans="3:22" x14ac:dyDescent="0.35">
      <c r="C884" t="s">
        <v>2636</v>
      </c>
      <c r="D884" t="s">
        <v>2041</v>
      </c>
      <c r="E884" t="s">
        <v>2360</v>
      </c>
      <c r="F884" t="s">
        <v>2637</v>
      </c>
      <c r="G884">
        <v>27</v>
      </c>
      <c r="H884">
        <v>382474</v>
      </c>
      <c r="I884" t="b">
        <v>0</v>
      </c>
      <c r="J884">
        <v>0.371</v>
      </c>
      <c r="K884">
        <v>0.51</v>
      </c>
      <c r="L884">
        <v>0</v>
      </c>
      <c r="M884">
        <v>-8.9420000000000002</v>
      </c>
      <c r="N884">
        <v>1</v>
      </c>
      <c r="O884">
        <v>4.6800000000000001E-2</v>
      </c>
      <c r="P884">
        <v>0.29599999999999999</v>
      </c>
      <c r="Q884" s="1" t="s">
        <v>2638</v>
      </c>
      <c r="R884">
        <v>9.5200000000000007E-2</v>
      </c>
      <c r="S884">
        <v>0.14699999999999999</v>
      </c>
      <c r="T884">
        <v>113.32</v>
      </c>
      <c r="U884">
        <v>4</v>
      </c>
      <c r="V884" t="s">
        <v>24</v>
      </c>
    </row>
    <row r="885" spans="3:22" x14ac:dyDescent="0.35">
      <c r="C885" t="s">
        <v>2639</v>
      </c>
      <c r="D885" t="s">
        <v>1660</v>
      </c>
      <c r="E885" t="s">
        <v>2640</v>
      </c>
      <c r="F885" t="s">
        <v>2641</v>
      </c>
      <c r="G885">
        <v>58</v>
      </c>
      <c r="H885">
        <v>157600</v>
      </c>
      <c r="I885" t="b">
        <v>0</v>
      </c>
      <c r="J885">
        <v>0.50700000000000001</v>
      </c>
      <c r="K885">
        <v>0.39900000000000002</v>
      </c>
      <c r="L885">
        <v>9</v>
      </c>
      <c r="M885">
        <v>-10.917</v>
      </c>
      <c r="N885">
        <v>0</v>
      </c>
      <c r="O885">
        <v>3.5799999999999998E-2</v>
      </c>
      <c r="P885">
        <v>0.871</v>
      </c>
      <c r="Q885">
        <v>3.77E-4</v>
      </c>
      <c r="R885">
        <v>0.113</v>
      </c>
      <c r="S885">
        <v>0.22500000000000001</v>
      </c>
      <c r="T885">
        <v>115.58799999999999</v>
      </c>
      <c r="U885">
        <v>4</v>
      </c>
      <c r="V885" t="s">
        <v>24</v>
      </c>
    </row>
    <row r="886" spans="3:22" x14ac:dyDescent="0.35">
      <c r="C886" t="s">
        <v>2642</v>
      </c>
      <c r="D886" t="s">
        <v>1223</v>
      </c>
      <c r="E886" t="s">
        <v>2222</v>
      </c>
      <c r="F886" t="s">
        <v>2643</v>
      </c>
      <c r="G886">
        <v>26</v>
      </c>
      <c r="H886">
        <v>221598</v>
      </c>
      <c r="I886" t="b">
        <v>0</v>
      </c>
      <c r="J886">
        <v>0.45200000000000001</v>
      </c>
      <c r="K886">
        <v>0.79700000000000004</v>
      </c>
      <c r="L886">
        <v>4</v>
      </c>
      <c r="M886">
        <v>-5.2290000000000001</v>
      </c>
      <c r="N886">
        <v>1</v>
      </c>
      <c r="O886">
        <v>3.2500000000000001E-2</v>
      </c>
      <c r="P886">
        <v>0.28000000000000003</v>
      </c>
      <c r="Q886">
        <v>0.24399999999999999</v>
      </c>
      <c r="R886">
        <v>0.13600000000000001</v>
      </c>
      <c r="S886">
        <v>0.64200000000000002</v>
      </c>
      <c r="T886">
        <v>114.18</v>
      </c>
      <c r="U886">
        <v>4</v>
      </c>
      <c r="V886" t="s">
        <v>24</v>
      </c>
    </row>
    <row r="887" spans="3:22" x14ac:dyDescent="0.35">
      <c r="C887" t="s">
        <v>2644</v>
      </c>
      <c r="D887" t="s">
        <v>2041</v>
      </c>
      <c r="E887" t="s">
        <v>2645</v>
      </c>
      <c r="F887" t="s">
        <v>2646</v>
      </c>
      <c r="G887">
        <v>27</v>
      </c>
      <c r="H887">
        <v>173546</v>
      </c>
      <c r="I887" t="b">
        <v>0</v>
      </c>
      <c r="J887">
        <v>0.45600000000000002</v>
      </c>
      <c r="K887">
        <v>0.28499999999999998</v>
      </c>
      <c r="L887">
        <v>8</v>
      </c>
      <c r="M887">
        <v>-8.7680000000000007</v>
      </c>
      <c r="N887">
        <v>1</v>
      </c>
      <c r="O887">
        <v>5.0099999999999999E-2</v>
      </c>
      <c r="P887">
        <v>0.76900000000000002</v>
      </c>
      <c r="Q887">
        <v>0</v>
      </c>
      <c r="R887">
        <v>0.125</v>
      </c>
      <c r="S887">
        <v>0.28199999999999997</v>
      </c>
      <c r="T887">
        <v>129.262</v>
      </c>
      <c r="U887">
        <v>4</v>
      </c>
      <c r="V887" t="s">
        <v>24</v>
      </c>
    </row>
    <row r="888" spans="3:22" x14ac:dyDescent="0.35">
      <c r="C888" t="s">
        <v>2647</v>
      </c>
      <c r="D888" t="s">
        <v>2648</v>
      </c>
      <c r="E888" t="s">
        <v>2649</v>
      </c>
      <c r="F888" t="s">
        <v>2650</v>
      </c>
      <c r="G888">
        <v>26</v>
      </c>
      <c r="H888">
        <v>149610</v>
      </c>
      <c r="I888" t="b">
        <v>0</v>
      </c>
      <c r="J888">
        <v>0.35099999999999998</v>
      </c>
      <c r="K888">
        <v>0.109</v>
      </c>
      <c r="L888">
        <v>7</v>
      </c>
      <c r="M888">
        <v>-11.997</v>
      </c>
      <c r="N888">
        <v>0</v>
      </c>
      <c r="O888">
        <v>4.3499999999999997E-2</v>
      </c>
      <c r="P888">
        <v>0.879</v>
      </c>
      <c r="Q888">
        <v>0</v>
      </c>
      <c r="R888">
        <v>0.158</v>
      </c>
      <c r="S888">
        <v>0.64</v>
      </c>
      <c r="T888">
        <v>76.850999999999999</v>
      </c>
      <c r="U888">
        <v>4</v>
      </c>
      <c r="V888" t="s">
        <v>24</v>
      </c>
    </row>
    <row r="889" spans="3:22" x14ac:dyDescent="0.35">
      <c r="C889" t="s">
        <v>2651</v>
      </c>
      <c r="D889" t="s">
        <v>278</v>
      </c>
      <c r="E889" t="s">
        <v>2652</v>
      </c>
      <c r="F889" t="s">
        <v>2329</v>
      </c>
      <c r="G889">
        <v>27</v>
      </c>
      <c r="H889">
        <v>245160</v>
      </c>
      <c r="I889" t="b">
        <v>0</v>
      </c>
      <c r="J889">
        <v>0.29399999999999998</v>
      </c>
      <c r="K889">
        <v>0.29399999999999998</v>
      </c>
      <c r="L889">
        <v>11</v>
      </c>
      <c r="M889">
        <v>-9.8480000000000008</v>
      </c>
      <c r="N889">
        <v>0</v>
      </c>
      <c r="O889">
        <v>3.0099999999999998E-2</v>
      </c>
      <c r="P889">
        <v>0.9</v>
      </c>
      <c r="Q889" s="1" t="s">
        <v>2653</v>
      </c>
      <c r="R889">
        <v>0.10299999999999999</v>
      </c>
      <c r="S889">
        <v>0.18</v>
      </c>
      <c r="T889">
        <v>75.216999999999999</v>
      </c>
      <c r="U889">
        <v>4</v>
      </c>
      <c r="V889" t="s">
        <v>24</v>
      </c>
    </row>
    <row r="890" spans="3:22" x14ac:dyDescent="0.35">
      <c r="C890" t="s">
        <v>2654</v>
      </c>
      <c r="D890" t="s">
        <v>755</v>
      </c>
      <c r="E890" t="s">
        <v>2655</v>
      </c>
      <c r="F890" t="s">
        <v>2656</v>
      </c>
      <c r="G890">
        <v>27</v>
      </c>
      <c r="H890">
        <v>163013</v>
      </c>
      <c r="I890" t="b">
        <v>1</v>
      </c>
      <c r="J890">
        <v>0.63800000000000001</v>
      </c>
      <c r="K890">
        <v>0.54300000000000004</v>
      </c>
      <c r="L890">
        <v>2</v>
      </c>
      <c r="M890">
        <v>-9.6780000000000008</v>
      </c>
      <c r="N890">
        <v>1</v>
      </c>
      <c r="O890">
        <v>4.3200000000000002E-2</v>
      </c>
      <c r="P890">
        <v>0.63600000000000001</v>
      </c>
      <c r="Q890">
        <v>0.01</v>
      </c>
      <c r="R890">
        <v>0.35499999999999998</v>
      </c>
      <c r="S890">
        <v>0.92200000000000004</v>
      </c>
      <c r="T890">
        <v>140.864</v>
      </c>
      <c r="U890">
        <v>4</v>
      </c>
      <c r="V890" t="s">
        <v>24</v>
      </c>
    </row>
    <row r="891" spans="3:22" x14ac:dyDescent="0.35">
      <c r="C891" t="s">
        <v>2657</v>
      </c>
      <c r="D891" t="s">
        <v>2658</v>
      </c>
      <c r="E891" t="s">
        <v>2659</v>
      </c>
      <c r="F891" t="s">
        <v>2660</v>
      </c>
      <c r="G891">
        <v>26</v>
      </c>
      <c r="H891">
        <v>201866</v>
      </c>
      <c r="I891" t="b">
        <v>0</v>
      </c>
      <c r="J891">
        <v>0.38200000000000001</v>
      </c>
      <c r="K891">
        <v>0.9</v>
      </c>
      <c r="L891">
        <v>7</v>
      </c>
      <c r="M891">
        <v>-4.9379999999999997</v>
      </c>
      <c r="N891">
        <v>1</v>
      </c>
      <c r="O891">
        <v>6.8500000000000005E-2</v>
      </c>
      <c r="P891">
        <v>1.7999999999999999E-2</v>
      </c>
      <c r="Q891">
        <v>0</v>
      </c>
      <c r="R891">
        <v>9.11E-2</v>
      </c>
      <c r="S891">
        <v>0.64400000000000002</v>
      </c>
      <c r="T891">
        <v>79.965000000000003</v>
      </c>
      <c r="U891">
        <v>4</v>
      </c>
      <c r="V891" t="s">
        <v>24</v>
      </c>
    </row>
    <row r="892" spans="3:22" x14ac:dyDescent="0.35">
      <c r="C892" t="s">
        <v>2661</v>
      </c>
      <c r="D892" t="s">
        <v>1628</v>
      </c>
      <c r="E892" t="s">
        <v>1629</v>
      </c>
      <c r="F892" t="s">
        <v>2662</v>
      </c>
      <c r="G892">
        <v>58</v>
      </c>
      <c r="H892">
        <v>207762</v>
      </c>
      <c r="I892" t="b">
        <v>0</v>
      </c>
      <c r="J892">
        <v>0.65100000000000002</v>
      </c>
      <c r="K892">
        <v>0.86</v>
      </c>
      <c r="L892">
        <v>7</v>
      </c>
      <c r="M892">
        <v>-7.8</v>
      </c>
      <c r="N892">
        <v>1</v>
      </c>
      <c r="O892">
        <v>0.13800000000000001</v>
      </c>
      <c r="P892">
        <v>0.60899999999999999</v>
      </c>
      <c r="Q892">
        <v>6.4599999999999996E-3</v>
      </c>
      <c r="R892">
        <v>7.3499999999999996E-2</v>
      </c>
      <c r="S892">
        <v>0.28999999999999998</v>
      </c>
      <c r="T892">
        <v>115</v>
      </c>
      <c r="U892">
        <v>4</v>
      </c>
      <c r="V892" t="s">
        <v>24</v>
      </c>
    </row>
    <row r="893" spans="3:22" x14ac:dyDescent="0.35">
      <c r="C893" t="s">
        <v>2663</v>
      </c>
      <c r="D893" t="s">
        <v>2217</v>
      </c>
      <c r="E893" t="s">
        <v>2233</v>
      </c>
      <c r="F893" t="s">
        <v>2664</v>
      </c>
      <c r="G893">
        <v>27</v>
      </c>
      <c r="H893">
        <v>104200</v>
      </c>
      <c r="I893" t="b">
        <v>0</v>
      </c>
      <c r="J893">
        <v>0.58199999999999996</v>
      </c>
      <c r="K893">
        <v>0.437</v>
      </c>
      <c r="L893">
        <v>7</v>
      </c>
      <c r="M893">
        <v>-7.0469999999999997</v>
      </c>
      <c r="N893">
        <v>1</v>
      </c>
      <c r="O893">
        <v>5.2400000000000002E-2</v>
      </c>
      <c r="P893">
        <v>0.45100000000000001</v>
      </c>
      <c r="Q893">
        <v>0</v>
      </c>
      <c r="R893">
        <v>0.14899999999999999</v>
      </c>
      <c r="S893">
        <v>0.92200000000000004</v>
      </c>
      <c r="T893">
        <v>130.46700000000001</v>
      </c>
      <c r="U893">
        <v>3</v>
      </c>
      <c r="V893" t="s">
        <v>24</v>
      </c>
    </row>
    <row r="894" spans="3:22" x14ac:dyDescent="0.35">
      <c r="C894" t="s">
        <v>2665</v>
      </c>
      <c r="D894" t="s">
        <v>1062</v>
      </c>
      <c r="E894" t="s">
        <v>1063</v>
      </c>
      <c r="F894" t="s">
        <v>2666</v>
      </c>
      <c r="G894">
        <v>27</v>
      </c>
      <c r="H894">
        <v>219219</v>
      </c>
      <c r="I894" t="b">
        <v>0</v>
      </c>
      <c r="J894">
        <v>0.46100000000000002</v>
      </c>
      <c r="K894">
        <v>0.79900000000000004</v>
      </c>
      <c r="L894">
        <v>9</v>
      </c>
      <c r="M894">
        <v>-6.5650000000000004</v>
      </c>
      <c r="N894">
        <v>0</v>
      </c>
      <c r="O894">
        <v>0.13900000000000001</v>
      </c>
      <c r="P894">
        <v>0.74399999999999999</v>
      </c>
      <c r="Q894">
        <v>0</v>
      </c>
      <c r="R894">
        <v>0.433</v>
      </c>
      <c r="S894">
        <v>0.79700000000000004</v>
      </c>
      <c r="T894">
        <v>167.255</v>
      </c>
      <c r="U894">
        <v>4</v>
      </c>
      <c r="V894" t="s">
        <v>24</v>
      </c>
    </row>
    <row r="895" spans="3:22" x14ac:dyDescent="0.35">
      <c r="C895" t="s">
        <v>2667</v>
      </c>
      <c r="D895" t="s">
        <v>2668</v>
      </c>
      <c r="E895" t="s">
        <v>2669</v>
      </c>
      <c r="F895" t="s">
        <v>2670</v>
      </c>
      <c r="G895">
        <v>26</v>
      </c>
      <c r="H895">
        <v>73501</v>
      </c>
      <c r="I895" t="b">
        <v>0</v>
      </c>
      <c r="J895">
        <v>0.71199999999999997</v>
      </c>
      <c r="K895">
        <v>0.93300000000000005</v>
      </c>
      <c r="L895">
        <v>0</v>
      </c>
      <c r="M895">
        <v>-2.7730000000000001</v>
      </c>
      <c r="N895">
        <v>1</v>
      </c>
      <c r="O895">
        <v>5.0900000000000001E-2</v>
      </c>
      <c r="P895">
        <v>0.32600000000000001</v>
      </c>
      <c r="Q895">
        <v>0</v>
      </c>
      <c r="R895">
        <v>0.28599999999999998</v>
      </c>
      <c r="S895">
        <v>0.86499999999999999</v>
      </c>
      <c r="T895">
        <v>152.02000000000001</v>
      </c>
      <c r="U895">
        <v>3</v>
      </c>
      <c r="V895" t="s">
        <v>24</v>
      </c>
    </row>
    <row r="896" spans="3:22" x14ac:dyDescent="0.35">
      <c r="C896" t="s">
        <v>2671</v>
      </c>
      <c r="D896" t="s">
        <v>1674</v>
      </c>
      <c r="E896" t="s">
        <v>2672</v>
      </c>
      <c r="F896" t="s">
        <v>2673</v>
      </c>
      <c r="G896">
        <v>26</v>
      </c>
      <c r="H896">
        <v>168240</v>
      </c>
      <c r="I896" t="b">
        <v>0</v>
      </c>
      <c r="J896">
        <v>0.44</v>
      </c>
      <c r="K896">
        <v>0.94699999999999995</v>
      </c>
      <c r="L896">
        <v>7</v>
      </c>
      <c r="M896">
        <v>-3.1150000000000002</v>
      </c>
      <c r="N896">
        <v>1</v>
      </c>
      <c r="O896">
        <v>6.5199999999999994E-2</v>
      </c>
      <c r="P896">
        <v>4.7699999999999999E-2</v>
      </c>
      <c r="Q896" s="1" t="s">
        <v>607</v>
      </c>
      <c r="R896">
        <v>4.8800000000000003E-2</v>
      </c>
      <c r="S896">
        <v>0.89200000000000002</v>
      </c>
      <c r="T896">
        <v>185.14699999999999</v>
      </c>
      <c r="U896">
        <v>4</v>
      </c>
      <c r="V896" t="s">
        <v>24</v>
      </c>
    </row>
    <row r="897" spans="3:22" x14ac:dyDescent="0.35">
      <c r="C897" t="s">
        <v>2674</v>
      </c>
      <c r="D897" t="s">
        <v>1674</v>
      </c>
      <c r="E897" t="s">
        <v>1675</v>
      </c>
      <c r="F897" t="s">
        <v>2675</v>
      </c>
      <c r="G897">
        <v>27</v>
      </c>
      <c r="H897">
        <v>150439</v>
      </c>
      <c r="I897" t="b">
        <v>1</v>
      </c>
      <c r="J897">
        <v>0.56299999999999994</v>
      </c>
      <c r="K897">
        <v>0.45200000000000001</v>
      </c>
      <c r="L897">
        <v>5</v>
      </c>
      <c r="M897">
        <v>-8.9600000000000009</v>
      </c>
      <c r="N897">
        <v>1</v>
      </c>
      <c r="O897">
        <v>4.8000000000000001E-2</v>
      </c>
      <c r="P897">
        <v>0.877</v>
      </c>
      <c r="Q897" s="1" t="s">
        <v>944</v>
      </c>
      <c r="R897">
        <v>0.14499999999999999</v>
      </c>
      <c r="S897">
        <v>0.58099999999999996</v>
      </c>
      <c r="T897">
        <v>91.98</v>
      </c>
      <c r="U897">
        <v>4</v>
      </c>
      <c r="V897" t="s">
        <v>24</v>
      </c>
    </row>
    <row r="898" spans="3:22" x14ac:dyDescent="0.35">
      <c r="C898" t="s">
        <v>2676</v>
      </c>
      <c r="D898" t="s">
        <v>1522</v>
      </c>
      <c r="E898" t="s">
        <v>2677</v>
      </c>
      <c r="F898" t="s">
        <v>2678</v>
      </c>
      <c r="G898">
        <v>26</v>
      </c>
      <c r="H898">
        <v>403911</v>
      </c>
      <c r="I898" t="b">
        <v>1</v>
      </c>
      <c r="J898">
        <v>0.33500000000000002</v>
      </c>
      <c r="K898">
        <v>0.69599999999999995</v>
      </c>
      <c r="L898">
        <v>9</v>
      </c>
      <c r="M898">
        <v>-9.4719999999999995</v>
      </c>
      <c r="N898">
        <v>0</v>
      </c>
      <c r="O898">
        <v>3.0700000000000002E-2</v>
      </c>
      <c r="P898">
        <v>0.64200000000000002</v>
      </c>
      <c r="Q898">
        <v>0</v>
      </c>
      <c r="R898">
        <v>0.12</v>
      </c>
      <c r="S898">
        <v>0.40300000000000002</v>
      </c>
      <c r="T898">
        <v>95.24</v>
      </c>
      <c r="U898">
        <v>4</v>
      </c>
      <c r="V898" t="s">
        <v>24</v>
      </c>
    </row>
    <row r="899" spans="3:22" x14ac:dyDescent="0.35">
      <c r="C899" t="s">
        <v>2679</v>
      </c>
      <c r="D899" t="s">
        <v>2680</v>
      </c>
      <c r="E899" t="s">
        <v>2681</v>
      </c>
      <c r="F899" t="s">
        <v>2682</v>
      </c>
      <c r="G899">
        <v>29</v>
      </c>
      <c r="H899">
        <v>268906</v>
      </c>
      <c r="I899" t="b">
        <v>0</v>
      </c>
      <c r="J899">
        <v>0.57199999999999995</v>
      </c>
      <c r="K899">
        <v>0.56699999999999995</v>
      </c>
      <c r="L899">
        <v>9</v>
      </c>
      <c r="M899">
        <v>-6.1470000000000002</v>
      </c>
      <c r="N899">
        <v>1</v>
      </c>
      <c r="O899">
        <v>3.4099999999999998E-2</v>
      </c>
      <c r="P899">
        <v>0.51700000000000002</v>
      </c>
      <c r="Q899" s="1" t="s">
        <v>2330</v>
      </c>
      <c r="R899">
        <v>0.158</v>
      </c>
      <c r="S899">
        <v>0.498</v>
      </c>
      <c r="T899">
        <v>135.21700000000001</v>
      </c>
      <c r="U899">
        <v>4</v>
      </c>
      <c r="V899" t="s">
        <v>24</v>
      </c>
    </row>
    <row r="900" spans="3:22" x14ac:dyDescent="0.35">
      <c r="C900" t="s">
        <v>2683</v>
      </c>
      <c r="D900" t="s">
        <v>1073</v>
      </c>
      <c r="E900" t="s">
        <v>1074</v>
      </c>
      <c r="F900" t="s">
        <v>2684</v>
      </c>
      <c r="G900">
        <v>26</v>
      </c>
      <c r="H900">
        <v>232815</v>
      </c>
      <c r="I900" t="b">
        <v>0</v>
      </c>
      <c r="J900">
        <v>0.65400000000000003</v>
      </c>
      <c r="K900">
        <v>0.83399999999999996</v>
      </c>
      <c r="L900">
        <v>9</v>
      </c>
      <c r="M900">
        <v>-4.4359999999999999</v>
      </c>
      <c r="N900">
        <v>1</v>
      </c>
      <c r="O900">
        <v>4.2500000000000003E-2</v>
      </c>
      <c r="P900">
        <v>1.72E-2</v>
      </c>
      <c r="Q900">
        <v>2.2900000000000001E-4</v>
      </c>
      <c r="R900">
        <v>8.8999999999999996E-2</v>
      </c>
      <c r="S900">
        <v>0.90400000000000003</v>
      </c>
      <c r="T900">
        <v>139.37700000000001</v>
      </c>
      <c r="U900">
        <v>4</v>
      </c>
      <c r="V900" t="s">
        <v>24</v>
      </c>
    </row>
    <row r="901" spans="3:22" x14ac:dyDescent="0.35">
      <c r="C901" t="s">
        <v>2685</v>
      </c>
      <c r="D901" t="s">
        <v>2686</v>
      </c>
      <c r="E901" t="s">
        <v>2687</v>
      </c>
      <c r="F901" t="s">
        <v>2688</v>
      </c>
      <c r="G901">
        <v>26</v>
      </c>
      <c r="H901">
        <v>270920</v>
      </c>
      <c r="I901" t="b">
        <v>0</v>
      </c>
      <c r="J901">
        <v>0.44600000000000001</v>
      </c>
      <c r="K901">
        <v>0.78700000000000003</v>
      </c>
      <c r="L901">
        <v>11</v>
      </c>
      <c r="M901">
        <v>-7.3339999999999996</v>
      </c>
      <c r="N901">
        <v>1</v>
      </c>
      <c r="O901">
        <v>7.1400000000000005E-2</v>
      </c>
      <c r="P901">
        <v>3.2800000000000003E-2</v>
      </c>
      <c r="Q901">
        <v>0</v>
      </c>
      <c r="R901">
        <v>0.14099999999999999</v>
      </c>
      <c r="S901">
        <v>0.58599999999999997</v>
      </c>
      <c r="T901">
        <v>125.642</v>
      </c>
      <c r="U901">
        <v>4</v>
      </c>
      <c r="V901" t="s">
        <v>24</v>
      </c>
    </row>
    <row r="902" spans="3:22" x14ac:dyDescent="0.35">
      <c r="C902" t="s">
        <v>2689</v>
      </c>
      <c r="D902" t="s">
        <v>1019</v>
      </c>
      <c r="E902" t="s">
        <v>1020</v>
      </c>
      <c r="F902" t="s">
        <v>2690</v>
      </c>
      <c r="G902">
        <v>42</v>
      </c>
      <c r="H902">
        <v>170712</v>
      </c>
      <c r="I902" t="b">
        <v>0</v>
      </c>
      <c r="J902">
        <v>0.44400000000000001</v>
      </c>
      <c r="K902">
        <v>0.316</v>
      </c>
      <c r="L902">
        <v>2</v>
      </c>
      <c r="M902">
        <v>-7.7510000000000003</v>
      </c>
      <c r="N902">
        <v>1</v>
      </c>
      <c r="O902">
        <v>4.2900000000000001E-2</v>
      </c>
      <c r="P902">
        <v>0.84099999999999997</v>
      </c>
      <c r="Q902">
        <v>0</v>
      </c>
      <c r="R902">
        <v>0.13800000000000001</v>
      </c>
      <c r="S902">
        <v>0.57099999999999995</v>
      </c>
      <c r="T902">
        <v>201.64</v>
      </c>
      <c r="U902">
        <v>4</v>
      </c>
      <c r="V902" t="s">
        <v>24</v>
      </c>
    </row>
    <row r="903" spans="3:22" x14ac:dyDescent="0.35">
      <c r="C903" t="s">
        <v>2691</v>
      </c>
      <c r="D903" t="s">
        <v>664</v>
      </c>
      <c r="E903" t="s">
        <v>2692</v>
      </c>
      <c r="F903" t="s">
        <v>2693</v>
      </c>
      <c r="G903">
        <v>51</v>
      </c>
      <c r="H903">
        <v>188181</v>
      </c>
      <c r="I903" t="b">
        <v>0</v>
      </c>
      <c r="J903">
        <v>0.55800000000000005</v>
      </c>
      <c r="K903">
        <v>0.20899999999999999</v>
      </c>
      <c r="L903">
        <v>8</v>
      </c>
      <c r="M903">
        <v>-8.9339999999999993</v>
      </c>
      <c r="N903">
        <v>1</v>
      </c>
      <c r="O903">
        <v>5.1499999999999997E-2</v>
      </c>
      <c r="P903">
        <v>0.85199999999999998</v>
      </c>
      <c r="Q903">
        <v>0</v>
      </c>
      <c r="R903">
        <v>0.111</v>
      </c>
      <c r="S903">
        <v>0.41</v>
      </c>
      <c r="T903">
        <v>174.887</v>
      </c>
      <c r="U903">
        <v>3</v>
      </c>
      <c r="V903" t="s">
        <v>24</v>
      </c>
    </row>
    <row r="904" spans="3:22" x14ac:dyDescent="0.35">
      <c r="C904" t="s">
        <v>2694</v>
      </c>
      <c r="D904" t="s">
        <v>1354</v>
      </c>
      <c r="E904" t="s">
        <v>222</v>
      </c>
      <c r="F904" t="s">
        <v>2695</v>
      </c>
      <c r="G904">
        <v>53</v>
      </c>
      <c r="H904">
        <v>141142</v>
      </c>
      <c r="I904" t="b">
        <v>0</v>
      </c>
      <c r="J904">
        <v>0.80700000000000005</v>
      </c>
      <c r="K904">
        <v>0.40300000000000002</v>
      </c>
      <c r="L904">
        <v>2</v>
      </c>
      <c r="M904">
        <v>-8.7590000000000003</v>
      </c>
      <c r="N904">
        <v>0</v>
      </c>
      <c r="O904">
        <v>3.1600000000000003E-2</v>
      </c>
      <c r="P904">
        <v>0.90100000000000002</v>
      </c>
      <c r="Q904">
        <v>0</v>
      </c>
      <c r="R904">
        <v>0.12</v>
      </c>
      <c r="S904">
        <v>0.95</v>
      </c>
      <c r="T904">
        <v>105.03700000000001</v>
      </c>
      <c r="U904">
        <v>4</v>
      </c>
      <c r="V904" t="s">
        <v>24</v>
      </c>
    </row>
    <row r="905" spans="3:22" x14ac:dyDescent="0.35">
      <c r="C905" t="s">
        <v>2696</v>
      </c>
      <c r="D905" t="s">
        <v>60</v>
      </c>
      <c r="E905" t="s">
        <v>2697</v>
      </c>
      <c r="F905" t="s">
        <v>2697</v>
      </c>
      <c r="G905">
        <v>66</v>
      </c>
      <c r="H905">
        <v>178947</v>
      </c>
      <c r="I905" t="b">
        <v>0</v>
      </c>
      <c r="J905">
        <v>0.73799999999999999</v>
      </c>
      <c r="K905">
        <v>0.39</v>
      </c>
      <c r="L905">
        <v>8</v>
      </c>
      <c r="M905">
        <v>-8.4369999999999994</v>
      </c>
      <c r="N905">
        <v>1</v>
      </c>
      <c r="O905">
        <v>3.3399999999999999E-2</v>
      </c>
      <c r="P905">
        <v>0.40899999999999997</v>
      </c>
      <c r="Q905">
        <v>0</v>
      </c>
      <c r="R905">
        <v>0.107</v>
      </c>
      <c r="S905">
        <v>0.54700000000000004</v>
      </c>
      <c r="T905">
        <v>113.979</v>
      </c>
      <c r="U905">
        <v>4</v>
      </c>
      <c r="V905" t="s">
        <v>24</v>
      </c>
    </row>
    <row r="906" spans="3:22" x14ac:dyDescent="0.35">
      <c r="C906" t="s">
        <v>2698</v>
      </c>
      <c r="D906" t="s">
        <v>1019</v>
      </c>
      <c r="E906" t="s">
        <v>2699</v>
      </c>
      <c r="F906" t="s">
        <v>2699</v>
      </c>
      <c r="G906">
        <v>51</v>
      </c>
      <c r="H906">
        <v>181897</v>
      </c>
      <c r="I906" t="b">
        <v>0</v>
      </c>
      <c r="J906">
        <v>0.56799999999999995</v>
      </c>
      <c r="K906">
        <v>0.21299999999999999</v>
      </c>
      <c r="L906">
        <v>2</v>
      </c>
      <c r="M906">
        <v>-11.882</v>
      </c>
      <c r="N906">
        <v>1</v>
      </c>
      <c r="O906">
        <v>3.7900000000000003E-2</v>
      </c>
      <c r="P906">
        <v>0.95499999999999996</v>
      </c>
      <c r="Q906">
        <v>0</v>
      </c>
      <c r="R906">
        <v>0.113</v>
      </c>
      <c r="S906">
        <v>0.30199999999999999</v>
      </c>
      <c r="T906">
        <v>72.932000000000002</v>
      </c>
      <c r="U906">
        <v>4</v>
      </c>
      <c r="V906" t="s">
        <v>24</v>
      </c>
    </row>
    <row r="907" spans="3:22" x14ac:dyDescent="0.35">
      <c r="C907" t="s">
        <v>2700</v>
      </c>
      <c r="D907" t="s">
        <v>942</v>
      </c>
      <c r="E907" t="s">
        <v>2701</v>
      </c>
      <c r="F907" t="s">
        <v>2701</v>
      </c>
      <c r="G907">
        <v>40</v>
      </c>
      <c r="H907">
        <v>217777</v>
      </c>
      <c r="I907" t="b">
        <v>0</v>
      </c>
      <c r="J907">
        <v>0.65400000000000003</v>
      </c>
      <c r="K907">
        <v>0.13500000000000001</v>
      </c>
      <c r="L907">
        <v>6</v>
      </c>
      <c r="M907">
        <v>-10.535</v>
      </c>
      <c r="N907">
        <v>0</v>
      </c>
      <c r="O907">
        <v>3.3000000000000002E-2</v>
      </c>
      <c r="P907">
        <v>0.93799999999999994</v>
      </c>
      <c r="Q907">
        <v>0</v>
      </c>
      <c r="R907">
        <v>9.8299999999999998E-2</v>
      </c>
      <c r="S907">
        <v>0.16</v>
      </c>
      <c r="T907">
        <v>100.027</v>
      </c>
      <c r="U907">
        <v>4</v>
      </c>
      <c r="V907" t="s">
        <v>24</v>
      </c>
    </row>
    <row r="908" spans="3:22" x14ac:dyDescent="0.35">
      <c r="C908" t="s">
        <v>2702</v>
      </c>
      <c r="D908" t="s">
        <v>2703</v>
      </c>
      <c r="E908" t="s">
        <v>437</v>
      </c>
      <c r="F908" t="s">
        <v>437</v>
      </c>
      <c r="G908">
        <v>38</v>
      </c>
      <c r="H908">
        <v>179236</v>
      </c>
      <c r="I908" t="b">
        <v>0</v>
      </c>
      <c r="J908">
        <v>0.55100000000000005</v>
      </c>
      <c r="K908">
        <v>0.161</v>
      </c>
      <c r="L908">
        <v>7</v>
      </c>
      <c r="M908">
        <v>-13.903</v>
      </c>
      <c r="N908">
        <v>1</v>
      </c>
      <c r="O908">
        <v>3.3099999999999997E-2</v>
      </c>
      <c r="P908">
        <v>0.95399999999999996</v>
      </c>
      <c r="Q908">
        <v>9.2500000000000004E-4</v>
      </c>
      <c r="R908">
        <v>0.11600000000000001</v>
      </c>
      <c r="S908">
        <v>0.35599999999999998</v>
      </c>
      <c r="T908">
        <v>129.786</v>
      </c>
      <c r="U908">
        <v>4</v>
      </c>
      <c r="V908" t="s">
        <v>24</v>
      </c>
    </row>
    <row r="909" spans="3:22" x14ac:dyDescent="0.35">
      <c r="C909" t="s">
        <v>2704</v>
      </c>
      <c r="D909" t="s">
        <v>225</v>
      </c>
      <c r="E909" t="s">
        <v>226</v>
      </c>
      <c r="F909" t="s">
        <v>2705</v>
      </c>
      <c r="G909">
        <v>43</v>
      </c>
      <c r="H909">
        <v>252013</v>
      </c>
      <c r="I909" t="b">
        <v>0</v>
      </c>
      <c r="J909">
        <v>0.48399999999999999</v>
      </c>
      <c r="K909">
        <v>0.29199999999999998</v>
      </c>
      <c r="L909">
        <v>11</v>
      </c>
      <c r="M909">
        <v>-13.097</v>
      </c>
      <c r="N909">
        <v>1</v>
      </c>
      <c r="O909">
        <v>3.5000000000000003E-2</v>
      </c>
      <c r="P909">
        <v>0.86799999999999999</v>
      </c>
      <c r="Q909">
        <v>3.7199999999999999E-4</v>
      </c>
      <c r="R909">
        <v>9.0300000000000005E-2</v>
      </c>
      <c r="S909">
        <v>7.7100000000000002E-2</v>
      </c>
      <c r="T909">
        <v>95.445999999999998</v>
      </c>
      <c r="U909">
        <v>4</v>
      </c>
      <c r="V909" t="s">
        <v>24</v>
      </c>
    </row>
    <row r="910" spans="3:22" x14ac:dyDescent="0.35">
      <c r="C910" t="s">
        <v>2706</v>
      </c>
      <c r="D910" t="s">
        <v>305</v>
      </c>
      <c r="E910" t="s">
        <v>667</v>
      </c>
      <c r="F910" t="s">
        <v>2707</v>
      </c>
      <c r="G910">
        <v>44</v>
      </c>
      <c r="H910">
        <v>211360</v>
      </c>
      <c r="I910" t="b">
        <v>0</v>
      </c>
      <c r="J910">
        <v>0.309</v>
      </c>
      <c r="K910">
        <v>0.159</v>
      </c>
      <c r="L910">
        <v>7</v>
      </c>
      <c r="M910">
        <v>-13.101000000000001</v>
      </c>
      <c r="N910">
        <v>1</v>
      </c>
      <c r="O910">
        <v>3.15E-2</v>
      </c>
      <c r="P910">
        <v>0.91200000000000003</v>
      </c>
      <c r="Q910">
        <v>2.6400000000000002E-4</v>
      </c>
      <c r="R910">
        <v>0.1</v>
      </c>
      <c r="S910">
        <v>0.13900000000000001</v>
      </c>
      <c r="T910">
        <v>87.492999999999995</v>
      </c>
      <c r="U910">
        <v>4</v>
      </c>
      <c r="V910" t="s">
        <v>24</v>
      </c>
    </row>
    <row r="911" spans="3:22" x14ac:dyDescent="0.35">
      <c r="C911" t="s">
        <v>2708</v>
      </c>
      <c r="D911" t="s">
        <v>1019</v>
      </c>
      <c r="E911" t="s">
        <v>1020</v>
      </c>
      <c r="F911" t="s">
        <v>2709</v>
      </c>
      <c r="G911">
        <v>47</v>
      </c>
      <c r="H911">
        <v>189732</v>
      </c>
      <c r="I911" t="b">
        <v>0</v>
      </c>
      <c r="J911">
        <v>0.627</v>
      </c>
      <c r="K911">
        <v>0.307</v>
      </c>
      <c r="L911">
        <v>6</v>
      </c>
      <c r="M911">
        <v>-6.9939999999999998</v>
      </c>
      <c r="N911">
        <v>1</v>
      </c>
      <c r="O911">
        <v>3.1300000000000001E-2</v>
      </c>
      <c r="P911">
        <v>0.74199999999999999</v>
      </c>
      <c r="Q911">
        <v>0</v>
      </c>
      <c r="R911">
        <v>0.106</v>
      </c>
      <c r="S911">
        <v>0.47099999999999997</v>
      </c>
      <c r="T911">
        <v>104.669</v>
      </c>
      <c r="U911">
        <v>4</v>
      </c>
      <c r="V911" t="s">
        <v>24</v>
      </c>
    </row>
    <row r="912" spans="3:22" x14ac:dyDescent="0.35">
      <c r="C912" t="s">
        <v>2710</v>
      </c>
      <c r="D912" t="s">
        <v>1304</v>
      </c>
      <c r="E912" t="s">
        <v>2711</v>
      </c>
      <c r="F912" t="s">
        <v>2712</v>
      </c>
      <c r="G912">
        <v>27</v>
      </c>
      <c r="H912">
        <v>209200</v>
      </c>
      <c r="I912" t="b">
        <v>0</v>
      </c>
      <c r="J912">
        <v>0.51200000000000001</v>
      </c>
      <c r="K912">
        <v>0.88400000000000001</v>
      </c>
      <c r="L912">
        <v>4</v>
      </c>
      <c r="M912">
        <v>-4.09</v>
      </c>
      <c r="N912">
        <v>1</v>
      </c>
      <c r="O912">
        <v>3.6799999999999999E-2</v>
      </c>
      <c r="P912" s="1" t="s">
        <v>2713</v>
      </c>
      <c r="Q912">
        <v>0</v>
      </c>
      <c r="R912">
        <v>0.123</v>
      </c>
      <c r="S912">
        <v>0.48</v>
      </c>
      <c r="T912">
        <v>124.003</v>
      </c>
      <c r="U912">
        <v>4</v>
      </c>
      <c r="V912" t="s">
        <v>24</v>
      </c>
    </row>
    <row r="913" spans="3:22" x14ac:dyDescent="0.35">
      <c r="C913" t="s">
        <v>2714</v>
      </c>
      <c r="D913" t="s">
        <v>1265</v>
      </c>
      <c r="E913" t="s">
        <v>2715</v>
      </c>
      <c r="F913" t="s">
        <v>2716</v>
      </c>
      <c r="G913">
        <v>52</v>
      </c>
      <c r="H913">
        <v>260000</v>
      </c>
      <c r="I913" t="b">
        <v>0</v>
      </c>
      <c r="J913">
        <v>0.40899999999999997</v>
      </c>
      <c r="K913">
        <v>0.222</v>
      </c>
      <c r="L913">
        <v>10</v>
      </c>
      <c r="M913">
        <v>-11.358000000000001</v>
      </c>
      <c r="N913">
        <v>1</v>
      </c>
      <c r="O913">
        <v>2.81E-2</v>
      </c>
      <c r="P913">
        <v>0.88200000000000001</v>
      </c>
      <c r="Q913">
        <v>4.2599999999999999E-3</v>
      </c>
      <c r="R913">
        <v>0.21299999999999999</v>
      </c>
      <c r="S913">
        <v>0.151</v>
      </c>
      <c r="T913">
        <v>63.418999999999997</v>
      </c>
      <c r="U913">
        <v>4</v>
      </c>
      <c r="V913" t="s">
        <v>24</v>
      </c>
    </row>
    <row r="914" spans="3:22" x14ac:dyDescent="0.35">
      <c r="C914" t="s">
        <v>2717</v>
      </c>
      <c r="D914" t="s">
        <v>2421</v>
      </c>
      <c r="E914" t="s">
        <v>2718</v>
      </c>
      <c r="F914" t="s">
        <v>2719</v>
      </c>
      <c r="G914">
        <v>43</v>
      </c>
      <c r="H914">
        <v>181819</v>
      </c>
      <c r="I914" t="b">
        <v>0</v>
      </c>
      <c r="J914">
        <v>0.65500000000000003</v>
      </c>
      <c r="K914">
        <v>8.8300000000000003E-2</v>
      </c>
      <c r="L914">
        <v>0</v>
      </c>
      <c r="M914">
        <v>-19</v>
      </c>
      <c r="N914">
        <v>0</v>
      </c>
      <c r="O914">
        <v>4.8800000000000003E-2</v>
      </c>
      <c r="P914">
        <v>0.97099999999999997</v>
      </c>
      <c r="Q914">
        <v>0.89700000000000002</v>
      </c>
      <c r="R914">
        <v>0.109</v>
      </c>
      <c r="S914">
        <v>0.373</v>
      </c>
      <c r="T914">
        <v>119.985</v>
      </c>
      <c r="U914">
        <v>4</v>
      </c>
      <c r="V914" t="s">
        <v>24</v>
      </c>
    </row>
    <row r="915" spans="3:22" x14ac:dyDescent="0.35">
      <c r="C915" t="s">
        <v>2720</v>
      </c>
      <c r="D915" t="s">
        <v>339</v>
      </c>
      <c r="E915" t="s">
        <v>986</v>
      </c>
      <c r="F915" t="s">
        <v>2721</v>
      </c>
      <c r="G915">
        <v>56</v>
      </c>
      <c r="H915">
        <v>210186</v>
      </c>
      <c r="I915" t="b">
        <v>0</v>
      </c>
      <c r="J915">
        <v>0.73699999999999999</v>
      </c>
      <c r="K915">
        <v>0.29499999999999998</v>
      </c>
      <c r="L915">
        <v>0</v>
      </c>
      <c r="M915">
        <v>-7.1790000000000003</v>
      </c>
      <c r="N915">
        <v>1</v>
      </c>
      <c r="O915">
        <v>3.32E-2</v>
      </c>
      <c r="P915">
        <v>0.83</v>
      </c>
      <c r="Q915">
        <v>0</v>
      </c>
      <c r="R915">
        <v>9.8400000000000001E-2</v>
      </c>
      <c r="S915">
        <v>0.36899999999999999</v>
      </c>
      <c r="T915">
        <v>107.107</v>
      </c>
      <c r="U915">
        <v>4</v>
      </c>
      <c r="V915" t="s">
        <v>24</v>
      </c>
    </row>
    <row r="916" spans="3:22" x14ac:dyDescent="0.35">
      <c r="C916" t="s">
        <v>2722</v>
      </c>
      <c r="D916" t="s">
        <v>591</v>
      </c>
      <c r="E916" t="s">
        <v>1327</v>
      </c>
      <c r="F916" t="s">
        <v>2723</v>
      </c>
      <c r="G916">
        <v>48</v>
      </c>
      <c r="H916">
        <v>267306</v>
      </c>
      <c r="I916" t="b">
        <v>0</v>
      </c>
      <c r="J916">
        <v>0.51200000000000001</v>
      </c>
      <c r="K916">
        <v>0.35899999999999999</v>
      </c>
      <c r="L916">
        <v>9</v>
      </c>
      <c r="M916">
        <v>-11.59</v>
      </c>
      <c r="N916">
        <v>1</v>
      </c>
      <c r="O916">
        <v>2.7699999999999999E-2</v>
      </c>
      <c r="P916">
        <v>0.56699999999999995</v>
      </c>
      <c r="Q916">
        <v>2.2599999999999999E-2</v>
      </c>
      <c r="R916">
        <v>0.13</v>
      </c>
      <c r="S916">
        <v>0.13200000000000001</v>
      </c>
      <c r="T916">
        <v>129.83000000000001</v>
      </c>
      <c r="U916">
        <v>4</v>
      </c>
      <c r="V916" t="s">
        <v>24</v>
      </c>
    </row>
    <row r="917" spans="3:22" x14ac:dyDescent="0.35">
      <c r="C917" t="s">
        <v>2724</v>
      </c>
      <c r="D917" t="s">
        <v>2725</v>
      </c>
      <c r="E917" t="s">
        <v>736</v>
      </c>
      <c r="F917" t="s">
        <v>2726</v>
      </c>
      <c r="G917">
        <v>43</v>
      </c>
      <c r="H917">
        <v>244173</v>
      </c>
      <c r="I917" t="b">
        <v>0</v>
      </c>
      <c r="J917">
        <v>0.56399999999999995</v>
      </c>
      <c r="K917">
        <v>0.73099999999999998</v>
      </c>
      <c r="L917">
        <v>9</v>
      </c>
      <c r="M917">
        <v>-7.5380000000000003</v>
      </c>
      <c r="N917">
        <v>1</v>
      </c>
      <c r="O917">
        <v>2.9499999999999998E-2</v>
      </c>
      <c r="P917">
        <v>0.51700000000000002</v>
      </c>
      <c r="Q917" s="1" t="s">
        <v>2727</v>
      </c>
      <c r="R917">
        <v>0.105</v>
      </c>
      <c r="S917">
        <v>0.25700000000000001</v>
      </c>
      <c r="T917">
        <v>95.036000000000001</v>
      </c>
      <c r="U917">
        <v>4</v>
      </c>
      <c r="V917" t="s">
        <v>24</v>
      </c>
    </row>
    <row r="918" spans="3:22" x14ac:dyDescent="0.35">
      <c r="C918" t="s">
        <v>2728</v>
      </c>
      <c r="D918" t="s">
        <v>2729</v>
      </c>
      <c r="E918" t="s">
        <v>2730</v>
      </c>
      <c r="F918" t="s">
        <v>2730</v>
      </c>
      <c r="G918">
        <v>33</v>
      </c>
      <c r="H918">
        <v>252628</v>
      </c>
      <c r="I918" t="b">
        <v>0</v>
      </c>
      <c r="J918">
        <v>0.46400000000000002</v>
      </c>
      <c r="K918">
        <v>0.72</v>
      </c>
      <c r="L918">
        <v>9</v>
      </c>
      <c r="M918">
        <v>-7.4660000000000002</v>
      </c>
      <c r="N918">
        <v>0</v>
      </c>
      <c r="O918">
        <v>5.8299999999999998E-2</v>
      </c>
      <c r="P918">
        <v>1.66E-2</v>
      </c>
      <c r="Q918">
        <v>4.8800000000000003E-2</v>
      </c>
      <c r="R918">
        <v>8.0299999999999996E-2</v>
      </c>
      <c r="S918">
        <v>0.19900000000000001</v>
      </c>
      <c r="T918">
        <v>160.05699999999999</v>
      </c>
      <c r="U918">
        <v>4</v>
      </c>
      <c r="V918" t="s">
        <v>24</v>
      </c>
    </row>
    <row r="919" spans="3:22" x14ac:dyDescent="0.35">
      <c r="C919" t="s">
        <v>2731</v>
      </c>
      <c r="D919" t="s">
        <v>2732</v>
      </c>
      <c r="E919" t="s">
        <v>2733</v>
      </c>
      <c r="F919" t="s">
        <v>2733</v>
      </c>
      <c r="G919">
        <v>25</v>
      </c>
      <c r="H919">
        <v>282387</v>
      </c>
      <c r="I919" t="b">
        <v>0</v>
      </c>
      <c r="J919">
        <v>0.61399999999999999</v>
      </c>
      <c r="K919">
        <v>0.441</v>
      </c>
      <c r="L919">
        <v>10</v>
      </c>
      <c r="M919">
        <v>-9.375</v>
      </c>
      <c r="N919">
        <v>1</v>
      </c>
      <c r="O919">
        <v>2.9399999999999999E-2</v>
      </c>
      <c r="P919">
        <v>0.76</v>
      </c>
      <c r="Q919" s="1" t="s">
        <v>2734</v>
      </c>
      <c r="R919">
        <v>0.14199999999999999</v>
      </c>
      <c r="S919">
        <v>0.14799999999999999</v>
      </c>
      <c r="T919">
        <v>117.991</v>
      </c>
      <c r="U919">
        <v>4</v>
      </c>
      <c r="V919" t="s">
        <v>24</v>
      </c>
    </row>
    <row r="920" spans="3:22" x14ac:dyDescent="0.35">
      <c r="C920" t="s">
        <v>2735</v>
      </c>
      <c r="D920" t="s">
        <v>2736</v>
      </c>
      <c r="E920" t="s">
        <v>2019</v>
      </c>
      <c r="F920" t="s">
        <v>2737</v>
      </c>
      <c r="G920">
        <v>47</v>
      </c>
      <c r="H920">
        <v>283266</v>
      </c>
      <c r="I920" t="b">
        <v>0</v>
      </c>
      <c r="J920">
        <v>0.29199999999999998</v>
      </c>
      <c r="K920">
        <v>0.28100000000000003</v>
      </c>
      <c r="L920">
        <v>5</v>
      </c>
      <c r="M920">
        <v>-11.569000000000001</v>
      </c>
      <c r="N920">
        <v>1</v>
      </c>
      <c r="O920">
        <v>2.8799999999999999E-2</v>
      </c>
      <c r="P920">
        <v>0.751</v>
      </c>
      <c r="Q920">
        <v>8.0099999999999995E-4</v>
      </c>
      <c r="R920">
        <v>0.113</v>
      </c>
      <c r="S920">
        <v>0.16400000000000001</v>
      </c>
      <c r="T920">
        <v>89.256</v>
      </c>
      <c r="U920">
        <v>4</v>
      </c>
      <c r="V920" t="s">
        <v>24</v>
      </c>
    </row>
    <row r="921" spans="3:22" x14ac:dyDescent="0.35">
      <c r="C921" t="s">
        <v>2738</v>
      </c>
      <c r="D921" t="s">
        <v>258</v>
      </c>
      <c r="E921" t="s">
        <v>2739</v>
      </c>
      <c r="F921" t="s">
        <v>2740</v>
      </c>
      <c r="G921">
        <v>39</v>
      </c>
      <c r="H921">
        <v>281213</v>
      </c>
      <c r="I921" t="b">
        <v>0</v>
      </c>
      <c r="J921">
        <v>0.65200000000000002</v>
      </c>
      <c r="K921">
        <v>0.26300000000000001</v>
      </c>
      <c r="L921">
        <v>0</v>
      </c>
      <c r="M921">
        <v>-9.8360000000000003</v>
      </c>
      <c r="N921">
        <v>1</v>
      </c>
      <c r="O921">
        <v>4.4699999999999997E-2</v>
      </c>
      <c r="P921">
        <v>0.75800000000000001</v>
      </c>
      <c r="Q921" s="1" t="s">
        <v>2741</v>
      </c>
      <c r="R921">
        <v>0.106</v>
      </c>
      <c r="S921">
        <v>0.192</v>
      </c>
      <c r="T921">
        <v>119.95699999999999</v>
      </c>
      <c r="U921">
        <v>4</v>
      </c>
      <c r="V921" t="s">
        <v>24</v>
      </c>
    </row>
    <row r="922" spans="3:22" x14ac:dyDescent="0.35">
      <c r="C922" t="s">
        <v>2742</v>
      </c>
      <c r="D922" t="s">
        <v>2270</v>
      </c>
      <c r="E922" t="s">
        <v>2743</v>
      </c>
      <c r="F922" t="s">
        <v>2744</v>
      </c>
      <c r="G922">
        <v>47</v>
      </c>
      <c r="H922">
        <v>211364</v>
      </c>
      <c r="I922" t="b">
        <v>0</v>
      </c>
      <c r="J922">
        <v>0.747</v>
      </c>
      <c r="K922">
        <v>0.221</v>
      </c>
      <c r="L922">
        <v>0</v>
      </c>
      <c r="M922">
        <v>-10.528</v>
      </c>
      <c r="N922">
        <v>0</v>
      </c>
      <c r="O922">
        <v>3.5799999999999998E-2</v>
      </c>
      <c r="P922">
        <v>0.93</v>
      </c>
      <c r="Q922">
        <v>0</v>
      </c>
      <c r="R922">
        <v>0.11600000000000001</v>
      </c>
      <c r="S922">
        <v>0.36899999999999999</v>
      </c>
      <c r="T922">
        <v>118.029</v>
      </c>
      <c r="U922">
        <v>4</v>
      </c>
      <c r="V922" t="s">
        <v>24</v>
      </c>
    </row>
    <row r="923" spans="3:22" x14ac:dyDescent="0.35">
      <c r="C923" t="s">
        <v>2745</v>
      </c>
      <c r="D923" t="s">
        <v>2746</v>
      </c>
      <c r="E923" t="s">
        <v>2747</v>
      </c>
      <c r="F923" t="s">
        <v>2748</v>
      </c>
      <c r="G923">
        <v>50</v>
      </c>
      <c r="H923">
        <v>167266</v>
      </c>
      <c r="I923" t="b">
        <v>0</v>
      </c>
      <c r="J923">
        <v>0.621</v>
      </c>
      <c r="K923">
        <v>0.51900000000000002</v>
      </c>
      <c r="L923">
        <v>11</v>
      </c>
      <c r="M923">
        <v>-13.327999999999999</v>
      </c>
      <c r="N923">
        <v>0</v>
      </c>
      <c r="O923">
        <v>0.10199999999999999</v>
      </c>
      <c r="P923">
        <v>0.83699999999999997</v>
      </c>
      <c r="Q923">
        <v>2.4599999999999999E-3</v>
      </c>
      <c r="R923">
        <v>0.16200000000000001</v>
      </c>
      <c r="S923">
        <v>0.77500000000000002</v>
      </c>
      <c r="T923">
        <v>117.005</v>
      </c>
      <c r="U923">
        <v>4</v>
      </c>
      <c r="V923" t="s">
        <v>24</v>
      </c>
    </row>
    <row r="924" spans="3:22" x14ac:dyDescent="0.35">
      <c r="C924" t="s">
        <v>2749</v>
      </c>
      <c r="D924" t="s">
        <v>991</v>
      </c>
      <c r="E924" t="s">
        <v>2750</v>
      </c>
      <c r="F924" t="s">
        <v>992</v>
      </c>
      <c r="G924">
        <v>27</v>
      </c>
      <c r="H924">
        <v>223333</v>
      </c>
      <c r="I924" t="b">
        <v>0</v>
      </c>
      <c r="J924">
        <v>0.32400000000000001</v>
      </c>
      <c r="K924">
        <v>0.873</v>
      </c>
      <c r="L924">
        <v>10</v>
      </c>
      <c r="M924">
        <v>-3.67</v>
      </c>
      <c r="N924">
        <v>1</v>
      </c>
      <c r="O924">
        <v>6.6400000000000001E-2</v>
      </c>
      <c r="P924">
        <v>1.1900000000000001E-3</v>
      </c>
      <c r="Q924">
        <v>0</v>
      </c>
      <c r="R924">
        <v>0.443</v>
      </c>
      <c r="S924">
        <v>0.77500000000000002</v>
      </c>
      <c r="T924">
        <v>93.058999999999997</v>
      </c>
      <c r="U924">
        <v>4</v>
      </c>
      <c r="V924" t="s">
        <v>24</v>
      </c>
    </row>
    <row r="925" spans="3:22" x14ac:dyDescent="0.35">
      <c r="C925" t="s">
        <v>2751</v>
      </c>
      <c r="D925" t="s">
        <v>2752</v>
      </c>
      <c r="E925" t="s">
        <v>2753</v>
      </c>
      <c r="F925" t="s">
        <v>2754</v>
      </c>
      <c r="G925">
        <v>47</v>
      </c>
      <c r="H925">
        <v>178659</v>
      </c>
      <c r="I925" t="b">
        <v>0</v>
      </c>
      <c r="J925">
        <v>0.72299999999999998</v>
      </c>
      <c r="K925">
        <v>0.93</v>
      </c>
      <c r="L925">
        <v>0</v>
      </c>
      <c r="M925">
        <v>-3.2919999999999998</v>
      </c>
      <c r="N925">
        <v>1</v>
      </c>
      <c r="O925">
        <v>0.128</v>
      </c>
      <c r="P925">
        <v>0.23899999999999999</v>
      </c>
      <c r="Q925">
        <v>0</v>
      </c>
      <c r="R925">
        <v>0.155</v>
      </c>
      <c r="S925">
        <v>0.69</v>
      </c>
      <c r="T925">
        <v>124.94</v>
      </c>
      <c r="U925">
        <v>4</v>
      </c>
      <c r="V925" t="s">
        <v>24</v>
      </c>
    </row>
    <row r="926" spans="3:22" x14ac:dyDescent="0.35">
      <c r="C926" t="s">
        <v>2755</v>
      </c>
      <c r="D926" t="s">
        <v>347</v>
      </c>
      <c r="E926" t="s">
        <v>2326</v>
      </c>
      <c r="F926" t="s">
        <v>2360</v>
      </c>
      <c r="G926">
        <v>26</v>
      </c>
      <c r="H926">
        <v>300626</v>
      </c>
      <c r="I926" t="b">
        <v>0</v>
      </c>
      <c r="J926">
        <v>0.755</v>
      </c>
      <c r="K926">
        <v>0.91800000000000004</v>
      </c>
      <c r="L926">
        <v>8</v>
      </c>
      <c r="M926">
        <v>-3.5579999999999998</v>
      </c>
      <c r="N926">
        <v>1</v>
      </c>
      <c r="O926">
        <v>3.9699999999999999E-2</v>
      </c>
      <c r="P926">
        <v>0.35599999999999998</v>
      </c>
      <c r="Q926" s="1" t="s">
        <v>2756</v>
      </c>
      <c r="R926">
        <v>0.31900000000000001</v>
      </c>
      <c r="S926">
        <v>0.63400000000000001</v>
      </c>
      <c r="T926">
        <v>111.017</v>
      </c>
      <c r="U926">
        <v>4</v>
      </c>
      <c r="V926" t="s">
        <v>24</v>
      </c>
    </row>
    <row r="927" spans="3:22" x14ac:dyDescent="0.35">
      <c r="C927" t="s">
        <v>2757</v>
      </c>
      <c r="D927" t="s">
        <v>712</v>
      </c>
      <c r="E927" t="s">
        <v>2135</v>
      </c>
      <c r="F927" t="s">
        <v>2758</v>
      </c>
      <c r="G927">
        <v>51</v>
      </c>
      <c r="H927">
        <v>361013</v>
      </c>
      <c r="I927" t="b">
        <v>0</v>
      </c>
      <c r="J927">
        <v>0.502</v>
      </c>
      <c r="K927">
        <v>0.309</v>
      </c>
      <c r="L927">
        <v>5</v>
      </c>
      <c r="M927">
        <v>-12.12</v>
      </c>
      <c r="N927">
        <v>1</v>
      </c>
      <c r="O927">
        <v>3.0800000000000001E-2</v>
      </c>
      <c r="P927">
        <v>0.57499999999999996</v>
      </c>
      <c r="Q927">
        <v>8.9400000000000005E-4</v>
      </c>
      <c r="R927">
        <v>9.5299999999999996E-2</v>
      </c>
      <c r="S927">
        <v>0.27300000000000002</v>
      </c>
      <c r="T927">
        <v>119.236</v>
      </c>
      <c r="U927">
        <v>4</v>
      </c>
      <c r="V927" t="s">
        <v>24</v>
      </c>
    </row>
    <row r="928" spans="3:22" x14ac:dyDescent="0.35">
      <c r="C928" t="s">
        <v>2759</v>
      </c>
      <c r="D928" t="s">
        <v>2760</v>
      </c>
      <c r="E928" t="s">
        <v>2761</v>
      </c>
      <c r="F928" t="s">
        <v>2762</v>
      </c>
      <c r="G928">
        <v>26</v>
      </c>
      <c r="H928">
        <v>133500</v>
      </c>
      <c r="I928" t="b">
        <v>0</v>
      </c>
      <c r="J928">
        <v>0.58599999999999997</v>
      </c>
      <c r="K928">
        <v>0.115</v>
      </c>
      <c r="L928">
        <v>7</v>
      </c>
      <c r="M928">
        <v>-20.442</v>
      </c>
      <c r="N928">
        <v>1</v>
      </c>
      <c r="O928">
        <v>5.6300000000000003E-2</v>
      </c>
      <c r="P928">
        <v>0.83599999999999997</v>
      </c>
      <c r="Q928">
        <v>0.92600000000000005</v>
      </c>
      <c r="R928">
        <v>0.11</v>
      </c>
      <c r="S928">
        <v>0.88500000000000001</v>
      </c>
      <c r="T928">
        <v>179.941</v>
      </c>
      <c r="U928">
        <v>4</v>
      </c>
      <c r="V928" t="s">
        <v>24</v>
      </c>
    </row>
    <row r="929" spans="3:22" x14ac:dyDescent="0.35">
      <c r="C929" t="s">
        <v>2763</v>
      </c>
      <c r="D929" t="s">
        <v>2764</v>
      </c>
      <c r="E929" t="s">
        <v>2765</v>
      </c>
      <c r="F929" t="s">
        <v>2766</v>
      </c>
      <c r="G929">
        <v>37</v>
      </c>
      <c r="H929">
        <v>213620</v>
      </c>
      <c r="I929" t="b">
        <v>0</v>
      </c>
      <c r="J929">
        <v>0.67400000000000004</v>
      </c>
      <c r="K929">
        <v>0.52</v>
      </c>
      <c r="L929">
        <v>0</v>
      </c>
      <c r="M929">
        <v>-10.106</v>
      </c>
      <c r="N929">
        <v>1</v>
      </c>
      <c r="O929">
        <v>5.11E-2</v>
      </c>
      <c r="P929">
        <v>0.27200000000000002</v>
      </c>
      <c r="Q929" s="1" t="s">
        <v>2767</v>
      </c>
      <c r="R929">
        <v>0.151</v>
      </c>
      <c r="S929">
        <v>0.42199999999999999</v>
      </c>
      <c r="T929">
        <v>116.029</v>
      </c>
      <c r="U929">
        <v>4</v>
      </c>
      <c r="V929" t="s">
        <v>24</v>
      </c>
    </row>
    <row r="930" spans="3:22" x14ac:dyDescent="0.35">
      <c r="C930" t="s">
        <v>2768</v>
      </c>
      <c r="D930" t="s">
        <v>1924</v>
      </c>
      <c r="E930" t="s">
        <v>2769</v>
      </c>
      <c r="F930" t="s">
        <v>2769</v>
      </c>
      <c r="G930">
        <v>25</v>
      </c>
      <c r="H930">
        <v>187908</v>
      </c>
      <c r="I930" t="b">
        <v>0</v>
      </c>
      <c r="J930">
        <v>0.49099999999999999</v>
      </c>
      <c r="K930">
        <v>0.56100000000000005</v>
      </c>
      <c r="L930">
        <v>11</v>
      </c>
      <c r="M930">
        <v>-7.2249999999999996</v>
      </c>
      <c r="N930">
        <v>1</v>
      </c>
      <c r="O930">
        <v>2.46E-2</v>
      </c>
      <c r="P930">
        <v>0.108</v>
      </c>
      <c r="Q930">
        <v>0</v>
      </c>
      <c r="R930">
        <v>0.13900000000000001</v>
      </c>
      <c r="S930">
        <v>0.22</v>
      </c>
      <c r="T930">
        <v>151.94300000000001</v>
      </c>
      <c r="U930">
        <v>4</v>
      </c>
      <c r="V930" t="s">
        <v>24</v>
      </c>
    </row>
    <row r="931" spans="3:22" x14ac:dyDescent="0.35">
      <c r="C931" t="s">
        <v>2770</v>
      </c>
      <c r="D931" t="s">
        <v>408</v>
      </c>
      <c r="E931" t="s">
        <v>2771</v>
      </c>
      <c r="F931" t="s">
        <v>2772</v>
      </c>
      <c r="G931">
        <v>45</v>
      </c>
      <c r="H931">
        <v>236200</v>
      </c>
      <c r="I931" t="b">
        <v>0</v>
      </c>
      <c r="J931">
        <v>0.40500000000000003</v>
      </c>
      <c r="K931">
        <v>0.42799999999999999</v>
      </c>
      <c r="L931">
        <v>5</v>
      </c>
      <c r="M931">
        <v>-9.5060000000000002</v>
      </c>
      <c r="N931">
        <v>1</v>
      </c>
      <c r="O931">
        <v>2.7699999999999999E-2</v>
      </c>
      <c r="P931">
        <v>1.8200000000000001E-2</v>
      </c>
      <c r="Q931" s="1" t="s">
        <v>2773</v>
      </c>
      <c r="R931">
        <v>0.14000000000000001</v>
      </c>
      <c r="S931">
        <v>0.33100000000000002</v>
      </c>
      <c r="T931">
        <v>145.51499999999999</v>
      </c>
      <c r="U931">
        <v>3</v>
      </c>
      <c r="V931" t="s">
        <v>24</v>
      </c>
    </row>
    <row r="932" spans="3:22" x14ac:dyDescent="0.35">
      <c r="C932" t="s">
        <v>2774</v>
      </c>
      <c r="D932" t="s">
        <v>1202</v>
      </c>
      <c r="E932" t="s">
        <v>2484</v>
      </c>
      <c r="F932" t="s">
        <v>2775</v>
      </c>
      <c r="G932">
        <v>25</v>
      </c>
      <c r="H932">
        <v>242001</v>
      </c>
      <c r="I932" t="b">
        <v>0</v>
      </c>
      <c r="J932">
        <v>0.66700000000000004</v>
      </c>
      <c r="K932">
        <v>1.1900000000000001E-2</v>
      </c>
      <c r="L932">
        <v>0</v>
      </c>
      <c r="M932">
        <v>-16.177</v>
      </c>
      <c r="N932">
        <v>1</v>
      </c>
      <c r="O932">
        <v>6.3600000000000004E-2</v>
      </c>
      <c r="P932">
        <v>0.86699999999999999</v>
      </c>
      <c r="Q932">
        <v>0</v>
      </c>
      <c r="R932">
        <v>0.28799999999999998</v>
      </c>
      <c r="S932">
        <v>0.40799999999999997</v>
      </c>
      <c r="T932">
        <v>133.27699999999999</v>
      </c>
      <c r="U932">
        <v>4</v>
      </c>
      <c r="V932" t="s">
        <v>24</v>
      </c>
    </row>
    <row r="933" spans="3:22" x14ac:dyDescent="0.35">
      <c r="C933" t="s">
        <v>2776</v>
      </c>
      <c r="D933" t="s">
        <v>2777</v>
      </c>
      <c r="E933" t="s">
        <v>2778</v>
      </c>
      <c r="F933" t="s">
        <v>2779</v>
      </c>
      <c r="G933">
        <v>26</v>
      </c>
      <c r="H933">
        <v>246773</v>
      </c>
      <c r="I933" t="b">
        <v>0</v>
      </c>
      <c r="J933">
        <v>0.67500000000000004</v>
      </c>
      <c r="K933">
        <v>0.36599999999999999</v>
      </c>
      <c r="L933">
        <v>2</v>
      </c>
      <c r="M933">
        <v>-13.493</v>
      </c>
      <c r="N933">
        <v>1</v>
      </c>
      <c r="O933">
        <v>7.5899999999999995E-2</v>
      </c>
      <c r="P933">
        <v>0.71899999999999997</v>
      </c>
      <c r="Q933">
        <v>1.0499999999999999E-3</v>
      </c>
      <c r="R933">
        <v>0.191</v>
      </c>
      <c r="S933">
        <v>0.41099999999999998</v>
      </c>
      <c r="T933">
        <v>72.662000000000006</v>
      </c>
      <c r="U933">
        <v>4</v>
      </c>
      <c r="V933" t="s">
        <v>24</v>
      </c>
    </row>
    <row r="934" spans="3:22" x14ac:dyDescent="0.35">
      <c r="C934" t="s">
        <v>2780</v>
      </c>
      <c r="D934" t="s">
        <v>263</v>
      </c>
      <c r="E934" t="s">
        <v>100</v>
      </c>
      <c r="F934" t="s">
        <v>2781</v>
      </c>
      <c r="G934">
        <v>44</v>
      </c>
      <c r="H934">
        <v>230186</v>
      </c>
      <c r="I934" t="b">
        <v>0</v>
      </c>
      <c r="J934">
        <v>0.60199999999999998</v>
      </c>
      <c r="K934">
        <v>0.40400000000000003</v>
      </c>
      <c r="L934">
        <v>2</v>
      </c>
      <c r="M934">
        <v>-7.3440000000000003</v>
      </c>
      <c r="N934">
        <v>1</v>
      </c>
      <c r="O934">
        <v>2.7199999999999998E-2</v>
      </c>
      <c r="P934">
        <v>0.31</v>
      </c>
      <c r="Q934">
        <v>0</v>
      </c>
      <c r="R934">
        <v>0.14000000000000001</v>
      </c>
      <c r="S934">
        <v>0.24299999999999999</v>
      </c>
      <c r="T934">
        <v>83.054000000000002</v>
      </c>
      <c r="U934">
        <v>4</v>
      </c>
      <c r="V934" t="s">
        <v>24</v>
      </c>
    </row>
    <row r="935" spans="3:22" x14ac:dyDescent="0.35">
      <c r="C935" t="s">
        <v>2782</v>
      </c>
      <c r="D935" t="s">
        <v>2041</v>
      </c>
      <c r="E935" t="s">
        <v>2783</v>
      </c>
      <c r="F935" t="s">
        <v>2784</v>
      </c>
      <c r="G935">
        <v>27</v>
      </c>
      <c r="H935">
        <v>198136</v>
      </c>
      <c r="I935" t="b">
        <v>0</v>
      </c>
      <c r="J935">
        <v>0.439</v>
      </c>
      <c r="K935">
        <v>0.53200000000000003</v>
      </c>
      <c r="L935">
        <v>2</v>
      </c>
      <c r="M935">
        <v>-5.0709999999999997</v>
      </c>
      <c r="N935">
        <v>1</v>
      </c>
      <c r="O935">
        <v>4.7300000000000002E-2</v>
      </c>
      <c r="P935">
        <v>0.61799999999999999</v>
      </c>
      <c r="Q935">
        <v>0</v>
      </c>
      <c r="R935">
        <v>0.14199999999999999</v>
      </c>
      <c r="S935">
        <v>0.437</v>
      </c>
      <c r="T935">
        <v>129.93600000000001</v>
      </c>
      <c r="U935">
        <v>4</v>
      </c>
      <c r="V935" t="s">
        <v>24</v>
      </c>
    </row>
    <row r="936" spans="3:22" x14ac:dyDescent="0.35">
      <c r="C936" t="s">
        <v>2785</v>
      </c>
      <c r="D936" t="s">
        <v>2786</v>
      </c>
      <c r="E936" t="s">
        <v>2787</v>
      </c>
      <c r="F936" t="s">
        <v>2788</v>
      </c>
      <c r="G936">
        <v>25</v>
      </c>
      <c r="H936">
        <v>126951</v>
      </c>
      <c r="I936" t="b">
        <v>0</v>
      </c>
      <c r="J936">
        <v>0.60799999999999998</v>
      </c>
      <c r="K936">
        <v>0.15</v>
      </c>
      <c r="L936">
        <v>11</v>
      </c>
      <c r="M936">
        <v>-12.728999999999999</v>
      </c>
      <c r="N936">
        <v>1</v>
      </c>
      <c r="O936">
        <v>3.2099999999999997E-2</v>
      </c>
      <c r="P936">
        <v>0.86299999999999999</v>
      </c>
      <c r="Q936">
        <v>0</v>
      </c>
      <c r="R936">
        <v>0.124</v>
      </c>
      <c r="S936">
        <v>0.434</v>
      </c>
      <c r="T936">
        <v>81.988</v>
      </c>
      <c r="U936">
        <v>4</v>
      </c>
      <c r="V936" t="s">
        <v>24</v>
      </c>
    </row>
    <row r="937" spans="3:22" x14ac:dyDescent="0.35">
      <c r="C937" t="s">
        <v>2789</v>
      </c>
      <c r="D937" t="s">
        <v>1924</v>
      </c>
      <c r="E937" t="s">
        <v>1925</v>
      </c>
      <c r="F937" t="s">
        <v>2790</v>
      </c>
      <c r="G937">
        <v>24</v>
      </c>
      <c r="H937">
        <v>180000</v>
      </c>
      <c r="I937" t="b">
        <v>0</v>
      </c>
      <c r="J937">
        <v>0.55600000000000005</v>
      </c>
      <c r="K937">
        <v>0.51100000000000001</v>
      </c>
      <c r="L937">
        <v>3</v>
      </c>
      <c r="M937">
        <v>-5.4249999999999998</v>
      </c>
      <c r="N937">
        <v>1</v>
      </c>
      <c r="O937">
        <v>2.98E-2</v>
      </c>
      <c r="P937">
        <v>0.78200000000000003</v>
      </c>
      <c r="Q937" s="1" t="s">
        <v>2791</v>
      </c>
      <c r="R937">
        <v>9.8900000000000002E-2</v>
      </c>
      <c r="S937">
        <v>0.53700000000000003</v>
      </c>
      <c r="T937">
        <v>81.613</v>
      </c>
      <c r="U937">
        <v>4</v>
      </c>
      <c r="V937" t="s">
        <v>24</v>
      </c>
    </row>
    <row r="938" spans="3:22" x14ac:dyDescent="0.35">
      <c r="C938" t="s">
        <v>2792</v>
      </c>
      <c r="D938" t="s">
        <v>1660</v>
      </c>
      <c r="E938" t="s">
        <v>2375</v>
      </c>
      <c r="F938" t="s">
        <v>2793</v>
      </c>
      <c r="G938">
        <v>27</v>
      </c>
      <c r="H938">
        <v>104306</v>
      </c>
      <c r="I938" t="b">
        <v>1</v>
      </c>
      <c r="J938">
        <v>0.68200000000000005</v>
      </c>
      <c r="K938">
        <v>0.66600000000000004</v>
      </c>
      <c r="L938">
        <v>0</v>
      </c>
      <c r="M938">
        <v>-4.8230000000000004</v>
      </c>
      <c r="N938">
        <v>1</v>
      </c>
      <c r="O938">
        <v>3.8100000000000002E-2</v>
      </c>
      <c r="P938">
        <v>6.0199999999999997E-2</v>
      </c>
      <c r="Q938" s="1" t="s">
        <v>2794</v>
      </c>
      <c r="R938">
        <v>0.20799999999999999</v>
      </c>
      <c r="S938">
        <v>0.79</v>
      </c>
      <c r="T938">
        <v>93.992000000000004</v>
      </c>
      <c r="U938">
        <v>4</v>
      </c>
      <c r="V938" t="s">
        <v>24</v>
      </c>
    </row>
    <row r="939" spans="3:22" x14ac:dyDescent="0.35">
      <c r="C939" t="s">
        <v>2795</v>
      </c>
      <c r="D939" t="s">
        <v>2796</v>
      </c>
      <c r="E939" t="s">
        <v>2797</v>
      </c>
      <c r="F939" t="s">
        <v>2798</v>
      </c>
      <c r="G939">
        <v>25</v>
      </c>
      <c r="H939">
        <v>226786</v>
      </c>
      <c r="I939" t="b">
        <v>0</v>
      </c>
      <c r="J939">
        <v>0.64400000000000002</v>
      </c>
      <c r="K939">
        <v>0.34</v>
      </c>
      <c r="L939">
        <v>0</v>
      </c>
      <c r="M939">
        <v>-6.7590000000000003</v>
      </c>
      <c r="N939">
        <v>1</v>
      </c>
      <c r="O939">
        <v>2.7E-2</v>
      </c>
      <c r="P939">
        <v>0.49099999999999999</v>
      </c>
      <c r="Q939">
        <v>0</v>
      </c>
      <c r="R939">
        <v>8.2900000000000001E-2</v>
      </c>
      <c r="S939">
        <v>0.29799999999999999</v>
      </c>
      <c r="T939">
        <v>129.99700000000001</v>
      </c>
      <c r="U939">
        <v>4</v>
      </c>
      <c r="V939" t="s">
        <v>24</v>
      </c>
    </row>
    <row r="940" spans="3:22" x14ac:dyDescent="0.35">
      <c r="C940" t="s">
        <v>2799</v>
      </c>
      <c r="D940" t="s">
        <v>1660</v>
      </c>
      <c r="E940" t="s">
        <v>1661</v>
      </c>
      <c r="F940" t="s">
        <v>2800</v>
      </c>
      <c r="G940">
        <v>27</v>
      </c>
      <c r="H940">
        <v>220832</v>
      </c>
      <c r="I940" t="b">
        <v>0</v>
      </c>
      <c r="J940">
        <v>0.55400000000000005</v>
      </c>
      <c r="K940">
        <v>0.65500000000000003</v>
      </c>
      <c r="L940">
        <v>11</v>
      </c>
      <c r="M940">
        <v>-8.0739999999999998</v>
      </c>
      <c r="N940">
        <v>1</v>
      </c>
      <c r="O940">
        <v>3.8800000000000001E-2</v>
      </c>
      <c r="P940">
        <v>1.9300000000000001E-3</v>
      </c>
      <c r="Q940">
        <v>0.56000000000000005</v>
      </c>
      <c r="R940">
        <v>0.28000000000000003</v>
      </c>
      <c r="S940">
        <v>0.36299999999999999</v>
      </c>
      <c r="T940">
        <v>100.423</v>
      </c>
      <c r="U940">
        <v>4</v>
      </c>
      <c r="V940" t="s">
        <v>24</v>
      </c>
    </row>
    <row r="941" spans="3:22" x14ac:dyDescent="0.35">
      <c r="C941" t="s">
        <v>2801</v>
      </c>
      <c r="D941" t="s">
        <v>755</v>
      </c>
      <c r="E941" t="s">
        <v>2802</v>
      </c>
      <c r="F941" t="s">
        <v>2803</v>
      </c>
      <c r="G941">
        <v>27</v>
      </c>
      <c r="H941">
        <v>149214</v>
      </c>
      <c r="I941" t="b">
        <v>1</v>
      </c>
      <c r="J941">
        <v>0.56499999999999995</v>
      </c>
      <c r="K941">
        <v>0.61099999999999999</v>
      </c>
      <c r="L941">
        <v>5</v>
      </c>
      <c r="M941">
        <v>-9.1240000000000006</v>
      </c>
      <c r="N941">
        <v>1</v>
      </c>
      <c r="O941">
        <v>6.7599999999999993E-2</v>
      </c>
      <c r="P941">
        <v>0.34499999999999997</v>
      </c>
      <c r="Q941" s="1" t="s">
        <v>2804</v>
      </c>
      <c r="R941">
        <v>5.2699999999999997E-2</v>
      </c>
      <c r="S941">
        <v>0.91400000000000003</v>
      </c>
      <c r="T941">
        <v>137.28899999999999</v>
      </c>
      <c r="U941">
        <v>4</v>
      </c>
      <c r="V941" t="s">
        <v>24</v>
      </c>
    </row>
    <row r="942" spans="3:22" x14ac:dyDescent="0.35">
      <c r="C942" t="s">
        <v>2805</v>
      </c>
      <c r="D942" t="s">
        <v>2806</v>
      </c>
      <c r="E942" t="s">
        <v>1665</v>
      </c>
      <c r="F942" t="s">
        <v>2807</v>
      </c>
      <c r="G942">
        <v>25</v>
      </c>
      <c r="H942">
        <v>141176</v>
      </c>
      <c r="I942" t="b">
        <v>0</v>
      </c>
      <c r="J942">
        <v>0.879</v>
      </c>
      <c r="K942">
        <v>0.41099999999999998</v>
      </c>
      <c r="L942">
        <v>8</v>
      </c>
      <c r="M942">
        <v>-5.1459999999999999</v>
      </c>
      <c r="N942">
        <v>1</v>
      </c>
      <c r="O942">
        <v>3.7600000000000001E-2</v>
      </c>
      <c r="P942">
        <v>0.61</v>
      </c>
      <c r="Q942">
        <v>0</v>
      </c>
      <c r="R942">
        <v>0.29599999999999999</v>
      </c>
      <c r="S942">
        <v>0.60899999999999999</v>
      </c>
      <c r="T942">
        <v>119.01300000000001</v>
      </c>
      <c r="U942">
        <v>4</v>
      </c>
      <c r="V942" t="s">
        <v>24</v>
      </c>
    </row>
    <row r="943" spans="3:22" x14ac:dyDescent="0.35">
      <c r="C943" t="s">
        <v>2808</v>
      </c>
      <c r="D943" t="s">
        <v>755</v>
      </c>
      <c r="E943" t="s">
        <v>756</v>
      </c>
      <c r="F943" t="s">
        <v>2809</v>
      </c>
      <c r="G943">
        <v>27</v>
      </c>
      <c r="H943">
        <v>230691</v>
      </c>
      <c r="I943" t="b">
        <v>1</v>
      </c>
      <c r="J943">
        <v>0.42499999999999999</v>
      </c>
      <c r="K943">
        <v>0.752</v>
      </c>
      <c r="L943">
        <v>9</v>
      </c>
      <c r="M943">
        <v>-4.649</v>
      </c>
      <c r="N943">
        <v>0</v>
      </c>
      <c r="O943">
        <v>3.9800000000000002E-2</v>
      </c>
      <c r="P943">
        <v>0.30499999999999999</v>
      </c>
      <c r="Q943">
        <v>0</v>
      </c>
      <c r="R943">
        <v>0.157</v>
      </c>
      <c r="S943">
        <v>0.84399999999999997</v>
      </c>
      <c r="T943">
        <v>105.46599999999999</v>
      </c>
      <c r="U943">
        <v>4</v>
      </c>
      <c r="V943" t="s">
        <v>24</v>
      </c>
    </row>
    <row r="944" spans="3:22" x14ac:dyDescent="0.35">
      <c r="C944" t="s">
        <v>2810</v>
      </c>
      <c r="D944" t="s">
        <v>2811</v>
      </c>
      <c r="E944" t="s">
        <v>2812</v>
      </c>
      <c r="F944" t="s">
        <v>2813</v>
      </c>
      <c r="G944">
        <v>28</v>
      </c>
      <c r="H944">
        <v>154106</v>
      </c>
      <c r="I944" t="b">
        <v>0</v>
      </c>
      <c r="J944">
        <v>0.49</v>
      </c>
      <c r="K944">
        <v>0.19800000000000001</v>
      </c>
      <c r="L944">
        <v>7</v>
      </c>
      <c r="M944">
        <v>-13.404999999999999</v>
      </c>
      <c r="N944">
        <v>1</v>
      </c>
      <c r="O944">
        <v>3.4099999999999998E-2</v>
      </c>
      <c r="P944">
        <v>0.97299999999999998</v>
      </c>
      <c r="Q944">
        <v>2.12E-2</v>
      </c>
      <c r="R944">
        <v>0.125</v>
      </c>
      <c r="S944">
        <v>0.63600000000000001</v>
      </c>
      <c r="T944">
        <v>106.71</v>
      </c>
      <c r="U944">
        <v>4</v>
      </c>
      <c r="V944" t="s">
        <v>24</v>
      </c>
    </row>
    <row r="945" spans="3:22" x14ac:dyDescent="0.35">
      <c r="C945" t="s">
        <v>2814</v>
      </c>
      <c r="D945" t="s">
        <v>1073</v>
      </c>
      <c r="E945" t="s">
        <v>2062</v>
      </c>
      <c r="F945" t="s">
        <v>2815</v>
      </c>
      <c r="G945">
        <v>26</v>
      </c>
      <c r="H945">
        <v>274133</v>
      </c>
      <c r="I945" t="b">
        <v>0</v>
      </c>
      <c r="J945">
        <v>0.27900000000000003</v>
      </c>
      <c r="K945">
        <v>0.498</v>
      </c>
      <c r="L945">
        <v>4</v>
      </c>
      <c r="M945">
        <v>-8.52</v>
      </c>
      <c r="N945">
        <v>1</v>
      </c>
      <c r="O945">
        <v>3.5000000000000003E-2</v>
      </c>
      <c r="P945">
        <v>0.217</v>
      </c>
      <c r="Q945">
        <v>0</v>
      </c>
      <c r="R945">
        <v>0.34799999999999998</v>
      </c>
      <c r="S945">
        <v>0.49199999999999999</v>
      </c>
      <c r="T945">
        <v>183.874</v>
      </c>
      <c r="U945">
        <v>4</v>
      </c>
      <c r="V945" t="s">
        <v>24</v>
      </c>
    </row>
    <row r="946" spans="3:22" x14ac:dyDescent="0.35">
      <c r="C946" t="s">
        <v>2816</v>
      </c>
      <c r="D946" t="s">
        <v>2817</v>
      </c>
      <c r="E946" t="s">
        <v>2818</v>
      </c>
      <c r="F946" t="s">
        <v>1256</v>
      </c>
      <c r="G946">
        <v>25</v>
      </c>
      <c r="H946">
        <v>209530</v>
      </c>
      <c r="I946" t="b">
        <v>0</v>
      </c>
      <c r="J946">
        <v>0.503</v>
      </c>
      <c r="K946">
        <v>0.35399999999999998</v>
      </c>
      <c r="L946">
        <v>0</v>
      </c>
      <c r="M946">
        <v>-7.4930000000000003</v>
      </c>
      <c r="N946">
        <v>1</v>
      </c>
      <c r="O946">
        <v>3.2899999999999999E-2</v>
      </c>
      <c r="P946">
        <v>0.93799999999999994</v>
      </c>
      <c r="Q946">
        <v>0</v>
      </c>
      <c r="R946">
        <v>9.8699999999999996E-2</v>
      </c>
      <c r="S946">
        <v>0.372</v>
      </c>
      <c r="T946">
        <v>72.295000000000002</v>
      </c>
      <c r="U946">
        <v>3</v>
      </c>
      <c r="V946" t="s">
        <v>24</v>
      </c>
    </row>
    <row r="947" spans="3:22" x14ac:dyDescent="0.35">
      <c r="C947" t="s">
        <v>2819</v>
      </c>
      <c r="D947" t="s">
        <v>1950</v>
      </c>
      <c r="E947" t="s">
        <v>1950</v>
      </c>
      <c r="F947" t="s">
        <v>2820</v>
      </c>
      <c r="G947">
        <v>26</v>
      </c>
      <c r="H947">
        <v>203702</v>
      </c>
      <c r="I947" t="b">
        <v>0</v>
      </c>
      <c r="J947">
        <v>0.53100000000000003</v>
      </c>
      <c r="K947">
        <v>0.28899999999999998</v>
      </c>
      <c r="L947">
        <v>0</v>
      </c>
      <c r="M947">
        <v>-13.246</v>
      </c>
      <c r="N947">
        <v>0</v>
      </c>
      <c r="O947">
        <v>5.0500000000000003E-2</v>
      </c>
      <c r="P947">
        <v>0.85399999999999998</v>
      </c>
      <c r="Q947">
        <v>0</v>
      </c>
      <c r="R947">
        <v>9.1800000000000007E-2</v>
      </c>
      <c r="S947">
        <v>0.61099999999999999</v>
      </c>
      <c r="T947">
        <v>124.157</v>
      </c>
      <c r="U947">
        <v>4</v>
      </c>
      <c r="V947" t="s">
        <v>24</v>
      </c>
    </row>
    <row r="948" spans="3:22" x14ac:dyDescent="0.35">
      <c r="C948" t="s">
        <v>2821</v>
      </c>
      <c r="D948" t="s">
        <v>1510</v>
      </c>
      <c r="E948" t="s">
        <v>2822</v>
      </c>
      <c r="F948" t="s">
        <v>2823</v>
      </c>
      <c r="G948">
        <v>27</v>
      </c>
      <c r="H948">
        <v>197266</v>
      </c>
      <c r="I948" t="b">
        <v>1</v>
      </c>
      <c r="J948">
        <v>0.308</v>
      </c>
      <c r="K948">
        <v>0.85399999999999998</v>
      </c>
      <c r="L948">
        <v>4</v>
      </c>
      <c r="M948">
        <v>-8.0060000000000002</v>
      </c>
      <c r="N948">
        <v>1</v>
      </c>
      <c r="O948">
        <v>4.9399999999999999E-2</v>
      </c>
      <c r="P948">
        <v>5.9299999999999999E-2</v>
      </c>
      <c r="Q948">
        <v>7.1799999999999998E-3</v>
      </c>
      <c r="R948">
        <v>0.90300000000000002</v>
      </c>
      <c r="S948">
        <v>0.68899999999999995</v>
      </c>
      <c r="T948">
        <v>193.39500000000001</v>
      </c>
      <c r="U948">
        <v>4</v>
      </c>
      <c r="V948" t="s">
        <v>24</v>
      </c>
    </row>
    <row r="949" spans="3:22" x14ac:dyDescent="0.35">
      <c r="C949" t="s">
        <v>2824</v>
      </c>
      <c r="D949" t="s">
        <v>2825</v>
      </c>
      <c r="E949" t="s">
        <v>2826</v>
      </c>
      <c r="F949" t="s">
        <v>2827</v>
      </c>
      <c r="G949">
        <v>26</v>
      </c>
      <c r="H949">
        <v>159666</v>
      </c>
      <c r="I949" t="b">
        <v>0</v>
      </c>
      <c r="J949">
        <v>0.72099999999999997</v>
      </c>
      <c r="K949">
        <v>0.78500000000000003</v>
      </c>
      <c r="L949">
        <v>4</v>
      </c>
      <c r="M949">
        <v>-4.4729999999999999</v>
      </c>
      <c r="N949">
        <v>1</v>
      </c>
      <c r="O949">
        <v>2.92E-2</v>
      </c>
      <c r="P949">
        <v>8.8200000000000001E-2</v>
      </c>
      <c r="Q949" s="1" t="s">
        <v>2828</v>
      </c>
      <c r="R949">
        <v>0.104</v>
      </c>
      <c r="S949">
        <v>0.878</v>
      </c>
      <c r="T949">
        <v>111.99299999999999</v>
      </c>
      <c r="U949">
        <v>4</v>
      </c>
      <c r="V949" t="s">
        <v>24</v>
      </c>
    </row>
    <row r="950" spans="3:22" x14ac:dyDescent="0.35">
      <c r="C950" t="s">
        <v>2829</v>
      </c>
      <c r="D950" t="s">
        <v>2830</v>
      </c>
      <c r="E950" t="s">
        <v>1665</v>
      </c>
      <c r="F950" t="s">
        <v>2831</v>
      </c>
      <c r="G950">
        <v>25</v>
      </c>
      <c r="H950">
        <v>142363</v>
      </c>
      <c r="I950" t="b">
        <v>0</v>
      </c>
      <c r="J950">
        <v>0.77300000000000002</v>
      </c>
      <c r="K950">
        <v>0.20799999999999999</v>
      </c>
      <c r="L950">
        <v>2</v>
      </c>
      <c r="M950">
        <v>-9.4819999999999993</v>
      </c>
      <c r="N950">
        <v>0</v>
      </c>
      <c r="O950">
        <v>4.3799999999999999E-2</v>
      </c>
      <c r="P950">
        <v>0.95599999999999996</v>
      </c>
      <c r="Q950">
        <v>0</v>
      </c>
      <c r="R950">
        <v>0.14899999999999999</v>
      </c>
      <c r="S950">
        <v>0.53800000000000003</v>
      </c>
      <c r="T950">
        <v>109.822</v>
      </c>
      <c r="U950">
        <v>4</v>
      </c>
      <c r="V950" t="s">
        <v>24</v>
      </c>
    </row>
    <row r="951" spans="3:22" x14ac:dyDescent="0.35">
      <c r="C951" t="s">
        <v>2832</v>
      </c>
      <c r="D951" t="s">
        <v>769</v>
      </c>
      <c r="E951" t="s">
        <v>2833</v>
      </c>
      <c r="F951" t="s">
        <v>2834</v>
      </c>
      <c r="G951">
        <v>25</v>
      </c>
      <c r="H951">
        <v>152053</v>
      </c>
      <c r="I951" t="b">
        <v>0</v>
      </c>
      <c r="J951">
        <v>0.48399999999999999</v>
      </c>
      <c r="K951">
        <v>0.95299999999999996</v>
      </c>
      <c r="L951">
        <v>1</v>
      </c>
      <c r="M951">
        <v>-3.5569999999999999</v>
      </c>
      <c r="N951">
        <v>1</v>
      </c>
      <c r="O951">
        <v>9.2700000000000005E-2</v>
      </c>
      <c r="P951">
        <v>1.65E-4</v>
      </c>
      <c r="Q951">
        <v>1.5499999999999999E-3</v>
      </c>
      <c r="R951">
        <v>6.5799999999999997E-2</v>
      </c>
      <c r="S951">
        <v>0.66700000000000004</v>
      </c>
      <c r="T951">
        <v>97.429000000000002</v>
      </c>
      <c r="U951">
        <v>4</v>
      </c>
      <c r="V951" t="s">
        <v>24</v>
      </c>
    </row>
    <row r="952" spans="3:22" x14ac:dyDescent="0.35">
      <c r="C952" t="s">
        <v>2835</v>
      </c>
      <c r="D952" t="s">
        <v>192</v>
      </c>
      <c r="E952" t="s">
        <v>2836</v>
      </c>
      <c r="F952" t="s">
        <v>2837</v>
      </c>
      <c r="G952">
        <v>50</v>
      </c>
      <c r="H952">
        <v>161000</v>
      </c>
      <c r="I952" t="b">
        <v>1</v>
      </c>
      <c r="J952">
        <v>0.751</v>
      </c>
      <c r="K952">
        <v>0.28999999999999998</v>
      </c>
      <c r="L952">
        <v>10</v>
      </c>
      <c r="M952">
        <v>-8.17</v>
      </c>
      <c r="N952">
        <v>1</v>
      </c>
      <c r="O952">
        <v>4.5600000000000002E-2</v>
      </c>
      <c r="P952">
        <v>0.84599999999999997</v>
      </c>
      <c r="Q952">
        <v>0</v>
      </c>
      <c r="R952">
        <v>0.113</v>
      </c>
      <c r="S952">
        <v>0.68300000000000005</v>
      </c>
      <c r="T952">
        <v>75.034000000000006</v>
      </c>
      <c r="U952">
        <v>4</v>
      </c>
      <c r="V952" t="s">
        <v>24</v>
      </c>
    </row>
    <row r="953" spans="3:22" x14ac:dyDescent="0.35">
      <c r="C953" t="s">
        <v>2838</v>
      </c>
      <c r="D953" t="s">
        <v>50</v>
      </c>
      <c r="E953" t="s">
        <v>810</v>
      </c>
      <c r="F953" t="s">
        <v>2839</v>
      </c>
      <c r="G953">
        <v>43</v>
      </c>
      <c r="H953">
        <v>230746</v>
      </c>
      <c r="I953" t="b">
        <v>0</v>
      </c>
      <c r="J953">
        <v>0.52700000000000002</v>
      </c>
      <c r="K953">
        <v>0.57799999999999996</v>
      </c>
      <c r="L953">
        <v>7</v>
      </c>
      <c r="M953">
        <v>-8.65</v>
      </c>
      <c r="N953">
        <v>1</v>
      </c>
      <c r="O953">
        <v>3.27E-2</v>
      </c>
      <c r="P953">
        <v>0.19700000000000001</v>
      </c>
      <c r="Q953" s="1" t="s">
        <v>2840</v>
      </c>
      <c r="R953">
        <v>0.10199999999999999</v>
      </c>
      <c r="S953">
        <v>0.40500000000000003</v>
      </c>
      <c r="T953">
        <v>148.13399999999999</v>
      </c>
      <c r="U953">
        <v>4</v>
      </c>
      <c r="V953" t="s">
        <v>24</v>
      </c>
    </row>
    <row r="954" spans="3:22" x14ac:dyDescent="0.35">
      <c r="C954" t="s">
        <v>2841</v>
      </c>
      <c r="D954" t="s">
        <v>34</v>
      </c>
      <c r="E954" t="s">
        <v>2379</v>
      </c>
      <c r="F954" t="s">
        <v>2379</v>
      </c>
      <c r="G954">
        <v>46</v>
      </c>
      <c r="H954">
        <v>221568</v>
      </c>
      <c r="I954" t="b">
        <v>0</v>
      </c>
      <c r="J954">
        <v>0.48499999999999999</v>
      </c>
      <c r="K954">
        <v>0.126</v>
      </c>
      <c r="L954">
        <v>6</v>
      </c>
      <c r="M954">
        <v>-15.597</v>
      </c>
      <c r="N954">
        <v>1</v>
      </c>
      <c r="O954">
        <v>5.1999999999999998E-2</v>
      </c>
      <c r="P954">
        <v>0.71</v>
      </c>
      <c r="Q954">
        <v>0</v>
      </c>
      <c r="R954">
        <v>0.106</v>
      </c>
      <c r="S954">
        <v>0.34499999999999997</v>
      </c>
      <c r="T954">
        <v>152.541</v>
      </c>
      <c r="U954">
        <v>4</v>
      </c>
      <c r="V954" t="s">
        <v>24</v>
      </c>
    </row>
    <row r="955" spans="3:22" x14ac:dyDescent="0.35">
      <c r="C955" t="s">
        <v>2842</v>
      </c>
      <c r="D955" t="s">
        <v>982</v>
      </c>
      <c r="E955" t="s">
        <v>2843</v>
      </c>
      <c r="F955" t="s">
        <v>2843</v>
      </c>
      <c r="G955">
        <v>34</v>
      </c>
      <c r="H955">
        <v>224666</v>
      </c>
      <c r="I955" t="b">
        <v>0</v>
      </c>
      <c r="J955">
        <v>0.58799999999999997</v>
      </c>
      <c r="K955">
        <v>0.29099999999999998</v>
      </c>
      <c r="L955">
        <v>8</v>
      </c>
      <c r="M955">
        <v>-11.464</v>
      </c>
      <c r="N955">
        <v>1</v>
      </c>
      <c r="O955">
        <v>3.5200000000000002E-2</v>
      </c>
      <c r="P955">
        <v>0.76300000000000001</v>
      </c>
      <c r="Q955" s="1" t="s">
        <v>2844</v>
      </c>
      <c r="R955">
        <v>0.624</v>
      </c>
      <c r="S955">
        <v>0.33600000000000002</v>
      </c>
      <c r="T955">
        <v>101.158</v>
      </c>
      <c r="U955">
        <v>4</v>
      </c>
      <c r="V955" t="s">
        <v>24</v>
      </c>
    </row>
    <row r="956" spans="3:22" x14ac:dyDescent="0.35">
      <c r="C956" t="s">
        <v>2845</v>
      </c>
      <c r="D956" t="s">
        <v>39</v>
      </c>
      <c r="E956" t="s">
        <v>40</v>
      </c>
      <c r="F956" t="s">
        <v>40</v>
      </c>
      <c r="G956">
        <v>35</v>
      </c>
      <c r="H956">
        <v>198853</v>
      </c>
      <c r="I956" t="b">
        <v>0</v>
      </c>
      <c r="J956">
        <v>0.60899999999999999</v>
      </c>
      <c r="K956">
        <v>0.443</v>
      </c>
      <c r="L956">
        <v>2</v>
      </c>
      <c r="M956">
        <v>-9.6809999999999992</v>
      </c>
      <c r="N956">
        <v>1</v>
      </c>
      <c r="O956">
        <v>5.4600000000000003E-2</v>
      </c>
      <c r="P956">
        <v>0.46899999999999997</v>
      </c>
      <c r="Q956">
        <v>0</v>
      </c>
      <c r="R956">
        <v>8.2900000000000001E-2</v>
      </c>
      <c r="S956">
        <v>0.16600000000000001</v>
      </c>
      <c r="T956">
        <v>119.967</v>
      </c>
      <c r="U956">
        <v>4</v>
      </c>
      <c r="V956" t="s">
        <v>24</v>
      </c>
    </row>
    <row r="957" spans="3:22" x14ac:dyDescent="0.35">
      <c r="C957" t="s">
        <v>2846</v>
      </c>
      <c r="D957" t="s">
        <v>1019</v>
      </c>
      <c r="E957" t="s">
        <v>1020</v>
      </c>
      <c r="F957" t="s">
        <v>2847</v>
      </c>
      <c r="G957">
        <v>26</v>
      </c>
      <c r="H957">
        <v>193762</v>
      </c>
      <c r="I957" t="b">
        <v>0</v>
      </c>
      <c r="J957">
        <v>0.28899999999999998</v>
      </c>
      <c r="K957">
        <v>0.432</v>
      </c>
      <c r="L957">
        <v>1</v>
      </c>
      <c r="M957">
        <v>-6.0910000000000002</v>
      </c>
      <c r="N957">
        <v>0</v>
      </c>
      <c r="O957">
        <v>3.6999999999999998E-2</v>
      </c>
      <c r="P957">
        <v>0.77100000000000002</v>
      </c>
      <c r="Q957">
        <v>0</v>
      </c>
      <c r="R957">
        <v>0.215</v>
      </c>
      <c r="S957">
        <v>0.22500000000000001</v>
      </c>
      <c r="T957">
        <v>85.504000000000005</v>
      </c>
      <c r="U957">
        <v>1</v>
      </c>
      <c r="V957" t="s">
        <v>24</v>
      </c>
    </row>
    <row r="958" spans="3:22" x14ac:dyDescent="0.35">
      <c r="C958" t="s">
        <v>2848</v>
      </c>
      <c r="D958" t="s">
        <v>2849</v>
      </c>
      <c r="E958" t="s">
        <v>2850</v>
      </c>
      <c r="F958" t="s">
        <v>2850</v>
      </c>
      <c r="G958">
        <v>45</v>
      </c>
      <c r="H958">
        <v>238010</v>
      </c>
      <c r="I958" t="b">
        <v>0</v>
      </c>
      <c r="J958">
        <v>0.57599999999999996</v>
      </c>
      <c r="K958">
        <v>0.19600000000000001</v>
      </c>
      <c r="L958">
        <v>7</v>
      </c>
      <c r="M958">
        <v>-13.638999999999999</v>
      </c>
      <c r="N958">
        <v>1</v>
      </c>
      <c r="O958">
        <v>3.2199999999999999E-2</v>
      </c>
      <c r="P958">
        <v>0.86499999999999999</v>
      </c>
      <c r="Q958">
        <v>0</v>
      </c>
      <c r="R958">
        <v>0.11700000000000001</v>
      </c>
      <c r="S958">
        <v>0.502</v>
      </c>
      <c r="T958">
        <v>118.075</v>
      </c>
      <c r="U958">
        <v>4</v>
      </c>
      <c r="V958" t="s">
        <v>24</v>
      </c>
    </row>
    <row r="959" spans="3:22" x14ac:dyDescent="0.35">
      <c r="C959" t="s">
        <v>2851</v>
      </c>
      <c r="D959" t="s">
        <v>221</v>
      </c>
      <c r="E959" t="s">
        <v>2852</v>
      </c>
      <c r="F959" t="s">
        <v>2852</v>
      </c>
      <c r="G959">
        <v>40</v>
      </c>
      <c r="H959">
        <v>236100</v>
      </c>
      <c r="I959" t="b">
        <v>0</v>
      </c>
      <c r="J959">
        <v>0.52400000000000002</v>
      </c>
      <c r="K959">
        <v>0.76800000000000002</v>
      </c>
      <c r="L959">
        <v>7</v>
      </c>
      <c r="M959">
        <v>-7.8209999999999997</v>
      </c>
      <c r="N959">
        <v>1</v>
      </c>
      <c r="O959">
        <v>3.09E-2</v>
      </c>
      <c r="P959">
        <v>8.1600000000000006E-3</v>
      </c>
      <c r="Q959">
        <v>2.1299999999999999E-2</v>
      </c>
      <c r="R959">
        <v>6.6600000000000006E-2</v>
      </c>
      <c r="S959">
        <v>5.62E-2</v>
      </c>
      <c r="T959">
        <v>117.947</v>
      </c>
      <c r="U959">
        <v>4</v>
      </c>
      <c r="V959" t="s">
        <v>24</v>
      </c>
    </row>
    <row r="960" spans="3:22" x14ac:dyDescent="0.35">
      <c r="C960" t="s">
        <v>2853</v>
      </c>
      <c r="D960" t="s">
        <v>339</v>
      </c>
      <c r="E960" t="s">
        <v>1493</v>
      </c>
      <c r="F960" t="s">
        <v>1493</v>
      </c>
      <c r="G960">
        <v>51</v>
      </c>
      <c r="H960">
        <v>248483</v>
      </c>
      <c r="I960" t="b">
        <v>0</v>
      </c>
      <c r="J960">
        <v>0.45600000000000002</v>
      </c>
      <c r="K960">
        <v>0.28499999999999998</v>
      </c>
      <c r="L960">
        <v>0</v>
      </c>
      <c r="M960">
        <v>-7.9989999999999997</v>
      </c>
      <c r="N960">
        <v>1</v>
      </c>
      <c r="O960">
        <v>2.98E-2</v>
      </c>
      <c r="P960">
        <v>0.85599999999999998</v>
      </c>
      <c r="Q960" s="1" t="s">
        <v>2854</v>
      </c>
      <c r="R960">
        <v>0.192</v>
      </c>
      <c r="S960">
        <v>0.22800000000000001</v>
      </c>
      <c r="T960">
        <v>177.56100000000001</v>
      </c>
      <c r="U960">
        <v>3</v>
      </c>
      <c r="V960" t="s">
        <v>24</v>
      </c>
    </row>
    <row r="961" spans="3:22" x14ac:dyDescent="0.35">
      <c r="C961" t="s">
        <v>2855</v>
      </c>
      <c r="D961" t="s">
        <v>2856</v>
      </c>
      <c r="E961" t="s">
        <v>2857</v>
      </c>
      <c r="F961" t="s">
        <v>2858</v>
      </c>
      <c r="G961">
        <v>47</v>
      </c>
      <c r="H961">
        <v>72167</v>
      </c>
      <c r="I961" t="b">
        <v>0</v>
      </c>
      <c r="J961">
        <v>0.42599999999999999</v>
      </c>
      <c r="K961">
        <v>8.1199999999999994E-2</v>
      </c>
      <c r="L961">
        <v>4</v>
      </c>
      <c r="M961">
        <v>-21.651</v>
      </c>
      <c r="N961">
        <v>0</v>
      </c>
      <c r="O961">
        <v>8.43E-2</v>
      </c>
      <c r="P961">
        <v>0.94799999999999995</v>
      </c>
      <c r="Q961">
        <v>0.88900000000000001</v>
      </c>
      <c r="R961">
        <v>0.107</v>
      </c>
      <c r="S961">
        <v>0.24299999999999999</v>
      </c>
      <c r="T961">
        <v>85.203999999999994</v>
      </c>
      <c r="U961">
        <v>5</v>
      </c>
      <c r="V961" t="s">
        <v>24</v>
      </c>
    </row>
    <row r="962" spans="3:22" x14ac:dyDescent="0.35">
      <c r="C962" t="s">
        <v>2859</v>
      </c>
      <c r="D962" t="s">
        <v>2860</v>
      </c>
      <c r="E962" t="s">
        <v>2861</v>
      </c>
      <c r="F962" t="s">
        <v>2862</v>
      </c>
      <c r="G962">
        <v>46</v>
      </c>
      <c r="H962">
        <v>202348</v>
      </c>
      <c r="I962" t="b">
        <v>0</v>
      </c>
      <c r="J962">
        <v>0.53100000000000003</v>
      </c>
      <c r="K962">
        <v>0.5</v>
      </c>
      <c r="L962">
        <v>7</v>
      </c>
      <c r="M962">
        <v>-8.593</v>
      </c>
      <c r="N962">
        <v>1</v>
      </c>
      <c r="O962">
        <v>2.8199999999999999E-2</v>
      </c>
      <c r="P962">
        <v>0.53400000000000003</v>
      </c>
      <c r="Q962">
        <v>8.61E-4</v>
      </c>
      <c r="R962">
        <v>0.10100000000000001</v>
      </c>
      <c r="S962">
        <v>0.31900000000000001</v>
      </c>
      <c r="T962">
        <v>78.075999999999993</v>
      </c>
      <c r="U962">
        <v>4</v>
      </c>
      <c r="V962" t="s">
        <v>24</v>
      </c>
    </row>
    <row r="963" spans="3:22" x14ac:dyDescent="0.35">
      <c r="C963" t="s">
        <v>2863</v>
      </c>
      <c r="D963" t="s">
        <v>339</v>
      </c>
      <c r="E963" t="s">
        <v>736</v>
      </c>
      <c r="F963" t="s">
        <v>2864</v>
      </c>
      <c r="G963">
        <v>45</v>
      </c>
      <c r="H963">
        <v>247704</v>
      </c>
      <c r="I963" t="b">
        <v>0</v>
      </c>
      <c r="J963">
        <v>0.65500000000000003</v>
      </c>
      <c r="K963">
        <v>0.502</v>
      </c>
      <c r="L963">
        <v>8</v>
      </c>
      <c r="M963">
        <v>-7.9619999999999997</v>
      </c>
      <c r="N963">
        <v>1</v>
      </c>
      <c r="O963">
        <v>3.49E-2</v>
      </c>
      <c r="P963">
        <v>0.57899999999999996</v>
      </c>
      <c r="Q963">
        <v>0</v>
      </c>
      <c r="R963">
        <v>0.11700000000000001</v>
      </c>
      <c r="S963">
        <v>0.36799999999999999</v>
      </c>
      <c r="T963">
        <v>123.931</v>
      </c>
      <c r="U963">
        <v>4</v>
      </c>
      <c r="V963" t="s">
        <v>24</v>
      </c>
    </row>
    <row r="964" spans="3:22" x14ac:dyDescent="0.35">
      <c r="C964" t="s">
        <v>2865</v>
      </c>
      <c r="D964" t="s">
        <v>825</v>
      </c>
      <c r="E964" t="s">
        <v>2866</v>
      </c>
      <c r="F964" t="s">
        <v>2866</v>
      </c>
      <c r="G964">
        <v>55</v>
      </c>
      <c r="H964">
        <v>166943</v>
      </c>
      <c r="I964" t="b">
        <v>0</v>
      </c>
      <c r="J964">
        <v>0.64100000000000001</v>
      </c>
      <c r="K964">
        <v>0.14699999999999999</v>
      </c>
      <c r="L964">
        <v>11</v>
      </c>
      <c r="M964">
        <v>-14.811999999999999</v>
      </c>
      <c r="N964">
        <v>1</v>
      </c>
      <c r="O964">
        <v>3.3700000000000001E-2</v>
      </c>
      <c r="P964">
        <v>0.95399999999999996</v>
      </c>
      <c r="Q964" s="1" t="s">
        <v>2867</v>
      </c>
      <c r="R964">
        <v>0.111</v>
      </c>
      <c r="S964">
        <v>0.28699999999999998</v>
      </c>
      <c r="T964">
        <v>111.913</v>
      </c>
      <c r="U964">
        <v>4</v>
      </c>
      <c r="V964" t="s">
        <v>24</v>
      </c>
    </row>
    <row r="965" spans="3:22" x14ac:dyDescent="0.35">
      <c r="C965" t="s">
        <v>2868</v>
      </c>
      <c r="D965" t="s">
        <v>2609</v>
      </c>
      <c r="E965" t="s">
        <v>2869</v>
      </c>
      <c r="F965" t="s">
        <v>2870</v>
      </c>
      <c r="G965">
        <v>26</v>
      </c>
      <c r="H965">
        <v>326706</v>
      </c>
      <c r="I965" t="b">
        <v>0</v>
      </c>
      <c r="J965">
        <v>0.47399999999999998</v>
      </c>
      <c r="K965">
        <v>0.72699999999999998</v>
      </c>
      <c r="L965">
        <v>2</v>
      </c>
      <c r="M965">
        <v>-5.8920000000000003</v>
      </c>
      <c r="N965">
        <v>1</v>
      </c>
      <c r="O965">
        <v>3.2899999999999999E-2</v>
      </c>
      <c r="P965">
        <v>0.123</v>
      </c>
      <c r="Q965" s="1" t="s">
        <v>2871</v>
      </c>
      <c r="R965">
        <v>0.24399999999999999</v>
      </c>
      <c r="S965">
        <v>0.83</v>
      </c>
      <c r="T965">
        <v>79.632999999999996</v>
      </c>
      <c r="U965">
        <v>4</v>
      </c>
      <c r="V965" t="s">
        <v>24</v>
      </c>
    </row>
    <row r="966" spans="3:22" x14ac:dyDescent="0.35">
      <c r="C966" t="s">
        <v>2872</v>
      </c>
      <c r="D966" t="s">
        <v>2308</v>
      </c>
      <c r="E966" t="s">
        <v>2873</v>
      </c>
      <c r="F966" t="s">
        <v>2874</v>
      </c>
      <c r="G966">
        <v>48</v>
      </c>
      <c r="H966">
        <v>233306</v>
      </c>
      <c r="I966" t="b">
        <v>0</v>
      </c>
      <c r="J966">
        <v>0.61699999999999999</v>
      </c>
      <c r="K966">
        <v>0.31900000000000001</v>
      </c>
      <c r="L966">
        <v>2</v>
      </c>
      <c r="M966">
        <v>-8.4450000000000003</v>
      </c>
      <c r="N966">
        <v>1</v>
      </c>
      <c r="O966">
        <v>2.9000000000000001E-2</v>
      </c>
      <c r="P966">
        <v>0.60899999999999999</v>
      </c>
      <c r="Q966">
        <v>0</v>
      </c>
      <c r="R966">
        <v>0.122</v>
      </c>
      <c r="S966">
        <v>0.32400000000000001</v>
      </c>
      <c r="T966">
        <v>133.821</v>
      </c>
      <c r="U966">
        <v>4</v>
      </c>
      <c r="V966" t="s">
        <v>24</v>
      </c>
    </row>
    <row r="967" spans="3:22" x14ac:dyDescent="0.35">
      <c r="C967" t="s">
        <v>2875</v>
      </c>
      <c r="D967" t="s">
        <v>2438</v>
      </c>
      <c r="E967" t="s">
        <v>2876</v>
      </c>
      <c r="F967" t="s">
        <v>2876</v>
      </c>
      <c r="G967">
        <v>26</v>
      </c>
      <c r="H967">
        <v>273480</v>
      </c>
      <c r="I967" t="b">
        <v>0</v>
      </c>
      <c r="J967">
        <v>0.33300000000000002</v>
      </c>
      <c r="K967">
        <v>0.26600000000000001</v>
      </c>
      <c r="L967">
        <v>8</v>
      </c>
      <c r="M967">
        <v>-6.42</v>
      </c>
      <c r="N967">
        <v>1</v>
      </c>
      <c r="O967">
        <v>3.1800000000000002E-2</v>
      </c>
      <c r="P967">
        <v>0.95099999999999996</v>
      </c>
      <c r="Q967" s="1" t="s">
        <v>2877</v>
      </c>
      <c r="R967">
        <v>0.108</v>
      </c>
      <c r="S967">
        <v>0.33</v>
      </c>
      <c r="T967">
        <v>129.249</v>
      </c>
      <c r="U967">
        <v>4</v>
      </c>
      <c r="V967" t="s">
        <v>24</v>
      </c>
    </row>
    <row r="968" spans="3:22" x14ac:dyDescent="0.35">
      <c r="C968" t="s">
        <v>2878</v>
      </c>
      <c r="D968" t="s">
        <v>948</v>
      </c>
      <c r="E968" t="s">
        <v>949</v>
      </c>
      <c r="F968" t="s">
        <v>2879</v>
      </c>
      <c r="G968">
        <v>45</v>
      </c>
      <c r="H968">
        <v>206653</v>
      </c>
      <c r="I968" t="b">
        <v>0</v>
      </c>
      <c r="J968">
        <v>0.54300000000000004</v>
      </c>
      <c r="K968">
        <v>0.63800000000000001</v>
      </c>
      <c r="L968">
        <v>7</v>
      </c>
      <c r="M968">
        <v>-6.875</v>
      </c>
      <c r="N968">
        <v>1</v>
      </c>
      <c r="O968">
        <v>2.58E-2</v>
      </c>
      <c r="P968">
        <v>0.10299999999999999</v>
      </c>
      <c r="Q968">
        <v>2.32E-4</v>
      </c>
      <c r="R968">
        <v>0.13200000000000001</v>
      </c>
      <c r="S968">
        <v>0.48099999999999998</v>
      </c>
      <c r="T968">
        <v>102.71899999999999</v>
      </c>
      <c r="U968">
        <v>4</v>
      </c>
      <c r="V968" t="s">
        <v>24</v>
      </c>
    </row>
    <row r="969" spans="3:22" x14ac:dyDescent="0.35">
      <c r="C969" t="s">
        <v>2880</v>
      </c>
      <c r="D969" t="s">
        <v>991</v>
      </c>
      <c r="E969" t="s">
        <v>2881</v>
      </c>
      <c r="F969" t="s">
        <v>2882</v>
      </c>
      <c r="G969">
        <v>27</v>
      </c>
      <c r="H969">
        <v>263266</v>
      </c>
      <c r="I969" t="b">
        <v>0</v>
      </c>
      <c r="J969">
        <v>0.61499999999999999</v>
      </c>
      <c r="K969">
        <v>0.54500000000000004</v>
      </c>
      <c r="L969">
        <v>7</v>
      </c>
      <c r="M969">
        <v>-12.571999999999999</v>
      </c>
      <c r="N969">
        <v>1</v>
      </c>
      <c r="O969">
        <v>2.6800000000000001E-2</v>
      </c>
      <c r="P969">
        <v>0.38300000000000001</v>
      </c>
      <c r="Q969" s="1" t="s">
        <v>2883</v>
      </c>
      <c r="R969">
        <v>0.16</v>
      </c>
      <c r="S969">
        <v>0.47</v>
      </c>
      <c r="T969">
        <v>110.33499999999999</v>
      </c>
      <c r="U969">
        <v>3</v>
      </c>
      <c r="V969" t="s">
        <v>24</v>
      </c>
    </row>
    <row r="970" spans="3:22" x14ac:dyDescent="0.35">
      <c r="C970" t="s">
        <v>2884</v>
      </c>
      <c r="D970" t="s">
        <v>2885</v>
      </c>
      <c r="E970" t="s">
        <v>2886</v>
      </c>
      <c r="F970" t="s">
        <v>2886</v>
      </c>
      <c r="G970">
        <v>54</v>
      </c>
      <c r="H970">
        <v>186109</v>
      </c>
      <c r="I970" t="b">
        <v>0</v>
      </c>
      <c r="J970">
        <v>0.65500000000000003</v>
      </c>
      <c r="K970">
        <v>0.68600000000000005</v>
      </c>
      <c r="L970">
        <v>7</v>
      </c>
      <c r="M970">
        <v>-5.7009999999999996</v>
      </c>
      <c r="N970">
        <v>1</v>
      </c>
      <c r="O970">
        <v>2.8000000000000001E-2</v>
      </c>
      <c r="P970">
        <v>0.371</v>
      </c>
      <c r="Q970" s="1" t="s">
        <v>2887</v>
      </c>
      <c r="R970">
        <v>0.113</v>
      </c>
      <c r="S970">
        <v>0.54400000000000004</v>
      </c>
      <c r="T970">
        <v>112.974</v>
      </c>
      <c r="U970">
        <v>4</v>
      </c>
      <c r="V970" t="s">
        <v>24</v>
      </c>
    </row>
    <row r="971" spans="3:22" x14ac:dyDescent="0.35">
      <c r="C971" t="s">
        <v>2888</v>
      </c>
      <c r="D971" t="s">
        <v>2421</v>
      </c>
      <c r="E971" t="s">
        <v>2889</v>
      </c>
      <c r="F971" t="s">
        <v>2890</v>
      </c>
      <c r="G971">
        <v>37</v>
      </c>
      <c r="H971">
        <v>191506</v>
      </c>
      <c r="I971" t="b">
        <v>0</v>
      </c>
      <c r="J971">
        <v>0.49099999999999999</v>
      </c>
      <c r="K971">
        <v>0.185</v>
      </c>
      <c r="L971">
        <v>11</v>
      </c>
      <c r="M971">
        <v>-18.994</v>
      </c>
      <c r="N971">
        <v>1</v>
      </c>
      <c r="O971">
        <v>4.5199999999999997E-2</v>
      </c>
      <c r="P971">
        <v>0.94699999999999995</v>
      </c>
      <c r="Q971">
        <v>0.92900000000000005</v>
      </c>
      <c r="R971">
        <v>0.19500000000000001</v>
      </c>
      <c r="S971">
        <v>0.67400000000000004</v>
      </c>
      <c r="T971">
        <v>90.465000000000003</v>
      </c>
      <c r="U971">
        <v>4</v>
      </c>
      <c r="V971" t="s">
        <v>24</v>
      </c>
    </row>
    <row r="972" spans="3:22" x14ac:dyDescent="0.35">
      <c r="C972" t="s">
        <v>2891</v>
      </c>
      <c r="D972" t="s">
        <v>2892</v>
      </c>
      <c r="E972" t="s">
        <v>2893</v>
      </c>
      <c r="F972" t="s">
        <v>2894</v>
      </c>
      <c r="G972">
        <v>50</v>
      </c>
      <c r="H972">
        <v>221786</v>
      </c>
      <c r="I972" t="b">
        <v>0</v>
      </c>
      <c r="J972">
        <v>0.21299999999999999</v>
      </c>
      <c r="K972">
        <v>0.185</v>
      </c>
      <c r="L972">
        <v>4</v>
      </c>
      <c r="M972">
        <v>-10.929</v>
      </c>
      <c r="N972">
        <v>0</v>
      </c>
      <c r="O972">
        <v>3.27E-2</v>
      </c>
      <c r="P972">
        <v>0.75700000000000001</v>
      </c>
      <c r="Q972" s="1" t="s">
        <v>2895</v>
      </c>
      <c r="R972">
        <v>0.111</v>
      </c>
      <c r="S972">
        <v>0.182</v>
      </c>
      <c r="T972">
        <v>72.843999999999994</v>
      </c>
      <c r="U972">
        <v>5</v>
      </c>
      <c r="V972" t="s">
        <v>24</v>
      </c>
    </row>
    <row r="973" spans="3:22" x14ac:dyDescent="0.35">
      <c r="C973" t="s">
        <v>2896</v>
      </c>
      <c r="D973" t="s">
        <v>991</v>
      </c>
      <c r="E973" t="s">
        <v>2897</v>
      </c>
      <c r="F973" t="s">
        <v>2898</v>
      </c>
      <c r="G973">
        <v>27</v>
      </c>
      <c r="H973">
        <v>238866</v>
      </c>
      <c r="I973" t="b">
        <v>0</v>
      </c>
      <c r="J973">
        <v>0.34499999999999997</v>
      </c>
      <c r="K973">
        <v>0.91900000000000004</v>
      </c>
      <c r="L973">
        <v>2</v>
      </c>
      <c r="M973">
        <v>-8.1539999999999999</v>
      </c>
      <c r="N973">
        <v>1</v>
      </c>
      <c r="O973">
        <v>7.51E-2</v>
      </c>
      <c r="P973">
        <v>0.189</v>
      </c>
      <c r="Q973">
        <v>0</v>
      </c>
      <c r="R973">
        <v>0.17</v>
      </c>
      <c r="S973">
        <v>0.40699999999999997</v>
      </c>
      <c r="T973">
        <v>174.14699999999999</v>
      </c>
      <c r="U973">
        <v>4</v>
      </c>
      <c r="V973" t="s">
        <v>24</v>
      </c>
    </row>
    <row r="974" spans="3:22" x14ac:dyDescent="0.35">
      <c r="C974" t="s">
        <v>2899</v>
      </c>
      <c r="D974" t="s">
        <v>96</v>
      </c>
      <c r="E974" t="s">
        <v>986</v>
      </c>
      <c r="F974" t="s">
        <v>2127</v>
      </c>
      <c r="G974">
        <v>52</v>
      </c>
      <c r="H974">
        <v>213900</v>
      </c>
      <c r="I974" t="b">
        <v>0</v>
      </c>
      <c r="J974">
        <v>0.64900000000000002</v>
      </c>
      <c r="K974">
        <v>0.33600000000000002</v>
      </c>
      <c r="L974">
        <v>7</v>
      </c>
      <c r="M974">
        <v>-6.8230000000000004</v>
      </c>
      <c r="N974">
        <v>1</v>
      </c>
      <c r="O974">
        <v>3.2199999999999999E-2</v>
      </c>
      <c r="P974">
        <v>0.78200000000000003</v>
      </c>
      <c r="Q974">
        <v>0</v>
      </c>
      <c r="R974">
        <v>9.4200000000000006E-2</v>
      </c>
      <c r="S974">
        <v>0.33700000000000002</v>
      </c>
      <c r="T974">
        <v>95.988</v>
      </c>
      <c r="U974">
        <v>4</v>
      </c>
      <c r="V974" t="s">
        <v>24</v>
      </c>
    </row>
    <row r="975" spans="3:22" x14ac:dyDescent="0.35">
      <c r="C975" t="s">
        <v>2900</v>
      </c>
      <c r="D975" t="s">
        <v>2806</v>
      </c>
      <c r="E975" t="s">
        <v>2155</v>
      </c>
      <c r="F975" t="s">
        <v>2901</v>
      </c>
      <c r="G975">
        <v>51</v>
      </c>
      <c r="H975">
        <v>136470</v>
      </c>
      <c r="I975" t="b">
        <v>0</v>
      </c>
      <c r="J975">
        <v>0.39200000000000002</v>
      </c>
      <c r="K975">
        <v>0.253</v>
      </c>
      <c r="L975">
        <v>8</v>
      </c>
      <c r="M975">
        <v>-6.5629999999999997</v>
      </c>
      <c r="N975">
        <v>0</v>
      </c>
      <c r="O975">
        <v>3.5400000000000001E-2</v>
      </c>
      <c r="P975">
        <v>0.746</v>
      </c>
      <c r="Q975">
        <v>0</v>
      </c>
      <c r="R975">
        <v>0.32100000000000001</v>
      </c>
      <c r="S975">
        <v>0.36799999999999999</v>
      </c>
      <c r="T975">
        <v>203.571</v>
      </c>
      <c r="U975">
        <v>4</v>
      </c>
      <c r="V975" t="s">
        <v>24</v>
      </c>
    </row>
    <row r="976" spans="3:22" x14ac:dyDescent="0.35">
      <c r="C976" t="s">
        <v>2902</v>
      </c>
      <c r="D976" t="s">
        <v>1202</v>
      </c>
      <c r="E976" t="s">
        <v>2903</v>
      </c>
      <c r="F976" t="s">
        <v>2904</v>
      </c>
      <c r="G976">
        <v>25</v>
      </c>
      <c r="H976">
        <v>372600</v>
      </c>
      <c r="I976" t="b">
        <v>0</v>
      </c>
      <c r="J976">
        <v>0.54200000000000004</v>
      </c>
      <c r="K976">
        <v>3.2500000000000001E-2</v>
      </c>
      <c r="L976">
        <v>11</v>
      </c>
      <c r="M976">
        <v>-18.346</v>
      </c>
      <c r="N976">
        <v>1</v>
      </c>
      <c r="O976">
        <v>4.5199999999999997E-2</v>
      </c>
      <c r="P976">
        <v>0.96399999999999997</v>
      </c>
      <c r="Q976">
        <v>8.5499999999999997E-4</v>
      </c>
      <c r="R976">
        <v>0.105</v>
      </c>
      <c r="S976">
        <v>0.28799999999999998</v>
      </c>
      <c r="T976">
        <v>131.935</v>
      </c>
      <c r="U976">
        <v>4</v>
      </c>
      <c r="V976" t="s">
        <v>24</v>
      </c>
    </row>
    <row r="977" spans="3:22" x14ac:dyDescent="0.35">
      <c r="C977" t="s">
        <v>2905</v>
      </c>
      <c r="D977" t="s">
        <v>1890</v>
      </c>
      <c r="E977" t="s">
        <v>2906</v>
      </c>
      <c r="F977" t="s">
        <v>2907</v>
      </c>
      <c r="G977">
        <v>26</v>
      </c>
      <c r="H977">
        <v>260893</v>
      </c>
      <c r="I977" t="b">
        <v>0</v>
      </c>
      <c r="J977">
        <v>0.76200000000000001</v>
      </c>
      <c r="K977">
        <v>0.80500000000000005</v>
      </c>
      <c r="L977">
        <v>2</v>
      </c>
      <c r="M977">
        <v>-4.6959999999999997</v>
      </c>
      <c r="N977">
        <v>0</v>
      </c>
      <c r="O977">
        <v>3.5799999999999998E-2</v>
      </c>
      <c r="P977">
        <v>0.28299999999999997</v>
      </c>
      <c r="Q977">
        <v>0</v>
      </c>
      <c r="R977">
        <v>0.106</v>
      </c>
      <c r="S977">
        <v>0.96299999999999997</v>
      </c>
      <c r="T977">
        <v>116.14100000000001</v>
      </c>
      <c r="U977">
        <v>4</v>
      </c>
      <c r="V977" t="s">
        <v>24</v>
      </c>
    </row>
    <row r="978" spans="3:22" x14ac:dyDescent="0.35">
      <c r="C978" t="s">
        <v>2908</v>
      </c>
      <c r="D978" t="s">
        <v>1736</v>
      </c>
      <c r="E978" t="s">
        <v>2909</v>
      </c>
      <c r="F978" t="s">
        <v>2910</v>
      </c>
      <c r="G978">
        <v>26</v>
      </c>
      <c r="H978">
        <v>235000</v>
      </c>
      <c r="I978" t="b">
        <v>0</v>
      </c>
      <c r="J978">
        <v>0.64400000000000002</v>
      </c>
      <c r="K978">
        <v>0.72299999999999998</v>
      </c>
      <c r="L978">
        <v>1</v>
      </c>
      <c r="M978">
        <v>-4.9539999999999997</v>
      </c>
      <c r="N978">
        <v>1</v>
      </c>
      <c r="O978">
        <v>2.8799999999999999E-2</v>
      </c>
      <c r="P978">
        <v>0.16</v>
      </c>
      <c r="Q978">
        <v>0</v>
      </c>
      <c r="R978">
        <v>0.13</v>
      </c>
      <c r="S978">
        <v>0.625</v>
      </c>
      <c r="T978">
        <v>105.96899999999999</v>
      </c>
      <c r="U978">
        <v>4</v>
      </c>
      <c r="V978" t="s">
        <v>24</v>
      </c>
    </row>
    <row r="979" spans="3:22" x14ac:dyDescent="0.35">
      <c r="C979" t="s">
        <v>2911</v>
      </c>
      <c r="D979" t="s">
        <v>2912</v>
      </c>
      <c r="E979" t="s">
        <v>2913</v>
      </c>
      <c r="F979" t="s">
        <v>2914</v>
      </c>
      <c r="G979">
        <v>38</v>
      </c>
      <c r="H979">
        <v>273026</v>
      </c>
      <c r="I979" t="b">
        <v>0</v>
      </c>
      <c r="J979">
        <v>0.48799999999999999</v>
      </c>
      <c r="K979">
        <v>0.29399999999999998</v>
      </c>
      <c r="L979">
        <v>6</v>
      </c>
      <c r="M979">
        <v>-14.717000000000001</v>
      </c>
      <c r="N979">
        <v>0</v>
      </c>
      <c r="O979">
        <v>2.6100000000000002E-2</v>
      </c>
      <c r="P979">
        <v>0.91700000000000004</v>
      </c>
      <c r="Q979">
        <v>0.84099999999999997</v>
      </c>
      <c r="R979">
        <v>8.7599999999999997E-2</v>
      </c>
      <c r="S979">
        <v>0.26</v>
      </c>
      <c r="T979">
        <v>76.647000000000006</v>
      </c>
      <c r="U979">
        <v>3</v>
      </c>
      <c r="V979" t="s">
        <v>24</v>
      </c>
    </row>
    <row r="980" spans="3:22" x14ac:dyDescent="0.35">
      <c r="C980" t="s">
        <v>2915</v>
      </c>
      <c r="D980" t="s">
        <v>2777</v>
      </c>
      <c r="E980" t="s">
        <v>2916</v>
      </c>
      <c r="F980" t="s">
        <v>2916</v>
      </c>
      <c r="G980">
        <v>25</v>
      </c>
      <c r="H980">
        <v>344514</v>
      </c>
      <c r="I980" t="b">
        <v>0</v>
      </c>
      <c r="J980">
        <v>0.70399999999999996</v>
      </c>
      <c r="K980">
        <v>0.48799999999999999</v>
      </c>
      <c r="L980">
        <v>10</v>
      </c>
      <c r="M980">
        <v>-7.89</v>
      </c>
      <c r="N980">
        <v>0</v>
      </c>
      <c r="O980">
        <v>3.9E-2</v>
      </c>
      <c r="P980">
        <v>0.56000000000000005</v>
      </c>
      <c r="Q980" s="1" t="s">
        <v>2416</v>
      </c>
      <c r="R980">
        <v>8.1100000000000005E-2</v>
      </c>
      <c r="S980">
        <v>0.745</v>
      </c>
      <c r="T980">
        <v>179.76</v>
      </c>
      <c r="U980">
        <v>3</v>
      </c>
      <c r="V980" t="s">
        <v>24</v>
      </c>
    </row>
    <row r="981" spans="3:22" x14ac:dyDescent="0.35">
      <c r="C981" t="s">
        <v>2917</v>
      </c>
      <c r="D981" t="s">
        <v>1510</v>
      </c>
      <c r="E981" t="s">
        <v>1510</v>
      </c>
      <c r="F981" t="s">
        <v>2918</v>
      </c>
      <c r="G981">
        <v>47</v>
      </c>
      <c r="H981">
        <v>236840</v>
      </c>
      <c r="I981" t="b">
        <v>0</v>
      </c>
      <c r="J981">
        <v>0.36899999999999999</v>
      </c>
      <c r="K981">
        <v>0.31900000000000001</v>
      </c>
      <c r="L981">
        <v>2</v>
      </c>
      <c r="M981">
        <v>-12.087999999999999</v>
      </c>
      <c r="N981">
        <v>1</v>
      </c>
      <c r="O981">
        <v>2.8799999999999999E-2</v>
      </c>
      <c r="P981">
        <v>0.752</v>
      </c>
      <c r="Q981">
        <v>8.3699999999999996E-4</v>
      </c>
      <c r="R981">
        <v>0.154</v>
      </c>
      <c r="S981">
        <v>0.47599999999999998</v>
      </c>
      <c r="T981">
        <v>160.35900000000001</v>
      </c>
      <c r="U981">
        <v>4</v>
      </c>
      <c r="V981" t="s">
        <v>24</v>
      </c>
    </row>
    <row r="982" spans="3:22" x14ac:dyDescent="0.35">
      <c r="C982" t="s">
        <v>2919</v>
      </c>
      <c r="D982" t="s">
        <v>1202</v>
      </c>
      <c r="E982" t="s">
        <v>2903</v>
      </c>
      <c r="F982" t="s">
        <v>2920</v>
      </c>
      <c r="G982">
        <v>25</v>
      </c>
      <c r="H982">
        <v>305866</v>
      </c>
      <c r="I982" t="b">
        <v>0</v>
      </c>
      <c r="J982">
        <v>0.56799999999999995</v>
      </c>
      <c r="K982">
        <v>0.24</v>
      </c>
      <c r="L982">
        <v>7</v>
      </c>
      <c r="M982">
        <v>-13.851000000000001</v>
      </c>
      <c r="N982">
        <v>1</v>
      </c>
      <c r="O982">
        <v>2.92E-2</v>
      </c>
      <c r="P982">
        <v>0.90200000000000002</v>
      </c>
      <c r="Q982">
        <v>9.9000000000000005E-2</v>
      </c>
      <c r="R982">
        <v>0.111</v>
      </c>
      <c r="S982">
        <v>0.50800000000000001</v>
      </c>
      <c r="T982">
        <v>94.933000000000007</v>
      </c>
      <c r="U982">
        <v>4</v>
      </c>
      <c r="V982" t="s">
        <v>24</v>
      </c>
    </row>
    <row r="983" spans="3:22" x14ac:dyDescent="0.35">
      <c r="C983" t="s">
        <v>2921</v>
      </c>
      <c r="D983" t="s">
        <v>2922</v>
      </c>
      <c r="E983" t="s">
        <v>2923</v>
      </c>
      <c r="F983" t="s">
        <v>2923</v>
      </c>
      <c r="G983">
        <v>26</v>
      </c>
      <c r="H983">
        <v>216584</v>
      </c>
      <c r="I983" t="b">
        <v>0</v>
      </c>
      <c r="J983">
        <v>0.48299999999999998</v>
      </c>
      <c r="K983">
        <v>0.219</v>
      </c>
      <c r="L983">
        <v>0</v>
      </c>
      <c r="M983">
        <v>-13.27</v>
      </c>
      <c r="N983">
        <v>1</v>
      </c>
      <c r="O983">
        <v>4.82E-2</v>
      </c>
      <c r="P983">
        <v>0.97199999999999998</v>
      </c>
      <c r="Q983">
        <v>0</v>
      </c>
      <c r="R983">
        <v>0.11600000000000001</v>
      </c>
      <c r="S983">
        <v>0.64100000000000001</v>
      </c>
      <c r="T983">
        <v>149.58099999999999</v>
      </c>
      <c r="U983">
        <v>4</v>
      </c>
      <c r="V983" t="s">
        <v>24</v>
      </c>
    </row>
    <row r="984" spans="3:22" x14ac:dyDescent="0.35">
      <c r="C984" t="s">
        <v>2924</v>
      </c>
      <c r="D984" t="s">
        <v>1047</v>
      </c>
      <c r="E984" t="s">
        <v>1048</v>
      </c>
      <c r="F984" t="s">
        <v>2925</v>
      </c>
      <c r="G984">
        <v>25</v>
      </c>
      <c r="H984">
        <v>257054</v>
      </c>
      <c r="I984" t="b">
        <v>0</v>
      </c>
      <c r="J984">
        <v>0.41899999999999998</v>
      </c>
      <c r="K984">
        <v>0.85499999999999998</v>
      </c>
      <c r="L984">
        <v>0</v>
      </c>
      <c r="M984">
        <v>-4.782</v>
      </c>
      <c r="N984">
        <v>1</v>
      </c>
      <c r="O984">
        <v>3.27E-2</v>
      </c>
      <c r="P984" s="1" t="s">
        <v>2926</v>
      </c>
      <c r="Q984">
        <v>0</v>
      </c>
      <c r="R984">
        <v>0.27200000000000002</v>
      </c>
      <c r="S984">
        <v>0.26100000000000001</v>
      </c>
      <c r="T984">
        <v>154.09800000000001</v>
      </c>
      <c r="U984">
        <v>4</v>
      </c>
      <c r="V984" t="s">
        <v>24</v>
      </c>
    </row>
    <row r="985" spans="3:22" x14ac:dyDescent="0.35">
      <c r="C985" t="s">
        <v>2927</v>
      </c>
      <c r="D985" t="s">
        <v>2928</v>
      </c>
      <c r="E985" t="s">
        <v>2929</v>
      </c>
      <c r="F985" t="s">
        <v>2929</v>
      </c>
      <c r="G985">
        <v>25</v>
      </c>
      <c r="H985">
        <v>167999</v>
      </c>
      <c r="I985" t="b">
        <v>0</v>
      </c>
      <c r="J985">
        <v>0.56599999999999995</v>
      </c>
      <c r="K985">
        <v>0.83499999999999996</v>
      </c>
      <c r="L985">
        <v>7</v>
      </c>
      <c r="M985">
        <v>-7.9850000000000003</v>
      </c>
      <c r="N985">
        <v>1</v>
      </c>
      <c r="O985">
        <v>3.7699999999999997E-2</v>
      </c>
      <c r="P985">
        <v>1.67E-2</v>
      </c>
      <c r="Q985">
        <v>3.2599999999999997E-2</v>
      </c>
      <c r="R985">
        <v>0.17199999999999999</v>
      </c>
      <c r="S985">
        <v>0.54900000000000004</v>
      </c>
      <c r="T985">
        <v>95.009</v>
      </c>
      <c r="U985">
        <v>4</v>
      </c>
      <c r="V985" t="s">
        <v>24</v>
      </c>
    </row>
    <row r="986" spans="3:22" x14ac:dyDescent="0.35">
      <c r="C986" t="s">
        <v>2930</v>
      </c>
      <c r="D986" t="s">
        <v>1890</v>
      </c>
      <c r="E986" t="s">
        <v>1891</v>
      </c>
      <c r="F986" t="s">
        <v>2931</v>
      </c>
      <c r="G986">
        <v>26</v>
      </c>
      <c r="H986">
        <v>220213</v>
      </c>
      <c r="I986" t="b">
        <v>0</v>
      </c>
      <c r="J986">
        <v>0.63300000000000001</v>
      </c>
      <c r="K986">
        <v>0.64700000000000002</v>
      </c>
      <c r="L986">
        <v>4</v>
      </c>
      <c r="M986">
        <v>-6.3479999999999999</v>
      </c>
      <c r="N986">
        <v>0</v>
      </c>
      <c r="O986">
        <v>3.1800000000000002E-2</v>
      </c>
      <c r="P986">
        <v>0.13300000000000001</v>
      </c>
      <c r="Q986">
        <v>2.1000000000000001E-4</v>
      </c>
      <c r="R986">
        <v>8.5800000000000001E-2</v>
      </c>
      <c r="S986">
        <v>0.77500000000000002</v>
      </c>
      <c r="T986">
        <v>150.80500000000001</v>
      </c>
      <c r="U986">
        <v>4</v>
      </c>
      <c r="V986" t="s">
        <v>24</v>
      </c>
    </row>
    <row r="987" spans="3:22" x14ac:dyDescent="0.35">
      <c r="C987" t="s">
        <v>2932</v>
      </c>
      <c r="D987" t="s">
        <v>2244</v>
      </c>
      <c r="E987" t="s">
        <v>2321</v>
      </c>
      <c r="F987" t="s">
        <v>2245</v>
      </c>
      <c r="G987">
        <v>25</v>
      </c>
      <c r="H987">
        <v>244821</v>
      </c>
      <c r="I987" t="b">
        <v>0</v>
      </c>
      <c r="J987">
        <v>0.66200000000000003</v>
      </c>
      <c r="K987">
        <v>0.26800000000000002</v>
      </c>
      <c r="L987">
        <v>10</v>
      </c>
      <c r="M987">
        <v>-7.3940000000000001</v>
      </c>
      <c r="N987">
        <v>1</v>
      </c>
      <c r="O987">
        <v>3.5799999999999998E-2</v>
      </c>
      <c r="P987">
        <v>0.85799999999999998</v>
      </c>
      <c r="Q987">
        <v>0</v>
      </c>
      <c r="R987">
        <v>0.11</v>
      </c>
      <c r="S987">
        <v>0.39400000000000002</v>
      </c>
      <c r="T987">
        <v>111.59399999999999</v>
      </c>
      <c r="U987">
        <v>4</v>
      </c>
      <c r="V987" t="s">
        <v>24</v>
      </c>
    </row>
    <row r="988" spans="3:22" x14ac:dyDescent="0.35">
      <c r="C988" t="s">
        <v>2933</v>
      </c>
      <c r="D988" t="s">
        <v>1805</v>
      </c>
      <c r="E988" t="s">
        <v>1806</v>
      </c>
      <c r="F988" t="s">
        <v>2934</v>
      </c>
      <c r="G988">
        <v>25</v>
      </c>
      <c r="H988">
        <v>226320</v>
      </c>
      <c r="I988" t="b">
        <v>0</v>
      </c>
      <c r="J988">
        <v>0.39100000000000001</v>
      </c>
      <c r="K988">
        <v>0.32200000000000001</v>
      </c>
      <c r="L988">
        <v>2</v>
      </c>
      <c r="M988">
        <v>-10.845000000000001</v>
      </c>
      <c r="N988">
        <v>1</v>
      </c>
      <c r="O988">
        <v>3.2199999999999999E-2</v>
      </c>
      <c r="P988">
        <v>0.88</v>
      </c>
      <c r="Q988">
        <v>0</v>
      </c>
      <c r="R988">
        <v>0.11799999999999999</v>
      </c>
      <c r="S988">
        <v>0.27800000000000002</v>
      </c>
      <c r="T988">
        <v>180.048</v>
      </c>
      <c r="U988">
        <v>4</v>
      </c>
      <c r="V988" t="s">
        <v>24</v>
      </c>
    </row>
    <row r="989" spans="3:22" x14ac:dyDescent="0.35">
      <c r="C989" t="s">
        <v>2935</v>
      </c>
      <c r="D989" t="s">
        <v>1522</v>
      </c>
      <c r="E989" t="s">
        <v>2677</v>
      </c>
      <c r="F989" t="s">
        <v>2936</v>
      </c>
      <c r="G989">
        <v>26</v>
      </c>
      <c r="H989">
        <v>191552</v>
      </c>
      <c r="I989" t="b">
        <v>1</v>
      </c>
      <c r="J989">
        <v>0.44800000000000001</v>
      </c>
      <c r="K989">
        <v>0.82099999999999995</v>
      </c>
      <c r="L989">
        <v>7</v>
      </c>
      <c r="M989">
        <v>-6.4050000000000002</v>
      </c>
      <c r="N989">
        <v>1</v>
      </c>
      <c r="O989">
        <v>3.2800000000000003E-2</v>
      </c>
      <c r="P989">
        <v>0.56599999999999995</v>
      </c>
      <c r="Q989">
        <v>0</v>
      </c>
      <c r="R989">
        <v>0.33900000000000002</v>
      </c>
      <c r="S989">
        <v>0.61799999999999999</v>
      </c>
      <c r="T989">
        <v>104.687</v>
      </c>
      <c r="U989">
        <v>4</v>
      </c>
      <c r="V989" t="s">
        <v>24</v>
      </c>
    </row>
    <row r="990" spans="3:22" x14ac:dyDescent="0.35">
      <c r="C990" t="s">
        <v>2937</v>
      </c>
      <c r="D990" t="s">
        <v>2938</v>
      </c>
      <c r="E990" t="s">
        <v>2939</v>
      </c>
      <c r="F990" t="s">
        <v>2940</v>
      </c>
      <c r="G990">
        <v>26</v>
      </c>
      <c r="H990">
        <v>153342</v>
      </c>
      <c r="I990" t="b">
        <v>1</v>
      </c>
      <c r="J990">
        <v>0.30099999999999999</v>
      </c>
      <c r="K990">
        <v>0.55200000000000005</v>
      </c>
      <c r="L990">
        <v>7</v>
      </c>
      <c r="M990">
        <v>-7.19</v>
      </c>
      <c r="N990">
        <v>0</v>
      </c>
      <c r="O990">
        <v>4.9500000000000002E-2</v>
      </c>
      <c r="P990">
        <v>0.161</v>
      </c>
      <c r="Q990">
        <v>0</v>
      </c>
      <c r="R990">
        <v>0.14299999999999999</v>
      </c>
      <c r="S990">
        <v>0.76100000000000001</v>
      </c>
      <c r="T990">
        <v>166.40600000000001</v>
      </c>
      <c r="U990">
        <v>4</v>
      </c>
      <c r="V990" t="s">
        <v>24</v>
      </c>
    </row>
    <row r="991" spans="3:22" x14ac:dyDescent="0.35">
      <c r="C991" t="s">
        <v>2941</v>
      </c>
      <c r="D991" t="s">
        <v>1073</v>
      </c>
      <c r="E991" t="s">
        <v>2530</v>
      </c>
      <c r="F991" t="s">
        <v>2530</v>
      </c>
      <c r="G991">
        <v>25</v>
      </c>
      <c r="H991">
        <v>240866</v>
      </c>
      <c r="I991" t="b">
        <v>0</v>
      </c>
      <c r="J991">
        <v>0.52400000000000002</v>
      </c>
      <c r="K991">
        <v>0.57799999999999996</v>
      </c>
      <c r="L991">
        <v>7</v>
      </c>
      <c r="M991">
        <v>-5.9740000000000002</v>
      </c>
      <c r="N991">
        <v>1</v>
      </c>
      <c r="O991">
        <v>2.6700000000000002E-2</v>
      </c>
      <c r="P991">
        <v>9.7099999999999997E-4</v>
      </c>
      <c r="Q991" s="1" t="s">
        <v>2531</v>
      </c>
      <c r="R991">
        <v>0.32600000000000001</v>
      </c>
      <c r="S991">
        <v>0.28999999999999998</v>
      </c>
      <c r="T991">
        <v>75.031999999999996</v>
      </c>
      <c r="U991">
        <v>4</v>
      </c>
      <c r="V991" t="s">
        <v>24</v>
      </c>
    </row>
    <row r="992" spans="3:22" x14ac:dyDescent="0.35">
      <c r="C992" t="s">
        <v>2942</v>
      </c>
      <c r="D992" t="s">
        <v>2943</v>
      </c>
      <c r="E992" t="s">
        <v>2944</v>
      </c>
      <c r="F992" t="s">
        <v>2945</v>
      </c>
      <c r="G992">
        <v>25</v>
      </c>
      <c r="H992">
        <v>261000</v>
      </c>
      <c r="I992" t="b">
        <v>0</v>
      </c>
      <c r="J992">
        <v>0.47899999999999998</v>
      </c>
      <c r="K992">
        <v>0.28499999999999998</v>
      </c>
      <c r="L992">
        <v>1</v>
      </c>
      <c r="M992">
        <v>-12.619</v>
      </c>
      <c r="N992">
        <v>0</v>
      </c>
      <c r="O992">
        <v>3.27E-2</v>
      </c>
      <c r="P992">
        <v>0.94199999999999995</v>
      </c>
      <c r="Q992">
        <v>4.3700000000000003E-2</v>
      </c>
      <c r="R992">
        <v>0.111</v>
      </c>
      <c r="S992">
        <v>0.61799999999999999</v>
      </c>
      <c r="T992">
        <v>104.93300000000001</v>
      </c>
      <c r="U992">
        <v>4</v>
      </c>
      <c r="V992" t="s">
        <v>24</v>
      </c>
    </row>
    <row r="993" spans="3:22" x14ac:dyDescent="0.35">
      <c r="C993" t="s">
        <v>2946</v>
      </c>
      <c r="D993" t="s">
        <v>1073</v>
      </c>
      <c r="E993" t="s">
        <v>1535</v>
      </c>
      <c r="F993" t="s">
        <v>2947</v>
      </c>
      <c r="G993">
        <v>25</v>
      </c>
      <c r="H993">
        <v>215586</v>
      </c>
      <c r="I993" t="b">
        <v>0</v>
      </c>
      <c r="J993">
        <v>0.60899999999999999</v>
      </c>
      <c r="K993">
        <v>0.69299999999999995</v>
      </c>
      <c r="L993">
        <v>9</v>
      </c>
      <c r="M993">
        <v>-6.3949999999999996</v>
      </c>
      <c r="N993">
        <v>1</v>
      </c>
      <c r="O993">
        <v>2.7300000000000001E-2</v>
      </c>
      <c r="P993">
        <v>3.1500000000000001E-4</v>
      </c>
      <c r="Q993">
        <v>0</v>
      </c>
      <c r="R993">
        <v>0.3</v>
      </c>
      <c r="S993">
        <v>0.45200000000000001</v>
      </c>
      <c r="T993">
        <v>119.992</v>
      </c>
      <c r="U993">
        <v>4</v>
      </c>
      <c r="V993" t="s">
        <v>24</v>
      </c>
    </row>
    <row r="994" spans="3:22" x14ac:dyDescent="0.35">
      <c r="C994" t="s">
        <v>2948</v>
      </c>
      <c r="D994" t="s">
        <v>1510</v>
      </c>
      <c r="E994" t="s">
        <v>2949</v>
      </c>
      <c r="F994" t="s">
        <v>2950</v>
      </c>
      <c r="G994">
        <v>26</v>
      </c>
      <c r="H994">
        <v>340266</v>
      </c>
      <c r="I994" t="b">
        <v>0</v>
      </c>
      <c r="J994">
        <v>0.60799999999999998</v>
      </c>
      <c r="K994">
        <v>0.61</v>
      </c>
      <c r="L994">
        <v>11</v>
      </c>
      <c r="M994">
        <v>-13.99</v>
      </c>
      <c r="N994">
        <v>0</v>
      </c>
      <c r="O994">
        <v>7.0199999999999999E-2</v>
      </c>
      <c r="P994">
        <v>2.7799999999999998E-2</v>
      </c>
      <c r="Q994">
        <v>0.33500000000000002</v>
      </c>
      <c r="R994">
        <v>3.6900000000000002E-2</v>
      </c>
      <c r="S994">
        <v>0.66900000000000004</v>
      </c>
      <c r="T994">
        <v>121.27500000000001</v>
      </c>
      <c r="U994">
        <v>4</v>
      </c>
      <c r="V994" t="s">
        <v>24</v>
      </c>
    </row>
    <row r="995" spans="3:22" x14ac:dyDescent="0.35">
      <c r="C995" t="s">
        <v>2951</v>
      </c>
      <c r="D995" t="s">
        <v>755</v>
      </c>
      <c r="E995" t="s">
        <v>2514</v>
      </c>
      <c r="F995" t="s">
        <v>2952</v>
      </c>
      <c r="G995">
        <v>26</v>
      </c>
      <c r="H995">
        <v>140560</v>
      </c>
      <c r="I995" t="b">
        <v>1</v>
      </c>
      <c r="J995">
        <v>0.55500000000000005</v>
      </c>
      <c r="K995">
        <v>0.50800000000000001</v>
      </c>
      <c r="L995">
        <v>0</v>
      </c>
      <c r="M995">
        <v>-12.851000000000001</v>
      </c>
      <c r="N995">
        <v>1</v>
      </c>
      <c r="O995">
        <v>0.108</v>
      </c>
      <c r="P995">
        <v>0.36099999999999999</v>
      </c>
      <c r="Q995">
        <v>9.68E-4</v>
      </c>
      <c r="R995">
        <v>0.12</v>
      </c>
      <c r="S995">
        <v>0.96099999999999997</v>
      </c>
      <c r="T995">
        <v>122.03700000000001</v>
      </c>
      <c r="U995">
        <v>4</v>
      </c>
      <c r="V995" t="s">
        <v>24</v>
      </c>
    </row>
    <row r="996" spans="3:22" x14ac:dyDescent="0.35">
      <c r="C996" t="s">
        <v>2953</v>
      </c>
      <c r="D996" t="s">
        <v>755</v>
      </c>
      <c r="E996" t="s">
        <v>756</v>
      </c>
      <c r="F996" t="s">
        <v>2954</v>
      </c>
      <c r="G996">
        <v>26</v>
      </c>
      <c r="H996">
        <v>144009</v>
      </c>
      <c r="I996" t="b">
        <v>0</v>
      </c>
      <c r="J996">
        <v>0.44600000000000001</v>
      </c>
      <c r="K996">
        <v>0.621</v>
      </c>
      <c r="L996">
        <v>10</v>
      </c>
      <c r="M996">
        <v>-5.0650000000000004</v>
      </c>
      <c r="N996">
        <v>1</v>
      </c>
      <c r="O996">
        <v>3.6999999999999998E-2</v>
      </c>
      <c r="P996">
        <v>0.72099999999999997</v>
      </c>
      <c r="Q996">
        <v>0</v>
      </c>
      <c r="R996">
        <v>8.8099999999999998E-2</v>
      </c>
      <c r="S996">
        <v>0.86699999999999999</v>
      </c>
      <c r="T996">
        <v>113.896</v>
      </c>
      <c r="U996">
        <v>4</v>
      </c>
      <c r="V996" t="s">
        <v>24</v>
      </c>
    </row>
    <row r="997" spans="3:22" x14ac:dyDescent="0.35">
      <c r="C997" t="s">
        <v>2955</v>
      </c>
      <c r="D997" t="s">
        <v>1522</v>
      </c>
      <c r="E997" t="s">
        <v>2956</v>
      </c>
      <c r="F997" t="s">
        <v>2957</v>
      </c>
      <c r="G997">
        <v>26</v>
      </c>
      <c r="H997">
        <v>196226</v>
      </c>
      <c r="I997" t="b">
        <v>1</v>
      </c>
      <c r="J997">
        <v>0.63300000000000001</v>
      </c>
      <c r="K997">
        <v>0.83199999999999996</v>
      </c>
      <c r="L997">
        <v>0</v>
      </c>
      <c r="M997">
        <v>-6.84</v>
      </c>
      <c r="N997">
        <v>1</v>
      </c>
      <c r="O997">
        <v>8.6300000000000002E-2</v>
      </c>
      <c r="P997">
        <v>2.7400000000000001E-2</v>
      </c>
      <c r="Q997" s="1" t="s">
        <v>2958</v>
      </c>
      <c r="R997">
        <v>9.5699999999999993E-2</v>
      </c>
      <c r="S997">
        <v>0.83799999999999997</v>
      </c>
      <c r="T997">
        <v>130.91200000000001</v>
      </c>
      <c r="U997">
        <v>4</v>
      </c>
      <c r="V997" t="s">
        <v>24</v>
      </c>
    </row>
    <row r="998" spans="3:22" x14ac:dyDescent="0.35">
      <c r="C998" t="s">
        <v>2959</v>
      </c>
      <c r="D998" t="s">
        <v>626</v>
      </c>
      <c r="E998" t="s">
        <v>2960</v>
      </c>
      <c r="F998" t="s">
        <v>2961</v>
      </c>
      <c r="G998">
        <v>29</v>
      </c>
      <c r="H998">
        <v>180920</v>
      </c>
      <c r="I998" t="b">
        <v>0</v>
      </c>
      <c r="J998">
        <v>0.621</v>
      </c>
      <c r="K998">
        <v>0.29399999999999998</v>
      </c>
      <c r="L998">
        <v>9</v>
      </c>
      <c r="M998">
        <v>-13.468</v>
      </c>
      <c r="N998">
        <v>1</v>
      </c>
      <c r="O998">
        <v>0.11</v>
      </c>
      <c r="P998">
        <v>0.55800000000000005</v>
      </c>
      <c r="Q998" s="1" t="s">
        <v>2962</v>
      </c>
      <c r="R998">
        <v>9.4600000000000004E-2</v>
      </c>
      <c r="S998">
        <v>0.72799999999999998</v>
      </c>
      <c r="T998">
        <v>78.599000000000004</v>
      </c>
      <c r="U998">
        <v>4</v>
      </c>
      <c r="V998" t="s">
        <v>24</v>
      </c>
    </row>
    <row r="999" spans="3:22" x14ac:dyDescent="0.35">
      <c r="C999" t="s">
        <v>2963</v>
      </c>
      <c r="D999" t="s">
        <v>1674</v>
      </c>
      <c r="E999" t="s">
        <v>1675</v>
      </c>
      <c r="F999" t="s">
        <v>2964</v>
      </c>
      <c r="G999">
        <v>26</v>
      </c>
      <c r="H999">
        <v>186461</v>
      </c>
      <c r="I999" t="b">
        <v>1</v>
      </c>
      <c r="J999">
        <v>0.64800000000000002</v>
      </c>
      <c r="K999">
        <v>0.38900000000000001</v>
      </c>
      <c r="L999">
        <v>4</v>
      </c>
      <c r="M999">
        <v>-8.2750000000000004</v>
      </c>
      <c r="N999">
        <v>1</v>
      </c>
      <c r="O999">
        <v>9.2700000000000005E-2</v>
      </c>
      <c r="P999">
        <v>0.80700000000000005</v>
      </c>
      <c r="Q999" s="1" t="s">
        <v>2965</v>
      </c>
      <c r="R999">
        <v>0.11</v>
      </c>
      <c r="S999">
        <v>0.378</v>
      </c>
      <c r="T999">
        <v>86.36</v>
      </c>
      <c r="U999">
        <v>4</v>
      </c>
      <c r="V999" t="s">
        <v>24</v>
      </c>
    </row>
    <row r="1000" spans="3:22" x14ac:dyDescent="0.35">
      <c r="C1000" t="s">
        <v>2966</v>
      </c>
      <c r="D1000" t="s">
        <v>1929</v>
      </c>
      <c r="E1000" t="s">
        <v>2967</v>
      </c>
      <c r="F1000" t="s">
        <v>2968</v>
      </c>
      <c r="G1000">
        <v>26</v>
      </c>
      <c r="H1000">
        <v>217293</v>
      </c>
      <c r="I1000" t="b">
        <v>0</v>
      </c>
      <c r="J1000">
        <v>0.30299999999999999</v>
      </c>
      <c r="K1000">
        <v>0.50600000000000001</v>
      </c>
      <c r="L1000">
        <v>9</v>
      </c>
      <c r="M1000">
        <v>-6.89</v>
      </c>
      <c r="N1000">
        <v>1</v>
      </c>
      <c r="O1000">
        <v>3.2500000000000001E-2</v>
      </c>
      <c r="P1000">
        <v>0.496</v>
      </c>
      <c r="Q1000">
        <v>0</v>
      </c>
      <c r="R1000">
        <v>0.17799999999999999</v>
      </c>
      <c r="S1000">
        <v>0.41199999999999998</v>
      </c>
      <c r="T1000">
        <v>161.46299999999999</v>
      </c>
      <c r="U1000">
        <v>3</v>
      </c>
      <c r="V1000" t="s">
        <v>24</v>
      </c>
    </row>
    <row r="1001" spans="3:22" x14ac:dyDescent="0.35">
      <c r="C1001" t="s">
        <v>2969</v>
      </c>
      <c r="D1001" t="s">
        <v>1073</v>
      </c>
      <c r="E1001" t="s">
        <v>2970</v>
      </c>
      <c r="F1001" t="s">
        <v>2971</v>
      </c>
      <c r="G1001">
        <v>25</v>
      </c>
      <c r="H1001">
        <v>297093</v>
      </c>
      <c r="I1001" t="b">
        <v>1</v>
      </c>
      <c r="J1001">
        <v>0.33500000000000002</v>
      </c>
      <c r="K1001">
        <v>0.88100000000000001</v>
      </c>
      <c r="L1001">
        <v>0</v>
      </c>
      <c r="M1001">
        <v>-6.48</v>
      </c>
      <c r="N1001">
        <v>1</v>
      </c>
      <c r="O1001">
        <v>9.3399999999999997E-2</v>
      </c>
      <c r="P1001">
        <v>8.0499999999999999E-3</v>
      </c>
      <c r="Q1001">
        <v>0</v>
      </c>
      <c r="R1001">
        <v>0.11</v>
      </c>
      <c r="S1001">
        <v>0.17299999999999999</v>
      </c>
      <c r="T1001">
        <v>96.9</v>
      </c>
      <c r="U1001">
        <v>4</v>
      </c>
      <c r="V1001" t="s">
        <v>24</v>
      </c>
    </row>
    <row r="1002" spans="3:22" x14ac:dyDescent="0.35">
      <c r="C1002" t="s">
        <v>2972</v>
      </c>
      <c r="D1002" t="s">
        <v>2973</v>
      </c>
      <c r="E1002" t="s">
        <v>2974</v>
      </c>
      <c r="F1002" t="s">
        <v>2974</v>
      </c>
      <c r="G1002">
        <v>64</v>
      </c>
      <c r="H1002">
        <v>168000</v>
      </c>
      <c r="I1002" t="b">
        <v>0</v>
      </c>
      <c r="J1002">
        <v>0.443</v>
      </c>
      <c r="K1002">
        <v>0.77800000000000002</v>
      </c>
      <c r="L1002">
        <v>0</v>
      </c>
      <c r="M1002">
        <v>-7.5640000000000001</v>
      </c>
      <c r="N1002">
        <v>0</v>
      </c>
      <c r="O1002">
        <v>0.26600000000000001</v>
      </c>
      <c r="P1002">
        <v>0.24099999999999999</v>
      </c>
      <c r="Q1002">
        <v>0</v>
      </c>
      <c r="R1002">
        <v>0.215</v>
      </c>
      <c r="S1002">
        <v>0.628</v>
      </c>
      <c r="T1002">
        <v>128.25</v>
      </c>
      <c r="U1002">
        <v>5</v>
      </c>
      <c r="V1002" t="s">
        <v>2975</v>
      </c>
    </row>
    <row r="1003" spans="3:22" x14ac:dyDescent="0.35">
      <c r="C1003" t="s">
        <v>2976</v>
      </c>
      <c r="D1003" t="s">
        <v>2977</v>
      </c>
      <c r="E1003" t="s">
        <v>2978</v>
      </c>
      <c r="F1003" t="s">
        <v>2978</v>
      </c>
      <c r="G1003">
        <v>44</v>
      </c>
      <c r="H1003">
        <v>318360</v>
      </c>
      <c r="I1003" t="b">
        <v>0</v>
      </c>
      <c r="J1003">
        <v>0.57999999999999996</v>
      </c>
      <c r="K1003">
        <v>0.8</v>
      </c>
      <c r="L1003">
        <v>6</v>
      </c>
      <c r="M1003">
        <v>-7.5279999999999996</v>
      </c>
      <c r="N1003">
        <v>1</v>
      </c>
      <c r="O1003">
        <v>0.34499999999999997</v>
      </c>
      <c r="P1003">
        <v>0.28100000000000003</v>
      </c>
      <c r="Q1003">
        <v>0</v>
      </c>
      <c r="R1003">
        <v>7.0800000000000002E-2</v>
      </c>
      <c r="S1003">
        <v>0.48299999999999998</v>
      </c>
      <c r="T1003">
        <v>81.302999999999997</v>
      </c>
      <c r="U1003">
        <v>4</v>
      </c>
      <c r="V1003" t="s">
        <v>2975</v>
      </c>
    </row>
    <row r="1004" spans="3:22" x14ac:dyDescent="0.35">
      <c r="C1004" t="s">
        <v>2979</v>
      </c>
      <c r="D1004" t="s">
        <v>2977</v>
      </c>
      <c r="E1004" t="s">
        <v>2980</v>
      </c>
      <c r="F1004" t="s">
        <v>2980</v>
      </c>
      <c r="G1004">
        <v>42</v>
      </c>
      <c r="H1004">
        <v>171989</v>
      </c>
      <c r="I1004" t="b">
        <v>0</v>
      </c>
      <c r="J1004">
        <v>0.80500000000000005</v>
      </c>
      <c r="K1004">
        <v>0.746</v>
      </c>
      <c r="L1004">
        <v>1</v>
      </c>
      <c r="M1004">
        <v>-5.2110000000000003</v>
      </c>
      <c r="N1004">
        <v>0</v>
      </c>
      <c r="O1004">
        <v>0.185</v>
      </c>
      <c r="P1004">
        <v>0.23799999999999999</v>
      </c>
      <c r="Q1004">
        <v>0</v>
      </c>
      <c r="R1004">
        <v>0.215</v>
      </c>
      <c r="S1004">
        <v>0.71699999999999997</v>
      </c>
      <c r="T1004">
        <v>127.922</v>
      </c>
      <c r="U1004">
        <v>4</v>
      </c>
      <c r="V1004" t="s">
        <v>2975</v>
      </c>
    </row>
    <row r="1005" spans="3:22" x14ac:dyDescent="0.35">
      <c r="C1005" t="s">
        <v>2981</v>
      </c>
      <c r="D1005" t="s">
        <v>2977</v>
      </c>
      <c r="E1005" t="s">
        <v>2982</v>
      </c>
      <c r="F1005" t="s">
        <v>2983</v>
      </c>
      <c r="G1005">
        <v>46</v>
      </c>
      <c r="H1005">
        <v>205440</v>
      </c>
      <c r="I1005" t="b">
        <v>0</v>
      </c>
      <c r="J1005">
        <v>0.58199999999999996</v>
      </c>
      <c r="K1005">
        <v>0.66</v>
      </c>
      <c r="L1005">
        <v>7</v>
      </c>
      <c r="M1005">
        <v>-4.9880000000000004</v>
      </c>
      <c r="N1005">
        <v>0</v>
      </c>
      <c r="O1005">
        <v>5.4399999999999997E-2</v>
      </c>
      <c r="P1005">
        <v>0.39900000000000002</v>
      </c>
      <c r="Q1005">
        <v>0</v>
      </c>
      <c r="R1005">
        <v>0.127</v>
      </c>
      <c r="S1005">
        <v>0.48399999999999999</v>
      </c>
      <c r="T1005">
        <v>83.789000000000001</v>
      </c>
      <c r="U1005">
        <v>4</v>
      </c>
      <c r="V1005" t="s">
        <v>2975</v>
      </c>
    </row>
    <row r="1006" spans="3:22" x14ac:dyDescent="0.35">
      <c r="C1006" t="s">
        <v>2984</v>
      </c>
      <c r="D1006" t="s">
        <v>2977</v>
      </c>
      <c r="E1006" t="s">
        <v>2985</v>
      </c>
      <c r="F1006" t="s">
        <v>2985</v>
      </c>
      <c r="G1006">
        <v>44</v>
      </c>
      <c r="H1006">
        <v>220800</v>
      </c>
      <c r="I1006" t="b">
        <v>0</v>
      </c>
      <c r="J1006">
        <v>0.77600000000000002</v>
      </c>
      <c r="K1006">
        <v>0.314</v>
      </c>
      <c r="L1006">
        <v>2</v>
      </c>
      <c r="M1006">
        <v>-9.5129999999999999</v>
      </c>
      <c r="N1006">
        <v>1</v>
      </c>
      <c r="O1006">
        <v>3.4000000000000002E-2</v>
      </c>
      <c r="P1006">
        <v>0.88100000000000001</v>
      </c>
      <c r="Q1006">
        <v>7.2300000000000001E-4</v>
      </c>
      <c r="R1006">
        <v>0.13900000000000001</v>
      </c>
      <c r="S1006">
        <v>0.47599999999999998</v>
      </c>
      <c r="T1006">
        <v>124.05500000000001</v>
      </c>
      <c r="U1006">
        <v>4</v>
      </c>
      <c r="V1006" t="s">
        <v>2975</v>
      </c>
    </row>
    <row r="1007" spans="3:22" x14ac:dyDescent="0.35">
      <c r="C1007" t="s">
        <v>2986</v>
      </c>
      <c r="D1007" t="s">
        <v>2977</v>
      </c>
      <c r="E1007" t="s">
        <v>2987</v>
      </c>
      <c r="F1007" t="s">
        <v>2988</v>
      </c>
      <c r="G1007">
        <v>43</v>
      </c>
      <c r="H1007">
        <v>258359</v>
      </c>
      <c r="I1007" t="b">
        <v>0</v>
      </c>
      <c r="J1007">
        <v>0.71099999999999997</v>
      </c>
      <c r="K1007">
        <v>0.51500000000000001</v>
      </c>
      <c r="L1007">
        <v>2</v>
      </c>
      <c r="M1007">
        <v>-8.2379999999999995</v>
      </c>
      <c r="N1007">
        <v>0</v>
      </c>
      <c r="O1007">
        <v>5.1400000000000001E-2</v>
      </c>
      <c r="P1007">
        <v>0.67900000000000005</v>
      </c>
      <c r="Q1007">
        <v>3.2400000000000001E-4</v>
      </c>
      <c r="R1007">
        <v>9.7100000000000006E-2</v>
      </c>
      <c r="S1007">
        <v>0.67900000000000005</v>
      </c>
      <c r="T1007">
        <v>90.91</v>
      </c>
      <c r="U1007">
        <v>4</v>
      </c>
      <c r="V1007" t="s">
        <v>2975</v>
      </c>
    </row>
    <row r="1008" spans="3:22" x14ac:dyDescent="0.35">
      <c r="C1008" t="s">
        <v>2989</v>
      </c>
      <c r="D1008" t="s">
        <v>2990</v>
      </c>
      <c r="E1008" t="s">
        <v>2978</v>
      </c>
      <c r="F1008" t="s">
        <v>2991</v>
      </c>
      <c r="G1008">
        <v>41</v>
      </c>
      <c r="H1008">
        <v>254520</v>
      </c>
      <c r="I1008" t="b">
        <v>0</v>
      </c>
      <c r="J1008">
        <v>0.63700000000000001</v>
      </c>
      <c r="K1008">
        <v>0.81799999999999995</v>
      </c>
      <c r="L1008">
        <v>8</v>
      </c>
      <c r="M1008">
        <v>-6.851</v>
      </c>
      <c r="N1008">
        <v>1</v>
      </c>
      <c r="O1008">
        <v>0.28100000000000003</v>
      </c>
      <c r="P1008">
        <v>0.19</v>
      </c>
      <c r="Q1008">
        <v>0</v>
      </c>
      <c r="R1008">
        <v>0.10199999999999999</v>
      </c>
      <c r="S1008">
        <v>0.59899999999999998</v>
      </c>
      <c r="T1008">
        <v>90.570999999999998</v>
      </c>
      <c r="U1008">
        <v>4</v>
      </c>
      <c r="V1008" t="s">
        <v>2975</v>
      </c>
    </row>
    <row r="1009" spans="3:22" x14ac:dyDescent="0.35">
      <c r="C1009" t="s">
        <v>2992</v>
      </c>
      <c r="D1009" t="s">
        <v>2993</v>
      </c>
      <c r="E1009" t="s">
        <v>2994</v>
      </c>
      <c r="F1009" t="s">
        <v>2994</v>
      </c>
      <c r="G1009">
        <v>39</v>
      </c>
      <c r="H1009">
        <v>261400</v>
      </c>
      <c r="I1009" t="b">
        <v>0</v>
      </c>
      <c r="J1009">
        <v>0.79</v>
      </c>
      <c r="K1009">
        <v>0.81399999999999995</v>
      </c>
      <c r="L1009">
        <v>9</v>
      </c>
      <c r="M1009">
        <v>-6.3579999999999997</v>
      </c>
      <c r="N1009">
        <v>0</v>
      </c>
      <c r="O1009">
        <v>2.6800000000000001E-2</v>
      </c>
      <c r="P1009">
        <v>0.24299999999999999</v>
      </c>
      <c r="Q1009">
        <v>1.0200000000000001E-2</v>
      </c>
      <c r="R1009">
        <v>0.52800000000000002</v>
      </c>
      <c r="S1009">
        <v>0.91400000000000003</v>
      </c>
      <c r="T1009">
        <v>124.03</v>
      </c>
      <c r="U1009">
        <v>4</v>
      </c>
      <c r="V1009" t="s">
        <v>2975</v>
      </c>
    </row>
    <row r="1010" spans="3:22" x14ac:dyDescent="0.35">
      <c r="C1010" t="s">
        <v>2995</v>
      </c>
      <c r="D1010" t="s">
        <v>2996</v>
      </c>
      <c r="E1010" t="s">
        <v>2997</v>
      </c>
      <c r="F1010" t="s">
        <v>2998</v>
      </c>
      <c r="G1010">
        <v>40</v>
      </c>
      <c r="H1010">
        <v>244933</v>
      </c>
      <c r="I1010" t="b">
        <v>0</v>
      </c>
      <c r="J1010">
        <v>0.79700000000000004</v>
      </c>
      <c r="K1010">
        <v>0.60899999999999999</v>
      </c>
      <c r="L1010">
        <v>10</v>
      </c>
      <c r="M1010">
        <v>-10.537000000000001</v>
      </c>
      <c r="N1010">
        <v>1</v>
      </c>
      <c r="O1010">
        <v>0.13100000000000001</v>
      </c>
      <c r="P1010">
        <v>3.7499999999999999E-3</v>
      </c>
      <c r="Q1010">
        <v>1.9099999999999999E-2</v>
      </c>
      <c r="R1010">
        <v>0.128</v>
      </c>
      <c r="S1010">
        <v>0.91300000000000003</v>
      </c>
      <c r="T1010">
        <v>142.035</v>
      </c>
      <c r="U1010">
        <v>4</v>
      </c>
      <c r="V1010" t="s">
        <v>2975</v>
      </c>
    </row>
    <row r="1011" spans="3:22" x14ac:dyDescent="0.35">
      <c r="C1011" t="s">
        <v>2999</v>
      </c>
      <c r="D1011" t="s">
        <v>2977</v>
      </c>
      <c r="E1011" t="s">
        <v>2978</v>
      </c>
      <c r="F1011" t="s">
        <v>3000</v>
      </c>
      <c r="G1011">
        <v>43</v>
      </c>
      <c r="H1011">
        <v>172440</v>
      </c>
      <c r="I1011" t="b">
        <v>0</v>
      </c>
      <c r="J1011">
        <v>0.50600000000000001</v>
      </c>
      <c r="K1011">
        <v>0.876</v>
      </c>
      <c r="L1011">
        <v>2</v>
      </c>
      <c r="M1011">
        <v>-5.8769999999999998</v>
      </c>
      <c r="N1011">
        <v>0</v>
      </c>
      <c r="O1011">
        <v>0.316</v>
      </c>
      <c r="P1011">
        <v>0.19400000000000001</v>
      </c>
      <c r="Q1011" s="1" t="s">
        <v>3001</v>
      </c>
      <c r="R1011">
        <v>0.35299999999999998</v>
      </c>
      <c r="S1011">
        <v>0.67600000000000005</v>
      </c>
      <c r="T1011">
        <v>124.218</v>
      </c>
      <c r="U1011">
        <v>5</v>
      </c>
      <c r="V1011" t="s">
        <v>2975</v>
      </c>
    </row>
    <row r="1012" spans="3:22" x14ac:dyDescent="0.35">
      <c r="C1012" t="s">
        <v>3002</v>
      </c>
      <c r="D1012" t="s">
        <v>2977</v>
      </c>
      <c r="E1012" t="s">
        <v>2982</v>
      </c>
      <c r="F1012" t="s">
        <v>3003</v>
      </c>
      <c r="G1012">
        <v>46</v>
      </c>
      <c r="H1012">
        <v>240226</v>
      </c>
      <c r="I1012" t="b">
        <v>0</v>
      </c>
      <c r="J1012">
        <v>0.78800000000000003</v>
      </c>
      <c r="K1012">
        <v>0.57399999999999995</v>
      </c>
      <c r="L1012">
        <v>0</v>
      </c>
      <c r="M1012">
        <v>-9.0679999999999996</v>
      </c>
      <c r="N1012">
        <v>1</v>
      </c>
      <c r="O1012">
        <v>0.31900000000000001</v>
      </c>
      <c r="P1012">
        <v>6.2600000000000003E-2</v>
      </c>
      <c r="Q1012">
        <v>0</v>
      </c>
      <c r="R1012">
        <v>0.20300000000000001</v>
      </c>
      <c r="S1012">
        <v>0.76400000000000001</v>
      </c>
      <c r="T1012">
        <v>160.02699999999999</v>
      </c>
      <c r="U1012">
        <v>4</v>
      </c>
      <c r="V1012" t="s">
        <v>2975</v>
      </c>
    </row>
    <row r="1013" spans="3:22" x14ac:dyDescent="0.35">
      <c r="C1013" t="s">
        <v>3004</v>
      </c>
      <c r="D1013" t="s">
        <v>2977</v>
      </c>
      <c r="E1013" t="s">
        <v>2978</v>
      </c>
      <c r="F1013" t="s">
        <v>3005</v>
      </c>
      <c r="G1013">
        <v>39</v>
      </c>
      <c r="H1013">
        <v>180000</v>
      </c>
      <c r="I1013" t="b">
        <v>0</v>
      </c>
      <c r="J1013">
        <v>0.70799999999999996</v>
      </c>
      <c r="K1013">
        <v>0.78200000000000003</v>
      </c>
      <c r="L1013">
        <v>9</v>
      </c>
      <c r="M1013">
        <v>-6.4189999999999996</v>
      </c>
      <c r="N1013">
        <v>1</v>
      </c>
      <c r="O1013">
        <v>0.28399999999999997</v>
      </c>
      <c r="P1013">
        <v>5.0700000000000002E-2</v>
      </c>
      <c r="Q1013">
        <v>0</v>
      </c>
      <c r="R1013">
        <v>0.251</v>
      </c>
      <c r="S1013">
        <v>0.71699999999999997</v>
      </c>
      <c r="T1013">
        <v>94.037999999999997</v>
      </c>
      <c r="U1013">
        <v>4</v>
      </c>
      <c r="V1013" t="s">
        <v>2975</v>
      </c>
    </row>
    <row r="1014" spans="3:22" x14ac:dyDescent="0.35">
      <c r="C1014" t="s">
        <v>3006</v>
      </c>
      <c r="D1014" t="s">
        <v>2977</v>
      </c>
      <c r="E1014" t="s">
        <v>2978</v>
      </c>
      <c r="F1014" t="s">
        <v>3007</v>
      </c>
      <c r="G1014">
        <v>40</v>
      </c>
      <c r="H1014">
        <v>177240</v>
      </c>
      <c r="I1014" t="b">
        <v>0</v>
      </c>
      <c r="J1014">
        <v>0.61899999999999999</v>
      </c>
      <c r="K1014">
        <v>0.78100000000000003</v>
      </c>
      <c r="L1014">
        <v>1</v>
      </c>
      <c r="M1014">
        <v>-6.548</v>
      </c>
      <c r="N1014">
        <v>1</v>
      </c>
      <c r="O1014">
        <v>0.33300000000000002</v>
      </c>
      <c r="P1014">
        <v>0.14799999999999999</v>
      </c>
      <c r="Q1014">
        <v>0</v>
      </c>
      <c r="R1014">
        <v>0.183</v>
      </c>
      <c r="S1014">
        <v>0.72799999999999998</v>
      </c>
      <c r="T1014">
        <v>182.02600000000001</v>
      </c>
      <c r="U1014">
        <v>4</v>
      </c>
      <c r="V1014" t="s">
        <v>2975</v>
      </c>
    </row>
    <row r="1015" spans="3:22" x14ac:dyDescent="0.35">
      <c r="C1015" t="s">
        <v>3008</v>
      </c>
      <c r="D1015" t="s">
        <v>3009</v>
      </c>
      <c r="E1015" t="s">
        <v>3010</v>
      </c>
      <c r="F1015" t="s">
        <v>3011</v>
      </c>
      <c r="G1015">
        <v>38</v>
      </c>
      <c r="H1015">
        <v>232826</v>
      </c>
      <c r="I1015" t="b">
        <v>0</v>
      </c>
      <c r="J1015">
        <v>0.84399999999999997</v>
      </c>
      <c r="K1015">
        <v>0.91500000000000004</v>
      </c>
      <c r="L1015">
        <v>0</v>
      </c>
      <c r="M1015">
        <v>-4.0599999999999996</v>
      </c>
      <c r="N1015">
        <v>0</v>
      </c>
      <c r="O1015">
        <v>0.129</v>
      </c>
      <c r="P1015">
        <v>0.39300000000000002</v>
      </c>
      <c r="Q1015">
        <v>2.3800000000000002E-3</v>
      </c>
      <c r="R1015">
        <v>8.4699999999999998E-2</v>
      </c>
      <c r="S1015">
        <v>0.872</v>
      </c>
      <c r="T1015">
        <v>145.99700000000001</v>
      </c>
      <c r="U1015">
        <v>4</v>
      </c>
      <c r="V1015" t="s">
        <v>2975</v>
      </c>
    </row>
    <row r="1016" spans="3:22" x14ac:dyDescent="0.35">
      <c r="C1016" t="s">
        <v>3012</v>
      </c>
      <c r="D1016" t="s">
        <v>2977</v>
      </c>
      <c r="E1016" t="s">
        <v>2978</v>
      </c>
      <c r="F1016" t="s">
        <v>3013</v>
      </c>
      <c r="G1016">
        <v>41</v>
      </c>
      <c r="H1016">
        <v>279720</v>
      </c>
      <c r="I1016" t="b">
        <v>0</v>
      </c>
      <c r="J1016">
        <v>0.66</v>
      </c>
      <c r="K1016">
        <v>0.72799999999999998</v>
      </c>
      <c r="L1016">
        <v>10</v>
      </c>
      <c r="M1016">
        <v>-6.1769999999999996</v>
      </c>
      <c r="N1016">
        <v>0</v>
      </c>
      <c r="O1016">
        <v>0.33700000000000002</v>
      </c>
      <c r="P1016">
        <v>0.17799999999999999</v>
      </c>
      <c r="Q1016">
        <v>0</v>
      </c>
      <c r="R1016">
        <v>5.16E-2</v>
      </c>
      <c r="S1016">
        <v>0.59399999999999997</v>
      </c>
      <c r="T1016">
        <v>91.100999999999999</v>
      </c>
      <c r="U1016">
        <v>4</v>
      </c>
      <c r="V1016" t="s">
        <v>2975</v>
      </c>
    </row>
    <row r="1017" spans="3:22" x14ac:dyDescent="0.35">
      <c r="C1017" t="s">
        <v>3014</v>
      </c>
      <c r="D1017" t="s">
        <v>3015</v>
      </c>
      <c r="E1017" t="s">
        <v>2987</v>
      </c>
      <c r="F1017" t="s">
        <v>3016</v>
      </c>
      <c r="G1017">
        <v>42</v>
      </c>
      <c r="H1017">
        <v>273973</v>
      </c>
      <c r="I1017" t="b">
        <v>0</v>
      </c>
      <c r="J1017">
        <v>0.60599999999999998</v>
      </c>
      <c r="K1017">
        <v>0.6</v>
      </c>
      <c r="L1017">
        <v>7</v>
      </c>
      <c r="M1017">
        <v>-7.7850000000000001</v>
      </c>
      <c r="N1017">
        <v>1</v>
      </c>
      <c r="O1017">
        <v>0.13900000000000001</v>
      </c>
      <c r="P1017">
        <v>4.6899999999999997E-2</v>
      </c>
      <c r="Q1017">
        <v>0</v>
      </c>
      <c r="R1017">
        <v>0.32700000000000001</v>
      </c>
      <c r="S1017">
        <v>0.52900000000000003</v>
      </c>
      <c r="T1017">
        <v>159.971</v>
      </c>
      <c r="U1017">
        <v>4</v>
      </c>
      <c r="V1017" t="s">
        <v>2975</v>
      </c>
    </row>
    <row r="1018" spans="3:22" x14ac:dyDescent="0.35">
      <c r="C1018" t="s">
        <v>3017</v>
      </c>
      <c r="D1018" t="s">
        <v>3018</v>
      </c>
      <c r="E1018" t="s">
        <v>3019</v>
      </c>
      <c r="F1018" t="s">
        <v>3020</v>
      </c>
      <c r="G1018">
        <v>38</v>
      </c>
      <c r="H1018">
        <v>161342</v>
      </c>
      <c r="I1018" t="b">
        <v>0</v>
      </c>
      <c r="J1018">
        <v>0.67</v>
      </c>
      <c r="K1018">
        <v>0.27300000000000002</v>
      </c>
      <c r="L1018">
        <v>7</v>
      </c>
      <c r="M1018">
        <v>-10.77</v>
      </c>
      <c r="N1018">
        <v>1</v>
      </c>
      <c r="O1018">
        <v>3.8800000000000001E-2</v>
      </c>
      <c r="P1018">
        <v>0.94599999999999995</v>
      </c>
      <c r="Q1018">
        <v>1.3600000000000001E-3</v>
      </c>
      <c r="R1018">
        <v>0.17899999999999999</v>
      </c>
      <c r="S1018">
        <v>0.443</v>
      </c>
      <c r="T1018">
        <v>128.87</v>
      </c>
      <c r="U1018">
        <v>4</v>
      </c>
      <c r="V1018" t="s">
        <v>2975</v>
      </c>
    </row>
    <row r="1019" spans="3:22" x14ac:dyDescent="0.35">
      <c r="C1019" t="s">
        <v>3021</v>
      </c>
      <c r="D1019" t="s">
        <v>2977</v>
      </c>
      <c r="E1019" t="s">
        <v>2978</v>
      </c>
      <c r="F1019" t="s">
        <v>3022</v>
      </c>
      <c r="G1019">
        <v>38</v>
      </c>
      <c r="H1019">
        <v>175800</v>
      </c>
      <c r="I1019" t="b">
        <v>0</v>
      </c>
      <c r="J1019">
        <v>0.77200000000000002</v>
      </c>
      <c r="K1019">
        <v>0.78900000000000003</v>
      </c>
      <c r="L1019">
        <v>4</v>
      </c>
      <c r="M1019">
        <v>-7.1589999999999998</v>
      </c>
      <c r="N1019">
        <v>0</v>
      </c>
      <c r="O1019">
        <v>0.29799999999999999</v>
      </c>
      <c r="P1019">
        <v>0.10100000000000001</v>
      </c>
      <c r="Q1019">
        <v>0</v>
      </c>
      <c r="R1019">
        <v>5.7500000000000002E-2</v>
      </c>
      <c r="S1019">
        <v>0.54900000000000004</v>
      </c>
      <c r="T1019">
        <v>84.96</v>
      </c>
      <c r="U1019">
        <v>4</v>
      </c>
      <c r="V1019" t="s">
        <v>2975</v>
      </c>
    </row>
    <row r="1020" spans="3:22" x14ac:dyDescent="0.35">
      <c r="C1020" t="s">
        <v>3023</v>
      </c>
      <c r="D1020" t="s">
        <v>3024</v>
      </c>
      <c r="E1020" t="s">
        <v>3025</v>
      </c>
      <c r="F1020" t="s">
        <v>3026</v>
      </c>
      <c r="G1020">
        <v>44</v>
      </c>
      <c r="H1020">
        <v>271840</v>
      </c>
      <c r="I1020" t="b">
        <v>0</v>
      </c>
      <c r="J1020">
        <v>0.434</v>
      </c>
      <c r="K1020">
        <v>0.877</v>
      </c>
      <c r="L1020">
        <v>8</v>
      </c>
      <c r="M1020">
        <v>-5.9450000000000003</v>
      </c>
      <c r="N1020">
        <v>0</v>
      </c>
      <c r="O1020">
        <v>0.247</v>
      </c>
      <c r="P1020">
        <v>0.84899999999999998</v>
      </c>
      <c r="Q1020">
        <v>0</v>
      </c>
      <c r="R1020">
        <v>0.65300000000000002</v>
      </c>
      <c r="S1020">
        <v>0.66200000000000003</v>
      </c>
      <c r="T1020">
        <v>82.108999999999995</v>
      </c>
      <c r="U1020">
        <v>4</v>
      </c>
      <c r="V1020" t="s">
        <v>2975</v>
      </c>
    </row>
    <row r="1021" spans="3:22" x14ac:dyDescent="0.35">
      <c r="C1021" t="s">
        <v>3027</v>
      </c>
      <c r="D1021" t="s">
        <v>2977</v>
      </c>
      <c r="E1021" t="s">
        <v>2978</v>
      </c>
      <c r="F1021" t="s">
        <v>3028</v>
      </c>
      <c r="G1021">
        <v>37</v>
      </c>
      <c r="H1021">
        <v>138480</v>
      </c>
      <c r="I1021" t="b">
        <v>0</v>
      </c>
      <c r="J1021">
        <v>0.755</v>
      </c>
      <c r="K1021">
        <v>0.70899999999999996</v>
      </c>
      <c r="L1021">
        <v>1</v>
      </c>
      <c r="M1021">
        <v>-5.0659999999999998</v>
      </c>
      <c r="N1021">
        <v>0</v>
      </c>
      <c r="O1021">
        <v>0.28899999999999998</v>
      </c>
      <c r="P1021">
        <v>5.28E-2</v>
      </c>
      <c r="Q1021">
        <v>0</v>
      </c>
      <c r="R1021">
        <v>8.2500000000000004E-2</v>
      </c>
      <c r="S1021">
        <v>0.65700000000000003</v>
      </c>
      <c r="T1021">
        <v>140.989</v>
      </c>
      <c r="U1021">
        <v>4</v>
      </c>
      <c r="V1021" t="s">
        <v>2975</v>
      </c>
    </row>
    <row r="1022" spans="3:22" x14ac:dyDescent="0.35">
      <c r="C1022" t="s">
        <v>3029</v>
      </c>
      <c r="D1022" t="s">
        <v>3030</v>
      </c>
      <c r="E1022" t="s">
        <v>3031</v>
      </c>
      <c r="F1022" t="s">
        <v>3032</v>
      </c>
      <c r="G1022">
        <v>36</v>
      </c>
      <c r="H1022">
        <v>146000</v>
      </c>
      <c r="I1022" t="b">
        <v>0</v>
      </c>
      <c r="J1022">
        <v>0.437</v>
      </c>
      <c r="K1022">
        <v>0.35699999999999998</v>
      </c>
      <c r="L1022">
        <v>4</v>
      </c>
      <c r="M1022">
        <v>-7.6</v>
      </c>
      <c r="N1022">
        <v>0</v>
      </c>
      <c r="O1022">
        <v>2.9399999999999999E-2</v>
      </c>
      <c r="P1022">
        <v>0.67600000000000005</v>
      </c>
      <c r="Q1022" s="1" t="s">
        <v>3033</v>
      </c>
      <c r="R1022">
        <v>0.11799999999999999</v>
      </c>
      <c r="S1022">
        <v>0.26</v>
      </c>
      <c r="T1022">
        <v>120.08799999999999</v>
      </c>
      <c r="U1022">
        <v>4</v>
      </c>
      <c r="V1022" t="s">
        <v>2975</v>
      </c>
    </row>
    <row r="1023" spans="3:22" x14ac:dyDescent="0.35">
      <c r="C1023" t="s">
        <v>3034</v>
      </c>
      <c r="D1023" t="s">
        <v>2993</v>
      </c>
      <c r="E1023" t="s">
        <v>3035</v>
      </c>
      <c r="F1023" t="s">
        <v>3035</v>
      </c>
      <c r="G1023">
        <v>44</v>
      </c>
      <c r="H1023">
        <v>226040</v>
      </c>
      <c r="I1023" t="b">
        <v>0</v>
      </c>
      <c r="J1023">
        <v>0.78900000000000003</v>
      </c>
      <c r="K1023">
        <v>0.89900000000000002</v>
      </c>
      <c r="L1023">
        <v>6</v>
      </c>
      <c r="M1023">
        <v>-6.3630000000000004</v>
      </c>
      <c r="N1023">
        <v>1</v>
      </c>
      <c r="O1023">
        <v>0.13800000000000001</v>
      </c>
      <c r="P1023">
        <v>0.125</v>
      </c>
      <c r="Q1023">
        <v>0</v>
      </c>
      <c r="R1023">
        <v>0.10299999999999999</v>
      </c>
      <c r="S1023">
        <v>0.84699999999999998</v>
      </c>
      <c r="T1023">
        <v>97.998999999999995</v>
      </c>
      <c r="U1023">
        <v>4</v>
      </c>
      <c r="V1023" t="s">
        <v>2975</v>
      </c>
    </row>
    <row r="1024" spans="3:22" x14ac:dyDescent="0.35">
      <c r="C1024" t="s">
        <v>3036</v>
      </c>
      <c r="D1024" t="s">
        <v>2977</v>
      </c>
      <c r="E1024" t="s">
        <v>2982</v>
      </c>
      <c r="F1024" t="s">
        <v>3037</v>
      </c>
      <c r="G1024">
        <v>41</v>
      </c>
      <c r="H1024">
        <v>217400</v>
      </c>
      <c r="I1024" t="b">
        <v>0</v>
      </c>
      <c r="J1024">
        <v>0.76300000000000001</v>
      </c>
      <c r="K1024">
        <v>0.57699999999999996</v>
      </c>
      <c r="L1024">
        <v>10</v>
      </c>
      <c r="M1024">
        <v>-7.085</v>
      </c>
      <c r="N1024">
        <v>0</v>
      </c>
      <c r="O1024">
        <v>0.125</v>
      </c>
      <c r="P1024">
        <v>8.7499999999999994E-2</v>
      </c>
      <c r="Q1024">
        <v>1.6299999999999999E-3</v>
      </c>
      <c r="R1024">
        <v>0.10100000000000001</v>
      </c>
      <c r="S1024">
        <v>0.65800000000000003</v>
      </c>
      <c r="T1024">
        <v>90.015000000000001</v>
      </c>
      <c r="U1024">
        <v>4</v>
      </c>
      <c r="V1024" t="s">
        <v>2975</v>
      </c>
    </row>
    <row r="1025" spans="3:22" x14ac:dyDescent="0.35">
      <c r="C1025" t="s">
        <v>3038</v>
      </c>
      <c r="D1025" t="s">
        <v>3039</v>
      </c>
      <c r="E1025" t="s">
        <v>3025</v>
      </c>
      <c r="F1025" t="s">
        <v>3040</v>
      </c>
      <c r="G1025">
        <v>37</v>
      </c>
      <c r="H1025">
        <v>188666</v>
      </c>
      <c r="I1025" t="b">
        <v>0</v>
      </c>
      <c r="J1025">
        <v>0.51800000000000002</v>
      </c>
      <c r="K1025">
        <v>0.91800000000000004</v>
      </c>
      <c r="L1025">
        <v>4</v>
      </c>
      <c r="M1025">
        <v>-5.548</v>
      </c>
      <c r="N1025">
        <v>0</v>
      </c>
      <c r="O1025">
        <v>0.27600000000000002</v>
      </c>
      <c r="P1025">
        <v>0.32500000000000001</v>
      </c>
      <c r="Q1025">
        <v>0</v>
      </c>
      <c r="R1025">
        <v>0.79</v>
      </c>
      <c r="S1025">
        <v>0.62</v>
      </c>
      <c r="T1025">
        <v>98.777000000000001</v>
      </c>
      <c r="U1025">
        <v>4</v>
      </c>
      <c r="V1025" t="s">
        <v>2975</v>
      </c>
    </row>
    <row r="1026" spans="3:22" x14ac:dyDescent="0.35">
      <c r="C1026" t="s">
        <v>3041</v>
      </c>
      <c r="D1026" t="s">
        <v>2977</v>
      </c>
      <c r="E1026" t="s">
        <v>2987</v>
      </c>
      <c r="F1026" t="s">
        <v>3042</v>
      </c>
      <c r="G1026">
        <v>48</v>
      </c>
      <c r="H1026">
        <v>198920</v>
      </c>
      <c r="I1026" t="b">
        <v>0</v>
      </c>
      <c r="J1026">
        <v>0.63700000000000001</v>
      </c>
      <c r="K1026">
        <v>0.71499999999999997</v>
      </c>
      <c r="L1026">
        <v>0</v>
      </c>
      <c r="M1026">
        <v>-7.032</v>
      </c>
      <c r="N1026">
        <v>0</v>
      </c>
      <c r="O1026">
        <v>7.3999999999999996E-2</v>
      </c>
      <c r="P1026">
        <v>5.1799999999999999E-2</v>
      </c>
      <c r="Q1026" s="1" t="s">
        <v>3043</v>
      </c>
      <c r="R1026">
        <v>0.122</v>
      </c>
      <c r="S1026">
        <v>0.34699999999999998</v>
      </c>
      <c r="T1026">
        <v>109.85899999999999</v>
      </c>
      <c r="U1026">
        <v>4</v>
      </c>
      <c r="V1026" t="s">
        <v>2975</v>
      </c>
    </row>
    <row r="1027" spans="3:22" x14ac:dyDescent="0.35">
      <c r="C1027" t="s">
        <v>3044</v>
      </c>
      <c r="D1027" t="s">
        <v>2977</v>
      </c>
      <c r="E1027" t="s">
        <v>2982</v>
      </c>
      <c r="F1027" t="s">
        <v>3045</v>
      </c>
      <c r="G1027">
        <v>37</v>
      </c>
      <c r="H1027">
        <v>222560</v>
      </c>
      <c r="I1027" t="b">
        <v>0</v>
      </c>
      <c r="J1027">
        <v>0.87</v>
      </c>
      <c r="K1027">
        <v>0.73699999999999999</v>
      </c>
      <c r="L1027">
        <v>11</v>
      </c>
      <c r="M1027">
        <v>-8.3719999999999999</v>
      </c>
      <c r="N1027">
        <v>1</v>
      </c>
      <c r="O1027">
        <v>0.126</v>
      </c>
      <c r="P1027">
        <v>0.26800000000000002</v>
      </c>
      <c r="Q1027">
        <v>3.6900000000000001E-3</v>
      </c>
      <c r="R1027">
        <v>5.04E-2</v>
      </c>
      <c r="S1027">
        <v>0.95199999999999996</v>
      </c>
      <c r="T1027">
        <v>136.07</v>
      </c>
      <c r="U1027">
        <v>4</v>
      </c>
      <c r="V1027" t="s">
        <v>2975</v>
      </c>
    </row>
    <row r="1028" spans="3:22" x14ac:dyDescent="0.35">
      <c r="C1028" t="s">
        <v>3046</v>
      </c>
      <c r="D1028" t="s">
        <v>3047</v>
      </c>
      <c r="E1028" t="s">
        <v>3048</v>
      </c>
      <c r="F1028" t="s">
        <v>3048</v>
      </c>
      <c r="G1028">
        <v>42</v>
      </c>
      <c r="H1028">
        <v>226648</v>
      </c>
      <c r="I1028" t="b">
        <v>0</v>
      </c>
      <c r="J1028">
        <v>0.63300000000000001</v>
      </c>
      <c r="K1028">
        <v>0.80500000000000005</v>
      </c>
      <c r="L1028">
        <v>2</v>
      </c>
      <c r="M1028">
        <v>-5.5229999999999997</v>
      </c>
      <c r="N1028">
        <v>0</v>
      </c>
      <c r="O1028">
        <v>3.2899999999999999E-2</v>
      </c>
      <c r="P1028">
        <v>5.2900000000000003E-2</v>
      </c>
      <c r="Q1028">
        <v>0</v>
      </c>
      <c r="R1028">
        <v>0.14599999999999999</v>
      </c>
      <c r="S1028">
        <v>0.92500000000000004</v>
      </c>
      <c r="T1028">
        <v>143.02799999999999</v>
      </c>
      <c r="U1028">
        <v>4</v>
      </c>
      <c r="V1028" t="s">
        <v>2975</v>
      </c>
    </row>
    <row r="1029" spans="3:22" x14ac:dyDescent="0.35">
      <c r="C1029" t="s">
        <v>3049</v>
      </c>
      <c r="D1029" t="s">
        <v>3050</v>
      </c>
      <c r="E1029" t="s">
        <v>2987</v>
      </c>
      <c r="F1029" t="s">
        <v>3051</v>
      </c>
      <c r="G1029">
        <v>44</v>
      </c>
      <c r="H1029">
        <v>257146</v>
      </c>
      <c r="I1029" t="b">
        <v>0</v>
      </c>
      <c r="J1029">
        <v>0.42799999999999999</v>
      </c>
      <c r="K1029">
        <v>0.3</v>
      </c>
      <c r="L1029">
        <v>11</v>
      </c>
      <c r="M1029">
        <v>-10.214</v>
      </c>
      <c r="N1029">
        <v>0</v>
      </c>
      <c r="O1029">
        <v>0.157</v>
      </c>
      <c r="P1029">
        <v>0.63800000000000001</v>
      </c>
      <c r="Q1029" s="1" t="s">
        <v>3052</v>
      </c>
      <c r="R1029">
        <v>9.8699999999999996E-2</v>
      </c>
      <c r="S1029">
        <v>0.27800000000000002</v>
      </c>
      <c r="T1029">
        <v>81.403000000000006</v>
      </c>
      <c r="U1029">
        <v>4</v>
      </c>
      <c r="V1029" t="s">
        <v>2975</v>
      </c>
    </row>
    <row r="1030" spans="3:22" x14ac:dyDescent="0.35">
      <c r="C1030" t="s">
        <v>3053</v>
      </c>
      <c r="D1030" t="s">
        <v>2977</v>
      </c>
      <c r="E1030" t="s">
        <v>2985</v>
      </c>
      <c r="F1030" t="s">
        <v>3054</v>
      </c>
      <c r="G1030">
        <v>44</v>
      </c>
      <c r="H1030">
        <v>227640</v>
      </c>
      <c r="I1030" t="b">
        <v>0</v>
      </c>
      <c r="J1030">
        <v>0.83</v>
      </c>
      <c r="K1030">
        <v>0.60399999999999998</v>
      </c>
      <c r="L1030">
        <v>0</v>
      </c>
      <c r="M1030">
        <v>-5.25</v>
      </c>
      <c r="N1030">
        <v>0</v>
      </c>
      <c r="O1030">
        <v>3.5499999999999997E-2</v>
      </c>
      <c r="P1030">
        <v>0.56299999999999994</v>
      </c>
      <c r="Q1030">
        <v>1.08E-3</v>
      </c>
      <c r="R1030">
        <v>0.221</v>
      </c>
      <c r="S1030">
        <v>0.82</v>
      </c>
      <c r="T1030">
        <v>144.00800000000001</v>
      </c>
      <c r="U1030">
        <v>4</v>
      </c>
      <c r="V1030" t="s">
        <v>2975</v>
      </c>
    </row>
    <row r="1031" spans="3:22" x14ac:dyDescent="0.35">
      <c r="C1031" t="s">
        <v>3055</v>
      </c>
      <c r="D1031" t="s">
        <v>2977</v>
      </c>
      <c r="E1031" t="s">
        <v>2987</v>
      </c>
      <c r="F1031" t="s">
        <v>3056</v>
      </c>
      <c r="G1031">
        <v>41</v>
      </c>
      <c r="H1031">
        <v>212826</v>
      </c>
      <c r="I1031" t="b">
        <v>0</v>
      </c>
      <c r="J1031">
        <v>0.81699999999999995</v>
      </c>
      <c r="K1031">
        <v>0.61899999999999999</v>
      </c>
      <c r="L1031">
        <v>5</v>
      </c>
      <c r="M1031">
        <v>-6.9219999999999997</v>
      </c>
      <c r="N1031">
        <v>0</v>
      </c>
      <c r="O1031">
        <v>5.4199999999999998E-2</v>
      </c>
      <c r="P1031">
        <v>0.26300000000000001</v>
      </c>
      <c r="Q1031">
        <v>3.1700000000000001E-3</v>
      </c>
      <c r="R1031">
        <v>8.8900000000000007E-2</v>
      </c>
      <c r="S1031">
        <v>0.61399999999999999</v>
      </c>
      <c r="T1031">
        <v>103.041</v>
      </c>
      <c r="U1031">
        <v>4</v>
      </c>
      <c r="V1031" t="s">
        <v>2975</v>
      </c>
    </row>
    <row r="1032" spans="3:22" x14ac:dyDescent="0.35">
      <c r="C1032" t="s">
        <v>3057</v>
      </c>
      <c r="D1032" t="s">
        <v>3047</v>
      </c>
      <c r="E1032" t="s">
        <v>3048</v>
      </c>
      <c r="F1032" t="s">
        <v>3058</v>
      </c>
      <c r="G1032">
        <v>45</v>
      </c>
      <c r="H1032">
        <v>223600</v>
      </c>
      <c r="I1032" t="b">
        <v>0</v>
      </c>
      <c r="J1032">
        <v>0.52600000000000002</v>
      </c>
      <c r="K1032">
        <v>0.71099999999999997</v>
      </c>
      <c r="L1032">
        <v>6</v>
      </c>
      <c r="M1032">
        <v>-4.3730000000000002</v>
      </c>
      <c r="N1032">
        <v>0</v>
      </c>
      <c r="O1032">
        <v>4.65E-2</v>
      </c>
      <c r="P1032">
        <v>0.58499999999999996</v>
      </c>
      <c r="Q1032">
        <v>0</v>
      </c>
      <c r="R1032">
        <v>7.2800000000000004E-2</v>
      </c>
      <c r="S1032">
        <v>0.65100000000000002</v>
      </c>
      <c r="T1032">
        <v>176.27</v>
      </c>
      <c r="U1032">
        <v>4</v>
      </c>
      <c r="V1032" t="s">
        <v>2975</v>
      </c>
    </row>
    <row r="1033" spans="3:22" x14ac:dyDescent="0.35">
      <c r="C1033" t="s">
        <v>3059</v>
      </c>
      <c r="D1033" t="s">
        <v>2977</v>
      </c>
      <c r="E1033" t="s">
        <v>3060</v>
      </c>
      <c r="F1033" t="s">
        <v>3061</v>
      </c>
      <c r="G1033">
        <v>41</v>
      </c>
      <c r="H1033">
        <v>244533</v>
      </c>
      <c r="I1033" t="b">
        <v>0</v>
      </c>
      <c r="J1033">
        <v>0.57299999999999995</v>
      </c>
      <c r="K1033">
        <v>0.85899999999999999</v>
      </c>
      <c r="L1033">
        <v>9</v>
      </c>
      <c r="M1033">
        <v>-4.3460000000000001</v>
      </c>
      <c r="N1033">
        <v>1</v>
      </c>
      <c r="O1033">
        <v>4.7300000000000002E-2</v>
      </c>
      <c r="P1033">
        <v>0.108</v>
      </c>
      <c r="Q1033" s="1" t="s">
        <v>1136</v>
      </c>
      <c r="R1033">
        <v>7.7899999999999997E-2</v>
      </c>
      <c r="S1033">
        <v>0.52100000000000002</v>
      </c>
      <c r="T1033">
        <v>147.90600000000001</v>
      </c>
      <c r="U1033">
        <v>4</v>
      </c>
      <c r="V1033" t="s">
        <v>2975</v>
      </c>
    </row>
    <row r="1034" spans="3:22" x14ac:dyDescent="0.35">
      <c r="C1034" t="s">
        <v>3062</v>
      </c>
      <c r="D1034" t="s">
        <v>3063</v>
      </c>
      <c r="E1034" t="s">
        <v>3025</v>
      </c>
      <c r="F1034" t="s">
        <v>3064</v>
      </c>
      <c r="G1034">
        <v>41</v>
      </c>
      <c r="H1034">
        <v>243373</v>
      </c>
      <c r="I1034" t="b">
        <v>0</v>
      </c>
      <c r="J1034">
        <v>0.65100000000000002</v>
      </c>
      <c r="K1034">
        <v>0.86099999999999999</v>
      </c>
      <c r="L1034">
        <v>11</v>
      </c>
      <c r="M1034">
        <v>-6.625</v>
      </c>
      <c r="N1034">
        <v>0</v>
      </c>
      <c r="O1034">
        <v>0.109</v>
      </c>
      <c r="P1034">
        <v>0.43</v>
      </c>
      <c r="Q1034">
        <v>0</v>
      </c>
      <c r="R1034">
        <v>0.98099999999999998</v>
      </c>
      <c r="S1034">
        <v>0.8</v>
      </c>
      <c r="T1034">
        <v>98.474000000000004</v>
      </c>
      <c r="U1034">
        <v>4</v>
      </c>
      <c r="V1034" t="s">
        <v>2975</v>
      </c>
    </row>
    <row r="1035" spans="3:22" x14ac:dyDescent="0.35">
      <c r="C1035" t="s">
        <v>3065</v>
      </c>
      <c r="D1035" t="s">
        <v>3066</v>
      </c>
      <c r="E1035" t="s">
        <v>3067</v>
      </c>
      <c r="F1035" t="s">
        <v>3068</v>
      </c>
      <c r="G1035">
        <v>36</v>
      </c>
      <c r="H1035">
        <v>327836</v>
      </c>
      <c r="I1035" t="b">
        <v>0</v>
      </c>
      <c r="J1035">
        <v>0.72099999999999997</v>
      </c>
      <c r="K1035">
        <v>0.74099999999999999</v>
      </c>
      <c r="L1035">
        <v>0</v>
      </c>
      <c r="M1035">
        <v>-6.5970000000000004</v>
      </c>
      <c r="N1035">
        <v>1</v>
      </c>
      <c r="O1035">
        <v>3.5400000000000001E-2</v>
      </c>
      <c r="P1035">
        <v>0.441</v>
      </c>
      <c r="Q1035">
        <v>8.4899999999999993E-3</v>
      </c>
      <c r="R1035">
        <v>7.7499999999999999E-2</v>
      </c>
      <c r="S1035">
        <v>0.97699999999999998</v>
      </c>
      <c r="T1035">
        <v>131.001</v>
      </c>
      <c r="U1035">
        <v>4</v>
      </c>
      <c r="V1035" t="s">
        <v>2975</v>
      </c>
    </row>
    <row r="1036" spans="3:22" x14ac:dyDescent="0.35">
      <c r="C1036" t="s">
        <v>3069</v>
      </c>
      <c r="D1036" t="s">
        <v>2977</v>
      </c>
      <c r="E1036" t="s">
        <v>2985</v>
      </c>
      <c r="F1036" t="s">
        <v>3070</v>
      </c>
      <c r="G1036">
        <v>41</v>
      </c>
      <c r="H1036">
        <v>235560</v>
      </c>
      <c r="I1036" t="b">
        <v>0</v>
      </c>
      <c r="J1036">
        <v>0.753</v>
      </c>
      <c r="K1036">
        <v>0.65300000000000002</v>
      </c>
      <c r="L1036">
        <v>5</v>
      </c>
      <c r="M1036">
        <v>-5.5110000000000001</v>
      </c>
      <c r="N1036">
        <v>1</v>
      </c>
      <c r="O1036">
        <v>5.0799999999999998E-2</v>
      </c>
      <c r="P1036">
        <v>0.76</v>
      </c>
      <c r="Q1036" s="1" t="s">
        <v>3071</v>
      </c>
      <c r="R1036">
        <v>7.5600000000000001E-2</v>
      </c>
      <c r="S1036">
        <v>0.70599999999999996</v>
      </c>
      <c r="T1036">
        <v>115.80200000000001</v>
      </c>
      <c r="U1036">
        <v>4</v>
      </c>
      <c r="V1036" t="s">
        <v>2975</v>
      </c>
    </row>
    <row r="1037" spans="3:22" x14ac:dyDescent="0.35">
      <c r="C1037" t="s">
        <v>3072</v>
      </c>
      <c r="D1037" t="s">
        <v>2977</v>
      </c>
      <c r="E1037" t="s">
        <v>3073</v>
      </c>
      <c r="F1037" t="s">
        <v>3074</v>
      </c>
      <c r="G1037">
        <v>41</v>
      </c>
      <c r="H1037">
        <v>218880</v>
      </c>
      <c r="I1037" t="b">
        <v>0</v>
      </c>
      <c r="J1037">
        <v>0.57099999999999995</v>
      </c>
      <c r="K1037">
        <v>0.69</v>
      </c>
      <c r="L1037">
        <v>8</v>
      </c>
      <c r="M1037">
        <v>-8.18</v>
      </c>
      <c r="N1037">
        <v>0</v>
      </c>
      <c r="O1037">
        <v>0.54200000000000004</v>
      </c>
      <c r="P1037">
        <v>0.29899999999999999</v>
      </c>
      <c r="Q1037">
        <v>0</v>
      </c>
      <c r="R1037">
        <v>0.10299999999999999</v>
      </c>
      <c r="S1037">
        <v>0.22800000000000001</v>
      </c>
      <c r="T1037">
        <v>155.99100000000001</v>
      </c>
      <c r="U1037">
        <v>4</v>
      </c>
      <c r="V1037" t="s">
        <v>2975</v>
      </c>
    </row>
    <row r="1038" spans="3:22" x14ac:dyDescent="0.35">
      <c r="C1038" t="s">
        <v>3075</v>
      </c>
      <c r="D1038" t="s">
        <v>3047</v>
      </c>
      <c r="E1038" t="s">
        <v>3048</v>
      </c>
      <c r="F1038" t="s">
        <v>3076</v>
      </c>
      <c r="G1038">
        <v>46</v>
      </c>
      <c r="H1038">
        <v>284875</v>
      </c>
      <c r="I1038" t="b">
        <v>0</v>
      </c>
      <c r="J1038">
        <v>0.71499999999999997</v>
      </c>
      <c r="K1038">
        <v>0.55600000000000005</v>
      </c>
      <c r="L1038">
        <v>9</v>
      </c>
      <c r="M1038">
        <v>-6.1020000000000003</v>
      </c>
      <c r="N1038">
        <v>1</v>
      </c>
      <c r="O1038">
        <v>4.53E-2</v>
      </c>
      <c r="P1038">
        <v>0.66700000000000004</v>
      </c>
      <c r="Q1038">
        <v>0</v>
      </c>
      <c r="R1038">
        <v>0.13200000000000001</v>
      </c>
      <c r="S1038">
        <v>0.90200000000000002</v>
      </c>
      <c r="T1038">
        <v>87.972999999999999</v>
      </c>
      <c r="U1038">
        <v>4</v>
      </c>
      <c r="V1038" t="s">
        <v>2975</v>
      </c>
    </row>
    <row r="1039" spans="3:22" x14ac:dyDescent="0.35">
      <c r="C1039" t="s">
        <v>3077</v>
      </c>
      <c r="D1039" t="s">
        <v>2977</v>
      </c>
      <c r="E1039" t="s">
        <v>2982</v>
      </c>
      <c r="F1039" t="s">
        <v>3078</v>
      </c>
      <c r="G1039">
        <v>39</v>
      </c>
      <c r="H1039">
        <v>249600</v>
      </c>
      <c r="I1039" t="b">
        <v>0</v>
      </c>
      <c r="J1039">
        <v>0.63400000000000001</v>
      </c>
      <c r="K1039">
        <v>0.39300000000000002</v>
      </c>
      <c r="L1039">
        <v>7</v>
      </c>
      <c r="M1039">
        <v>-9.5830000000000002</v>
      </c>
      <c r="N1039">
        <v>1</v>
      </c>
      <c r="O1039">
        <v>2.8299999999999999E-2</v>
      </c>
      <c r="P1039">
        <v>0.35</v>
      </c>
      <c r="Q1039">
        <v>9.8700000000000003E-4</v>
      </c>
      <c r="R1039">
        <v>0.151</v>
      </c>
      <c r="S1039">
        <v>0.54</v>
      </c>
      <c r="T1039">
        <v>87.995999999999995</v>
      </c>
      <c r="U1039">
        <v>4</v>
      </c>
      <c r="V1039" t="s">
        <v>2975</v>
      </c>
    </row>
    <row r="1040" spans="3:22" x14ac:dyDescent="0.35">
      <c r="C1040" t="s">
        <v>3079</v>
      </c>
      <c r="D1040" t="s">
        <v>2977</v>
      </c>
      <c r="E1040" t="s">
        <v>2985</v>
      </c>
      <c r="F1040" t="s">
        <v>3080</v>
      </c>
      <c r="G1040">
        <v>37</v>
      </c>
      <c r="H1040">
        <v>248520</v>
      </c>
      <c r="I1040" t="b">
        <v>0</v>
      </c>
      <c r="J1040">
        <v>0.73099999999999998</v>
      </c>
      <c r="K1040">
        <v>0.57499999999999996</v>
      </c>
      <c r="L1040">
        <v>9</v>
      </c>
      <c r="M1040">
        <v>-6.2519999999999998</v>
      </c>
      <c r="N1040">
        <v>0</v>
      </c>
      <c r="O1040">
        <v>4.1000000000000002E-2</v>
      </c>
      <c r="P1040">
        <v>0.70299999999999996</v>
      </c>
      <c r="Q1040">
        <v>0</v>
      </c>
      <c r="R1040">
        <v>0.121</v>
      </c>
      <c r="S1040">
        <v>0.70399999999999996</v>
      </c>
      <c r="T1040">
        <v>143.98599999999999</v>
      </c>
      <c r="U1040">
        <v>4</v>
      </c>
      <c r="V1040" t="s">
        <v>2975</v>
      </c>
    </row>
    <row r="1041" spans="3:22" x14ac:dyDescent="0.35">
      <c r="C1041" t="s">
        <v>3081</v>
      </c>
      <c r="D1041" t="s">
        <v>2993</v>
      </c>
      <c r="E1041" t="s">
        <v>3035</v>
      </c>
      <c r="F1041" t="s">
        <v>3082</v>
      </c>
      <c r="G1041">
        <v>39</v>
      </c>
      <c r="H1041">
        <v>309493</v>
      </c>
      <c r="I1041" t="b">
        <v>0</v>
      </c>
      <c r="J1041">
        <v>0.77600000000000002</v>
      </c>
      <c r="K1041">
        <v>0.8</v>
      </c>
      <c r="L1041">
        <v>8</v>
      </c>
      <c r="M1041">
        <v>-4.7039999999999997</v>
      </c>
      <c r="N1041">
        <v>0</v>
      </c>
      <c r="O1041">
        <v>4.3799999999999999E-2</v>
      </c>
      <c r="P1041">
        <v>6.3099999999999996E-3</v>
      </c>
      <c r="Q1041">
        <v>7.3099999999999998E-2</v>
      </c>
      <c r="R1041">
        <v>0.35</v>
      </c>
      <c r="S1041">
        <v>0.58299999999999996</v>
      </c>
      <c r="T1041">
        <v>143.989</v>
      </c>
      <c r="U1041">
        <v>4</v>
      </c>
      <c r="V1041" t="s">
        <v>2975</v>
      </c>
    </row>
    <row r="1042" spans="3:22" x14ac:dyDescent="0.35">
      <c r="C1042" t="s">
        <v>3083</v>
      </c>
      <c r="D1042" t="s">
        <v>2993</v>
      </c>
      <c r="E1042" t="s">
        <v>3035</v>
      </c>
      <c r="F1042" t="s">
        <v>3084</v>
      </c>
      <c r="G1042">
        <v>38</v>
      </c>
      <c r="H1042">
        <v>269986</v>
      </c>
      <c r="I1042" t="b">
        <v>0</v>
      </c>
      <c r="J1042">
        <v>0.48599999999999999</v>
      </c>
      <c r="K1042">
        <v>0.86699999999999999</v>
      </c>
      <c r="L1042">
        <v>1</v>
      </c>
      <c r="M1042">
        <v>-5.2370000000000001</v>
      </c>
      <c r="N1042">
        <v>1</v>
      </c>
      <c r="O1042">
        <v>8.9200000000000002E-2</v>
      </c>
      <c r="P1042">
        <v>0.129</v>
      </c>
      <c r="Q1042">
        <v>1.7600000000000001E-3</v>
      </c>
      <c r="R1042">
        <v>7.3099999999999998E-2</v>
      </c>
      <c r="S1042">
        <v>0.35799999999999998</v>
      </c>
      <c r="T1042">
        <v>109.003</v>
      </c>
      <c r="U1042">
        <v>4</v>
      </c>
      <c r="V1042" t="s">
        <v>2975</v>
      </c>
    </row>
    <row r="1043" spans="3:22" x14ac:dyDescent="0.35">
      <c r="C1043" t="s">
        <v>3085</v>
      </c>
      <c r="D1043" t="s">
        <v>2977</v>
      </c>
      <c r="E1043" t="s">
        <v>3073</v>
      </c>
      <c r="F1043" t="s">
        <v>3086</v>
      </c>
      <c r="G1043">
        <v>42</v>
      </c>
      <c r="H1043">
        <v>249960</v>
      </c>
      <c r="I1043" t="b">
        <v>0</v>
      </c>
      <c r="J1043">
        <v>0.77</v>
      </c>
      <c r="K1043">
        <v>0.81899999999999995</v>
      </c>
      <c r="L1043">
        <v>7</v>
      </c>
      <c r="M1043">
        <v>-6.4870000000000001</v>
      </c>
      <c r="N1043">
        <v>1</v>
      </c>
      <c r="O1043">
        <v>7.0300000000000001E-2</v>
      </c>
      <c r="P1043">
        <v>1.9099999999999999E-2</v>
      </c>
      <c r="Q1043">
        <v>1.3299999999999999E-2</v>
      </c>
      <c r="R1043">
        <v>0.377</v>
      </c>
      <c r="S1043">
        <v>0.73199999999999998</v>
      </c>
      <c r="T1043">
        <v>92.995999999999995</v>
      </c>
      <c r="U1043">
        <v>4</v>
      </c>
      <c r="V1043" t="s">
        <v>2975</v>
      </c>
    </row>
    <row r="1044" spans="3:22" x14ac:dyDescent="0.35">
      <c r="C1044" t="s">
        <v>3087</v>
      </c>
      <c r="D1044" t="s">
        <v>2977</v>
      </c>
      <c r="E1044" t="s">
        <v>3073</v>
      </c>
      <c r="F1044" t="s">
        <v>3088</v>
      </c>
      <c r="G1044">
        <v>37</v>
      </c>
      <c r="H1044">
        <v>265200</v>
      </c>
      <c r="I1044" t="b">
        <v>0</v>
      </c>
      <c r="J1044">
        <v>0.61099999999999999</v>
      </c>
      <c r="K1044">
        <v>0.73799999999999999</v>
      </c>
      <c r="L1044">
        <v>4</v>
      </c>
      <c r="M1044">
        <v>-7.3410000000000002</v>
      </c>
      <c r="N1044">
        <v>0</v>
      </c>
      <c r="O1044">
        <v>4.4299999999999999E-2</v>
      </c>
      <c r="P1044">
        <v>0.14199999999999999</v>
      </c>
      <c r="Q1044">
        <v>8.3700000000000007E-3</v>
      </c>
      <c r="R1044">
        <v>5.7500000000000002E-2</v>
      </c>
      <c r="S1044">
        <v>0.72499999999999998</v>
      </c>
      <c r="T1044">
        <v>119.791</v>
      </c>
      <c r="U1044">
        <v>4</v>
      </c>
      <c r="V1044" t="s">
        <v>2975</v>
      </c>
    </row>
    <row r="1045" spans="3:22" x14ac:dyDescent="0.35">
      <c r="C1045" t="s">
        <v>3089</v>
      </c>
      <c r="D1045" t="s">
        <v>2977</v>
      </c>
      <c r="E1045" t="s">
        <v>2985</v>
      </c>
      <c r="F1045" t="s">
        <v>3090</v>
      </c>
      <c r="G1045">
        <v>37</v>
      </c>
      <c r="H1045">
        <v>105360</v>
      </c>
      <c r="I1045" t="b">
        <v>0</v>
      </c>
      <c r="J1045">
        <v>0.67400000000000004</v>
      </c>
      <c r="K1045">
        <v>0.51800000000000002</v>
      </c>
      <c r="L1045">
        <v>0</v>
      </c>
      <c r="M1045">
        <v>-6.6580000000000004</v>
      </c>
      <c r="N1045">
        <v>1</v>
      </c>
      <c r="O1045">
        <v>8.0600000000000005E-2</v>
      </c>
      <c r="P1045">
        <v>0.73299999999999998</v>
      </c>
      <c r="Q1045" s="1" t="s">
        <v>3091</v>
      </c>
      <c r="R1045">
        <v>8.5000000000000006E-2</v>
      </c>
      <c r="S1045">
        <v>0.55400000000000005</v>
      </c>
      <c r="T1045">
        <v>133.935</v>
      </c>
      <c r="U1045">
        <v>5</v>
      </c>
      <c r="V1045" t="s">
        <v>2975</v>
      </c>
    </row>
    <row r="1046" spans="3:22" x14ac:dyDescent="0.35">
      <c r="C1046" t="s">
        <v>3092</v>
      </c>
      <c r="D1046" t="s">
        <v>2977</v>
      </c>
      <c r="E1046" t="s">
        <v>2985</v>
      </c>
      <c r="F1046" t="s">
        <v>3093</v>
      </c>
      <c r="G1046">
        <v>36</v>
      </c>
      <c r="H1046">
        <v>171480</v>
      </c>
      <c r="I1046" t="b">
        <v>0</v>
      </c>
      <c r="J1046">
        <v>0.69199999999999995</v>
      </c>
      <c r="K1046">
        <v>0.749</v>
      </c>
      <c r="L1046">
        <v>7</v>
      </c>
      <c r="M1046">
        <v>-4.9480000000000004</v>
      </c>
      <c r="N1046">
        <v>1</v>
      </c>
      <c r="O1046">
        <v>4.2700000000000002E-2</v>
      </c>
      <c r="P1046">
        <v>0.442</v>
      </c>
      <c r="Q1046" s="1" t="s">
        <v>3094</v>
      </c>
      <c r="R1046">
        <v>0.13200000000000001</v>
      </c>
      <c r="S1046">
        <v>0.7</v>
      </c>
      <c r="T1046">
        <v>111.986</v>
      </c>
      <c r="U1046">
        <v>4</v>
      </c>
      <c r="V1046" t="s">
        <v>2975</v>
      </c>
    </row>
    <row r="1047" spans="3:22" x14ac:dyDescent="0.35">
      <c r="C1047" t="s">
        <v>3095</v>
      </c>
      <c r="D1047" t="s">
        <v>2977</v>
      </c>
      <c r="E1047" t="s">
        <v>2985</v>
      </c>
      <c r="F1047" t="s">
        <v>3096</v>
      </c>
      <c r="G1047">
        <v>36</v>
      </c>
      <c r="H1047">
        <v>140280</v>
      </c>
      <c r="I1047" t="b">
        <v>0</v>
      </c>
      <c r="J1047">
        <v>0.71699999999999997</v>
      </c>
      <c r="K1047">
        <v>0.78400000000000003</v>
      </c>
      <c r="L1047">
        <v>6</v>
      </c>
      <c r="M1047">
        <v>-5.1379999999999999</v>
      </c>
      <c r="N1047">
        <v>0</v>
      </c>
      <c r="O1047">
        <v>3.5299999999999998E-2</v>
      </c>
      <c r="P1047">
        <v>0.73</v>
      </c>
      <c r="Q1047">
        <v>1.26E-2</v>
      </c>
      <c r="R1047">
        <v>8.5099999999999995E-2</v>
      </c>
      <c r="S1047">
        <v>0.97799999999999998</v>
      </c>
      <c r="T1047">
        <v>168.14599999999999</v>
      </c>
      <c r="U1047">
        <v>4</v>
      </c>
      <c r="V1047" t="s">
        <v>2975</v>
      </c>
    </row>
    <row r="1048" spans="3:22" x14ac:dyDescent="0.35">
      <c r="C1048" t="s">
        <v>3097</v>
      </c>
      <c r="D1048" t="s">
        <v>2977</v>
      </c>
      <c r="E1048" t="s">
        <v>2985</v>
      </c>
      <c r="F1048" t="s">
        <v>3098</v>
      </c>
      <c r="G1048">
        <v>37</v>
      </c>
      <c r="H1048">
        <v>206760</v>
      </c>
      <c r="I1048" t="b">
        <v>0</v>
      </c>
      <c r="J1048">
        <v>0.81699999999999995</v>
      </c>
      <c r="K1048">
        <v>0.77100000000000002</v>
      </c>
      <c r="L1048">
        <v>5</v>
      </c>
      <c r="M1048">
        <v>-5.1319999999999997</v>
      </c>
      <c r="N1048">
        <v>1</v>
      </c>
      <c r="O1048">
        <v>8.6999999999999994E-2</v>
      </c>
      <c r="P1048">
        <v>0.70399999999999996</v>
      </c>
      <c r="Q1048">
        <v>0</v>
      </c>
      <c r="R1048">
        <v>8.8499999999999995E-2</v>
      </c>
      <c r="S1048">
        <v>0.76</v>
      </c>
      <c r="T1048">
        <v>111.099</v>
      </c>
      <c r="U1048">
        <v>4</v>
      </c>
      <c r="V1048" t="s">
        <v>2975</v>
      </c>
    </row>
    <row r="1049" spans="3:22" x14ac:dyDescent="0.35">
      <c r="C1049" t="s">
        <v>3099</v>
      </c>
      <c r="D1049" t="s">
        <v>3063</v>
      </c>
      <c r="E1049" t="s">
        <v>3025</v>
      </c>
      <c r="F1049" t="s">
        <v>3100</v>
      </c>
      <c r="G1049">
        <v>35</v>
      </c>
      <c r="H1049">
        <v>238346</v>
      </c>
      <c r="I1049" t="b">
        <v>0</v>
      </c>
      <c r="J1049">
        <v>0.374</v>
      </c>
      <c r="K1049">
        <v>0.93400000000000005</v>
      </c>
      <c r="L1049">
        <v>10</v>
      </c>
      <c r="M1049">
        <v>-5.3220000000000001</v>
      </c>
      <c r="N1049">
        <v>1</v>
      </c>
      <c r="O1049">
        <v>0.32200000000000001</v>
      </c>
      <c r="P1049">
        <v>5.8000000000000003E-2</v>
      </c>
      <c r="Q1049">
        <v>0</v>
      </c>
      <c r="R1049">
        <v>0.80400000000000005</v>
      </c>
      <c r="S1049">
        <v>0.38900000000000001</v>
      </c>
      <c r="T1049">
        <v>167.661</v>
      </c>
      <c r="U1049">
        <v>4</v>
      </c>
      <c r="V1049" t="s">
        <v>2975</v>
      </c>
    </row>
    <row r="1050" spans="3:22" x14ac:dyDescent="0.35">
      <c r="C1050" t="s">
        <v>3101</v>
      </c>
      <c r="D1050" t="s">
        <v>3063</v>
      </c>
      <c r="E1050" t="s">
        <v>3025</v>
      </c>
      <c r="F1050" t="s">
        <v>3102</v>
      </c>
      <c r="G1050">
        <v>37</v>
      </c>
      <c r="H1050">
        <v>211280</v>
      </c>
      <c r="I1050" t="b">
        <v>0</v>
      </c>
      <c r="J1050">
        <v>0.56899999999999995</v>
      </c>
      <c r="K1050">
        <v>0.90700000000000003</v>
      </c>
      <c r="L1050">
        <v>4</v>
      </c>
      <c r="M1050">
        <v>-5.6189999999999998</v>
      </c>
      <c r="N1050">
        <v>0</v>
      </c>
      <c r="O1050">
        <v>0.31</v>
      </c>
      <c r="P1050">
        <v>0.60199999999999998</v>
      </c>
      <c r="Q1050" s="1" t="s">
        <v>3103</v>
      </c>
      <c r="R1050">
        <v>0.86199999999999999</v>
      </c>
      <c r="S1050">
        <v>0.56200000000000006</v>
      </c>
      <c r="T1050">
        <v>94.346000000000004</v>
      </c>
      <c r="U1050">
        <v>4</v>
      </c>
      <c r="V1050" t="s">
        <v>2975</v>
      </c>
    </row>
    <row r="1051" spans="3:22" x14ac:dyDescent="0.35">
      <c r="C1051" t="s">
        <v>3104</v>
      </c>
      <c r="D1051" t="s">
        <v>3105</v>
      </c>
      <c r="E1051" t="s">
        <v>3106</v>
      </c>
      <c r="F1051" t="s">
        <v>3107</v>
      </c>
      <c r="G1051">
        <v>40</v>
      </c>
      <c r="H1051">
        <v>194293</v>
      </c>
      <c r="I1051" t="b">
        <v>0</v>
      </c>
      <c r="J1051">
        <v>0.68899999999999995</v>
      </c>
      <c r="K1051">
        <v>0.56399999999999995</v>
      </c>
      <c r="L1051">
        <v>6</v>
      </c>
      <c r="M1051">
        <v>-7.2759999999999998</v>
      </c>
      <c r="N1051">
        <v>1</v>
      </c>
      <c r="O1051">
        <v>0.126</v>
      </c>
      <c r="P1051">
        <v>0.14899999999999999</v>
      </c>
      <c r="Q1051">
        <v>0.94099999999999995</v>
      </c>
      <c r="R1051">
        <v>9.0899999999999995E-2</v>
      </c>
      <c r="S1051">
        <v>0.75800000000000001</v>
      </c>
      <c r="T1051">
        <v>87.474000000000004</v>
      </c>
      <c r="U1051">
        <v>4</v>
      </c>
      <c r="V1051" t="s">
        <v>2975</v>
      </c>
    </row>
    <row r="1052" spans="3:22" x14ac:dyDescent="0.35">
      <c r="C1052" t="s">
        <v>3108</v>
      </c>
      <c r="D1052" t="s">
        <v>3109</v>
      </c>
      <c r="E1052" t="s">
        <v>3110</v>
      </c>
      <c r="F1052" t="s">
        <v>3111</v>
      </c>
      <c r="G1052">
        <v>25</v>
      </c>
      <c r="H1052">
        <v>205597</v>
      </c>
      <c r="I1052" t="b">
        <v>0</v>
      </c>
      <c r="J1052">
        <v>0.35299999999999998</v>
      </c>
      <c r="K1052">
        <v>0.54800000000000004</v>
      </c>
      <c r="L1052">
        <v>2</v>
      </c>
      <c r="M1052">
        <v>-5.391</v>
      </c>
      <c r="N1052">
        <v>0</v>
      </c>
      <c r="O1052">
        <v>3.32E-2</v>
      </c>
      <c r="P1052">
        <v>0.70899999999999996</v>
      </c>
      <c r="Q1052">
        <v>0</v>
      </c>
      <c r="R1052">
        <v>0.66400000000000003</v>
      </c>
      <c r="S1052">
        <v>0.67</v>
      </c>
      <c r="T1052">
        <v>200.15199999999999</v>
      </c>
      <c r="U1052">
        <v>4</v>
      </c>
      <c r="V1052" t="s">
        <v>2975</v>
      </c>
    </row>
    <row r="1053" spans="3:22" x14ac:dyDescent="0.35">
      <c r="C1053" t="s">
        <v>3112</v>
      </c>
      <c r="D1053" t="s">
        <v>3113</v>
      </c>
      <c r="E1053" t="s">
        <v>3114</v>
      </c>
      <c r="F1053" t="s">
        <v>3115</v>
      </c>
      <c r="G1053">
        <v>64</v>
      </c>
      <c r="H1053">
        <v>67720</v>
      </c>
      <c r="I1053" t="b">
        <v>0</v>
      </c>
      <c r="J1053">
        <v>0.77800000000000002</v>
      </c>
      <c r="K1053">
        <v>0.39900000000000002</v>
      </c>
      <c r="L1053">
        <v>1</v>
      </c>
      <c r="M1053">
        <v>-8.984</v>
      </c>
      <c r="N1053">
        <v>1</v>
      </c>
      <c r="O1053">
        <v>8.5800000000000001E-2</v>
      </c>
      <c r="P1053">
        <v>7.51E-2</v>
      </c>
      <c r="Q1053">
        <v>0.83499999999999996</v>
      </c>
      <c r="R1053">
        <v>0.10299999999999999</v>
      </c>
      <c r="S1053">
        <v>0.32100000000000001</v>
      </c>
      <c r="T1053">
        <v>137.30500000000001</v>
      </c>
      <c r="U1053">
        <v>4</v>
      </c>
      <c r="V1053" t="s">
        <v>2975</v>
      </c>
    </row>
    <row r="1054" spans="3:22" x14ac:dyDescent="0.35">
      <c r="C1054" t="s">
        <v>3116</v>
      </c>
      <c r="D1054" t="s">
        <v>2977</v>
      </c>
      <c r="E1054" t="s">
        <v>3117</v>
      </c>
      <c r="F1054" t="s">
        <v>3117</v>
      </c>
      <c r="G1054">
        <v>32</v>
      </c>
      <c r="H1054">
        <v>253097</v>
      </c>
      <c r="I1054" t="b">
        <v>0</v>
      </c>
      <c r="J1054">
        <v>0.82399999999999995</v>
      </c>
      <c r="K1054">
        <v>0.72</v>
      </c>
      <c r="L1054">
        <v>6</v>
      </c>
      <c r="M1054">
        <v>-8.1890000000000001</v>
      </c>
      <c r="N1054">
        <v>0</v>
      </c>
      <c r="O1054">
        <v>0.14199999999999999</v>
      </c>
      <c r="P1054">
        <v>0.41599999999999998</v>
      </c>
      <c r="Q1054">
        <v>0.10100000000000001</v>
      </c>
      <c r="R1054">
        <v>0.10199999999999999</v>
      </c>
      <c r="S1054">
        <v>0.374</v>
      </c>
      <c r="T1054">
        <v>116.982</v>
      </c>
      <c r="U1054">
        <v>4</v>
      </c>
      <c r="V1054" t="s">
        <v>2975</v>
      </c>
    </row>
    <row r="1055" spans="3:22" x14ac:dyDescent="0.35">
      <c r="C1055" t="s">
        <v>3118</v>
      </c>
      <c r="D1055" t="s">
        <v>2993</v>
      </c>
      <c r="E1055" t="s">
        <v>3119</v>
      </c>
      <c r="F1055" t="s">
        <v>3119</v>
      </c>
      <c r="G1055">
        <v>37</v>
      </c>
      <c r="H1055">
        <v>149720</v>
      </c>
      <c r="I1055" t="b">
        <v>0</v>
      </c>
      <c r="J1055">
        <v>0.72399999999999998</v>
      </c>
      <c r="K1055">
        <v>0.83299999999999996</v>
      </c>
      <c r="L1055">
        <v>2</v>
      </c>
      <c r="M1055">
        <v>-6.9619999999999997</v>
      </c>
      <c r="N1055">
        <v>1</v>
      </c>
      <c r="O1055">
        <v>7.0499999999999993E-2</v>
      </c>
      <c r="P1055">
        <v>0.28899999999999998</v>
      </c>
      <c r="Q1055">
        <v>2.42E-4</v>
      </c>
      <c r="R1055">
        <v>9.9099999999999994E-2</v>
      </c>
      <c r="S1055">
        <v>0.875</v>
      </c>
      <c r="T1055">
        <v>144.999</v>
      </c>
      <c r="U1055">
        <v>4</v>
      </c>
      <c r="V1055" t="s">
        <v>2975</v>
      </c>
    </row>
    <row r="1056" spans="3:22" x14ac:dyDescent="0.35">
      <c r="C1056" t="s">
        <v>3120</v>
      </c>
      <c r="D1056" t="s">
        <v>2993</v>
      </c>
      <c r="E1056" t="s">
        <v>3121</v>
      </c>
      <c r="F1056" t="s">
        <v>3121</v>
      </c>
      <c r="G1056">
        <v>36</v>
      </c>
      <c r="H1056">
        <v>195040</v>
      </c>
      <c r="I1056" t="b">
        <v>0</v>
      </c>
      <c r="J1056">
        <v>0.72499999999999998</v>
      </c>
      <c r="K1056">
        <v>0.61799999999999999</v>
      </c>
      <c r="L1056">
        <v>9</v>
      </c>
      <c r="M1056">
        <v>-9.8420000000000005</v>
      </c>
      <c r="N1056">
        <v>0</v>
      </c>
      <c r="O1056">
        <v>4.5999999999999999E-2</v>
      </c>
      <c r="P1056">
        <v>0.32500000000000001</v>
      </c>
      <c r="Q1056">
        <v>1.3300000000000001E-4</v>
      </c>
      <c r="R1056">
        <v>0.38400000000000001</v>
      </c>
      <c r="S1056">
        <v>0.47899999999999998</v>
      </c>
      <c r="T1056">
        <v>112.681</v>
      </c>
      <c r="U1056">
        <v>5</v>
      </c>
      <c r="V1056" t="s">
        <v>2975</v>
      </c>
    </row>
    <row r="1057" spans="3:22" x14ac:dyDescent="0.35">
      <c r="C1057" t="s">
        <v>3122</v>
      </c>
      <c r="D1057" t="s">
        <v>3123</v>
      </c>
      <c r="E1057" t="s">
        <v>3124</v>
      </c>
      <c r="F1057" t="s">
        <v>3125</v>
      </c>
      <c r="G1057">
        <v>33</v>
      </c>
      <c r="H1057">
        <v>246613</v>
      </c>
      <c r="I1057" t="b">
        <v>0</v>
      </c>
      <c r="J1057">
        <v>0.52200000000000002</v>
      </c>
      <c r="K1057">
        <v>0.67200000000000004</v>
      </c>
      <c r="L1057">
        <v>7</v>
      </c>
      <c r="M1057">
        <v>-9.0579999999999998</v>
      </c>
      <c r="N1057">
        <v>0</v>
      </c>
      <c r="O1057">
        <v>3.9E-2</v>
      </c>
      <c r="P1057">
        <v>7.85E-2</v>
      </c>
      <c r="Q1057">
        <v>0.41799999999999998</v>
      </c>
      <c r="R1057">
        <v>8.6400000000000005E-2</v>
      </c>
      <c r="S1057">
        <v>0.75</v>
      </c>
      <c r="T1057">
        <v>155.833</v>
      </c>
      <c r="U1057">
        <v>4</v>
      </c>
      <c r="V1057" t="s">
        <v>2975</v>
      </c>
    </row>
    <row r="1058" spans="3:22" x14ac:dyDescent="0.35">
      <c r="C1058" t="s">
        <v>3126</v>
      </c>
      <c r="D1058" t="s">
        <v>3127</v>
      </c>
      <c r="E1058" t="s">
        <v>3128</v>
      </c>
      <c r="F1058" t="s">
        <v>3128</v>
      </c>
      <c r="G1058">
        <v>36</v>
      </c>
      <c r="H1058">
        <v>250354</v>
      </c>
      <c r="I1058" t="b">
        <v>0</v>
      </c>
      <c r="J1058">
        <v>0.45500000000000002</v>
      </c>
      <c r="K1058">
        <v>0.73799999999999999</v>
      </c>
      <c r="L1058">
        <v>7</v>
      </c>
      <c r="M1058">
        <v>-6.8259999999999996</v>
      </c>
      <c r="N1058">
        <v>0</v>
      </c>
      <c r="O1058">
        <v>3.5799999999999998E-2</v>
      </c>
      <c r="P1058">
        <v>0.161</v>
      </c>
      <c r="Q1058">
        <v>6.7799999999999999E-2</v>
      </c>
      <c r="R1058">
        <v>9.9599999999999994E-2</v>
      </c>
      <c r="S1058">
        <v>0.33500000000000002</v>
      </c>
      <c r="T1058">
        <v>125.351</v>
      </c>
      <c r="U1058">
        <v>5</v>
      </c>
      <c r="V1058" t="s">
        <v>2975</v>
      </c>
    </row>
    <row r="1059" spans="3:22" x14ac:dyDescent="0.35">
      <c r="C1059" t="s">
        <v>3129</v>
      </c>
      <c r="D1059" t="s">
        <v>3130</v>
      </c>
      <c r="E1059" t="s">
        <v>3010</v>
      </c>
      <c r="F1059" t="s">
        <v>3131</v>
      </c>
      <c r="G1059">
        <v>35</v>
      </c>
      <c r="H1059">
        <v>220670</v>
      </c>
      <c r="I1059" t="b">
        <v>0</v>
      </c>
      <c r="J1059">
        <v>0.61799999999999999</v>
      </c>
      <c r="K1059">
        <v>0.94499999999999995</v>
      </c>
      <c r="L1059">
        <v>4</v>
      </c>
      <c r="M1059">
        <v>-4.49</v>
      </c>
      <c r="N1059">
        <v>0</v>
      </c>
      <c r="O1059">
        <v>0.112</v>
      </c>
      <c r="P1059">
        <v>3.7199999999999997E-2</v>
      </c>
      <c r="Q1059">
        <v>3.2299999999999998E-3</v>
      </c>
      <c r="R1059">
        <v>0.25700000000000001</v>
      </c>
      <c r="S1059">
        <v>0.76</v>
      </c>
      <c r="T1059">
        <v>169.96700000000001</v>
      </c>
      <c r="U1059">
        <v>4</v>
      </c>
      <c r="V1059" t="s">
        <v>2975</v>
      </c>
    </row>
    <row r="1060" spans="3:22" x14ac:dyDescent="0.35">
      <c r="C1060" t="s">
        <v>3132</v>
      </c>
      <c r="D1060" t="s">
        <v>3133</v>
      </c>
      <c r="E1060" t="s">
        <v>3134</v>
      </c>
      <c r="F1060" t="s">
        <v>3134</v>
      </c>
      <c r="G1060">
        <v>33</v>
      </c>
      <c r="H1060">
        <v>206999</v>
      </c>
      <c r="I1060" t="b">
        <v>0</v>
      </c>
      <c r="J1060">
        <v>0.58499999999999996</v>
      </c>
      <c r="K1060">
        <v>0.58799999999999997</v>
      </c>
      <c r="L1060">
        <v>9</v>
      </c>
      <c r="M1060">
        <v>-8.1470000000000002</v>
      </c>
      <c r="N1060">
        <v>0</v>
      </c>
      <c r="O1060">
        <v>0.115</v>
      </c>
      <c r="P1060">
        <v>0.40500000000000003</v>
      </c>
      <c r="Q1060" s="1" t="s">
        <v>3135</v>
      </c>
      <c r="R1060">
        <v>0.32100000000000001</v>
      </c>
      <c r="S1060">
        <v>0.42899999999999999</v>
      </c>
      <c r="T1060">
        <v>100.80800000000001</v>
      </c>
      <c r="U1060">
        <v>3</v>
      </c>
      <c r="V1060" t="s">
        <v>2975</v>
      </c>
    </row>
    <row r="1061" spans="3:22" x14ac:dyDescent="0.35">
      <c r="C1061" t="s">
        <v>3136</v>
      </c>
      <c r="D1061" t="s">
        <v>2977</v>
      </c>
      <c r="E1061" t="s">
        <v>3060</v>
      </c>
      <c r="F1061" t="s">
        <v>3137</v>
      </c>
      <c r="G1061">
        <v>33</v>
      </c>
      <c r="H1061">
        <v>267853</v>
      </c>
      <c r="I1061" t="b">
        <v>0</v>
      </c>
      <c r="J1061">
        <v>0.86399999999999999</v>
      </c>
      <c r="K1061">
        <v>0.623</v>
      </c>
      <c r="L1061">
        <v>5</v>
      </c>
      <c r="M1061">
        <v>-5.9660000000000002</v>
      </c>
      <c r="N1061">
        <v>1</v>
      </c>
      <c r="O1061">
        <v>3.44E-2</v>
      </c>
      <c r="P1061">
        <v>0.45200000000000001</v>
      </c>
      <c r="Q1061">
        <v>9.6699999999999998E-3</v>
      </c>
      <c r="R1061">
        <v>0.105</v>
      </c>
      <c r="S1061">
        <v>0.84</v>
      </c>
      <c r="T1061">
        <v>132.00800000000001</v>
      </c>
      <c r="U1061">
        <v>4</v>
      </c>
      <c r="V1061" t="s">
        <v>2975</v>
      </c>
    </row>
    <row r="1062" spans="3:22" x14ac:dyDescent="0.35">
      <c r="C1062" t="s">
        <v>3138</v>
      </c>
      <c r="D1062" t="s">
        <v>3139</v>
      </c>
      <c r="E1062" t="s">
        <v>3140</v>
      </c>
      <c r="F1062" t="s">
        <v>3141</v>
      </c>
      <c r="G1062">
        <v>34</v>
      </c>
      <c r="H1062">
        <v>174538</v>
      </c>
      <c r="I1062" t="b">
        <v>0</v>
      </c>
      <c r="J1062">
        <v>0.69399999999999995</v>
      </c>
      <c r="K1062">
        <v>0.82</v>
      </c>
      <c r="L1062">
        <v>4</v>
      </c>
      <c r="M1062">
        <v>-7.8849999999999998</v>
      </c>
      <c r="N1062">
        <v>0</v>
      </c>
      <c r="O1062">
        <v>4.8000000000000001E-2</v>
      </c>
      <c r="P1062">
        <v>0.113</v>
      </c>
      <c r="Q1062">
        <v>0.89700000000000002</v>
      </c>
      <c r="R1062">
        <v>0.14699999999999999</v>
      </c>
      <c r="S1062">
        <v>0.58799999999999997</v>
      </c>
      <c r="T1062">
        <v>99.921999999999997</v>
      </c>
      <c r="U1062">
        <v>4</v>
      </c>
      <c r="V1062" t="s">
        <v>2975</v>
      </c>
    </row>
    <row r="1063" spans="3:22" x14ac:dyDescent="0.35">
      <c r="C1063" t="s">
        <v>3142</v>
      </c>
      <c r="D1063" t="s">
        <v>2993</v>
      </c>
      <c r="E1063" t="s">
        <v>3143</v>
      </c>
      <c r="F1063" t="s">
        <v>3143</v>
      </c>
      <c r="G1063">
        <v>35</v>
      </c>
      <c r="H1063">
        <v>210373</v>
      </c>
      <c r="I1063" t="b">
        <v>0</v>
      </c>
      <c r="J1063">
        <v>0.68500000000000005</v>
      </c>
      <c r="K1063">
        <v>0.73199999999999998</v>
      </c>
      <c r="L1063">
        <v>9</v>
      </c>
      <c r="M1063">
        <v>-8.5890000000000004</v>
      </c>
      <c r="N1063">
        <v>0</v>
      </c>
      <c r="O1063">
        <v>3.2199999999999999E-2</v>
      </c>
      <c r="P1063">
        <v>5.0600000000000003E-3</v>
      </c>
      <c r="Q1063">
        <v>0.77800000000000002</v>
      </c>
      <c r="R1063">
        <v>6.4000000000000001E-2</v>
      </c>
      <c r="S1063">
        <v>0.85599999999999998</v>
      </c>
      <c r="T1063">
        <v>127.999</v>
      </c>
      <c r="U1063">
        <v>4</v>
      </c>
      <c r="V1063" t="s">
        <v>2975</v>
      </c>
    </row>
    <row r="1064" spans="3:22" x14ac:dyDescent="0.35">
      <c r="C1064" t="s">
        <v>3144</v>
      </c>
      <c r="D1064" t="s">
        <v>2996</v>
      </c>
      <c r="E1064" t="s">
        <v>2997</v>
      </c>
      <c r="F1064" t="s">
        <v>3145</v>
      </c>
      <c r="G1064">
        <v>35</v>
      </c>
      <c r="H1064">
        <v>148000</v>
      </c>
      <c r="I1064" t="b">
        <v>0</v>
      </c>
      <c r="J1064">
        <v>0.48299999999999998</v>
      </c>
      <c r="K1064">
        <v>0.99399999999999999</v>
      </c>
      <c r="L1064">
        <v>4</v>
      </c>
      <c r="M1064">
        <v>-6.6760000000000002</v>
      </c>
      <c r="N1064">
        <v>0</v>
      </c>
      <c r="O1064">
        <v>7.6200000000000004E-2</v>
      </c>
      <c r="P1064">
        <v>4.44E-4</v>
      </c>
      <c r="Q1064">
        <v>0.76500000000000001</v>
      </c>
      <c r="R1064">
        <v>5.7000000000000002E-2</v>
      </c>
      <c r="S1064">
        <v>0.70199999999999996</v>
      </c>
      <c r="T1064">
        <v>182.05099999999999</v>
      </c>
      <c r="U1064">
        <v>4</v>
      </c>
      <c r="V1064" t="s">
        <v>2975</v>
      </c>
    </row>
    <row r="1065" spans="3:22" x14ac:dyDescent="0.35">
      <c r="C1065" t="s">
        <v>3146</v>
      </c>
      <c r="D1065" t="s">
        <v>3066</v>
      </c>
      <c r="E1065" t="s">
        <v>3067</v>
      </c>
      <c r="F1065" t="s">
        <v>3147</v>
      </c>
      <c r="G1065">
        <v>33</v>
      </c>
      <c r="H1065">
        <v>321351</v>
      </c>
      <c r="I1065" t="b">
        <v>0</v>
      </c>
      <c r="J1065">
        <v>0.72099999999999997</v>
      </c>
      <c r="K1065">
        <v>0.65400000000000003</v>
      </c>
      <c r="L1065">
        <v>7</v>
      </c>
      <c r="M1065">
        <v>-7.8769999999999998</v>
      </c>
      <c r="N1065">
        <v>0</v>
      </c>
      <c r="O1065">
        <v>2.3099999999999999E-2</v>
      </c>
      <c r="P1065">
        <v>0.314</v>
      </c>
      <c r="Q1065" s="1" t="s">
        <v>3148</v>
      </c>
      <c r="R1065">
        <v>0.82799999999999996</v>
      </c>
      <c r="S1065">
        <v>0.82599999999999996</v>
      </c>
      <c r="T1065">
        <v>102.97799999999999</v>
      </c>
      <c r="U1065">
        <v>4</v>
      </c>
      <c r="V1065" t="s">
        <v>2975</v>
      </c>
    </row>
    <row r="1066" spans="3:22" x14ac:dyDescent="0.35">
      <c r="C1066" t="s">
        <v>3149</v>
      </c>
      <c r="D1066" t="s">
        <v>3150</v>
      </c>
      <c r="E1066" t="s">
        <v>3151</v>
      </c>
      <c r="F1066" t="s">
        <v>3152</v>
      </c>
      <c r="G1066">
        <v>35</v>
      </c>
      <c r="H1066">
        <v>242373</v>
      </c>
      <c r="I1066" t="b">
        <v>0</v>
      </c>
      <c r="J1066">
        <v>0.68300000000000005</v>
      </c>
      <c r="K1066">
        <v>0.82299999999999995</v>
      </c>
      <c r="L1066">
        <v>9</v>
      </c>
      <c r="M1066">
        <v>-6.4749999999999996</v>
      </c>
      <c r="N1066">
        <v>1</v>
      </c>
      <c r="O1066">
        <v>5.5899999999999998E-2</v>
      </c>
      <c r="P1066">
        <v>0.13800000000000001</v>
      </c>
      <c r="Q1066">
        <v>6.7000000000000004E-2</v>
      </c>
      <c r="R1066">
        <v>0.17599999999999999</v>
      </c>
      <c r="S1066">
        <v>0.83699999999999997</v>
      </c>
      <c r="T1066">
        <v>120.03</v>
      </c>
      <c r="U1066">
        <v>4</v>
      </c>
      <c r="V1066" t="s">
        <v>2975</v>
      </c>
    </row>
    <row r="1067" spans="3:22" x14ac:dyDescent="0.35">
      <c r="C1067" t="s">
        <v>3153</v>
      </c>
      <c r="D1067" t="s">
        <v>3154</v>
      </c>
      <c r="E1067" t="s">
        <v>3155</v>
      </c>
      <c r="F1067" t="s">
        <v>3156</v>
      </c>
      <c r="G1067">
        <v>35</v>
      </c>
      <c r="H1067">
        <v>246568</v>
      </c>
      <c r="I1067" t="b">
        <v>0</v>
      </c>
      <c r="J1067">
        <v>0.61399999999999999</v>
      </c>
      <c r="K1067">
        <v>0.20899999999999999</v>
      </c>
      <c r="L1067">
        <v>7</v>
      </c>
      <c r="M1067">
        <v>-11.445</v>
      </c>
      <c r="N1067">
        <v>1</v>
      </c>
      <c r="O1067">
        <v>3.27E-2</v>
      </c>
      <c r="P1067">
        <v>0.86799999999999999</v>
      </c>
      <c r="Q1067">
        <v>6.7599999999999995E-4</v>
      </c>
      <c r="R1067">
        <v>0.182</v>
      </c>
      <c r="S1067">
        <v>0.41599999999999998</v>
      </c>
      <c r="T1067">
        <v>119.94799999999999</v>
      </c>
      <c r="U1067">
        <v>4</v>
      </c>
      <c r="V1067" t="s">
        <v>2975</v>
      </c>
    </row>
    <row r="1068" spans="3:22" x14ac:dyDescent="0.35">
      <c r="C1068" t="s">
        <v>3157</v>
      </c>
      <c r="D1068" t="s">
        <v>2977</v>
      </c>
      <c r="E1068" t="s">
        <v>3158</v>
      </c>
      <c r="F1068" t="s">
        <v>3158</v>
      </c>
      <c r="G1068">
        <v>34</v>
      </c>
      <c r="H1068">
        <v>219071</v>
      </c>
      <c r="I1068" t="b">
        <v>0</v>
      </c>
      <c r="J1068">
        <v>0.79300000000000004</v>
      </c>
      <c r="K1068">
        <v>0.65800000000000003</v>
      </c>
      <c r="L1068">
        <v>2</v>
      </c>
      <c r="M1068">
        <v>-6.3319999999999999</v>
      </c>
      <c r="N1068">
        <v>1</v>
      </c>
      <c r="O1068">
        <v>5.5199999999999999E-2</v>
      </c>
      <c r="P1068">
        <v>0.65200000000000002</v>
      </c>
      <c r="Q1068" s="1" t="s">
        <v>3033</v>
      </c>
      <c r="R1068">
        <v>8.2000000000000003E-2</v>
      </c>
      <c r="S1068">
        <v>0.96</v>
      </c>
      <c r="T1068">
        <v>114.039</v>
      </c>
      <c r="U1068">
        <v>4</v>
      </c>
      <c r="V1068" t="s">
        <v>2975</v>
      </c>
    </row>
    <row r="1069" spans="3:22" x14ac:dyDescent="0.35">
      <c r="C1069" t="s">
        <v>3159</v>
      </c>
      <c r="D1069" t="s">
        <v>2993</v>
      </c>
      <c r="E1069" t="s">
        <v>3160</v>
      </c>
      <c r="F1069" t="s">
        <v>3161</v>
      </c>
      <c r="G1069">
        <v>35</v>
      </c>
      <c r="H1069">
        <v>339413</v>
      </c>
      <c r="I1069" t="b">
        <v>0</v>
      </c>
      <c r="J1069">
        <v>0.59099999999999997</v>
      </c>
      <c r="K1069">
        <v>0.873</v>
      </c>
      <c r="L1069">
        <v>1</v>
      </c>
      <c r="M1069">
        <v>-6.8769999999999998</v>
      </c>
      <c r="N1069">
        <v>0</v>
      </c>
      <c r="O1069">
        <v>0.111</v>
      </c>
      <c r="P1069">
        <v>0.105</v>
      </c>
      <c r="Q1069">
        <v>1.8100000000000002E-2</v>
      </c>
      <c r="R1069">
        <v>6.7599999999999993E-2</v>
      </c>
      <c r="S1069">
        <v>0.88200000000000001</v>
      </c>
      <c r="T1069">
        <v>162.12100000000001</v>
      </c>
      <c r="U1069">
        <v>4</v>
      </c>
      <c r="V1069" t="s">
        <v>2975</v>
      </c>
    </row>
    <row r="1070" spans="3:22" x14ac:dyDescent="0.35">
      <c r="C1070" t="s">
        <v>3162</v>
      </c>
      <c r="D1070" t="s">
        <v>2977</v>
      </c>
      <c r="E1070" t="s">
        <v>2978</v>
      </c>
      <c r="F1070" t="s">
        <v>3163</v>
      </c>
      <c r="G1070">
        <v>35</v>
      </c>
      <c r="H1070">
        <v>303120</v>
      </c>
      <c r="I1070" t="b">
        <v>0</v>
      </c>
      <c r="J1070">
        <v>0.70199999999999996</v>
      </c>
      <c r="K1070">
        <v>0.68899999999999995</v>
      </c>
      <c r="L1070">
        <v>4</v>
      </c>
      <c r="M1070">
        <v>-6.1120000000000001</v>
      </c>
      <c r="N1070">
        <v>0</v>
      </c>
      <c r="O1070">
        <v>0.221</v>
      </c>
      <c r="P1070">
        <v>0.152</v>
      </c>
      <c r="Q1070">
        <v>0</v>
      </c>
      <c r="R1070">
        <v>8.7800000000000003E-2</v>
      </c>
      <c r="S1070">
        <v>0.24199999999999999</v>
      </c>
      <c r="T1070">
        <v>84.063000000000002</v>
      </c>
      <c r="U1070">
        <v>4</v>
      </c>
      <c r="V1070" t="s">
        <v>2975</v>
      </c>
    </row>
    <row r="1071" spans="3:22" x14ac:dyDescent="0.35">
      <c r="C1071" t="s">
        <v>3164</v>
      </c>
      <c r="D1071" t="s">
        <v>3165</v>
      </c>
      <c r="E1071" t="s">
        <v>3166</v>
      </c>
      <c r="F1071" t="s">
        <v>3167</v>
      </c>
      <c r="G1071">
        <v>33</v>
      </c>
      <c r="H1071">
        <v>214177</v>
      </c>
      <c r="I1071" t="b">
        <v>0</v>
      </c>
      <c r="J1071">
        <v>0.64</v>
      </c>
      <c r="K1071">
        <v>0.73199999999999998</v>
      </c>
      <c r="L1071">
        <v>5</v>
      </c>
      <c r="M1071">
        <v>-7.0780000000000003</v>
      </c>
      <c r="N1071">
        <v>0</v>
      </c>
      <c r="O1071">
        <v>6.4199999999999993E-2</v>
      </c>
      <c r="P1071">
        <v>0.64100000000000001</v>
      </c>
      <c r="Q1071">
        <v>1.4200000000000001E-4</v>
      </c>
      <c r="R1071">
        <v>0.114</v>
      </c>
      <c r="S1071">
        <v>0.83099999999999996</v>
      </c>
      <c r="T1071">
        <v>112.956</v>
      </c>
      <c r="U1071">
        <v>4</v>
      </c>
      <c r="V1071" t="s">
        <v>2975</v>
      </c>
    </row>
    <row r="1072" spans="3:22" x14ac:dyDescent="0.35">
      <c r="C1072" t="s">
        <v>3168</v>
      </c>
      <c r="D1072" t="s">
        <v>3169</v>
      </c>
      <c r="E1072" t="s">
        <v>3170</v>
      </c>
      <c r="F1072" t="s">
        <v>3170</v>
      </c>
      <c r="G1072">
        <v>37</v>
      </c>
      <c r="H1072">
        <v>148905</v>
      </c>
      <c r="I1072" t="b">
        <v>0</v>
      </c>
      <c r="J1072">
        <v>0.38300000000000001</v>
      </c>
      <c r="K1072">
        <v>0.71099999999999997</v>
      </c>
      <c r="L1072">
        <v>0</v>
      </c>
      <c r="M1072">
        <v>-8.1129999999999995</v>
      </c>
      <c r="N1072">
        <v>1</v>
      </c>
      <c r="O1072">
        <v>6.7100000000000007E-2</v>
      </c>
      <c r="P1072">
        <v>0.17399999999999999</v>
      </c>
      <c r="Q1072">
        <v>5.7200000000000003E-4</v>
      </c>
      <c r="R1072">
        <v>0.16</v>
      </c>
      <c r="S1072">
        <v>0.432</v>
      </c>
      <c r="T1072">
        <v>137.036</v>
      </c>
      <c r="U1072">
        <v>4</v>
      </c>
      <c r="V1072" t="s">
        <v>2975</v>
      </c>
    </row>
    <row r="1073" spans="3:22" x14ac:dyDescent="0.35">
      <c r="C1073" t="s">
        <v>3171</v>
      </c>
      <c r="D1073" t="s">
        <v>3150</v>
      </c>
      <c r="E1073" t="s">
        <v>3172</v>
      </c>
      <c r="F1073" t="s">
        <v>3173</v>
      </c>
      <c r="G1073">
        <v>36</v>
      </c>
      <c r="H1073">
        <v>426306</v>
      </c>
      <c r="I1073" t="b">
        <v>0</v>
      </c>
      <c r="J1073">
        <v>0.69199999999999995</v>
      </c>
      <c r="K1073">
        <v>0.746</v>
      </c>
      <c r="L1073">
        <v>7</v>
      </c>
      <c r="M1073">
        <v>-6.359</v>
      </c>
      <c r="N1073">
        <v>0</v>
      </c>
      <c r="O1073">
        <v>3.6200000000000003E-2</v>
      </c>
      <c r="P1073">
        <v>0.39300000000000002</v>
      </c>
      <c r="Q1073">
        <v>4.9600000000000002E-4</v>
      </c>
      <c r="R1073">
        <v>0.25700000000000001</v>
      </c>
      <c r="S1073">
        <v>0.61299999999999999</v>
      </c>
      <c r="T1073">
        <v>107.98099999999999</v>
      </c>
      <c r="U1073">
        <v>4</v>
      </c>
      <c r="V1073" t="s">
        <v>2975</v>
      </c>
    </row>
    <row r="1074" spans="3:22" x14ac:dyDescent="0.35">
      <c r="C1074" t="s">
        <v>3174</v>
      </c>
      <c r="D1074" t="s">
        <v>3175</v>
      </c>
      <c r="E1074" t="s">
        <v>3160</v>
      </c>
      <c r="F1074" t="s">
        <v>3176</v>
      </c>
      <c r="G1074">
        <v>34</v>
      </c>
      <c r="H1074">
        <v>156733</v>
      </c>
      <c r="I1074" t="b">
        <v>0</v>
      </c>
      <c r="J1074">
        <v>0.77900000000000003</v>
      </c>
      <c r="K1074">
        <v>0.91800000000000004</v>
      </c>
      <c r="L1074">
        <v>0</v>
      </c>
      <c r="M1074">
        <v>-6.9119999999999999</v>
      </c>
      <c r="N1074">
        <v>1</v>
      </c>
      <c r="O1074">
        <v>0.26800000000000002</v>
      </c>
      <c r="P1074">
        <v>0.126</v>
      </c>
      <c r="Q1074" s="1" t="s">
        <v>3177</v>
      </c>
      <c r="R1074">
        <v>0.70099999999999996</v>
      </c>
      <c r="S1074">
        <v>0.39100000000000001</v>
      </c>
      <c r="T1074">
        <v>100.041</v>
      </c>
      <c r="U1074">
        <v>4</v>
      </c>
      <c r="V1074" t="s">
        <v>2975</v>
      </c>
    </row>
    <row r="1075" spans="3:22" x14ac:dyDescent="0.35">
      <c r="C1075" t="s">
        <v>3178</v>
      </c>
      <c r="D1075" t="s">
        <v>3063</v>
      </c>
      <c r="E1075" t="s">
        <v>3025</v>
      </c>
      <c r="F1075" t="s">
        <v>3179</v>
      </c>
      <c r="G1075">
        <v>32</v>
      </c>
      <c r="H1075">
        <v>213960</v>
      </c>
      <c r="I1075" t="b">
        <v>0</v>
      </c>
      <c r="J1075">
        <v>0.65300000000000002</v>
      </c>
      <c r="K1075">
        <v>0.86799999999999999</v>
      </c>
      <c r="L1075">
        <v>9</v>
      </c>
      <c r="M1075">
        <v>-6.12</v>
      </c>
      <c r="N1075">
        <v>0</v>
      </c>
      <c r="O1075">
        <v>0.33600000000000002</v>
      </c>
      <c r="P1075">
        <v>0.64900000000000002</v>
      </c>
      <c r="Q1075">
        <v>0</v>
      </c>
      <c r="R1075">
        <v>0.95299999999999996</v>
      </c>
      <c r="S1075">
        <v>0.73299999999999998</v>
      </c>
      <c r="T1075">
        <v>82.15</v>
      </c>
      <c r="U1075">
        <v>4</v>
      </c>
      <c r="V1075" t="s">
        <v>2975</v>
      </c>
    </row>
    <row r="1076" spans="3:22" x14ac:dyDescent="0.35">
      <c r="C1076" t="s">
        <v>3180</v>
      </c>
      <c r="D1076" t="s">
        <v>2977</v>
      </c>
      <c r="E1076" t="s">
        <v>2982</v>
      </c>
      <c r="F1076" t="s">
        <v>3181</v>
      </c>
      <c r="G1076">
        <v>32</v>
      </c>
      <c r="H1076">
        <v>220653</v>
      </c>
      <c r="I1076" t="b">
        <v>0</v>
      </c>
      <c r="J1076">
        <v>0.79500000000000004</v>
      </c>
      <c r="K1076">
        <v>0.66400000000000003</v>
      </c>
      <c r="L1076">
        <v>11</v>
      </c>
      <c r="M1076">
        <v>-10.679</v>
      </c>
      <c r="N1076">
        <v>1</v>
      </c>
      <c r="O1076">
        <v>5.1900000000000002E-2</v>
      </c>
      <c r="P1076">
        <v>0.188</v>
      </c>
      <c r="Q1076">
        <v>0.89</v>
      </c>
      <c r="R1076">
        <v>0.17199999999999999</v>
      </c>
      <c r="S1076">
        <v>0.85399999999999998</v>
      </c>
      <c r="T1076">
        <v>136.029</v>
      </c>
      <c r="U1076">
        <v>4</v>
      </c>
      <c r="V1076" t="s">
        <v>2975</v>
      </c>
    </row>
    <row r="1077" spans="3:22" x14ac:dyDescent="0.35">
      <c r="C1077" t="s">
        <v>3182</v>
      </c>
      <c r="D1077" t="s">
        <v>3183</v>
      </c>
      <c r="E1077" t="s">
        <v>3160</v>
      </c>
      <c r="F1077" t="s">
        <v>3184</v>
      </c>
      <c r="G1077">
        <v>34</v>
      </c>
      <c r="H1077">
        <v>165160</v>
      </c>
      <c r="I1077" t="b">
        <v>0</v>
      </c>
      <c r="J1077">
        <v>0.72599999999999998</v>
      </c>
      <c r="K1077">
        <v>0.72</v>
      </c>
      <c r="L1077">
        <v>6</v>
      </c>
      <c r="M1077">
        <v>-6.8410000000000002</v>
      </c>
      <c r="N1077">
        <v>1</v>
      </c>
      <c r="O1077">
        <v>0.31</v>
      </c>
      <c r="P1077">
        <v>0.32700000000000001</v>
      </c>
      <c r="Q1077">
        <v>0</v>
      </c>
      <c r="R1077">
        <v>0.28699999999999998</v>
      </c>
      <c r="S1077">
        <v>0.874</v>
      </c>
      <c r="T1077">
        <v>149.995</v>
      </c>
      <c r="U1077">
        <v>4</v>
      </c>
      <c r="V1077" t="s">
        <v>2975</v>
      </c>
    </row>
    <row r="1078" spans="3:22" x14ac:dyDescent="0.35">
      <c r="C1078" t="s">
        <v>3185</v>
      </c>
      <c r="D1078" t="s">
        <v>3186</v>
      </c>
      <c r="E1078" t="s">
        <v>3187</v>
      </c>
      <c r="F1078" t="s">
        <v>3188</v>
      </c>
      <c r="G1078">
        <v>34</v>
      </c>
      <c r="H1078">
        <v>199360</v>
      </c>
      <c r="I1078" t="b">
        <v>0</v>
      </c>
      <c r="J1078">
        <v>0.42199999999999999</v>
      </c>
      <c r="K1078">
        <v>0.86199999999999999</v>
      </c>
      <c r="L1078">
        <v>7</v>
      </c>
      <c r="M1078">
        <v>-6.5339999999999998</v>
      </c>
      <c r="N1078">
        <v>0</v>
      </c>
      <c r="O1078">
        <v>0.153</v>
      </c>
      <c r="P1078">
        <v>0.60199999999999998</v>
      </c>
      <c r="Q1078">
        <v>9.0399999999999994E-3</v>
      </c>
      <c r="R1078">
        <v>0.29399999999999998</v>
      </c>
      <c r="S1078">
        <v>0.82599999999999996</v>
      </c>
      <c r="T1078">
        <v>80.525999999999996</v>
      </c>
      <c r="U1078">
        <v>3</v>
      </c>
      <c r="V1078" t="s">
        <v>2975</v>
      </c>
    </row>
    <row r="1079" spans="3:22" x14ac:dyDescent="0.35">
      <c r="C1079" t="s">
        <v>3189</v>
      </c>
      <c r="D1079" t="s">
        <v>3190</v>
      </c>
      <c r="E1079" t="s">
        <v>3191</v>
      </c>
      <c r="F1079" t="s">
        <v>3192</v>
      </c>
      <c r="G1079">
        <v>32</v>
      </c>
      <c r="H1079">
        <v>261552</v>
      </c>
      <c r="I1079" t="b">
        <v>0</v>
      </c>
      <c r="J1079">
        <v>0.79500000000000004</v>
      </c>
      <c r="K1079">
        <v>0.57299999999999995</v>
      </c>
      <c r="L1079">
        <v>0</v>
      </c>
      <c r="M1079">
        <v>-9.8379999999999992</v>
      </c>
      <c r="N1079">
        <v>1</v>
      </c>
      <c r="O1079">
        <v>5.5399999999999998E-2</v>
      </c>
      <c r="P1079">
        <v>0.40300000000000002</v>
      </c>
      <c r="Q1079">
        <v>4.0000000000000001E-3</v>
      </c>
      <c r="R1079">
        <v>0.10199999999999999</v>
      </c>
      <c r="S1079">
        <v>0.65</v>
      </c>
      <c r="T1079">
        <v>135.12299999999999</v>
      </c>
      <c r="U1079">
        <v>4</v>
      </c>
      <c r="V1079" t="s">
        <v>2975</v>
      </c>
    </row>
    <row r="1080" spans="3:22" x14ac:dyDescent="0.35">
      <c r="C1080" t="s">
        <v>3193</v>
      </c>
      <c r="D1080" t="s">
        <v>3047</v>
      </c>
      <c r="E1080" t="s">
        <v>3048</v>
      </c>
      <c r="F1080" t="s">
        <v>3194</v>
      </c>
      <c r="G1080">
        <v>34</v>
      </c>
      <c r="H1080">
        <v>213680</v>
      </c>
      <c r="I1080" t="b">
        <v>0</v>
      </c>
      <c r="J1080">
        <v>0.6</v>
      </c>
      <c r="K1080">
        <v>0.82599999999999996</v>
      </c>
      <c r="L1080">
        <v>2</v>
      </c>
      <c r="M1080">
        <v>-5.6539999999999999</v>
      </c>
      <c r="N1080">
        <v>1</v>
      </c>
      <c r="O1080">
        <v>4.7600000000000003E-2</v>
      </c>
      <c r="P1080">
        <v>5.5500000000000001E-2</v>
      </c>
      <c r="Q1080">
        <v>0</v>
      </c>
      <c r="R1080">
        <v>8.3500000000000005E-2</v>
      </c>
      <c r="S1080">
        <v>0.77</v>
      </c>
      <c r="T1080">
        <v>98.046000000000006</v>
      </c>
      <c r="U1080">
        <v>4</v>
      </c>
      <c r="V1080" t="s">
        <v>2975</v>
      </c>
    </row>
    <row r="1081" spans="3:22" x14ac:dyDescent="0.35">
      <c r="C1081" t="s">
        <v>3195</v>
      </c>
      <c r="D1081" t="s">
        <v>2977</v>
      </c>
      <c r="E1081" t="s">
        <v>3060</v>
      </c>
      <c r="F1081" t="s">
        <v>3196</v>
      </c>
      <c r="G1081">
        <v>34</v>
      </c>
      <c r="H1081">
        <v>181013</v>
      </c>
      <c r="I1081" t="b">
        <v>0</v>
      </c>
      <c r="J1081">
        <v>0.75900000000000001</v>
      </c>
      <c r="K1081">
        <v>0.79</v>
      </c>
      <c r="L1081">
        <v>11</v>
      </c>
      <c r="M1081">
        <v>-4.3550000000000004</v>
      </c>
      <c r="N1081">
        <v>0</v>
      </c>
      <c r="O1081">
        <v>6.5600000000000006E-2</v>
      </c>
      <c r="P1081">
        <v>0.26400000000000001</v>
      </c>
      <c r="Q1081" s="1" t="s">
        <v>3197</v>
      </c>
      <c r="R1081">
        <v>7.0699999999999999E-2</v>
      </c>
      <c r="S1081">
        <v>0.91400000000000003</v>
      </c>
      <c r="T1081">
        <v>135.953</v>
      </c>
      <c r="U1081">
        <v>4</v>
      </c>
      <c r="V1081" t="s">
        <v>2975</v>
      </c>
    </row>
    <row r="1082" spans="3:22" x14ac:dyDescent="0.35">
      <c r="C1082" t="s">
        <v>3198</v>
      </c>
      <c r="D1082" t="s">
        <v>2977</v>
      </c>
      <c r="E1082" t="s">
        <v>3025</v>
      </c>
      <c r="F1082" t="s">
        <v>3199</v>
      </c>
      <c r="G1082">
        <v>33</v>
      </c>
      <c r="H1082">
        <v>267480</v>
      </c>
      <c r="I1082" t="b">
        <v>0</v>
      </c>
      <c r="J1082">
        <v>0.57199999999999995</v>
      </c>
      <c r="K1082">
        <v>0.874</v>
      </c>
      <c r="L1082">
        <v>5</v>
      </c>
      <c r="M1082">
        <v>-7.5229999999999997</v>
      </c>
      <c r="N1082">
        <v>0</v>
      </c>
      <c r="O1082">
        <v>0.127</v>
      </c>
      <c r="P1082">
        <v>0.52500000000000002</v>
      </c>
      <c r="Q1082" s="1" t="s">
        <v>3200</v>
      </c>
      <c r="R1082">
        <v>0.71099999999999997</v>
      </c>
      <c r="S1082">
        <v>0.68100000000000005</v>
      </c>
      <c r="T1082">
        <v>94.006</v>
      </c>
      <c r="U1082">
        <v>4</v>
      </c>
      <c r="V1082" t="s">
        <v>2975</v>
      </c>
    </row>
    <row r="1083" spans="3:22" x14ac:dyDescent="0.35">
      <c r="C1083" t="s">
        <v>3201</v>
      </c>
      <c r="D1083" t="s">
        <v>3063</v>
      </c>
      <c r="E1083" t="s">
        <v>3025</v>
      </c>
      <c r="F1083" t="s">
        <v>3202</v>
      </c>
      <c r="G1083">
        <v>33</v>
      </c>
      <c r="H1083">
        <v>213773</v>
      </c>
      <c r="I1083" t="b">
        <v>0</v>
      </c>
      <c r="J1083">
        <v>0.54900000000000004</v>
      </c>
      <c r="K1083">
        <v>0.90100000000000002</v>
      </c>
      <c r="L1083">
        <v>2</v>
      </c>
      <c r="M1083">
        <v>-6.2080000000000002</v>
      </c>
      <c r="N1083">
        <v>1</v>
      </c>
      <c r="O1083">
        <v>0.29599999999999999</v>
      </c>
      <c r="P1083">
        <v>0.72099999999999997</v>
      </c>
      <c r="Q1083">
        <v>0</v>
      </c>
      <c r="R1083">
        <v>0.91300000000000003</v>
      </c>
      <c r="S1083">
        <v>0.35</v>
      </c>
      <c r="T1083">
        <v>152.298</v>
      </c>
      <c r="U1083">
        <v>4</v>
      </c>
      <c r="V1083" t="s">
        <v>2975</v>
      </c>
    </row>
    <row r="1084" spans="3:22" x14ac:dyDescent="0.35">
      <c r="C1084" t="s">
        <v>3203</v>
      </c>
      <c r="D1084" t="s">
        <v>3204</v>
      </c>
      <c r="E1084" t="s">
        <v>3035</v>
      </c>
      <c r="F1084" t="s">
        <v>3205</v>
      </c>
      <c r="G1084">
        <v>33</v>
      </c>
      <c r="H1084">
        <v>173413</v>
      </c>
      <c r="I1084" t="b">
        <v>0</v>
      </c>
      <c r="J1084">
        <v>0.66600000000000004</v>
      </c>
      <c r="K1084">
        <v>0.76100000000000001</v>
      </c>
      <c r="L1084">
        <v>7</v>
      </c>
      <c r="M1084">
        <v>-5.4720000000000004</v>
      </c>
      <c r="N1084">
        <v>1</v>
      </c>
      <c r="O1084">
        <v>9.2600000000000002E-2</v>
      </c>
      <c r="P1084">
        <v>1.4300000000000001E-4</v>
      </c>
      <c r="Q1084">
        <v>0.71199999999999997</v>
      </c>
      <c r="R1084">
        <v>0.112</v>
      </c>
      <c r="S1084">
        <v>0.79700000000000004</v>
      </c>
      <c r="T1084">
        <v>143.035</v>
      </c>
      <c r="U1084">
        <v>4</v>
      </c>
      <c r="V1084" t="s">
        <v>2975</v>
      </c>
    </row>
    <row r="1085" spans="3:22" x14ac:dyDescent="0.35">
      <c r="C1085" t="s">
        <v>3206</v>
      </c>
      <c r="D1085" t="s">
        <v>3009</v>
      </c>
      <c r="E1085" t="s">
        <v>3031</v>
      </c>
      <c r="F1085" t="s">
        <v>3011</v>
      </c>
      <c r="G1085">
        <v>35</v>
      </c>
      <c r="H1085">
        <v>232293</v>
      </c>
      <c r="I1085" t="b">
        <v>0</v>
      </c>
      <c r="J1085">
        <v>0.83799999999999997</v>
      </c>
      <c r="K1085">
        <v>0.91400000000000003</v>
      </c>
      <c r="L1085">
        <v>0</v>
      </c>
      <c r="M1085">
        <v>-4.0259999999999998</v>
      </c>
      <c r="N1085">
        <v>0</v>
      </c>
      <c r="O1085">
        <v>0.124</v>
      </c>
      <c r="P1085">
        <v>0.378</v>
      </c>
      <c r="Q1085">
        <v>3.98E-3</v>
      </c>
      <c r="R1085">
        <v>9.7900000000000001E-2</v>
      </c>
      <c r="S1085">
        <v>0.85499999999999998</v>
      </c>
      <c r="T1085">
        <v>146</v>
      </c>
      <c r="U1085">
        <v>4</v>
      </c>
      <c r="V1085" t="s">
        <v>2975</v>
      </c>
    </row>
    <row r="1086" spans="3:22" x14ac:dyDescent="0.35">
      <c r="C1086" t="s">
        <v>3207</v>
      </c>
      <c r="D1086" t="s">
        <v>2996</v>
      </c>
      <c r="E1086" t="s">
        <v>3208</v>
      </c>
      <c r="F1086" t="s">
        <v>3209</v>
      </c>
      <c r="G1086">
        <v>35</v>
      </c>
      <c r="H1086">
        <v>214960</v>
      </c>
      <c r="I1086" t="b">
        <v>0</v>
      </c>
      <c r="J1086">
        <v>0.79700000000000004</v>
      </c>
      <c r="K1086">
        <v>0.99</v>
      </c>
      <c r="L1086">
        <v>11</v>
      </c>
      <c r="M1086">
        <v>-8.0009999999999994</v>
      </c>
      <c r="N1086">
        <v>0</v>
      </c>
      <c r="O1086">
        <v>4.58E-2</v>
      </c>
      <c r="P1086">
        <v>3.7500000000000001E-4</v>
      </c>
      <c r="Q1086">
        <v>0.41899999999999998</v>
      </c>
      <c r="R1086">
        <v>3.3300000000000003E-2</v>
      </c>
      <c r="S1086">
        <v>0.92600000000000005</v>
      </c>
      <c r="T1086">
        <v>125.023</v>
      </c>
      <c r="U1086">
        <v>4</v>
      </c>
      <c r="V1086" t="s">
        <v>2975</v>
      </c>
    </row>
    <row r="1087" spans="3:22" x14ac:dyDescent="0.35">
      <c r="C1087" t="s">
        <v>3210</v>
      </c>
      <c r="D1087" t="s">
        <v>2993</v>
      </c>
      <c r="E1087" t="s">
        <v>3035</v>
      </c>
      <c r="F1087" t="s">
        <v>3211</v>
      </c>
      <c r="G1087">
        <v>36</v>
      </c>
      <c r="H1087">
        <v>247000</v>
      </c>
      <c r="I1087" t="b">
        <v>0</v>
      </c>
      <c r="J1087">
        <v>0.68799999999999994</v>
      </c>
      <c r="K1087">
        <v>0.86399999999999999</v>
      </c>
      <c r="L1087">
        <v>10</v>
      </c>
      <c r="M1087">
        <v>-4.9569999999999999</v>
      </c>
      <c r="N1087">
        <v>0</v>
      </c>
      <c r="O1087">
        <v>0.151</v>
      </c>
      <c r="P1087">
        <v>0.26900000000000002</v>
      </c>
      <c r="Q1087">
        <v>1.7200000000000001E-4</v>
      </c>
      <c r="R1087">
        <v>3.5700000000000003E-2</v>
      </c>
      <c r="S1087">
        <v>0.66700000000000004</v>
      </c>
      <c r="T1087">
        <v>180.05199999999999</v>
      </c>
      <c r="U1087">
        <v>4</v>
      </c>
      <c r="V1087" t="s">
        <v>2975</v>
      </c>
    </row>
    <row r="1088" spans="3:22" x14ac:dyDescent="0.35">
      <c r="C1088" t="s">
        <v>3212</v>
      </c>
      <c r="D1088" t="s">
        <v>3047</v>
      </c>
      <c r="E1088" t="s">
        <v>3048</v>
      </c>
      <c r="F1088" t="s">
        <v>3213</v>
      </c>
      <c r="G1088">
        <v>33</v>
      </c>
      <c r="H1088">
        <v>222408</v>
      </c>
      <c r="I1088" t="b">
        <v>0</v>
      </c>
      <c r="J1088">
        <v>0.69599999999999995</v>
      </c>
      <c r="K1088">
        <v>0.72399999999999998</v>
      </c>
      <c r="L1088">
        <v>2</v>
      </c>
      <c r="M1088">
        <v>-4.8600000000000003</v>
      </c>
      <c r="N1088">
        <v>1</v>
      </c>
      <c r="O1088">
        <v>3.4500000000000003E-2</v>
      </c>
      <c r="P1088">
        <v>0.65</v>
      </c>
      <c r="Q1088">
        <v>0</v>
      </c>
      <c r="R1088">
        <v>0.104</v>
      </c>
      <c r="S1088">
        <v>0.96499999999999997</v>
      </c>
      <c r="T1088">
        <v>99.929000000000002</v>
      </c>
      <c r="U1088">
        <v>4</v>
      </c>
      <c r="V1088" t="s">
        <v>2975</v>
      </c>
    </row>
    <row r="1089" spans="3:22" x14ac:dyDescent="0.35">
      <c r="C1089" t="s">
        <v>3214</v>
      </c>
      <c r="D1089" t="s">
        <v>3215</v>
      </c>
      <c r="E1089" t="s">
        <v>3216</v>
      </c>
      <c r="F1089" t="s">
        <v>3217</v>
      </c>
      <c r="G1089">
        <v>0</v>
      </c>
      <c r="H1089">
        <v>274933</v>
      </c>
      <c r="I1089" t="b">
        <v>0</v>
      </c>
      <c r="J1089">
        <v>0.46899999999999997</v>
      </c>
      <c r="K1089">
        <v>0.82399999999999995</v>
      </c>
      <c r="L1089">
        <v>8</v>
      </c>
      <c r="M1089">
        <v>-10.785</v>
      </c>
      <c r="N1089">
        <v>1</v>
      </c>
      <c r="O1089">
        <v>9.4399999999999998E-2</v>
      </c>
      <c r="P1089">
        <v>0.47799999999999998</v>
      </c>
      <c r="Q1089">
        <v>0.26800000000000002</v>
      </c>
      <c r="R1089">
        <v>7.5999999999999998E-2</v>
      </c>
      <c r="S1089">
        <v>0.78100000000000003</v>
      </c>
      <c r="T1089">
        <v>220.08099999999999</v>
      </c>
      <c r="U1089">
        <v>4</v>
      </c>
      <c r="V1089" t="s">
        <v>2975</v>
      </c>
    </row>
    <row r="1090" spans="3:22" x14ac:dyDescent="0.35">
      <c r="C1090" t="s">
        <v>3218</v>
      </c>
      <c r="D1090" t="s">
        <v>3215</v>
      </c>
      <c r="E1090" t="s">
        <v>3219</v>
      </c>
      <c r="F1090" t="s">
        <v>3220</v>
      </c>
      <c r="G1090">
        <v>0</v>
      </c>
      <c r="H1090">
        <v>356333</v>
      </c>
      <c r="I1090" t="b">
        <v>0</v>
      </c>
      <c r="J1090">
        <v>0.80100000000000005</v>
      </c>
      <c r="K1090">
        <v>0.73599999999999999</v>
      </c>
      <c r="L1090">
        <v>5</v>
      </c>
      <c r="M1090">
        <v>-8.8970000000000002</v>
      </c>
      <c r="N1090">
        <v>1</v>
      </c>
      <c r="O1090">
        <v>3.95E-2</v>
      </c>
      <c r="P1090">
        <v>0.34300000000000003</v>
      </c>
      <c r="Q1090">
        <v>1.83E-4</v>
      </c>
      <c r="R1090">
        <v>4.2900000000000001E-2</v>
      </c>
      <c r="S1090">
        <v>0.94199999999999995</v>
      </c>
      <c r="T1090">
        <v>105.009</v>
      </c>
      <c r="U1090">
        <v>4</v>
      </c>
      <c r="V1090" t="s">
        <v>2975</v>
      </c>
    </row>
    <row r="1091" spans="3:22" x14ac:dyDescent="0.35">
      <c r="C1091" t="s">
        <v>3221</v>
      </c>
      <c r="D1091" t="s">
        <v>3222</v>
      </c>
      <c r="E1091" t="s">
        <v>3223</v>
      </c>
      <c r="F1091" t="s">
        <v>3224</v>
      </c>
      <c r="G1091">
        <v>0</v>
      </c>
      <c r="H1091">
        <v>265586</v>
      </c>
      <c r="I1091" t="b">
        <v>0</v>
      </c>
      <c r="J1091">
        <v>0.81699999999999995</v>
      </c>
      <c r="K1091">
        <v>0.79400000000000004</v>
      </c>
      <c r="L1091">
        <v>0</v>
      </c>
      <c r="M1091">
        <v>-8.3239999999999998</v>
      </c>
      <c r="N1091">
        <v>1</v>
      </c>
      <c r="O1091">
        <v>7.5200000000000003E-2</v>
      </c>
      <c r="P1091">
        <v>5.6300000000000003E-2</v>
      </c>
      <c r="Q1091">
        <v>0.22900000000000001</v>
      </c>
      <c r="R1091">
        <v>6.8699999999999997E-2</v>
      </c>
      <c r="S1091">
        <v>0.92100000000000004</v>
      </c>
      <c r="T1091">
        <v>116.423</v>
      </c>
      <c r="U1091">
        <v>4</v>
      </c>
      <c r="V1091" t="s">
        <v>2975</v>
      </c>
    </row>
    <row r="1092" spans="3:22" x14ac:dyDescent="0.35">
      <c r="C1092" t="s">
        <v>3225</v>
      </c>
      <c r="D1092" t="s">
        <v>3063</v>
      </c>
      <c r="E1092" t="s">
        <v>3025</v>
      </c>
      <c r="F1092" t="s">
        <v>3226</v>
      </c>
      <c r="G1092">
        <v>34</v>
      </c>
      <c r="H1092">
        <v>273426</v>
      </c>
      <c r="I1092" t="b">
        <v>0</v>
      </c>
      <c r="J1092">
        <v>0.54</v>
      </c>
      <c r="K1092">
        <v>0.94499999999999995</v>
      </c>
      <c r="L1092">
        <v>1</v>
      </c>
      <c r="M1092">
        <v>-5.0209999999999999</v>
      </c>
      <c r="N1092">
        <v>1</v>
      </c>
      <c r="O1092">
        <v>0.27100000000000002</v>
      </c>
      <c r="P1092">
        <v>0.315</v>
      </c>
      <c r="Q1092">
        <v>0</v>
      </c>
      <c r="R1092">
        <v>0.40500000000000003</v>
      </c>
      <c r="S1092">
        <v>0.55100000000000005</v>
      </c>
      <c r="T1092">
        <v>92.013000000000005</v>
      </c>
      <c r="U1092">
        <v>4</v>
      </c>
      <c r="V1092" t="s">
        <v>2975</v>
      </c>
    </row>
    <row r="1093" spans="3:22" x14ac:dyDescent="0.35">
      <c r="C1093" t="s">
        <v>3227</v>
      </c>
      <c r="D1093" t="s">
        <v>3063</v>
      </c>
      <c r="E1093" t="s">
        <v>3025</v>
      </c>
      <c r="F1093" t="s">
        <v>3228</v>
      </c>
      <c r="G1093">
        <v>33</v>
      </c>
      <c r="H1093">
        <v>191453</v>
      </c>
      <c r="I1093" t="b">
        <v>0</v>
      </c>
      <c r="J1093">
        <v>0.35799999999999998</v>
      </c>
      <c r="K1093">
        <v>0.90500000000000003</v>
      </c>
      <c r="L1093">
        <v>5</v>
      </c>
      <c r="M1093">
        <v>-5.7759999999999998</v>
      </c>
      <c r="N1093">
        <v>0</v>
      </c>
      <c r="O1093">
        <v>0.45300000000000001</v>
      </c>
      <c r="P1093">
        <v>0.30399999999999999</v>
      </c>
      <c r="Q1093">
        <v>0</v>
      </c>
      <c r="R1093">
        <v>0.45400000000000001</v>
      </c>
      <c r="S1093">
        <v>0.46800000000000003</v>
      </c>
      <c r="T1093">
        <v>176.67</v>
      </c>
      <c r="U1093">
        <v>4</v>
      </c>
      <c r="V1093" t="s">
        <v>2975</v>
      </c>
    </row>
    <row r="1094" spans="3:22" x14ac:dyDescent="0.35">
      <c r="C1094" t="s">
        <v>3229</v>
      </c>
      <c r="D1094" t="s">
        <v>3215</v>
      </c>
      <c r="E1094" t="s">
        <v>3230</v>
      </c>
      <c r="F1094" t="s">
        <v>3231</v>
      </c>
      <c r="G1094">
        <v>0</v>
      </c>
      <c r="H1094">
        <v>527506</v>
      </c>
      <c r="I1094" t="b">
        <v>0</v>
      </c>
      <c r="J1094">
        <v>0.77800000000000002</v>
      </c>
      <c r="K1094">
        <v>0.71099999999999997</v>
      </c>
      <c r="L1094">
        <v>7</v>
      </c>
      <c r="M1094">
        <v>-11.367000000000001</v>
      </c>
      <c r="N1094">
        <v>1</v>
      </c>
      <c r="O1094">
        <v>6.4299999999999996E-2</v>
      </c>
      <c r="P1094">
        <v>0.35199999999999998</v>
      </c>
      <c r="Q1094">
        <v>4.7300000000000002E-2</v>
      </c>
      <c r="R1094">
        <v>0.96899999999999997</v>
      </c>
      <c r="S1094">
        <v>0.85799999999999998</v>
      </c>
      <c r="T1094">
        <v>108.127</v>
      </c>
      <c r="U1094">
        <v>4</v>
      </c>
      <c r="V1094" t="s">
        <v>2975</v>
      </c>
    </row>
    <row r="1095" spans="3:22" x14ac:dyDescent="0.35">
      <c r="C1095" t="s">
        <v>3232</v>
      </c>
      <c r="D1095" t="s">
        <v>3063</v>
      </c>
      <c r="E1095" t="s">
        <v>3025</v>
      </c>
      <c r="F1095" t="s">
        <v>3233</v>
      </c>
      <c r="G1095">
        <v>35</v>
      </c>
      <c r="H1095">
        <v>392480</v>
      </c>
      <c r="I1095" t="b">
        <v>0</v>
      </c>
      <c r="J1095">
        <v>0.28499999999999998</v>
      </c>
      <c r="K1095">
        <v>0.73399999999999999</v>
      </c>
      <c r="L1095">
        <v>5</v>
      </c>
      <c r="M1095">
        <v>-6.9560000000000004</v>
      </c>
      <c r="N1095">
        <v>0</v>
      </c>
      <c r="O1095">
        <v>5.0599999999999999E-2</v>
      </c>
      <c r="P1095">
        <v>0.3</v>
      </c>
      <c r="Q1095">
        <v>2.3099999999999999E-2</v>
      </c>
      <c r="R1095">
        <v>0.90300000000000002</v>
      </c>
      <c r="S1095">
        <v>0.24299999999999999</v>
      </c>
      <c r="T1095">
        <v>140.22399999999999</v>
      </c>
      <c r="U1095">
        <v>4</v>
      </c>
      <c r="V1095" t="s">
        <v>2975</v>
      </c>
    </row>
    <row r="1096" spans="3:22" x14ac:dyDescent="0.35">
      <c r="C1096" t="s">
        <v>3234</v>
      </c>
      <c r="D1096" t="s">
        <v>3215</v>
      </c>
      <c r="E1096" t="s">
        <v>3223</v>
      </c>
      <c r="F1096" t="s">
        <v>3235</v>
      </c>
      <c r="G1096">
        <v>0</v>
      </c>
      <c r="H1096">
        <v>334520</v>
      </c>
      <c r="I1096" t="b">
        <v>0</v>
      </c>
      <c r="J1096">
        <v>0.80600000000000005</v>
      </c>
      <c r="K1096">
        <v>0.47799999999999998</v>
      </c>
      <c r="L1096">
        <v>5</v>
      </c>
      <c r="M1096">
        <v>-11.387</v>
      </c>
      <c r="N1096">
        <v>0</v>
      </c>
      <c r="O1096">
        <v>0.107</v>
      </c>
      <c r="P1096">
        <v>0.77</v>
      </c>
      <c r="Q1096">
        <v>3.6000000000000002E-4</v>
      </c>
      <c r="R1096">
        <v>8.5599999999999996E-2</v>
      </c>
      <c r="S1096">
        <v>0.95899999999999996</v>
      </c>
      <c r="T1096">
        <v>89.938000000000002</v>
      </c>
      <c r="U1096">
        <v>4</v>
      </c>
      <c r="V1096" t="s">
        <v>2975</v>
      </c>
    </row>
    <row r="1097" spans="3:22" x14ac:dyDescent="0.35">
      <c r="C1097" t="s">
        <v>3236</v>
      </c>
      <c r="D1097" t="s">
        <v>3063</v>
      </c>
      <c r="E1097" t="s">
        <v>3025</v>
      </c>
      <c r="F1097" t="s">
        <v>3237</v>
      </c>
      <c r="G1097">
        <v>33</v>
      </c>
      <c r="H1097">
        <v>369773</v>
      </c>
      <c r="I1097" t="b">
        <v>0</v>
      </c>
      <c r="J1097">
        <v>0.53200000000000003</v>
      </c>
      <c r="K1097">
        <v>0.90800000000000003</v>
      </c>
      <c r="L1097">
        <v>5</v>
      </c>
      <c r="M1097">
        <v>-6.1239999999999997</v>
      </c>
      <c r="N1097">
        <v>0</v>
      </c>
      <c r="O1097">
        <v>0.23799999999999999</v>
      </c>
      <c r="P1097">
        <v>0.36699999999999999</v>
      </c>
      <c r="Q1097">
        <v>1.4200000000000001E-4</v>
      </c>
      <c r="R1097">
        <v>0.99199999999999999</v>
      </c>
      <c r="S1097">
        <v>0.73699999999999999</v>
      </c>
      <c r="T1097">
        <v>126.229</v>
      </c>
      <c r="U1097">
        <v>4</v>
      </c>
      <c r="V1097" t="s">
        <v>2975</v>
      </c>
    </row>
    <row r="1098" spans="3:22" x14ac:dyDescent="0.35">
      <c r="C1098" t="s">
        <v>3238</v>
      </c>
      <c r="D1098" t="s">
        <v>3105</v>
      </c>
      <c r="E1098" t="s">
        <v>3106</v>
      </c>
      <c r="F1098" t="s">
        <v>3239</v>
      </c>
      <c r="G1098">
        <v>34</v>
      </c>
      <c r="H1098">
        <v>191506</v>
      </c>
      <c r="I1098" t="b">
        <v>0</v>
      </c>
      <c r="J1098">
        <v>0.83699999999999997</v>
      </c>
      <c r="K1098">
        <v>0.59799999999999998</v>
      </c>
      <c r="L1098">
        <v>1</v>
      </c>
      <c r="M1098">
        <v>-9.0470000000000006</v>
      </c>
      <c r="N1098">
        <v>0</v>
      </c>
      <c r="O1098">
        <v>0.18099999999999999</v>
      </c>
      <c r="P1098">
        <v>0.39100000000000001</v>
      </c>
      <c r="Q1098">
        <v>0.23799999999999999</v>
      </c>
      <c r="R1098">
        <v>5.9799999999999999E-2</v>
      </c>
      <c r="S1098">
        <v>0.98299999999999998</v>
      </c>
      <c r="T1098">
        <v>145.21899999999999</v>
      </c>
      <c r="U1098">
        <v>4</v>
      </c>
      <c r="V1098" t="s">
        <v>2975</v>
      </c>
    </row>
    <row r="1099" spans="3:22" x14ac:dyDescent="0.35">
      <c r="C1099" t="s">
        <v>3240</v>
      </c>
      <c r="D1099" t="s">
        <v>3222</v>
      </c>
      <c r="E1099" t="s">
        <v>3241</v>
      </c>
      <c r="F1099" t="s">
        <v>3242</v>
      </c>
      <c r="G1099">
        <v>0</v>
      </c>
      <c r="H1099">
        <v>247626</v>
      </c>
      <c r="I1099" t="b">
        <v>0</v>
      </c>
      <c r="J1099">
        <v>0.78400000000000003</v>
      </c>
      <c r="K1099">
        <v>0.86899999999999999</v>
      </c>
      <c r="L1099">
        <v>2</v>
      </c>
      <c r="M1099">
        <v>-6.5949999999999998</v>
      </c>
      <c r="N1099">
        <v>1</v>
      </c>
      <c r="O1099">
        <v>3.6900000000000002E-2</v>
      </c>
      <c r="P1099">
        <v>1.0699999999999999E-2</v>
      </c>
      <c r="Q1099">
        <v>0.83</v>
      </c>
      <c r="R1099">
        <v>4.2200000000000001E-2</v>
      </c>
      <c r="S1099">
        <v>0.67200000000000004</v>
      </c>
      <c r="T1099">
        <v>99.174999999999997</v>
      </c>
      <c r="U1099">
        <v>4</v>
      </c>
      <c r="V1099" t="s">
        <v>2975</v>
      </c>
    </row>
    <row r="1100" spans="3:22" x14ac:dyDescent="0.35">
      <c r="C1100" t="s">
        <v>3243</v>
      </c>
      <c r="D1100" t="s">
        <v>3215</v>
      </c>
      <c r="E1100" t="s">
        <v>3241</v>
      </c>
      <c r="F1100" t="s">
        <v>3231</v>
      </c>
      <c r="G1100">
        <v>0</v>
      </c>
      <c r="H1100">
        <v>527506</v>
      </c>
      <c r="I1100" t="b">
        <v>0</v>
      </c>
      <c r="J1100">
        <v>0.77800000000000002</v>
      </c>
      <c r="K1100">
        <v>0.71099999999999997</v>
      </c>
      <c r="L1100">
        <v>7</v>
      </c>
      <c r="M1100">
        <v>-11.367000000000001</v>
      </c>
      <c r="N1100">
        <v>1</v>
      </c>
      <c r="O1100">
        <v>6.4299999999999996E-2</v>
      </c>
      <c r="P1100">
        <v>0.35199999999999998</v>
      </c>
      <c r="Q1100">
        <v>4.7300000000000002E-2</v>
      </c>
      <c r="R1100">
        <v>0.96899999999999997</v>
      </c>
      <c r="S1100">
        <v>0.85799999999999998</v>
      </c>
      <c r="T1100">
        <v>108.127</v>
      </c>
      <c r="U1100">
        <v>4</v>
      </c>
      <c r="V1100" t="s">
        <v>2975</v>
      </c>
    </row>
    <row r="1101" spans="3:22" x14ac:dyDescent="0.35">
      <c r="C1101" t="s">
        <v>3244</v>
      </c>
      <c r="D1101" t="s">
        <v>3245</v>
      </c>
      <c r="E1101" t="s">
        <v>3241</v>
      </c>
      <c r="F1101" t="s">
        <v>3246</v>
      </c>
      <c r="G1101">
        <v>3</v>
      </c>
      <c r="H1101">
        <v>336933</v>
      </c>
      <c r="I1101" t="b">
        <v>0</v>
      </c>
      <c r="J1101">
        <v>0.76600000000000001</v>
      </c>
      <c r="K1101">
        <v>0.375</v>
      </c>
      <c r="L1101">
        <v>5</v>
      </c>
      <c r="M1101">
        <v>-13.456</v>
      </c>
      <c r="N1101">
        <v>1</v>
      </c>
      <c r="O1101">
        <v>7.6300000000000007E-2</v>
      </c>
      <c r="P1101">
        <v>0.29699999999999999</v>
      </c>
      <c r="Q1101">
        <v>0.86199999999999999</v>
      </c>
      <c r="R1101">
        <v>0.128</v>
      </c>
      <c r="S1101">
        <v>0.62</v>
      </c>
      <c r="T1101">
        <v>81.626000000000005</v>
      </c>
      <c r="U1101">
        <v>4</v>
      </c>
      <c r="V1101" t="s">
        <v>2975</v>
      </c>
    </row>
    <row r="1102" spans="3:22" x14ac:dyDescent="0.35">
      <c r="C1102" t="s">
        <v>3247</v>
      </c>
      <c r="D1102" t="s">
        <v>3248</v>
      </c>
      <c r="E1102" t="s">
        <v>3249</v>
      </c>
      <c r="F1102" t="s">
        <v>3250</v>
      </c>
      <c r="G1102">
        <v>75</v>
      </c>
      <c r="H1102">
        <v>239306</v>
      </c>
      <c r="I1102" t="b">
        <v>1</v>
      </c>
      <c r="J1102">
        <v>0.82899999999999996</v>
      </c>
      <c r="K1102">
        <v>0.878</v>
      </c>
      <c r="L1102">
        <v>9</v>
      </c>
      <c r="M1102">
        <v>-5.9509999999999996</v>
      </c>
      <c r="N1102">
        <v>1</v>
      </c>
      <c r="O1102">
        <v>0.10100000000000001</v>
      </c>
      <c r="P1102">
        <v>9.5899999999999999E-2</v>
      </c>
      <c r="Q1102">
        <v>0</v>
      </c>
      <c r="R1102">
        <v>0.77600000000000002</v>
      </c>
      <c r="S1102">
        <v>0.88300000000000001</v>
      </c>
      <c r="T1102">
        <v>87.991</v>
      </c>
      <c r="U1102">
        <v>4</v>
      </c>
      <c r="V1102" t="s">
        <v>2975</v>
      </c>
    </row>
    <row r="1112" spans="17:17" x14ac:dyDescent="0.35">
      <c r="Q1112" s="1"/>
    </row>
    <row r="1133" spans="17:17" x14ac:dyDescent="0.35">
      <c r="Q1133" s="1"/>
    </row>
    <row r="1155" spans="17:17" x14ac:dyDescent="0.35">
      <c r="Q1155" s="1"/>
    </row>
    <row r="1159" spans="17:17" x14ac:dyDescent="0.35">
      <c r="Q1159" s="1"/>
    </row>
    <row r="1162" spans="17:17" x14ac:dyDescent="0.35">
      <c r="Q1162" s="1"/>
    </row>
    <row r="1163" spans="17:17" x14ac:dyDescent="0.35">
      <c r="Q1163" s="1"/>
    </row>
    <row r="1165" spans="17:17" x14ac:dyDescent="0.35">
      <c r="Q1165" s="1"/>
    </row>
    <row r="1168" spans="17:17" x14ac:dyDescent="0.35">
      <c r="Q1168" s="1"/>
    </row>
    <row r="1171" spans="17:17" x14ac:dyDescent="0.35">
      <c r="Q1171" s="1"/>
    </row>
    <row r="1174" spans="17:17" x14ac:dyDescent="0.35">
      <c r="Q1174" s="1"/>
    </row>
    <row r="1182" spans="17:17" x14ac:dyDescent="0.35">
      <c r="Q1182" s="1"/>
    </row>
    <row r="1207" spans="17:17" x14ac:dyDescent="0.35">
      <c r="Q1207" s="1"/>
    </row>
    <row r="1214" spans="17:17" x14ac:dyDescent="0.35">
      <c r="Q1214" s="1"/>
    </row>
    <row r="1215" spans="17:17" x14ac:dyDescent="0.35">
      <c r="Q1215" s="1"/>
    </row>
    <row r="1216" spans="17:17" x14ac:dyDescent="0.35">
      <c r="Q1216" s="1"/>
    </row>
    <row r="1225" spans="17:17" x14ac:dyDescent="0.35">
      <c r="Q1225" s="1"/>
    </row>
    <row r="1233" spans="16:17" x14ac:dyDescent="0.35">
      <c r="Q1233" s="1"/>
    </row>
    <row r="1234" spans="16:17" x14ac:dyDescent="0.35">
      <c r="Q1234" s="1"/>
    </row>
    <row r="1237" spans="16:17" x14ac:dyDescent="0.35">
      <c r="Q1237" s="1"/>
    </row>
    <row r="1241" spans="16:17" x14ac:dyDescent="0.35">
      <c r="P1241" s="1"/>
    </row>
    <row r="1244" spans="16:17" x14ac:dyDescent="0.35">
      <c r="Q1244" s="1"/>
    </row>
    <row r="1252" spans="17:17" x14ac:dyDescent="0.35">
      <c r="Q1252" s="1"/>
    </row>
    <row r="1273" spans="17:17" x14ac:dyDescent="0.35">
      <c r="Q1273" s="1"/>
    </row>
    <row r="1278" spans="17:17" x14ac:dyDescent="0.35">
      <c r="Q1278" s="1"/>
    </row>
    <row r="1286" spans="17:17" x14ac:dyDescent="0.35">
      <c r="Q1286" s="1"/>
    </row>
    <row r="1292" spans="17:17" x14ac:dyDescent="0.35">
      <c r="Q1292" s="1"/>
    </row>
    <row r="1302" spans="17:17" x14ac:dyDescent="0.35">
      <c r="Q1302" s="1"/>
    </row>
    <row r="1311" spans="17:17" x14ac:dyDescent="0.35">
      <c r="Q1311" s="1"/>
    </row>
    <row r="1314" spans="17:17" x14ac:dyDescent="0.35">
      <c r="Q1314" s="1"/>
    </row>
    <row r="1319" spans="17:17" x14ac:dyDescent="0.35">
      <c r="Q1319" s="1"/>
    </row>
    <row r="1328" spans="17:17" x14ac:dyDescent="0.35">
      <c r="Q1328" s="1"/>
    </row>
    <row r="1331" spans="17:17" x14ac:dyDescent="0.35">
      <c r="Q1331" s="1"/>
    </row>
    <row r="1333" spans="17:17" x14ac:dyDescent="0.35">
      <c r="Q1333" s="1"/>
    </row>
    <row r="1335" spans="17:17" x14ac:dyDescent="0.35">
      <c r="Q1335" s="1"/>
    </row>
    <row r="1343" spans="17:17" x14ac:dyDescent="0.35">
      <c r="Q1343" s="1"/>
    </row>
    <row r="1347" spans="17:17" x14ac:dyDescent="0.35">
      <c r="Q1347" s="1"/>
    </row>
    <row r="1356" spans="17:17" x14ac:dyDescent="0.35">
      <c r="Q1356" s="1"/>
    </row>
    <row r="1357" spans="17:17" x14ac:dyDescent="0.35">
      <c r="Q1357" s="1"/>
    </row>
    <row r="1372" spans="17:17" x14ac:dyDescent="0.35">
      <c r="Q1372" s="1"/>
    </row>
    <row r="1375" spans="17:17" x14ac:dyDescent="0.35">
      <c r="Q1375" s="1"/>
    </row>
    <row r="1377" spans="17:17" x14ac:dyDescent="0.35">
      <c r="Q1377" s="1"/>
    </row>
    <row r="1396" spans="17:17" x14ac:dyDescent="0.35">
      <c r="Q1396" s="1"/>
    </row>
    <row r="1412" spans="17:17" x14ac:dyDescent="0.35">
      <c r="Q1412" s="1"/>
    </row>
    <row r="1417" spans="17:17" x14ac:dyDescent="0.35">
      <c r="Q1417" s="1"/>
    </row>
    <row r="1422" spans="17:17" x14ac:dyDescent="0.35">
      <c r="Q1422" s="1"/>
    </row>
    <row r="1426" spans="17:17" x14ac:dyDescent="0.35">
      <c r="Q1426" s="1"/>
    </row>
    <row r="1432" spans="17:17" x14ac:dyDescent="0.35">
      <c r="Q1432" s="1"/>
    </row>
    <row r="1436" spans="17:17" x14ac:dyDescent="0.35">
      <c r="Q1436" s="1"/>
    </row>
    <row r="1445" spans="17:17" x14ac:dyDescent="0.35">
      <c r="Q1445" s="1"/>
    </row>
    <row r="1450" spans="17:17" x14ac:dyDescent="0.35">
      <c r="Q1450" s="1"/>
    </row>
    <row r="1466" spans="16:17" x14ac:dyDescent="0.35">
      <c r="Q1466" s="1"/>
    </row>
    <row r="1469" spans="16:17" x14ac:dyDescent="0.35">
      <c r="Q1469" s="1"/>
    </row>
    <row r="1472" spans="16:17" x14ac:dyDescent="0.35">
      <c r="P1472" s="1"/>
    </row>
    <row r="1476" spans="17:17" x14ac:dyDescent="0.35">
      <c r="Q1476" s="1"/>
    </row>
    <row r="1485" spans="17:17" x14ac:dyDescent="0.35">
      <c r="Q1485" s="1"/>
    </row>
    <row r="1489" spans="17:17" x14ac:dyDescent="0.35">
      <c r="Q1489" s="1"/>
    </row>
    <row r="1498" spans="17:17" x14ac:dyDescent="0.35">
      <c r="Q1498" s="1"/>
    </row>
    <row r="1502" spans="17:17" x14ac:dyDescent="0.35">
      <c r="Q1502" s="1"/>
    </row>
    <row r="1515" spans="17:17" x14ac:dyDescent="0.35">
      <c r="Q1515" s="1"/>
    </row>
    <row r="1521" spans="17:17" x14ac:dyDescent="0.35">
      <c r="Q1521" s="1"/>
    </row>
    <row r="1528" spans="17:17" x14ac:dyDescent="0.35">
      <c r="Q1528" s="1"/>
    </row>
    <row r="1539" spans="17:17" x14ac:dyDescent="0.35">
      <c r="Q1539" s="1"/>
    </row>
    <row r="1540" spans="17:17" x14ac:dyDescent="0.35">
      <c r="Q1540" s="1"/>
    </row>
    <row r="1541" spans="17:17" x14ac:dyDescent="0.35">
      <c r="Q1541" s="1"/>
    </row>
    <row r="1545" spans="17:17" x14ac:dyDescent="0.35">
      <c r="Q1545" s="1"/>
    </row>
    <row r="1551" spans="17:17" x14ac:dyDescent="0.35">
      <c r="Q1551" s="1"/>
    </row>
    <row r="1552" spans="17:17" x14ac:dyDescent="0.35">
      <c r="Q1552" s="1"/>
    </row>
    <row r="1567" spans="17:17" x14ac:dyDescent="0.35">
      <c r="Q1567" s="1"/>
    </row>
    <row r="1583" spans="17:17" x14ac:dyDescent="0.35">
      <c r="Q1583" s="1"/>
    </row>
    <row r="1589" spans="17:17" x14ac:dyDescent="0.35">
      <c r="Q1589" s="1"/>
    </row>
    <row r="1610" spans="17:17" x14ac:dyDescent="0.35">
      <c r="Q1610" s="1"/>
    </row>
    <row r="1611" spans="17:17" x14ac:dyDescent="0.35">
      <c r="Q1611" s="1"/>
    </row>
    <row r="1616" spans="17:17" x14ac:dyDescent="0.35">
      <c r="Q1616" s="1"/>
    </row>
    <row r="1631" spans="17:17" x14ac:dyDescent="0.35">
      <c r="Q1631" s="1"/>
    </row>
    <row r="1638" spans="17:17" x14ac:dyDescent="0.35">
      <c r="Q1638" s="1"/>
    </row>
    <row r="1640" spans="17:17" x14ac:dyDescent="0.35">
      <c r="Q1640" s="1"/>
    </row>
    <row r="1647" spans="17:17" x14ac:dyDescent="0.35">
      <c r="Q1647" s="1"/>
    </row>
    <row r="1649" spans="17:17" x14ac:dyDescent="0.35">
      <c r="Q1649" s="1"/>
    </row>
    <row r="1660" spans="17:17" x14ac:dyDescent="0.35">
      <c r="Q1660" s="1"/>
    </row>
    <row r="1677" spans="17:17" x14ac:dyDescent="0.35">
      <c r="Q1677" s="1"/>
    </row>
    <row r="1683" spans="17:17" x14ac:dyDescent="0.35">
      <c r="Q1683" s="1"/>
    </row>
    <row r="1690" spans="17:17" x14ac:dyDescent="0.35">
      <c r="Q1690" s="1"/>
    </row>
    <row r="1696" spans="17:17" x14ac:dyDescent="0.35">
      <c r="Q1696" s="1"/>
    </row>
    <row r="1703" spans="17:17" x14ac:dyDescent="0.35">
      <c r="Q1703" s="1"/>
    </row>
    <row r="1709" spans="17:17" x14ac:dyDescent="0.35">
      <c r="Q1709" s="1"/>
    </row>
    <row r="1721" spans="17:17" x14ac:dyDescent="0.35">
      <c r="Q1721" s="1"/>
    </row>
    <row r="1730" spans="17:17" x14ac:dyDescent="0.35">
      <c r="Q1730" s="1"/>
    </row>
    <row r="1731" spans="17:17" x14ac:dyDescent="0.35">
      <c r="Q1731" s="1"/>
    </row>
    <row r="1732" spans="17:17" x14ac:dyDescent="0.35">
      <c r="Q1732" s="1"/>
    </row>
    <row r="1737" spans="17:17" x14ac:dyDescent="0.35">
      <c r="Q1737" s="1"/>
    </row>
    <row r="1740" spans="17:17" x14ac:dyDescent="0.35">
      <c r="Q1740" s="1"/>
    </row>
    <row r="1742" spans="17:17" x14ac:dyDescent="0.35">
      <c r="Q1742" s="1"/>
    </row>
    <row r="1744" spans="17:17" x14ac:dyDescent="0.35">
      <c r="Q1744" s="1"/>
    </row>
    <row r="1748" spans="17:17" x14ac:dyDescent="0.35">
      <c r="Q1748" s="1"/>
    </row>
    <row r="1752" spans="17:17" x14ac:dyDescent="0.35">
      <c r="Q1752" s="1"/>
    </row>
    <row r="1767" spans="17:17" x14ac:dyDescent="0.35">
      <c r="Q1767" s="1"/>
    </row>
    <row r="1788" spans="17:17" x14ac:dyDescent="0.35">
      <c r="Q1788" s="1"/>
    </row>
    <row r="1795" spans="17:17" x14ac:dyDescent="0.35">
      <c r="Q1795" s="1"/>
    </row>
    <row r="1805" spans="17:17" x14ac:dyDescent="0.35">
      <c r="Q1805" s="1"/>
    </row>
    <row r="1808" spans="17:17" x14ac:dyDescent="0.35">
      <c r="Q1808" s="1"/>
    </row>
    <row r="1846" spans="17:17" x14ac:dyDescent="0.35">
      <c r="Q1846" s="1"/>
    </row>
    <row r="1847" spans="17:17" x14ac:dyDescent="0.35">
      <c r="Q1847" s="1"/>
    </row>
    <row r="1851" spans="17:17" x14ac:dyDescent="0.35">
      <c r="Q1851" s="1"/>
    </row>
    <row r="1863" spans="17:17" x14ac:dyDescent="0.35">
      <c r="Q1863" s="1"/>
    </row>
    <row r="1866" spans="17:17" x14ac:dyDescent="0.35">
      <c r="Q1866" s="1"/>
    </row>
    <row r="1870" spans="17:17" x14ac:dyDescent="0.35">
      <c r="Q1870" s="1"/>
    </row>
    <row r="1875" spans="17:17" x14ac:dyDescent="0.35">
      <c r="Q1875" s="1"/>
    </row>
    <row r="1881" spans="17:17" x14ac:dyDescent="0.35">
      <c r="Q1881" s="1"/>
    </row>
    <row r="1886" spans="17:17" x14ac:dyDescent="0.35">
      <c r="Q1886" s="1"/>
    </row>
    <row r="1892" spans="17:17" x14ac:dyDescent="0.35">
      <c r="Q1892" s="1"/>
    </row>
    <row r="1900" spans="17:17" x14ac:dyDescent="0.35">
      <c r="Q1900" s="1"/>
    </row>
    <row r="1908" spans="17:17" x14ac:dyDescent="0.35">
      <c r="Q1908" s="1"/>
    </row>
    <row r="1912" spans="17:17" x14ac:dyDescent="0.35">
      <c r="Q1912" s="1"/>
    </row>
    <row r="1913" spans="17:17" x14ac:dyDescent="0.35">
      <c r="Q1913" s="1"/>
    </row>
    <row r="1916" spans="17:17" x14ac:dyDescent="0.35">
      <c r="Q1916" s="1"/>
    </row>
    <row r="1923" spans="17:17" x14ac:dyDescent="0.35">
      <c r="Q1923" s="1"/>
    </row>
    <row r="1928" spans="17:17" x14ac:dyDescent="0.35">
      <c r="Q1928" s="1"/>
    </row>
    <row r="1939" spans="17:17" x14ac:dyDescent="0.35">
      <c r="Q1939" s="1"/>
    </row>
    <row r="1951" spans="17:17" x14ac:dyDescent="0.35">
      <c r="Q1951" s="1"/>
    </row>
    <row r="1972" spans="17:17" x14ac:dyDescent="0.35">
      <c r="Q1972" s="1"/>
    </row>
    <row r="1979" spans="17:17" x14ac:dyDescent="0.35">
      <c r="Q1979" s="1"/>
    </row>
    <row r="1981" spans="17:17" x14ac:dyDescent="0.35">
      <c r="Q1981" s="1"/>
    </row>
    <row r="2007" spans="16:17" x14ac:dyDescent="0.35">
      <c r="Q2007" s="1"/>
    </row>
    <row r="2010" spans="16:17" x14ac:dyDescent="0.35">
      <c r="Q2010" s="1"/>
    </row>
    <row r="2011" spans="16:17" x14ac:dyDescent="0.35">
      <c r="P2011" s="1"/>
    </row>
    <row r="2019" spans="16:17" x14ac:dyDescent="0.35">
      <c r="Q2019" s="1"/>
    </row>
    <row r="2023" spans="16:17" x14ac:dyDescent="0.35">
      <c r="Q2023" s="1"/>
    </row>
    <row r="2032" spans="16:17" x14ac:dyDescent="0.35">
      <c r="P2032" s="1"/>
    </row>
    <row r="2058" spans="17:17" x14ac:dyDescent="0.35">
      <c r="Q2058" s="1"/>
    </row>
    <row r="2062" spans="17:17" x14ac:dyDescent="0.35">
      <c r="Q2062" s="1"/>
    </row>
    <row r="2066" spans="16:17" x14ac:dyDescent="0.35">
      <c r="Q2066" s="1"/>
    </row>
    <row r="2067" spans="16:17" x14ac:dyDescent="0.35">
      <c r="Q2067" s="1"/>
    </row>
    <row r="2068" spans="16:17" x14ac:dyDescent="0.35">
      <c r="Q2068" s="1"/>
    </row>
    <row r="2079" spans="16:17" x14ac:dyDescent="0.35">
      <c r="P2079" s="1"/>
    </row>
    <row r="2090" spans="17:17" x14ac:dyDescent="0.35">
      <c r="Q2090" s="1"/>
    </row>
    <row r="2091" spans="17:17" x14ac:dyDescent="0.35">
      <c r="Q2091" s="1"/>
    </row>
    <row r="2099" spans="17:17" x14ac:dyDescent="0.35">
      <c r="Q2099" s="1"/>
    </row>
    <row r="2102" spans="17:17" x14ac:dyDescent="0.35">
      <c r="Q2102" s="1"/>
    </row>
    <row r="2105" spans="17:17" x14ac:dyDescent="0.35">
      <c r="Q2105" s="1"/>
    </row>
    <row r="2106" spans="17:17" x14ac:dyDescent="0.35">
      <c r="Q2106" s="1"/>
    </row>
    <row r="2111" spans="17:17" x14ac:dyDescent="0.35">
      <c r="Q2111" s="1"/>
    </row>
    <row r="2115" spans="17:17" x14ac:dyDescent="0.35">
      <c r="Q2115" s="1"/>
    </row>
    <row r="2117" spans="17:17" x14ac:dyDescent="0.35">
      <c r="Q2117" s="1"/>
    </row>
    <row r="2122" spans="17:17" x14ac:dyDescent="0.35">
      <c r="Q2122" s="1"/>
    </row>
    <row r="2123" spans="17:17" x14ac:dyDescent="0.35">
      <c r="Q2123" s="1"/>
    </row>
    <row r="2126" spans="17:17" x14ac:dyDescent="0.35">
      <c r="Q2126" s="1"/>
    </row>
    <row r="2131" spans="16:17" x14ac:dyDescent="0.35">
      <c r="P2131" s="1"/>
    </row>
    <row r="2132" spans="16:17" x14ac:dyDescent="0.35">
      <c r="P2132" s="1"/>
    </row>
    <row r="2133" spans="16:17" x14ac:dyDescent="0.35">
      <c r="P2133" s="1"/>
    </row>
    <row r="2134" spans="16:17" x14ac:dyDescent="0.35">
      <c r="Q2134" s="1"/>
    </row>
    <row r="2135" spans="16:17" x14ac:dyDescent="0.35">
      <c r="Q2135" s="1"/>
    </row>
    <row r="2141" spans="16:17" x14ac:dyDescent="0.35">
      <c r="Q2141" s="1"/>
    </row>
    <row r="2146" spans="16:17" x14ac:dyDescent="0.35">
      <c r="P2146" s="1"/>
    </row>
    <row r="2147" spans="16:17" x14ac:dyDescent="0.35">
      <c r="Q2147" s="1"/>
    </row>
    <row r="2148" spans="16:17" x14ac:dyDescent="0.35">
      <c r="Q2148" s="1"/>
    </row>
    <row r="2150" spans="16:17" x14ac:dyDescent="0.35">
      <c r="Q2150" s="1"/>
    </row>
    <row r="2155" spans="16:17" x14ac:dyDescent="0.35">
      <c r="Q2155" s="1"/>
    </row>
    <row r="2157" spans="16:17" x14ac:dyDescent="0.35">
      <c r="Q2157" s="1"/>
    </row>
    <row r="2183" spans="16:17" x14ac:dyDescent="0.35">
      <c r="Q2183" s="1"/>
    </row>
    <row r="2185" spans="16:17" x14ac:dyDescent="0.35">
      <c r="Q2185" s="1"/>
    </row>
    <row r="2187" spans="16:17" x14ac:dyDescent="0.35">
      <c r="P2187" s="1"/>
    </row>
    <row r="2190" spans="16:17" x14ac:dyDescent="0.35">
      <c r="P2190" s="1"/>
    </row>
    <row r="2196" spans="17:17" x14ac:dyDescent="0.35">
      <c r="Q2196" s="1"/>
    </row>
    <row r="2198" spans="17:17" x14ac:dyDescent="0.35">
      <c r="Q2198" s="1"/>
    </row>
    <row r="2199" spans="17:17" x14ac:dyDescent="0.35">
      <c r="Q2199" s="1"/>
    </row>
    <row r="2201" spans="17:17" x14ac:dyDescent="0.35">
      <c r="Q2201" s="1"/>
    </row>
    <row r="2205" spans="17:17" x14ac:dyDescent="0.35">
      <c r="Q2205" s="1"/>
    </row>
    <row r="2211" spans="17:17" x14ac:dyDescent="0.35">
      <c r="Q2211" s="1"/>
    </row>
    <row r="2213" spans="17:17" x14ac:dyDescent="0.35">
      <c r="Q2213" s="1"/>
    </row>
    <row r="2215" spans="17:17" x14ac:dyDescent="0.35">
      <c r="Q2215" s="1"/>
    </row>
    <row r="2220" spans="17:17" x14ac:dyDescent="0.35">
      <c r="Q2220" s="1"/>
    </row>
    <row r="2221" spans="17:17" x14ac:dyDescent="0.35">
      <c r="Q2221" s="1"/>
    </row>
    <row r="2223" spans="17:17" x14ac:dyDescent="0.35">
      <c r="Q2223" s="1"/>
    </row>
    <row r="2224" spans="17:17" x14ac:dyDescent="0.35">
      <c r="Q2224" s="1"/>
    </row>
    <row r="2229" spans="16:17" x14ac:dyDescent="0.35">
      <c r="Q2229" s="1"/>
    </row>
    <row r="2230" spans="16:17" x14ac:dyDescent="0.35">
      <c r="P2230" s="1"/>
    </row>
    <row r="2232" spans="16:17" x14ac:dyDescent="0.35">
      <c r="Q2232" s="1"/>
    </row>
    <row r="2233" spans="16:17" x14ac:dyDescent="0.35">
      <c r="Q2233" s="1"/>
    </row>
    <row r="2235" spans="16:17" x14ac:dyDescent="0.35">
      <c r="Q2235" s="1"/>
    </row>
    <row r="2238" spans="16:17" x14ac:dyDescent="0.35">
      <c r="Q2238" s="1"/>
    </row>
    <row r="2241" spans="16:17" x14ac:dyDescent="0.35">
      <c r="Q2241" s="1"/>
    </row>
    <row r="2242" spans="16:17" x14ac:dyDescent="0.35">
      <c r="Q2242" s="1"/>
    </row>
    <row r="2243" spans="16:17" x14ac:dyDescent="0.35">
      <c r="Q2243" s="1"/>
    </row>
    <row r="2244" spans="16:17" x14ac:dyDescent="0.35">
      <c r="P2244" s="1"/>
    </row>
    <row r="2245" spans="16:17" x14ac:dyDescent="0.35">
      <c r="Q2245" s="1"/>
    </row>
    <row r="2246" spans="16:17" x14ac:dyDescent="0.35">
      <c r="Q2246" s="1"/>
    </row>
    <row r="2248" spans="16:17" x14ac:dyDescent="0.35">
      <c r="Q2248" s="1"/>
    </row>
    <row r="2255" spans="16:17" x14ac:dyDescent="0.35">
      <c r="Q2255" s="1"/>
    </row>
    <row r="2256" spans="16:17" x14ac:dyDescent="0.35">
      <c r="Q2256" s="1"/>
    </row>
    <row r="2260" spans="16:17" x14ac:dyDescent="0.35">
      <c r="Q2260" s="1"/>
    </row>
    <row r="2265" spans="16:17" x14ac:dyDescent="0.35">
      <c r="P2265" s="1"/>
    </row>
    <row r="2266" spans="16:17" x14ac:dyDescent="0.35">
      <c r="P2266" s="1"/>
    </row>
    <row r="2267" spans="16:17" x14ac:dyDescent="0.35">
      <c r="P2267" s="1"/>
    </row>
    <row r="2268" spans="16:17" x14ac:dyDescent="0.35">
      <c r="P2268" s="1"/>
    </row>
    <row r="2271" spans="16:17" x14ac:dyDescent="0.35">
      <c r="P2271" s="1"/>
    </row>
    <row r="2272" spans="16:17" x14ac:dyDescent="0.35">
      <c r="Q2272" s="1"/>
    </row>
    <row r="2278" spans="16:17" x14ac:dyDescent="0.35">
      <c r="Q2278" s="1"/>
    </row>
    <row r="2281" spans="16:17" x14ac:dyDescent="0.35">
      <c r="P2281" s="1"/>
    </row>
    <row r="2282" spans="16:17" x14ac:dyDescent="0.35">
      <c r="P2282" s="1"/>
    </row>
    <row r="2288" spans="16:17" x14ac:dyDescent="0.35">
      <c r="P2288" s="1"/>
    </row>
    <row r="2289" spans="16:17" x14ac:dyDescent="0.35">
      <c r="P2289" s="1"/>
    </row>
    <row r="2291" spans="16:17" x14ac:dyDescent="0.35">
      <c r="P2291" s="1"/>
    </row>
    <row r="2293" spans="16:17" x14ac:dyDescent="0.35">
      <c r="P2293" s="1"/>
    </row>
    <row r="2295" spans="16:17" x14ac:dyDescent="0.35">
      <c r="P2295" s="1"/>
    </row>
    <row r="2296" spans="16:17" x14ac:dyDescent="0.35">
      <c r="P2296" s="1"/>
    </row>
    <row r="2297" spans="16:17" x14ac:dyDescent="0.35">
      <c r="P2297" s="1"/>
    </row>
    <row r="2298" spans="16:17" x14ac:dyDescent="0.35">
      <c r="P2298" s="1"/>
    </row>
    <row r="2299" spans="16:17" x14ac:dyDescent="0.35">
      <c r="Q2299" s="1"/>
    </row>
    <row r="2302" spans="16:17" x14ac:dyDescent="0.35">
      <c r="Q2302" s="1"/>
    </row>
    <row r="2308" spans="16:17" x14ac:dyDescent="0.35">
      <c r="Q2308" s="1"/>
    </row>
    <row r="2319" spans="16:17" x14ac:dyDescent="0.35">
      <c r="P2319" s="1"/>
    </row>
    <row r="2322" spans="16:17" x14ac:dyDescent="0.35">
      <c r="P2322" s="1"/>
    </row>
    <row r="2328" spans="16:17" x14ac:dyDescent="0.35">
      <c r="Q2328" s="1"/>
    </row>
    <row r="2338" spans="17:17" x14ac:dyDescent="0.35">
      <c r="Q2338" s="1"/>
    </row>
    <row r="2345" spans="17:17" x14ac:dyDescent="0.35">
      <c r="Q2345" s="1"/>
    </row>
    <row r="2347" spans="17:17" x14ac:dyDescent="0.35">
      <c r="Q2347" s="1"/>
    </row>
    <row r="2348" spans="17:17" x14ac:dyDescent="0.35">
      <c r="Q2348" s="1"/>
    </row>
    <row r="2350" spans="17:17" x14ac:dyDescent="0.35">
      <c r="Q2350" s="1"/>
    </row>
    <row r="2354" spans="17:17" x14ac:dyDescent="0.35">
      <c r="Q2354" s="1"/>
    </row>
    <row r="2355" spans="17:17" x14ac:dyDescent="0.35">
      <c r="Q2355" s="1"/>
    </row>
    <row r="2369" spans="16:17" x14ac:dyDescent="0.35">
      <c r="P2369" s="1"/>
    </row>
    <row r="2371" spans="16:17" x14ac:dyDescent="0.35">
      <c r="Q2371" s="1"/>
    </row>
    <row r="2372" spans="16:17" x14ac:dyDescent="0.35">
      <c r="Q2372" s="1"/>
    </row>
    <row r="2375" spans="16:17" x14ac:dyDescent="0.35">
      <c r="Q2375" s="1"/>
    </row>
    <row r="2380" spans="16:17" x14ac:dyDescent="0.35">
      <c r="Q2380" s="1"/>
    </row>
    <row r="2385" spans="17:17" x14ac:dyDescent="0.35">
      <c r="Q2385" s="1"/>
    </row>
    <row r="2386" spans="17:17" x14ac:dyDescent="0.35">
      <c r="Q2386" s="1"/>
    </row>
    <row r="2387" spans="17:17" x14ac:dyDescent="0.35">
      <c r="Q2387" s="1"/>
    </row>
    <row r="2392" spans="17:17" x14ac:dyDescent="0.35">
      <c r="Q2392" s="1"/>
    </row>
    <row r="2399" spans="17:17" x14ac:dyDescent="0.35">
      <c r="Q2399" s="1"/>
    </row>
    <row r="2400" spans="17:17" x14ac:dyDescent="0.35">
      <c r="Q2400" s="1"/>
    </row>
    <row r="2403" spans="17:17" x14ac:dyDescent="0.35">
      <c r="Q2403" s="1"/>
    </row>
    <row r="2408" spans="17:17" x14ac:dyDescent="0.35">
      <c r="Q2408" s="1"/>
    </row>
    <row r="2415" spans="17:17" x14ac:dyDescent="0.35">
      <c r="Q2415" s="1"/>
    </row>
    <row r="2416" spans="17:17" x14ac:dyDescent="0.35">
      <c r="Q2416" s="1"/>
    </row>
    <row r="2423" spans="17:17" x14ac:dyDescent="0.35">
      <c r="Q2423" s="1"/>
    </row>
    <row r="2425" spans="17:17" x14ac:dyDescent="0.35">
      <c r="Q2425" s="1"/>
    </row>
    <row r="2429" spans="17:17" x14ac:dyDescent="0.35">
      <c r="Q2429" s="1"/>
    </row>
    <row r="2431" spans="17:17" x14ac:dyDescent="0.35">
      <c r="Q2431" s="1"/>
    </row>
    <row r="2436" spans="17:17" x14ac:dyDescent="0.35">
      <c r="Q2436" s="1"/>
    </row>
    <row r="2440" spans="17:17" x14ac:dyDescent="0.35">
      <c r="Q2440" s="1"/>
    </row>
    <row r="2441" spans="17:17" x14ac:dyDescent="0.35">
      <c r="Q2441" s="1"/>
    </row>
    <row r="2452" spans="17:17" x14ac:dyDescent="0.35">
      <c r="Q2452" s="1"/>
    </row>
    <row r="2460" spans="17:17" x14ac:dyDescent="0.35">
      <c r="Q2460" s="1"/>
    </row>
    <row r="2461" spans="17:17" x14ac:dyDescent="0.35">
      <c r="Q2461" s="1"/>
    </row>
    <row r="2467" spans="17:17" x14ac:dyDescent="0.35">
      <c r="Q2467" s="1"/>
    </row>
    <row r="2481" spans="16:17" x14ac:dyDescent="0.35">
      <c r="P2481" s="1"/>
    </row>
    <row r="2482" spans="16:17" x14ac:dyDescent="0.35">
      <c r="Q2482" s="1"/>
    </row>
    <row r="2485" spans="16:17" x14ac:dyDescent="0.35">
      <c r="P2485" s="1"/>
    </row>
    <row r="2488" spans="16:17" x14ac:dyDescent="0.35">
      <c r="Q2488" s="1"/>
    </row>
    <row r="2496" spans="16:17" x14ac:dyDescent="0.35">
      <c r="Q2496" s="1"/>
    </row>
    <row r="2497" spans="17:17" x14ac:dyDescent="0.35">
      <c r="Q2497" s="1"/>
    </row>
    <row r="2498" spans="17:17" x14ac:dyDescent="0.35">
      <c r="Q2498" s="1"/>
    </row>
    <row r="2499" spans="17:17" x14ac:dyDescent="0.35">
      <c r="Q2499" s="1"/>
    </row>
    <row r="2500" spans="17:17" x14ac:dyDescent="0.35">
      <c r="Q2500" s="1"/>
    </row>
    <row r="2511" spans="17:17" x14ac:dyDescent="0.35">
      <c r="Q2511" s="1"/>
    </row>
    <row r="2513" spans="17:17" x14ac:dyDescent="0.35">
      <c r="Q2513" s="1"/>
    </row>
    <row r="2531" spans="16:17" x14ac:dyDescent="0.35">
      <c r="Q2531" s="1"/>
    </row>
    <row r="2533" spans="16:17" x14ac:dyDescent="0.35">
      <c r="Q2533" s="1"/>
    </row>
    <row r="2538" spans="16:17" x14ac:dyDescent="0.35">
      <c r="P2538" s="1"/>
    </row>
    <row r="2545" spans="16:17" x14ac:dyDescent="0.35">
      <c r="Q2545" s="1"/>
    </row>
    <row r="2546" spans="16:17" x14ac:dyDescent="0.35">
      <c r="P2546" s="1"/>
    </row>
    <row r="2550" spans="16:17" x14ac:dyDescent="0.35">
      <c r="Q2550" s="1"/>
    </row>
    <row r="2552" spans="16:17" x14ac:dyDescent="0.35">
      <c r="Q2552" s="1"/>
    </row>
    <row r="2554" spans="16:17" x14ac:dyDescent="0.35">
      <c r="P2554" s="1"/>
    </row>
    <row r="2557" spans="16:17" x14ac:dyDescent="0.35">
      <c r="Q2557" s="1"/>
    </row>
    <row r="2558" spans="16:17" x14ac:dyDescent="0.35">
      <c r="Q2558" s="1"/>
    </row>
    <row r="2559" spans="16:17" x14ac:dyDescent="0.35">
      <c r="Q2559" s="1"/>
    </row>
    <row r="2562" spans="16:17" x14ac:dyDescent="0.35">
      <c r="P2562" s="1"/>
      <c r="Q2562" s="1"/>
    </row>
    <row r="2566" spans="16:17" x14ac:dyDescent="0.35">
      <c r="Q2566" s="1"/>
    </row>
    <row r="2573" spans="16:17" x14ac:dyDescent="0.35">
      <c r="Q2573" s="1"/>
    </row>
    <row r="2574" spans="16:17" x14ac:dyDescent="0.35">
      <c r="Q2574" s="1"/>
    </row>
    <row r="2578" spans="17:17" x14ac:dyDescent="0.35">
      <c r="Q2578" s="1"/>
    </row>
    <row r="2587" spans="17:17" x14ac:dyDescent="0.35">
      <c r="Q2587" s="1"/>
    </row>
    <row r="2592" spans="17:17" x14ac:dyDescent="0.35">
      <c r="Q2592" s="1"/>
    </row>
    <row r="2593" spans="17:17" x14ac:dyDescent="0.35">
      <c r="Q2593" s="1"/>
    </row>
    <row r="2598" spans="17:17" x14ac:dyDescent="0.35">
      <c r="Q2598" s="1"/>
    </row>
    <row r="2604" spans="17:17" x14ac:dyDescent="0.35">
      <c r="Q2604" s="1"/>
    </row>
    <row r="2609" spans="16:17" x14ac:dyDescent="0.35">
      <c r="Q2609" s="1"/>
    </row>
    <row r="2611" spans="16:17" x14ac:dyDescent="0.35">
      <c r="Q2611" s="1"/>
    </row>
    <row r="2615" spans="16:17" x14ac:dyDescent="0.35">
      <c r="Q2615" s="1"/>
    </row>
    <row r="2617" spans="16:17" x14ac:dyDescent="0.35">
      <c r="Q2617" s="1"/>
    </row>
    <row r="2620" spans="16:17" x14ac:dyDescent="0.35">
      <c r="Q2620" s="1"/>
    </row>
    <row r="2622" spans="16:17" x14ac:dyDescent="0.35">
      <c r="P2622" s="1"/>
    </row>
    <row r="2625" spans="17:17" x14ac:dyDescent="0.35">
      <c r="Q2625" s="1"/>
    </row>
    <row r="2628" spans="17:17" x14ac:dyDescent="0.35">
      <c r="Q2628" s="1"/>
    </row>
    <row r="2640" spans="17:17" x14ac:dyDescent="0.35">
      <c r="Q2640" s="1"/>
    </row>
    <row r="2644" spans="17:17" x14ac:dyDescent="0.35">
      <c r="Q2644" s="1"/>
    </row>
    <row r="2645" spans="17:17" x14ac:dyDescent="0.35">
      <c r="Q2645" s="1"/>
    </row>
    <row r="2649" spans="17:17" x14ac:dyDescent="0.35">
      <c r="Q2649" s="1"/>
    </row>
    <row r="2656" spans="17:17" x14ac:dyDescent="0.35">
      <c r="Q2656" s="1"/>
    </row>
    <row r="2661" spans="17:17" x14ac:dyDescent="0.35">
      <c r="Q2661" s="1"/>
    </row>
    <row r="2674" spans="17:17" x14ac:dyDescent="0.35">
      <c r="Q2674" s="1"/>
    </row>
    <row r="2675" spans="17:17" x14ac:dyDescent="0.35">
      <c r="Q2675" s="1"/>
    </row>
    <row r="2683" spans="17:17" x14ac:dyDescent="0.35">
      <c r="Q2683" s="1"/>
    </row>
    <row r="2685" spans="17:17" x14ac:dyDescent="0.35">
      <c r="Q2685" s="1"/>
    </row>
    <row r="2712" spans="16:17" x14ac:dyDescent="0.35">
      <c r="Q2712" s="1"/>
    </row>
    <row r="2714" spans="16:17" x14ac:dyDescent="0.35">
      <c r="P2714" s="1"/>
    </row>
    <row r="2716" spans="16:17" x14ac:dyDescent="0.35">
      <c r="P2716" s="1"/>
    </row>
    <row r="2720" spans="16:17" x14ac:dyDescent="0.35">
      <c r="Q2720" s="1"/>
    </row>
    <row r="2722" spans="17:17" x14ac:dyDescent="0.35">
      <c r="Q2722" s="1"/>
    </row>
    <row r="2724" spans="17:17" x14ac:dyDescent="0.35">
      <c r="Q2724" s="1"/>
    </row>
    <row r="2729" spans="17:17" x14ac:dyDescent="0.35">
      <c r="Q2729" s="1"/>
    </row>
    <row r="2736" spans="17:17" x14ac:dyDescent="0.35">
      <c r="Q2736" s="1"/>
    </row>
    <row r="2742" spans="16:17" x14ac:dyDescent="0.35">
      <c r="Q2742" s="1"/>
    </row>
    <row r="2746" spans="16:17" x14ac:dyDescent="0.35">
      <c r="Q2746" s="1"/>
    </row>
    <row r="2750" spans="16:17" x14ac:dyDescent="0.35">
      <c r="P2750" s="1"/>
      <c r="Q2750" s="1"/>
    </row>
    <row r="2752" spans="16:17" x14ac:dyDescent="0.35">
      <c r="Q2752" s="1"/>
    </row>
    <row r="2753" spans="17:17" x14ac:dyDescent="0.35">
      <c r="Q2753" s="1"/>
    </row>
    <row r="2757" spans="17:17" x14ac:dyDescent="0.35">
      <c r="Q2757" s="1"/>
    </row>
    <row r="2771" spans="17:17" x14ac:dyDescent="0.35">
      <c r="Q2771" s="1"/>
    </row>
    <row r="2772" spans="17:17" x14ac:dyDescent="0.35">
      <c r="Q2772" s="1"/>
    </row>
    <row r="2775" spans="17:17" x14ac:dyDescent="0.35">
      <c r="Q2775" s="1"/>
    </row>
    <row r="2776" spans="17:17" x14ac:dyDescent="0.35">
      <c r="Q2776" s="1"/>
    </row>
    <row r="2780" spans="17:17" x14ac:dyDescent="0.35">
      <c r="Q2780" s="1"/>
    </row>
    <row r="2793" spans="17:17" x14ac:dyDescent="0.35">
      <c r="Q2793" s="1"/>
    </row>
    <row r="2798" spans="17:17" x14ac:dyDescent="0.35">
      <c r="Q2798" s="1"/>
    </row>
    <row r="2802" spans="17:17" x14ac:dyDescent="0.35">
      <c r="Q2802" s="1"/>
    </row>
    <row r="2804" spans="17:17" x14ac:dyDescent="0.35">
      <c r="Q2804" s="1"/>
    </row>
    <row r="2810" spans="17:17" x14ac:dyDescent="0.35">
      <c r="Q2810" s="1"/>
    </row>
    <row r="2817" spans="16:17" x14ac:dyDescent="0.35">
      <c r="P2817" s="1"/>
      <c r="Q2817" s="1"/>
    </row>
    <row r="2820" spans="16:17" x14ac:dyDescent="0.35">
      <c r="Q2820" s="1"/>
    </row>
    <row r="2821" spans="16:17" x14ac:dyDescent="0.35">
      <c r="Q2821" s="1"/>
    </row>
    <row r="2824" spans="16:17" x14ac:dyDescent="0.35">
      <c r="Q2824" s="1"/>
    </row>
    <row r="2827" spans="16:17" x14ac:dyDescent="0.35">
      <c r="Q2827" s="1"/>
    </row>
    <row r="2828" spans="16:17" x14ac:dyDescent="0.35">
      <c r="Q2828" s="1"/>
    </row>
    <row r="2832" spans="16:17" x14ac:dyDescent="0.35">
      <c r="Q2832" s="1"/>
    </row>
    <row r="2833" spans="16:17" x14ac:dyDescent="0.35">
      <c r="P2833" s="1"/>
    </row>
    <row r="2836" spans="16:17" x14ac:dyDescent="0.35">
      <c r="Q2836" s="1"/>
    </row>
    <row r="2838" spans="16:17" x14ac:dyDescent="0.35">
      <c r="Q2838" s="1"/>
    </row>
    <row r="2841" spans="16:17" x14ac:dyDescent="0.35">
      <c r="P2841" s="1"/>
    </row>
    <row r="2842" spans="16:17" x14ac:dyDescent="0.35">
      <c r="P2842" s="1"/>
    </row>
    <row r="2848" spans="16:17" x14ac:dyDescent="0.35">
      <c r="Q2848" s="1"/>
    </row>
    <row r="2849" spans="16:17" x14ac:dyDescent="0.35">
      <c r="Q2849" s="1"/>
    </row>
    <row r="2850" spans="16:17" x14ac:dyDescent="0.35">
      <c r="P2850" s="1"/>
    </row>
    <row r="2856" spans="16:17" x14ac:dyDescent="0.35">
      <c r="Q2856" s="1"/>
    </row>
    <row r="2860" spans="16:17" x14ac:dyDescent="0.35">
      <c r="Q2860" s="1"/>
    </row>
    <row r="2861" spans="16:17" x14ac:dyDescent="0.35">
      <c r="Q2861" s="1"/>
    </row>
    <row r="2866" spans="17:17" x14ac:dyDescent="0.35">
      <c r="Q2866" s="1"/>
    </row>
    <row r="2868" spans="17:17" x14ac:dyDescent="0.35">
      <c r="Q2868" s="1"/>
    </row>
    <row r="2873" spans="17:17" x14ac:dyDescent="0.35">
      <c r="Q2873" s="1"/>
    </row>
    <row r="2877" spans="17:17" x14ac:dyDescent="0.35">
      <c r="Q2877" s="1"/>
    </row>
    <row r="2881" spans="17:17" x14ac:dyDescent="0.35">
      <c r="Q2881" s="1"/>
    </row>
    <row r="2893" spans="17:17" x14ac:dyDescent="0.35">
      <c r="Q2893" s="1"/>
    </row>
    <row r="2896" spans="17:17" x14ac:dyDescent="0.35">
      <c r="Q2896" s="1"/>
    </row>
    <row r="2899" spans="17:17" x14ac:dyDescent="0.35">
      <c r="Q2899" s="1"/>
    </row>
    <row r="2909" spans="17:17" x14ac:dyDescent="0.35">
      <c r="Q2909" s="1"/>
    </row>
    <row r="2911" spans="17:17" x14ac:dyDescent="0.35">
      <c r="Q2911" s="1"/>
    </row>
    <row r="2912" spans="17:17" x14ac:dyDescent="0.35">
      <c r="Q2912" s="1"/>
    </row>
    <row r="2914" spans="16:17" x14ac:dyDescent="0.35">
      <c r="Q2914" s="1"/>
    </row>
    <row r="2916" spans="16:17" x14ac:dyDescent="0.35">
      <c r="P2916" s="1"/>
    </row>
    <row r="2919" spans="16:17" x14ac:dyDescent="0.35">
      <c r="Q2919" s="1"/>
    </row>
    <row r="2929" spans="17:17" x14ac:dyDescent="0.35">
      <c r="Q2929" s="1"/>
    </row>
    <row r="2933" spans="17:17" x14ac:dyDescent="0.35">
      <c r="Q2933" s="1"/>
    </row>
    <row r="2936" spans="17:17" x14ac:dyDescent="0.35">
      <c r="Q2936" s="1"/>
    </row>
    <row r="2938" spans="17:17" x14ac:dyDescent="0.35">
      <c r="Q2938" s="1"/>
    </row>
    <row r="2940" spans="17:17" x14ac:dyDescent="0.35">
      <c r="Q2940" s="1"/>
    </row>
    <row r="2942" spans="17:17" x14ac:dyDescent="0.35">
      <c r="Q2942" s="1"/>
    </row>
    <row r="2944" spans="17:17" x14ac:dyDescent="0.35">
      <c r="Q2944" s="1"/>
    </row>
    <row r="2947" spans="16:17" x14ac:dyDescent="0.35">
      <c r="Q2947" s="1"/>
    </row>
    <row r="2949" spans="16:17" x14ac:dyDescent="0.35">
      <c r="Q2949" s="1"/>
    </row>
    <row r="2950" spans="16:17" x14ac:dyDescent="0.35">
      <c r="Q2950" s="1"/>
    </row>
    <row r="2951" spans="16:17" x14ac:dyDescent="0.35">
      <c r="Q2951" s="1"/>
    </row>
    <row r="2952" spans="16:17" x14ac:dyDescent="0.35">
      <c r="Q2952" s="1"/>
    </row>
    <row r="2954" spans="16:17" x14ac:dyDescent="0.35">
      <c r="P2954" s="1"/>
    </row>
    <row r="2960" spans="16:17" x14ac:dyDescent="0.35">
      <c r="Q2960" s="1"/>
    </row>
    <row r="2963" spans="16:16" x14ac:dyDescent="0.35">
      <c r="P2963" s="1"/>
    </row>
    <row r="2979" spans="16:17" x14ac:dyDescent="0.35">
      <c r="Q2979" s="1"/>
    </row>
    <row r="2981" spans="16:17" x14ac:dyDescent="0.35">
      <c r="Q2981" s="1"/>
    </row>
    <row r="2982" spans="16:17" x14ac:dyDescent="0.35">
      <c r="Q2982" s="1"/>
    </row>
    <row r="2990" spans="16:17" x14ac:dyDescent="0.35">
      <c r="P2990" s="1"/>
    </row>
    <row r="2996" spans="17:17" x14ac:dyDescent="0.35">
      <c r="Q2996" s="1"/>
    </row>
    <row r="2998" spans="17:17" x14ac:dyDescent="0.35">
      <c r="Q2998" s="1"/>
    </row>
    <row r="3003" spans="17:17" x14ac:dyDescent="0.35">
      <c r="Q3003" s="1"/>
    </row>
    <row r="3010" spans="17:17" x14ac:dyDescent="0.35">
      <c r="Q3010" s="1"/>
    </row>
    <row r="3013" spans="17:17" x14ac:dyDescent="0.35">
      <c r="Q3013" s="1"/>
    </row>
    <row r="3022" spans="17:17" x14ac:dyDescent="0.35">
      <c r="Q3022" s="1"/>
    </row>
    <row r="3032" spans="16:17" x14ac:dyDescent="0.35">
      <c r="Q3032" s="1"/>
    </row>
    <row r="3033" spans="16:17" x14ac:dyDescent="0.35">
      <c r="P3033" s="1"/>
    </row>
    <row r="3040" spans="16:17" x14ac:dyDescent="0.35">
      <c r="Q3040" s="1"/>
    </row>
    <row r="3050" spans="17:17" x14ac:dyDescent="0.35">
      <c r="Q3050" s="1"/>
    </row>
    <row r="3055" spans="17:17" x14ac:dyDescent="0.35">
      <c r="Q3055" s="1"/>
    </row>
    <row r="3061" spans="16:16" x14ac:dyDescent="0.35">
      <c r="P3061" s="1"/>
    </row>
    <row r="3080" spans="17:17" x14ac:dyDescent="0.35">
      <c r="Q3080" s="1"/>
    </row>
    <row r="3090" spans="17:17" x14ac:dyDescent="0.35">
      <c r="Q3090" s="1"/>
    </row>
    <row r="3091" spans="17:17" x14ac:dyDescent="0.35">
      <c r="Q3091" s="1"/>
    </row>
    <row r="3101" spans="17:17" x14ac:dyDescent="0.35">
      <c r="Q3101" s="1"/>
    </row>
    <row r="3107" spans="16:17" x14ac:dyDescent="0.35">
      <c r="Q3107" s="1"/>
    </row>
    <row r="3108" spans="16:17" x14ac:dyDescent="0.35">
      <c r="Q3108" s="1"/>
    </row>
    <row r="3110" spans="16:17" x14ac:dyDescent="0.35">
      <c r="Q3110" s="1"/>
    </row>
    <row r="3111" spans="16:17" x14ac:dyDescent="0.35">
      <c r="Q3111" s="1"/>
    </row>
    <row r="3112" spans="16:17" x14ac:dyDescent="0.35">
      <c r="Q3112" s="1"/>
    </row>
    <row r="3114" spans="16:17" x14ac:dyDescent="0.35">
      <c r="P3114" s="1"/>
      <c r="Q3114" s="1"/>
    </row>
    <row r="3115" spans="16:17" x14ac:dyDescent="0.35">
      <c r="Q3115" s="1"/>
    </row>
    <row r="3116" spans="16:17" x14ac:dyDescent="0.35">
      <c r="P3116" s="1"/>
      <c r="Q3116" s="1"/>
    </row>
    <row r="3117" spans="16:17" x14ac:dyDescent="0.35">
      <c r="Q3117" s="1"/>
    </row>
    <row r="3119" spans="16:17" x14ac:dyDescent="0.35">
      <c r="Q3119" s="1"/>
    </row>
    <row r="3128" spans="16:17" x14ac:dyDescent="0.35">
      <c r="P3128" s="1"/>
    </row>
    <row r="3132" spans="16:17" x14ac:dyDescent="0.35">
      <c r="Q3132" s="1"/>
    </row>
    <row r="3134" spans="16:17" x14ac:dyDescent="0.35">
      <c r="P3134" s="1"/>
      <c r="Q3134" s="1"/>
    </row>
    <row r="3136" spans="16:17" x14ac:dyDescent="0.35">
      <c r="Q3136" s="1"/>
    </row>
    <row r="3139" spans="16:17" x14ac:dyDescent="0.35">
      <c r="Q3139" s="1"/>
    </row>
    <row r="3143" spans="16:17" x14ac:dyDescent="0.35">
      <c r="P3143" s="1"/>
    </row>
    <row r="3144" spans="16:17" x14ac:dyDescent="0.35">
      <c r="Q3144" s="1"/>
    </row>
    <row r="3145" spans="16:17" x14ac:dyDescent="0.35">
      <c r="Q3145" s="1"/>
    </row>
    <row r="3157" spans="17:17" x14ac:dyDescent="0.35">
      <c r="Q3157" s="1"/>
    </row>
    <row r="3180" spans="17:17" x14ac:dyDescent="0.35">
      <c r="Q3180" s="1"/>
    </row>
    <row r="3181" spans="17:17" x14ac:dyDescent="0.35">
      <c r="Q3181" s="1"/>
    </row>
    <row r="3182" spans="17:17" x14ac:dyDescent="0.35">
      <c r="Q3182" s="1"/>
    </row>
    <row r="3184" spans="17:17" x14ac:dyDescent="0.35">
      <c r="Q3184" s="1"/>
    </row>
    <row r="3189" spans="17:17" x14ac:dyDescent="0.35">
      <c r="Q3189" s="1"/>
    </row>
    <row r="3190" spans="17:17" x14ac:dyDescent="0.35">
      <c r="Q3190" s="1"/>
    </row>
    <row r="3191" spans="17:17" x14ac:dyDescent="0.35">
      <c r="Q3191" s="1"/>
    </row>
    <row r="3193" spans="17:17" x14ac:dyDescent="0.35">
      <c r="Q3193" s="1"/>
    </row>
    <row r="3196" spans="17:17" x14ac:dyDescent="0.35">
      <c r="Q3196" s="1"/>
    </row>
    <row r="3197" spans="17:17" x14ac:dyDescent="0.35">
      <c r="Q3197" s="1"/>
    </row>
    <row r="3201" spans="17:17" x14ac:dyDescent="0.35">
      <c r="Q3201" s="1"/>
    </row>
    <row r="3203" spans="17:17" x14ac:dyDescent="0.35">
      <c r="Q3203" s="1"/>
    </row>
    <row r="3204" spans="17:17" x14ac:dyDescent="0.35">
      <c r="Q3204" s="1"/>
    </row>
    <row r="3211" spans="17:17" x14ac:dyDescent="0.35">
      <c r="Q3211" s="1"/>
    </row>
    <row r="3214" spans="17:17" x14ac:dyDescent="0.35">
      <c r="Q3214" s="1"/>
    </row>
    <row r="3224" spans="16:17" x14ac:dyDescent="0.35">
      <c r="Q3224" s="1"/>
    </row>
    <row r="3225" spans="16:17" x14ac:dyDescent="0.35">
      <c r="Q3225" s="1"/>
    </row>
    <row r="3226" spans="16:17" x14ac:dyDescent="0.35">
      <c r="Q3226" s="1"/>
    </row>
    <row r="3227" spans="16:17" x14ac:dyDescent="0.35">
      <c r="Q3227" s="1"/>
    </row>
    <row r="3228" spans="16:17" x14ac:dyDescent="0.35">
      <c r="Q3228" s="1"/>
    </row>
    <row r="3231" spans="16:17" x14ac:dyDescent="0.35">
      <c r="Q3231" s="1"/>
    </row>
    <row r="3232" spans="16:17" x14ac:dyDescent="0.35">
      <c r="P3232" s="1"/>
    </row>
    <row r="3233" spans="16:17" x14ac:dyDescent="0.35">
      <c r="P3233" s="1"/>
      <c r="Q3233" s="1"/>
    </row>
    <row r="3234" spans="16:17" x14ac:dyDescent="0.35">
      <c r="Q3234" s="1"/>
    </row>
    <row r="3236" spans="16:17" x14ac:dyDescent="0.35">
      <c r="P3236" s="1"/>
    </row>
    <row r="3237" spans="16:17" x14ac:dyDescent="0.35">
      <c r="P3237" s="1"/>
    </row>
    <row r="3238" spans="16:17" x14ac:dyDescent="0.35">
      <c r="P3238" s="1"/>
    </row>
    <row r="3240" spans="16:17" x14ac:dyDescent="0.35">
      <c r="P3240" s="1"/>
    </row>
    <row r="3241" spans="16:17" x14ac:dyDescent="0.35">
      <c r="P3241" s="1"/>
    </row>
    <row r="3243" spans="16:17" x14ac:dyDescent="0.35">
      <c r="P3243" s="1"/>
    </row>
    <row r="3244" spans="16:17" x14ac:dyDescent="0.35">
      <c r="P3244" s="1"/>
    </row>
    <row r="3246" spans="16:17" x14ac:dyDescent="0.35">
      <c r="P3246" s="1"/>
    </row>
    <row r="3248" spans="16:17" x14ac:dyDescent="0.35">
      <c r="P3248" s="1"/>
    </row>
    <row r="3252" spans="17:17" x14ac:dyDescent="0.35">
      <c r="Q3252" s="1"/>
    </row>
    <row r="3256" spans="17:17" x14ac:dyDescent="0.35">
      <c r="Q3256" s="1"/>
    </row>
    <row r="3261" spans="17:17" x14ac:dyDescent="0.35">
      <c r="Q3261" s="1"/>
    </row>
    <row r="3262" spans="17:17" x14ac:dyDescent="0.35">
      <c r="Q3262" s="1"/>
    </row>
    <row r="3264" spans="17:17" x14ac:dyDescent="0.35">
      <c r="Q3264" s="1"/>
    </row>
    <row r="3273" spans="17:17" x14ac:dyDescent="0.35">
      <c r="Q3273" s="1"/>
    </row>
    <row r="3279" spans="17:17" x14ac:dyDescent="0.35">
      <c r="Q3279" s="1"/>
    </row>
    <row r="3280" spans="17:17" x14ac:dyDescent="0.35">
      <c r="Q3280" s="1"/>
    </row>
    <row r="3282" spans="16:16" x14ac:dyDescent="0.35">
      <c r="P3282" s="1"/>
    </row>
    <row r="3286" spans="16:16" x14ac:dyDescent="0.35">
      <c r="P3286" s="1"/>
    </row>
    <row r="3305" spans="17:17" x14ac:dyDescent="0.35">
      <c r="Q3305" s="1"/>
    </row>
    <row r="3310" spans="17:17" x14ac:dyDescent="0.35">
      <c r="Q3310" s="1"/>
    </row>
    <row r="3313" spans="17:17" x14ac:dyDescent="0.35">
      <c r="Q3313" s="1"/>
    </row>
    <row r="3315" spans="17:17" x14ac:dyDescent="0.35">
      <c r="Q3315" s="1"/>
    </row>
    <row r="3324" spans="17:17" x14ac:dyDescent="0.35">
      <c r="Q3324" s="1"/>
    </row>
    <row r="3328" spans="17:17" x14ac:dyDescent="0.35">
      <c r="Q3328" s="1"/>
    </row>
    <row r="3331" spans="16:17" x14ac:dyDescent="0.35">
      <c r="Q3331" s="1"/>
    </row>
    <row r="3333" spans="16:17" x14ac:dyDescent="0.35">
      <c r="Q3333" s="1"/>
    </row>
    <row r="3337" spans="16:17" x14ac:dyDescent="0.35">
      <c r="Q3337" s="1"/>
    </row>
    <row r="3339" spans="16:17" x14ac:dyDescent="0.35">
      <c r="P3339" s="1"/>
    </row>
    <row r="3340" spans="16:17" x14ac:dyDescent="0.35">
      <c r="Q3340" s="1"/>
    </row>
    <row r="3342" spans="16:17" x14ac:dyDescent="0.35">
      <c r="Q3342" s="1"/>
    </row>
    <row r="3343" spans="16:17" x14ac:dyDescent="0.35">
      <c r="Q3343" s="1"/>
    </row>
    <row r="3344" spans="16:17" x14ac:dyDescent="0.35">
      <c r="Q3344" s="1"/>
    </row>
    <row r="3346" spans="17:17" x14ac:dyDescent="0.35">
      <c r="Q3346" s="1"/>
    </row>
    <row r="3348" spans="17:17" x14ac:dyDescent="0.35">
      <c r="Q3348" s="1"/>
    </row>
    <row r="3349" spans="17:17" x14ac:dyDescent="0.35">
      <c r="Q3349" s="1"/>
    </row>
    <row r="3354" spans="17:17" x14ac:dyDescent="0.35">
      <c r="Q3354" s="1"/>
    </row>
    <row r="3358" spans="17:17" x14ac:dyDescent="0.35">
      <c r="Q3358" s="1"/>
    </row>
    <row r="3367" spans="17:17" x14ac:dyDescent="0.35">
      <c r="Q3367" s="1"/>
    </row>
    <row r="3368" spans="17:17" x14ac:dyDescent="0.35">
      <c r="Q3368" s="1"/>
    </row>
    <row r="3376" spans="17:17" x14ac:dyDescent="0.35">
      <c r="Q3376" s="1"/>
    </row>
    <row r="3382" spans="16:17" x14ac:dyDescent="0.35">
      <c r="P3382" s="1"/>
    </row>
    <row r="3384" spans="16:17" x14ac:dyDescent="0.35">
      <c r="Q3384" s="1"/>
    </row>
    <row r="3385" spans="16:17" x14ac:dyDescent="0.35">
      <c r="Q3385" s="1"/>
    </row>
    <row r="3386" spans="16:17" x14ac:dyDescent="0.35">
      <c r="Q3386" s="1"/>
    </row>
    <row r="3388" spans="16:17" x14ac:dyDescent="0.35">
      <c r="P3388" s="1"/>
    </row>
    <row r="3391" spans="16:17" x14ac:dyDescent="0.35">
      <c r="Q3391" s="1"/>
    </row>
    <row r="3397" spans="16:17" x14ac:dyDescent="0.35">
      <c r="Q3397" s="1"/>
    </row>
    <row r="3398" spans="16:17" x14ac:dyDescent="0.35">
      <c r="P3398" s="1"/>
    </row>
    <row r="3401" spans="16:17" x14ac:dyDescent="0.35">
      <c r="Q3401" s="1"/>
    </row>
    <row r="3403" spans="16:17" x14ac:dyDescent="0.35">
      <c r="Q3403" s="1"/>
    </row>
    <row r="3408" spans="16:17" x14ac:dyDescent="0.35">
      <c r="Q3408" s="1"/>
    </row>
    <row r="3409" spans="16:17" x14ac:dyDescent="0.35">
      <c r="Q3409" s="1"/>
    </row>
    <row r="3410" spans="16:17" x14ac:dyDescent="0.35">
      <c r="Q3410" s="1"/>
    </row>
    <row r="3412" spans="16:17" x14ac:dyDescent="0.35">
      <c r="P3412" s="1"/>
    </row>
    <row r="3420" spans="16:17" x14ac:dyDescent="0.35">
      <c r="Q3420" s="1"/>
    </row>
    <row r="3424" spans="16:17" x14ac:dyDescent="0.35">
      <c r="Q3424" s="1"/>
    </row>
    <row r="3427" spans="16:17" x14ac:dyDescent="0.35">
      <c r="Q3427" s="1"/>
    </row>
    <row r="3428" spans="16:17" x14ac:dyDescent="0.35">
      <c r="Q3428" s="1"/>
    </row>
    <row r="3430" spans="16:17" x14ac:dyDescent="0.35">
      <c r="P3430" s="1"/>
    </row>
    <row r="3434" spans="16:17" x14ac:dyDescent="0.35">
      <c r="Q3434" s="1"/>
    </row>
    <row r="3436" spans="16:17" x14ac:dyDescent="0.35">
      <c r="Q3436" s="1"/>
    </row>
    <row r="3437" spans="16:17" x14ac:dyDescent="0.35">
      <c r="Q3437" s="1"/>
    </row>
    <row r="3438" spans="16:17" x14ac:dyDescent="0.35">
      <c r="Q3438" s="1"/>
    </row>
    <row r="3439" spans="16:17" x14ac:dyDescent="0.35">
      <c r="Q3439" s="1"/>
    </row>
    <row r="3440" spans="16:17" x14ac:dyDescent="0.35">
      <c r="Q3440" s="1"/>
    </row>
    <row r="3441" spans="17:17" x14ac:dyDescent="0.35">
      <c r="Q3441" s="1"/>
    </row>
    <row r="3442" spans="17:17" x14ac:dyDescent="0.35">
      <c r="Q3442" s="1"/>
    </row>
    <row r="3446" spans="17:17" x14ac:dyDescent="0.35">
      <c r="Q3446" s="1"/>
    </row>
    <row r="3448" spans="17:17" x14ac:dyDescent="0.35">
      <c r="Q3448" s="1"/>
    </row>
    <row r="3449" spans="17:17" x14ac:dyDescent="0.35">
      <c r="Q3449" s="1"/>
    </row>
    <row r="3452" spans="17:17" x14ac:dyDescent="0.35">
      <c r="Q3452" s="1"/>
    </row>
    <row r="3458" spans="16:17" x14ac:dyDescent="0.35">
      <c r="Q3458" s="1"/>
    </row>
    <row r="3472" spans="16:17" x14ac:dyDescent="0.35">
      <c r="P3472" s="1"/>
    </row>
    <row r="3475" spans="16:17" x14ac:dyDescent="0.35">
      <c r="P3475" s="1"/>
    </row>
    <row r="3476" spans="16:17" x14ac:dyDescent="0.35">
      <c r="P3476" s="1"/>
    </row>
    <row r="3478" spans="16:17" x14ac:dyDescent="0.35">
      <c r="Q3478" s="1"/>
    </row>
    <row r="3479" spans="16:17" x14ac:dyDescent="0.35">
      <c r="P3479" s="1"/>
    </row>
    <row r="3482" spans="16:17" x14ac:dyDescent="0.35">
      <c r="P3482" s="1"/>
    </row>
    <row r="3484" spans="16:17" x14ac:dyDescent="0.35">
      <c r="P3484" s="1"/>
    </row>
    <row r="3491" spans="16:17" x14ac:dyDescent="0.35">
      <c r="P3491" s="1"/>
    </row>
    <row r="3493" spans="16:17" x14ac:dyDescent="0.35">
      <c r="P3493" s="1"/>
    </row>
    <row r="3495" spans="16:17" x14ac:dyDescent="0.35">
      <c r="P3495" s="1"/>
    </row>
    <row r="3496" spans="16:17" x14ac:dyDescent="0.35">
      <c r="P3496" s="1"/>
    </row>
    <row r="3497" spans="16:17" x14ac:dyDescent="0.35">
      <c r="P3497" s="1"/>
    </row>
    <row r="3498" spans="16:17" x14ac:dyDescent="0.35">
      <c r="P3498" s="1"/>
    </row>
    <row r="3499" spans="16:17" x14ac:dyDescent="0.35">
      <c r="P3499" s="1"/>
    </row>
    <row r="3500" spans="16:17" x14ac:dyDescent="0.35">
      <c r="P3500" s="1"/>
    </row>
    <row r="3501" spans="16:17" x14ac:dyDescent="0.35">
      <c r="Q3501" s="1"/>
    </row>
    <row r="3502" spans="16:17" x14ac:dyDescent="0.35">
      <c r="Q3502" s="1"/>
    </row>
    <row r="3504" spans="16:17" x14ac:dyDescent="0.35">
      <c r="Q3504" s="1"/>
    </row>
    <row r="3508" spans="16:16" x14ac:dyDescent="0.35">
      <c r="P3508" s="1"/>
    </row>
    <row r="3521" spans="17:17" x14ac:dyDescent="0.35">
      <c r="Q3521" s="1"/>
    </row>
    <row r="3526" spans="17:17" x14ac:dyDescent="0.35">
      <c r="Q3526" s="1"/>
    </row>
    <row r="3530" spans="17:17" x14ac:dyDescent="0.35">
      <c r="Q3530" s="1"/>
    </row>
    <row r="3541" spans="17:17" x14ac:dyDescent="0.35">
      <c r="Q3541" s="1"/>
    </row>
    <row r="3545" spans="17:17" x14ac:dyDescent="0.35">
      <c r="Q3545" s="1"/>
    </row>
    <row r="3555" spans="17:17" x14ac:dyDescent="0.35">
      <c r="Q3555" s="1"/>
    </row>
    <row r="3558" spans="17:17" x14ac:dyDescent="0.35">
      <c r="Q3558" s="1"/>
    </row>
    <row r="3559" spans="17:17" x14ac:dyDescent="0.35">
      <c r="Q3559" s="1"/>
    </row>
    <row r="3569" spans="16:17" x14ac:dyDescent="0.35">
      <c r="Q3569" s="1"/>
    </row>
    <row r="3570" spans="16:17" x14ac:dyDescent="0.35">
      <c r="Q3570" s="1"/>
    </row>
    <row r="3571" spans="16:17" x14ac:dyDescent="0.35">
      <c r="P3571" s="1"/>
    </row>
    <row r="3580" spans="16:17" x14ac:dyDescent="0.35">
      <c r="Q3580" s="1"/>
    </row>
    <row r="3586" spans="17:17" x14ac:dyDescent="0.35">
      <c r="Q3586" s="1"/>
    </row>
    <row r="3604" spans="17:17" x14ac:dyDescent="0.35">
      <c r="Q3604" s="1"/>
    </row>
    <row r="3608" spans="17:17" x14ac:dyDescent="0.35">
      <c r="Q3608" s="1"/>
    </row>
    <row r="3610" spans="17:17" x14ac:dyDescent="0.35">
      <c r="Q3610" s="1"/>
    </row>
    <row r="3616" spans="17:17" x14ac:dyDescent="0.35">
      <c r="Q3616" s="1"/>
    </row>
    <row r="3621" spans="17:17" x14ac:dyDescent="0.35">
      <c r="Q3621" s="1"/>
    </row>
    <row r="3622" spans="17:17" x14ac:dyDescent="0.35">
      <c r="Q3622" s="1"/>
    </row>
    <row r="3623" spans="17:17" x14ac:dyDescent="0.35">
      <c r="Q3623" s="1"/>
    </row>
    <row r="3627" spans="17:17" x14ac:dyDescent="0.35">
      <c r="Q3627" s="1"/>
    </row>
    <row r="3631" spans="17:17" x14ac:dyDescent="0.35">
      <c r="Q3631" s="1"/>
    </row>
    <row r="3633" spans="16:17" x14ac:dyDescent="0.35">
      <c r="P3633" s="1"/>
    </row>
    <row r="3637" spans="16:17" x14ac:dyDescent="0.35">
      <c r="P3637" s="1"/>
    </row>
    <row r="3638" spans="16:17" x14ac:dyDescent="0.35">
      <c r="Q3638" s="1"/>
    </row>
    <row r="3639" spans="16:17" x14ac:dyDescent="0.35">
      <c r="P3639" s="1"/>
    </row>
    <row r="3644" spans="16:17" x14ac:dyDescent="0.35">
      <c r="Q3644" s="1"/>
    </row>
    <row r="3645" spans="16:17" x14ac:dyDescent="0.35">
      <c r="Q3645" s="1"/>
    </row>
    <row r="3646" spans="16:17" x14ac:dyDescent="0.35">
      <c r="Q3646" s="1"/>
    </row>
    <row r="3647" spans="16:17" x14ac:dyDescent="0.35">
      <c r="Q3647" s="1"/>
    </row>
    <row r="3649" spans="17:17" x14ac:dyDescent="0.35">
      <c r="Q3649" s="1"/>
    </row>
    <row r="3650" spans="17:17" x14ac:dyDescent="0.35">
      <c r="Q3650" s="1"/>
    </row>
    <row r="3659" spans="17:17" x14ac:dyDescent="0.35">
      <c r="Q3659" s="1"/>
    </row>
    <row r="3662" spans="17:17" x14ac:dyDescent="0.35">
      <c r="Q3662" s="1"/>
    </row>
    <row r="3666" spans="17:17" x14ac:dyDescent="0.35">
      <c r="Q3666" s="1"/>
    </row>
    <row r="3667" spans="17:17" x14ac:dyDescent="0.35">
      <c r="Q3667" s="1"/>
    </row>
    <row r="3681" spans="16:17" x14ac:dyDescent="0.35">
      <c r="Q3681" s="1"/>
    </row>
    <row r="3682" spans="16:17" x14ac:dyDescent="0.35">
      <c r="P3682" s="1"/>
    </row>
    <row r="3683" spans="16:17" x14ac:dyDescent="0.35">
      <c r="Q3683" s="1"/>
    </row>
    <row r="3702" spans="17:17" x14ac:dyDescent="0.35">
      <c r="Q3702" s="1"/>
    </row>
    <row r="3704" spans="17:17" x14ac:dyDescent="0.35">
      <c r="Q3704" s="1"/>
    </row>
    <row r="3705" spans="17:17" x14ac:dyDescent="0.35">
      <c r="Q3705" s="1"/>
    </row>
    <row r="3707" spans="17:17" x14ac:dyDescent="0.35">
      <c r="Q3707" s="1"/>
    </row>
    <row r="3708" spans="17:17" x14ac:dyDescent="0.35">
      <c r="Q3708" s="1"/>
    </row>
    <row r="3710" spans="17:17" x14ac:dyDescent="0.35">
      <c r="Q3710" s="1"/>
    </row>
    <row r="3715" spans="17:17" x14ac:dyDescent="0.35">
      <c r="Q3715" s="1"/>
    </row>
    <row r="3717" spans="17:17" x14ac:dyDescent="0.35">
      <c r="Q3717" s="1"/>
    </row>
    <row r="3718" spans="17:17" x14ac:dyDescent="0.35">
      <c r="Q3718" s="1"/>
    </row>
    <row r="3721" spans="17:17" x14ac:dyDescent="0.35">
      <c r="Q3721" s="1"/>
    </row>
    <row r="3723" spans="17:17" x14ac:dyDescent="0.35">
      <c r="Q3723" s="1"/>
    </row>
    <row r="3730" spans="16:17" x14ac:dyDescent="0.35">
      <c r="P3730" s="1"/>
    </row>
    <row r="3731" spans="16:17" x14ac:dyDescent="0.35">
      <c r="Q3731" s="1"/>
    </row>
    <row r="3732" spans="16:17" x14ac:dyDescent="0.35">
      <c r="Q3732" s="1"/>
    </row>
    <row r="3733" spans="16:17" x14ac:dyDescent="0.35">
      <c r="P3733" s="1"/>
    </row>
    <row r="3735" spans="16:17" x14ac:dyDescent="0.35">
      <c r="Q3735" s="1"/>
    </row>
    <row r="3737" spans="16:17" x14ac:dyDescent="0.35">
      <c r="Q3737" s="1"/>
    </row>
    <row r="3739" spans="16:17" x14ac:dyDescent="0.35">
      <c r="Q3739" s="1"/>
    </row>
    <row r="3741" spans="16:17" x14ac:dyDescent="0.35">
      <c r="Q3741" s="1"/>
    </row>
    <row r="3742" spans="16:17" x14ac:dyDescent="0.35">
      <c r="Q3742" s="1"/>
    </row>
    <row r="3752" spans="17:17" x14ac:dyDescent="0.35">
      <c r="Q3752" s="1"/>
    </row>
    <row r="3765" spans="17:17" x14ac:dyDescent="0.35">
      <c r="Q3765" s="1"/>
    </row>
    <row r="3772" spans="17:17" x14ac:dyDescent="0.35">
      <c r="Q3772" s="1"/>
    </row>
    <row r="3778" spans="17:17" x14ac:dyDescent="0.35">
      <c r="Q3778" s="1"/>
    </row>
    <row r="3783" spans="17:17" x14ac:dyDescent="0.35">
      <c r="Q3783" s="1"/>
    </row>
    <row r="3788" spans="17:17" x14ac:dyDescent="0.35">
      <c r="Q3788" s="1"/>
    </row>
    <row r="3791" spans="17:17" x14ac:dyDescent="0.35">
      <c r="Q3791" s="1"/>
    </row>
    <row r="3793" spans="17:17" x14ac:dyDescent="0.35">
      <c r="Q3793" s="1"/>
    </row>
    <row r="3797" spans="17:17" x14ac:dyDescent="0.35">
      <c r="Q3797" s="1"/>
    </row>
    <row r="3800" spans="17:17" x14ac:dyDescent="0.35">
      <c r="Q3800" s="1"/>
    </row>
    <row r="3809" spans="16:17" x14ac:dyDescent="0.35">
      <c r="Q3809" s="1"/>
    </row>
    <row r="3813" spans="16:17" x14ac:dyDescent="0.35">
      <c r="Q3813" s="1"/>
    </row>
    <row r="3816" spans="16:17" x14ac:dyDescent="0.35">
      <c r="P3816" s="1"/>
    </row>
    <row r="3818" spans="16:17" x14ac:dyDescent="0.35">
      <c r="Q3818" s="1"/>
    </row>
    <row r="3829" spans="17:17" x14ac:dyDescent="0.35">
      <c r="Q3829" s="1"/>
    </row>
    <row r="3832" spans="17:17" x14ac:dyDescent="0.35">
      <c r="Q3832" s="1"/>
    </row>
    <row r="3834" spans="17:17" x14ac:dyDescent="0.35">
      <c r="Q3834" s="1"/>
    </row>
    <row r="3845" spans="16:17" x14ac:dyDescent="0.35">
      <c r="Q3845" s="1"/>
    </row>
    <row r="3846" spans="16:17" x14ac:dyDescent="0.35">
      <c r="P3846" s="1"/>
    </row>
    <row r="3859" spans="16:17" x14ac:dyDescent="0.35">
      <c r="Q3859" s="1"/>
    </row>
    <row r="3865" spans="16:17" x14ac:dyDescent="0.35">
      <c r="Q3865" s="1"/>
    </row>
    <row r="3868" spans="16:17" x14ac:dyDescent="0.35">
      <c r="Q3868" s="1"/>
    </row>
    <row r="3872" spans="16:17" x14ac:dyDescent="0.35">
      <c r="P3872" s="1"/>
    </row>
    <row r="3874" spans="17:17" x14ac:dyDescent="0.35">
      <c r="Q3874" s="1"/>
    </row>
    <row r="3876" spans="17:17" x14ac:dyDescent="0.35">
      <c r="Q3876" s="1"/>
    </row>
    <row r="3877" spans="17:17" x14ac:dyDescent="0.35">
      <c r="Q3877" s="1"/>
    </row>
    <row r="3880" spans="17:17" x14ac:dyDescent="0.35">
      <c r="Q3880" s="1"/>
    </row>
    <row r="3882" spans="17:17" x14ac:dyDescent="0.35">
      <c r="Q3882" s="1"/>
    </row>
    <row r="3884" spans="17:17" x14ac:dyDescent="0.35">
      <c r="Q3884" s="1"/>
    </row>
    <row r="3890" spans="17:17" x14ac:dyDescent="0.35">
      <c r="Q3890" s="1"/>
    </row>
    <row r="3892" spans="17:17" x14ac:dyDescent="0.35">
      <c r="Q3892" s="1"/>
    </row>
    <row r="3895" spans="17:17" x14ac:dyDescent="0.35">
      <c r="Q3895" s="1"/>
    </row>
    <row r="3896" spans="17:17" x14ac:dyDescent="0.35">
      <c r="Q3896" s="1"/>
    </row>
    <row r="3897" spans="17:17" x14ac:dyDescent="0.35">
      <c r="Q3897" s="1"/>
    </row>
    <row r="3899" spans="17:17" x14ac:dyDescent="0.35">
      <c r="Q3899" s="1"/>
    </row>
    <row r="3900" spans="17:17" x14ac:dyDescent="0.35">
      <c r="Q3900" s="1"/>
    </row>
    <row r="3903" spans="17:17" x14ac:dyDescent="0.35">
      <c r="Q3903" s="1"/>
    </row>
    <row r="3907" spans="16:17" x14ac:dyDescent="0.35">
      <c r="Q3907" s="1"/>
    </row>
    <row r="3908" spans="16:17" x14ac:dyDescent="0.35">
      <c r="Q3908" s="1"/>
    </row>
    <row r="3911" spans="16:17" x14ac:dyDescent="0.35">
      <c r="P3911" s="1"/>
    </row>
    <row r="3914" spans="16:17" x14ac:dyDescent="0.35">
      <c r="Q3914" s="1"/>
    </row>
    <row r="3917" spans="16:17" x14ac:dyDescent="0.35">
      <c r="Q3917" s="1"/>
    </row>
    <row r="3918" spans="16:17" x14ac:dyDescent="0.35">
      <c r="Q3918" s="1"/>
    </row>
    <row r="3921" spans="16:17" x14ac:dyDescent="0.35">
      <c r="Q3921" s="1"/>
    </row>
    <row r="3924" spans="16:17" x14ac:dyDescent="0.35">
      <c r="Q3924" s="1"/>
    </row>
    <row r="3929" spans="16:17" x14ac:dyDescent="0.35">
      <c r="Q3929" s="1"/>
    </row>
    <row r="3930" spans="16:17" x14ac:dyDescent="0.35">
      <c r="P3930" s="1"/>
      <c r="Q3930" s="1"/>
    </row>
    <row r="3934" spans="16:17" x14ac:dyDescent="0.35">
      <c r="Q3934" s="1"/>
    </row>
    <row r="3935" spans="16:17" x14ac:dyDescent="0.35">
      <c r="Q3935" s="1"/>
    </row>
    <row r="3936" spans="16:17" x14ac:dyDescent="0.35">
      <c r="Q3936" s="1"/>
    </row>
    <row r="3937" spans="17:17" x14ac:dyDescent="0.35">
      <c r="Q3937" s="1"/>
    </row>
    <row r="3940" spans="17:17" x14ac:dyDescent="0.35">
      <c r="Q3940" s="1"/>
    </row>
    <row r="3942" spans="17:17" x14ac:dyDescent="0.35">
      <c r="Q3942" s="1"/>
    </row>
    <row r="3946" spans="17:17" x14ac:dyDescent="0.35">
      <c r="Q3946" s="1"/>
    </row>
    <row r="3952" spans="17:17" x14ac:dyDescent="0.35">
      <c r="Q3952" s="1"/>
    </row>
    <row r="3962" spans="17:17" x14ac:dyDescent="0.35">
      <c r="Q3962" s="1"/>
    </row>
    <row r="3963" spans="17:17" x14ac:dyDescent="0.35">
      <c r="Q3963" s="1"/>
    </row>
    <row r="3966" spans="17:17" x14ac:dyDescent="0.35">
      <c r="Q3966" s="1"/>
    </row>
    <row r="3967" spans="17:17" x14ac:dyDescent="0.35">
      <c r="Q3967" s="1"/>
    </row>
    <row r="3969" spans="17:17" x14ac:dyDescent="0.35">
      <c r="Q3969" s="1"/>
    </row>
    <row r="3973" spans="17:17" x14ac:dyDescent="0.35">
      <c r="Q3973" s="1"/>
    </row>
    <row r="3980" spans="17:17" x14ac:dyDescent="0.35">
      <c r="Q3980" s="1"/>
    </row>
    <row r="3984" spans="17:17" x14ac:dyDescent="0.35">
      <c r="Q3984" s="1"/>
    </row>
    <row r="3988" spans="16:17" x14ac:dyDescent="0.35">
      <c r="Q3988" s="1"/>
    </row>
    <row r="3997" spans="16:17" x14ac:dyDescent="0.35">
      <c r="P3997" s="1"/>
    </row>
    <row r="4000" spans="16:17" x14ac:dyDescent="0.35">
      <c r="Q4000" s="1"/>
    </row>
    <row r="4025" spans="17:17" x14ac:dyDescent="0.35">
      <c r="Q4025" s="1"/>
    </row>
    <row r="4034" spans="17:17" x14ac:dyDescent="0.35">
      <c r="Q4034" s="1"/>
    </row>
    <row r="4035" spans="17:17" x14ac:dyDescent="0.35">
      <c r="Q4035" s="1"/>
    </row>
    <row r="4036" spans="17:17" x14ac:dyDescent="0.35">
      <c r="Q4036" s="1"/>
    </row>
    <row r="4052" spans="17:17" x14ac:dyDescent="0.35">
      <c r="Q4052" s="1"/>
    </row>
    <row r="4061" spans="17:17" x14ac:dyDescent="0.35">
      <c r="Q4061" s="1"/>
    </row>
    <row r="4068" spans="17:17" x14ac:dyDescent="0.35">
      <c r="Q4068" s="1"/>
    </row>
    <row r="4070" spans="17:17" x14ac:dyDescent="0.35">
      <c r="Q4070" s="1"/>
    </row>
    <row r="4073" spans="17:17" x14ac:dyDescent="0.35">
      <c r="Q4073" s="1"/>
    </row>
    <row r="4112" spans="17:17" x14ac:dyDescent="0.35">
      <c r="Q4112" s="1"/>
    </row>
    <row r="4126" spans="17:17" x14ac:dyDescent="0.35">
      <c r="Q4126" s="1"/>
    </row>
    <row r="4128" spans="17:17" x14ac:dyDescent="0.35">
      <c r="Q4128" s="1"/>
    </row>
    <row r="4132" spans="17:17" x14ac:dyDescent="0.35">
      <c r="Q4132" s="1"/>
    </row>
    <row r="4163" spans="17:17" x14ac:dyDescent="0.35">
      <c r="Q4163" s="1"/>
    </row>
    <row r="4177" spans="17:17" x14ac:dyDescent="0.35">
      <c r="Q4177" s="1"/>
    </row>
    <row r="4230" spans="17:17" x14ac:dyDescent="0.35">
      <c r="Q4230" s="1"/>
    </row>
    <row r="4231" spans="17:17" x14ac:dyDescent="0.35">
      <c r="Q4231" s="1"/>
    </row>
    <row r="4238" spans="17:17" x14ac:dyDescent="0.35">
      <c r="Q4238" s="1"/>
    </row>
    <row r="4245" spans="16:16" x14ac:dyDescent="0.35">
      <c r="P4245" s="1"/>
    </row>
    <row r="4267" spans="17:17" x14ac:dyDescent="0.35">
      <c r="Q4267" s="1"/>
    </row>
    <row r="4276" spans="17:17" x14ac:dyDescent="0.35">
      <c r="Q4276" s="1"/>
    </row>
    <row r="4291" spans="17:17" x14ac:dyDescent="0.35">
      <c r="Q4291" s="1"/>
    </row>
    <row r="4311" spans="17:17" x14ac:dyDescent="0.35">
      <c r="Q4311" s="1"/>
    </row>
    <row r="4335" spans="17:17" x14ac:dyDescent="0.35">
      <c r="Q4335" s="1"/>
    </row>
    <row r="4384" spans="17:17" x14ac:dyDescent="0.35">
      <c r="Q4384" s="1"/>
    </row>
    <row r="4387" spans="17:17" x14ac:dyDescent="0.35">
      <c r="Q4387" s="1"/>
    </row>
    <row r="4390" spans="17:17" x14ac:dyDescent="0.35">
      <c r="Q4390" s="1"/>
    </row>
    <row r="4399" spans="17:17" x14ac:dyDescent="0.35">
      <c r="Q4399" s="1"/>
    </row>
    <row r="4407" spans="6:17" x14ac:dyDescent="0.35">
      <c r="Q4407" s="1"/>
    </row>
    <row r="4408" spans="6:17" x14ac:dyDescent="0.35">
      <c r="Q4408" s="1"/>
    </row>
    <row r="4414" spans="6:17" x14ac:dyDescent="0.35">
      <c r="F4414" s="2"/>
    </row>
    <row r="4416" spans="6:17" x14ac:dyDescent="0.35">
      <c r="Q4416" s="1"/>
    </row>
    <row r="4438" spans="17:17" x14ac:dyDescent="0.35">
      <c r="Q4438" s="1"/>
    </row>
    <row r="4464" spans="17:17" x14ac:dyDescent="0.35">
      <c r="Q4464" s="1"/>
    </row>
    <row r="4465" spans="17:17" x14ac:dyDescent="0.35">
      <c r="Q4465" s="1"/>
    </row>
    <row r="4484" spans="17:17" x14ac:dyDescent="0.35">
      <c r="Q4484" s="1"/>
    </row>
    <row r="4486" spans="17:17" x14ac:dyDescent="0.35">
      <c r="Q4486" s="1"/>
    </row>
    <row r="4495" spans="17:17" x14ac:dyDescent="0.35">
      <c r="Q4495" s="1"/>
    </row>
    <row r="4534" spans="17:17" x14ac:dyDescent="0.35">
      <c r="Q4534" s="1"/>
    </row>
    <row r="4569" spans="17:17" x14ac:dyDescent="0.35">
      <c r="Q4569" s="1"/>
    </row>
    <row r="4576" spans="17:17" x14ac:dyDescent="0.35">
      <c r="Q4576" s="1"/>
    </row>
    <row r="4578" spans="17:17" x14ac:dyDescent="0.35">
      <c r="Q4578" s="1"/>
    </row>
    <row r="4668" spans="17:17" x14ac:dyDescent="0.35">
      <c r="Q4668" s="1"/>
    </row>
    <row r="4687" spans="17:17" x14ac:dyDescent="0.35">
      <c r="Q4687" s="1"/>
    </row>
    <row r="4690" spans="17:17" x14ac:dyDescent="0.35">
      <c r="Q4690" s="1"/>
    </row>
    <row r="4692" spans="17:17" x14ac:dyDescent="0.35">
      <c r="Q4692" s="1"/>
    </row>
    <row r="4696" spans="17:17" x14ac:dyDescent="0.35">
      <c r="Q4696" s="1"/>
    </row>
    <row r="4752" spans="17:17" x14ac:dyDescent="0.35">
      <c r="Q4752" s="1"/>
    </row>
    <row r="4780" spans="17:17" x14ac:dyDescent="0.35">
      <c r="Q4780" s="1"/>
    </row>
    <row r="4783" spans="17:17" x14ac:dyDescent="0.35">
      <c r="Q4783" s="1"/>
    </row>
    <row r="4805" spans="16:17" x14ac:dyDescent="0.35">
      <c r="Q4805" s="1"/>
    </row>
    <row r="4813" spans="16:17" x14ac:dyDescent="0.35">
      <c r="P4813" s="1"/>
    </row>
    <row r="4833" spans="17:17" x14ac:dyDescent="0.35">
      <c r="Q4833" s="1"/>
    </row>
    <row r="4851" spans="16:16" x14ac:dyDescent="0.35">
      <c r="P4851" s="1"/>
    </row>
    <row r="5003" spans="16:17" x14ac:dyDescent="0.35">
      <c r="P5003" s="1"/>
    </row>
    <row r="5004" spans="16:17" x14ac:dyDescent="0.35">
      <c r="Q5004" s="1"/>
    </row>
    <row r="5016" spans="17:17" x14ac:dyDescent="0.35">
      <c r="Q5016" s="1"/>
    </row>
    <row r="5017" spans="17:17" x14ac:dyDescent="0.35">
      <c r="Q5017" s="1"/>
    </row>
    <row r="5026" spans="17:17" x14ac:dyDescent="0.35">
      <c r="Q5026" s="1"/>
    </row>
    <row r="5027" spans="17:17" x14ac:dyDescent="0.35">
      <c r="Q5027" s="1"/>
    </row>
    <row r="5031" spans="17:17" x14ac:dyDescent="0.35">
      <c r="Q5031" s="1"/>
    </row>
    <row r="5036" spans="17:17" x14ac:dyDescent="0.35">
      <c r="Q5036" s="1"/>
    </row>
    <row r="5040" spans="17:17" x14ac:dyDescent="0.35">
      <c r="Q5040" s="1"/>
    </row>
    <row r="5044" spans="17:17" x14ac:dyDescent="0.35">
      <c r="Q5044" s="1"/>
    </row>
    <row r="5062" spans="17:17" x14ac:dyDescent="0.35">
      <c r="Q5062" s="1"/>
    </row>
    <row r="5066" spans="17:17" x14ac:dyDescent="0.35">
      <c r="Q5066" s="1"/>
    </row>
    <row r="5072" spans="17:17" x14ac:dyDescent="0.35">
      <c r="Q5072" s="1"/>
    </row>
    <row r="5081" spans="16:16" x14ac:dyDescent="0.35">
      <c r="P5081" s="1"/>
    </row>
    <row r="5096" spans="17:17" x14ac:dyDescent="0.35">
      <c r="Q5096" s="1"/>
    </row>
    <row r="5098" spans="17:17" x14ac:dyDescent="0.35">
      <c r="Q5098" s="1"/>
    </row>
    <row r="5102" spans="17:17" x14ac:dyDescent="0.35">
      <c r="Q5102" s="1"/>
    </row>
    <row r="5103" spans="17:17" x14ac:dyDescent="0.35">
      <c r="Q5103" s="1"/>
    </row>
    <row r="5109" spans="16:17" x14ac:dyDescent="0.35">
      <c r="P5109" s="1"/>
    </row>
    <row r="5117" spans="16:17" x14ac:dyDescent="0.35">
      <c r="P5117" s="1"/>
    </row>
    <row r="5119" spans="16:17" x14ac:dyDescent="0.35">
      <c r="Q5119" s="1"/>
    </row>
    <row r="5124" spans="16:17" x14ac:dyDescent="0.35">
      <c r="Q5124" s="1"/>
    </row>
    <row r="5132" spans="16:17" x14ac:dyDescent="0.35">
      <c r="Q5132" s="1"/>
    </row>
    <row r="5133" spans="16:17" x14ac:dyDescent="0.35">
      <c r="P5133" s="1"/>
    </row>
    <row r="5142" spans="17:17" x14ac:dyDescent="0.35">
      <c r="Q5142" s="1"/>
    </row>
    <row r="5149" spans="17:17" x14ac:dyDescent="0.35">
      <c r="Q5149" s="1"/>
    </row>
    <row r="5161" spans="17:17" x14ac:dyDescent="0.35">
      <c r="Q5161" s="1"/>
    </row>
    <row r="5163" spans="17:17" x14ac:dyDescent="0.35">
      <c r="Q5163" s="1"/>
    </row>
    <row r="5165" spans="17:17" x14ac:dyDescent="0.35">
      <c r="Q5165" s="1"/>
    </row>
    <row r="5167" spans="17:17" x14ac:dyDescent="0.35">
      <c r="Q5167" s="1"/>
    </row>
    <row r="5175" spans="16:17" x14ac:dyDescent="0.35">
      <c r="P5175" s="1"/>
    </row>
    <row r="5179" spans="16:17" x14ac:dyDescent="0.35">
      <c r="Q5179" s="1"/>
    </row>
    <row r="5188" spans="17:17" x14ac:dyDescent="0.35">
      <c r="Q5188" s="1"/>
    </row>
    <row r="5193" spans="17:17" x14ac:dyDescent="0.35">
      <c r="Q5193" s="1"/>
    </row>
    <row r="5198" spans="17:17" x14ac:dyDescent="0.35">
      <c r="Q5198" s="1"/>
    </row>
    <row r="5207" spans="17:17" x14ac:dyDescent="0.35">
      <c r="Q5207" s="1"/>
    </row>
    <row r="5221" spans="16:17" x14ac:dyDescent="0.35">
      <c r="P5221" s="1"/>
    </row>
    <row r="5224" spans="16:17" x14ac:dyDescent="0.35">
      <c r="Q5224" s="1"/>
    </row>
    <row r="5230" spans="16:17" x14ac:dyDescent="0.35">
      <c r="Q5230" s="1"/>
    </row>
    <row r="5246" spans="17:17" x14ac:dyDescent="0.35">
      <c r="Q5246" s="1"/>
    </row>
    <row r="5251" spans="17:17" x14ac:dyDescent="0.35">
      <c r="Q5251" s="1"/>
    </row>
    <row r="5254" spans="17:17" x14ac:dyDescent="0.35">
      <c r="Q5254" s="1"/>
    </row>
    <row r="5263" spans="17:17" x14ac:dyDescent="0.35">
      <c r="Q5263" s="1"/>
    </row>
    <row r="5275" spans="16:17" x14ac:dyDescent="0.35">
      <c r="P5275" s="1"/>
    </row>
    <row r="5280" spans="16:17" x14ac:dyDescent="0.35">
      <c r="Q5280" s="1"/>
    </row>
    <row r="5285" spans="17:17" x14ac:dyDescent="0.35">
      <c r="Q5285" s="1"/>
    </row>
    <row r="5300" spans="16:17" x14ac:dyDescent="0.35">
      <c r="Q5300" s="1"/>
    </row>
    <row r="5304" spans="16:17" x14ac:dyDescent="0.35">
      <c r="Q5304" s="1"/>
    </row>
    <row r="5307" spans="16:17" x14ac:dyDescent="0.35">
      <c r="Q5307" s="1"/>
    </row>
    <row r="5311" spans="16:17" x14ac:dyDescent="0.35">
      <c r="P5311" s="1"/>
    </row>
    <row r="5325" spans="5:5" x14ac:dyDescent="0.35">
      <c r="E5325" s="3"/>
    </row>
    <row r="5336" spans="17:17" x14ac:dyDescent="0.35">
      <c r="Q5336" s="1"/>
    </row>
    <row r="5341" spans="17:17" x14ac:dyDescent="0.35">
      <c r="Q5341" s="1"/>
    </row>
    <row r="5351" spans="17:17" x14ac:dyDescent="0.35">
      <c r="Q5351" s="1"/>
    </row>
    <row r="5355" spans="17:17" x14ac:dyDescent="0.35">
      <c r="Q5355" s="1"/>
    </row>
    <row r="5396" spans="17:17" x14ac:dyDescent="0.35">
      <c r="Q5396" s="1"/>
    </row>
    <row r="5401" spans="17:17" x14ac:dyDescent="0.35">
      <c r="Q5401" s="1"/>
    </row>
    <row r="5405" spans="17:17" x14ac:dyDescent="0.35">
      <c r="Q5405" s="1"/>
    </row>
    <row r="5416" spans="16:17" x14ac:dyDescent="0.35">
      <c r="Q5416" s="1"/>
    </row>
    <row r="5418" spans="16:17" x14ac:dyDescent="0.35">
      <c r="P5418" s="1"/>
    </row>
    <row r="5421" spans="16:17" x14ac:dyDescent="0.35">
      <c r="Q5421" s="1"/>
    </row>
    <row r="5431" spans="17:17" x14ac:dyDescent="0.35">
      <c r="Q5431" s="1"/>
    </row>
    <row r="5443" spans="16:17" x14ac:dyDescent="0.35">
      <c r="P5443" s="1"/>
    </row>
    <row r="5444" spans="16:17" x14ac:dyDescent="0.35">
      <c r="Q5444" s="1"/>
    </row>
    <row r="5447" spans="16:17" x14ac:dyDescent="0.35">
      <c r="Q5447" s="1"/>
    </row>
    <row r="5448" spans="16:17" x14ac:dyDescent="0.35">
      <c r="Q5448" s="1"/>
    </row>
    <row r="5449" spans="16:17" x14ac:dyDescent="0.35">
      <c r="Q5449" s="1"/>
    </row>
    <row r="5452" spans="16:17" x14ac:dyDescent="0.35">
      <c r="Q5452" s="1"/>
    </row>
    <row r="5457" spans="16:17" x14ac:dyDescent="0.35">
      <c r="P5457" s="1"/>
    </row>
    <row r="5462" spans="16:17" x14ac:dyDescent="0.35">
      <c r="Q5462" s="1"/>
    </row>
    <row r="5464" spans="16:17" x14ac:dyDescent="0.35">
      <c r="Q5464" s="1"/>
    </row>
    <row r="5466" spans="16:17" x14ac:dyDescent="0.35">
      <c r="Q5466" s="1"/>
    </row>
    <row r="5481" spans="17:17" x14ac:dyDescent="0.35">
      <c r="Q5481" s="1"/>
    </row>
    <row r="5496" spans="17:17" x14ac:dyDescent="0.35">
      <c r="Q5496" s="1"/>
    </row>
    <row r="5500" spans="17:17" x14ac:dyDescent="0.35">
      <c r="Q5500" s="1"/>
    </row>
    <row r="5501" spans="17:17" x14ac:dyDescent="0.35">
      <c r="Q5501" s="1"/>
    </row>
    <row r="5505" spans="16:17" x14ac:dyDescent="0.35">
      <c r="Q5505" s="1"/>
    </row>
    <row r="5508" spans="16:17" x14ac:dyDescent="0.35">
      <c r="P5508" s="1"/>
      <c r="Q5508" s="1"/>
    </row>
    <row r="5509" spans="16:17" x14ac:dyDescent="0.35">
      <c r="Q5509" s="1"/>
    </row>
    <row r="5512" spans="16:17" x14ac:dyDescent="0.35">
      <c r="Q5512" s="1"/>
    </row>
    <row r="5536" spans="17:17" x14ac:dyDescent="0.35">
      <c r="Q5536" s="1"/>
    </row>
    <row r="5554" spans="16:17" x14ac:dyDescent="0.35">
      <c r="P5554" s="1"/>
    </row>
    <row r="5564" spans="16:17" x14ac:dyDescent="0.35">
      <c r="Q5564" s="1"/>
    </row>
    <row r="5576" spans="17:17" x14ac:dyDescent="0.35">
      <c r="Q5576" s="1"/>
    </row>
    <row r="5585" spans="17:17" x14ac:dyDescent="0.35">
      <c r="Q5585" s="1"/>
    </row>
    <row r="5586" spans="17:17" x14ac:dyDescent="0.35">
      <c r="Q5586" s="1"/>
    </row>
    <row r="5593" spans="17:17" x14ac:dyDescent="0.35">
      <c r="Q5593" s="1"/>
    </row>
    <row r="5594" spans="17:17" x14ac:dyDescent="0.35">
      <c r="Q5594" s="1"/>
    </row>
    <row r="5602" spans="16:17" x14ac:dyDescent="0.35">
      <c r="P5602" s="1"/>
    </row>
    <row r="5610" spans="16:17" x14ac:dyDescent="0.35">
      <c r="Q5610" s="1"/>
    </row>
    <row r="5620" spans="17:17" x14ac:dyDescent="0.35">
      <c r="Q5620" s="1"/>
    </row>
    <row r="5630" spans="17:17" x14ac:dyDescent="0.35">
      <c r="Q5630" s="1"/>
    </row>
    <row r="5659" spans="17:17" x14ac:dyDescent="0.35">
      <c r="Q5659" s="1"/>
    </row>
    <row r="5665" spans="16:17" x14ac:dyDescent="0.35">
      <c r="Q5665" s="1"/>
    </row>
    <row r="5666" spans="16:17" x14ac:dyDescent="0.35">
      <c r="Q5666" s="1"/>
    </row>
    <row r="5669" spans="16:17" x14ac:dyDescent="0.35">
      <c r="P5669" s="1"/>
    </row>
    <row r="5675" spans="16:17" x14ac:dyDescent="0.35">
      <c r="Q5675" s="1"/>
    </row>
    <row r="5693" spans="17:17" x14ac:dyDescent="0.35">
      <c r="Q5693" s="1"/>
    </row>
    <row r="5700" spans="16:17" x14ac:dyDescent="0.35">
      <c r="Q5700" s="1"/>
    </row>
    <row r="5704" spans="16:17" x14ac:dyDescent="0.35">
      <c r="Q5704" s="1"/>
    </row>
    <row r="5705" spans="16:17" x14ac:dyDescent="0.35">
      <c r="P5705" s="1"/>
    </row>
    <row r="5713" spans="16:17" x14ac:dyDescent="0.35">
      <c r="Q5713" s="1"/>
    </row>
    <row r="5715" spans="16:17" x14ac:dyDescent="0.35">
      <c r="Q5715" s="1"/>
    </row>
    <row r="5718" spans="16:17" x14ac:dyDescent="0.35">
      <c r="P5718" s="1"/>
    </row>
    <row r="5736" spans="17:17" x14ac:dyDescent="0.35">
      <c r="Q5736" s="1"/>
    </row>
    <row r="5739" spans="17:17" x14ac:dyDescent="0.35">
      <c r="Q5739" s="1"/>
    </row>
    <row r="5746" spans="16:17" x14ac:dyDescent="0.35">
      <c r="P5746" s="1"/>
      <c r="Q5746" s="1"/>
    </row>
    <row r="5747" spans="16:17" x14ac:dyDescent="0.35">
      <c r="P5747" s="1"/>
    </row>
    <row r="5754" spans="16:17" x14ac:dyDescent="0.35">
      <c r="Q5754" s="1"/>
    </row>
    <row r="5758" spans="16:17" x14ac:dyDescent="0.35">
      <c r="P5758" s="1"/>
    </row>
    <row r="5779" spans="16:17" x14ac:dyDescent="0.35">
      <c r="Q5779" s="1"/>
    </row>
    <row r="5791" spans="16:17" x14ac:dyDescent="0.35">
      <c r="Q5791" s="1"/>
    </row>
    <row r="5792" spans="16:17" x14ac:dyDescent="0.35">
      <c r="P5792" s="1"/>
    </row>
    <row r="5798" spans="16:17" x14ac:dyDescent="0.35">
      <c r="Q5798" s="1"/>
    </row>
    <row r="5802" spans="16:17" x14ac:dyDescent="0.35">
      <c r="P5802" s="1"/>
    </row>
    <row r="5816" spans="17:17" x14ac:dyDescent="0.35">
      <c r="Q5816" s="1"/>
    </row>
    <row r="5825" spans="17:17" x14ac:dyDescent="0.35">
      <c r="Q5825" s="1"/>
    </row>
    <row r="5826" spans="17:17" x14ac:dyDescent="0.35">
      <c r="Q5826" s="1"/>
    </row>
    <row r="5830" spans="17:17" x14ac:dyDescent="0.35">
      <c r="Q5830" s="1"/>
    </row>
    <row r="5839" spans="17:17" x14ac:dyDescent="0.35">
      <c r="Q5839" s="1"/>
    </row>
    <row r="5850" spans="16:17" x14ac:dyDescent="0.35">
      <c r="Q5850" s="1"/>
    </row>
    <row r="5853" spans="16:17" x14ac:dyDescent="0.35">
      <c r="P5853" s="1"/>
    </row>
    <row r="5859" spans="17:17" x14ac:dyDescent="0.35">
      <c r="Q5859" s="1"/>
    </row>
    <row r="5861" spans="17:17" x14ac:dyDescent="0.35">
      <c r="Q5861" s="1"/>
    </row>
    <row r="5863" spans="17:17" x14ac:dyDescent="0.35">
      <c r="Q5863" s="1"/>
    </row>
    <row r="5869" spans="17:17" x14ac:dyDescent="0.35">
      <c r="Q5869" s="1"/>
    </row>
    <row r="5872" spans="17:17" x14ac:dyDescent="0.35">
      <c r="Q5872" s="1"/>
    </row>
    <row r="5901" spans="17:17" x14ac:dyDescent="0.35">
      <c r="Q5901" s="1"/>
    </row>
    <row r="5903" spans="17:17" x14ac:dyDescent="0.35">
      <c r="Q5903" s="1"/>
    </row>
    <row r="5918" spans="17:17" x14ac:dyDescent="0.35">
      <c r="Q5918" s="1"/>
    </row>
    <row r="5923" spans="17:17" x14ac:dyDescent="0.35">
      <c r="Q5923" s="1"/>
    </row>
    <row r="5925" spans="17:17" x14ac:dyDescent="0.35">
      <c r="Q5925" s="1"/>
    </row>
    <row r="5930" spans="17:17" x14ac:dyDescent="0.35">
      <c r="Q5930" s="1"/>
    </row>
    <row r="5940" spans="17:17" x14ac:dyDescent="0.35">
      <c r="Q5940" s="1"/>
    </row>
    <row r="5950" spans="17:17" x14ac:dyDescent="0.35">
      <c r="Q5950" s="1"/>
    </row>
    <row r="5951" spans="17:17" x14ac:dyDescent="0.35">
      <c r="Q5951" s="1"/>
    </row>
    <row r="5953" spans="16:17" x14ac:dyDescent="0.35">
      <c r="Q5953" s="1"/>
    </row>
    <row r="5954" spans="16:17" x14ac:dyDescent="0.35">
      <c r="P5954" s="1"/>
    </row>
    <row r="5956" spans="16:17" x14ac:dyDescent="0.35">
      <c r="Q5956" s="1"/>
    </row>
    <row r="5959" spans="16:17" x14ac:dyDescent="0.35">
      <c r="Q5959" s="1"/>
    </row>
    <row r="5964" spans="16:17" x14ac:dyDescent="0.35">
      <c r="P5964" s="1"/>
    </row>
    <row r="5970" spans="17:17" x14ac:dyDescent="0.35">
      <c r="Q5970" s="1"/>
    </row>
    <row r="5972" spans="17:17" x14ac:dyDescent="0.35">
      <c r="Q5972" s="1"/>
    </row>
    <row r="5978" spans="17:17" x14ac:dyDescent="0.35">
      <c r="Q5978" s="1"/>
    </row>
    <row r="5986" spans="17:17" x14ac:dyDescent="0.35">
      <c r="Q5986" s="1"/>
    </row>
    <row r="5994" spans="17:17" x14ac:dyDescent="0.35">
      <c r="Q5994" s="1"/>
    </row>
    <row r="6001" spans="16:17" x14ac:dyDescent="0.35">
      <c r="Q6001" s="1"/>
    </row>
    <row r="6002" spans="16:17" x14ac:dyDescent="0.35">
      <c r="P6002" s="1"/>
    </row>
    <row r="6003" spans="16:17" x14ac:dyDescent="0.35">
      <c r="P6003" s="1"/>
    </row>
    <row r="6008" spans="16:17" x14ac:dyDescent="0.35">
      <c r="P6008" s="1"/>
    </row>
    <row r="6009" spans="16:17" x14ac:dyDescent="0.35">
      <c r="P6009" s="1"/>
    </row>
    <row r="6010" spans="16:17" x14ac:dyDescent="0.35">
      <c r="P6010" s="1"/>
    </row>
    <row r="6011" spans="16:17" x14ac:dyDescent="0.35">
      <c r="Q6011" s="1"/>
    </row>
    <row r="6014" spans="16:17" x14ac:dyDescent="0.35">
      <c r="P6014" s="1"/>
    </row>
    <row r="6018" spans="16:17" x14ac:dyDescent="0.35">
      <c r="P6018" s="1"/>
    </row>
    <row r="6019" spans="16:17" x14ac:dyDescent="0.35">
      <c r="P6019" s="1"/>
    </row>
    <row r="6020" spans="16:17" x14ac:dyDescent="0.35">
      <c r="P6020" s="1"/>
    </row>
    <row r="6021" spans="16:17" x14ac:dyDescent="0.35">
      <c r="P6021" s="1"/>
    </row>
    <row r="6023" spans="16:17" x14ac:dyDescent="0.35">
      <c r="P6023" s="1"/>
    </row>
    <row r="6025" spans="16:17" x14ac:dyDescent="0.35">
      <c r="P6025" s="1"/>
    </row>
    <row r="6026" spans="16:17" x14ac:dyDescent="0.35">
      <c r="P6026" s="1"/>
    </row>
    <row r="6027" spans="16:17" x14ac:dyDescent="0.35">
      <c r="P6027" s="1"/>
    </row>
    <row r="6028" spans="16:17" x14ac:dyDescent="0.35">
      <c r="P6028" s="1"/>
    </row>
    <row r="6030" spans="16:17" x14ac:dyDescent="0.35">
      <c r="Q6030" s="1"/>
    </row>
    <row r="6031" spans="16:17" x14ac:dyDescent="0.35">
      <c r="P6031" s="1"/>
    </row>
    <row r="6033" spans="16:17" x14ac:dyDescent="0.35">
      <c r="P6033" s="1"/>
    </row>
    <row r="6034" spans="16:17" x14ac:dyDescent="0.35">
      <c r="P6034" s="1"/>
    </row>
    <row r="6035" spans="16:17" x14ac:dyDescent="0.35">
      <c r="Q6035" s="1"/>
    </row>
    <row r="6036" spans="16:17" x14ac:dyDescent="0.35">
      <c r="P6036" s="1"/>
    </row>
    <row r="6037" spans="16:17" x14ac:dyDescent="0.35">
      <c r="P6037" s="1"/>
    </row>
    <row r="6039" spans="16:17" x14ac:dyDescent="0.35">
      <c r="P6039" s="1"/>
    </row>
    <row r="6040" spans="16:17" x14ac:dyDescent="0.35">
      <c r="P6040" s="1"/>
    </row>
    <row r="6045" spans="16:17" x14ac:dyDescent="0.35">
      <c r="P6045" s="1"/>
      <c r="Q6045" s="1"/>
    </row>
    <row r="6046" spans="16:17" x14ac:dyDescent="0.35">
      <c r="P6046" s="1"/>
    </row>
    <row r="6047" spans="16:17" x14ac:dyDescent="0.35">
      <c r="P6047" s="1"/>
    </row>
    <row r="6049" spans="16:17" x14ac:dyDescent="0.35">
      <c r="P6049" s="1"/>
    </row>
    <row r="6053" spans="16:17" x14ac:dyDescent="0.35">
      <c r="P6053" s="1"/>
    </row>
    <row r="6060" spans="16:17" x14ac:dyDescent="0.35">
      <c r="P6060" s="1"/>
      <c r="Q6060" s="1"/>
    </row>
    <row r="6064" spans="16:17" x14ac:dyDescent="0.35">
      <c r="P6064" s="1"/>
    </row>
    <row r="6065" spans="16:16" x14ac:dyDescent="0.35">
      <c r="P6065" s="1"/>
    </row>
    <row r="6066" spans="16:16" x14ac:dyDescent="0.35">
      <c r="P6066" s="1"/>
    </row>
    <row r="6070" spans="16:16" x14ac:dyDescent="0.35">
      <c r="P6070" s="1"/>
    </row>
    <row r="6072" spans="16:16" x14ac:dyDescent="0.35">
      <c r="P6072" s="1"/>
    </row>
    <row r="6073" spans="16:16" x14ac:dyDescent="0.35">
      <c r="P6073" s="1"/>
    </row>
    <row r="6074" spans="16:16" x14ac:dyDescent="0.35">
      <c r="P6074" s="1"/>
    </row>
    <row r="6077" spans="16:16" x14ac:dyDescent="0.35">
      <c r="P6077" s="1"/>
    </row>
    <row r="6080" spans="16:16" x14ac:dyDescent="0.35">
      <c r="P6080" s="1"/>
    </row>
    <row r="6081" spans="16:17" x14ac:dyDescent="0.35">
      <c r="P6081" s="1"/>
    </row>
    <row r="6082" spans="16:17" x14ac:dyDescent="0.35">
      <c r="Q6082" s="1"/>
    </row>
    <row r="6083" spans="16:17" x14ac:dyDescent="0.35">
      <c r="P6083" s="1"/>
    </row>
    <row r="6084" spans="16:17" x14ac:dyDescent="0.35">
      <c r="P6084" s="1"/>
    </row>
    <row r="6085" spans="16:17" x14ac:dyDescent="0.35">
      <c r="P6085" s="1"/>
    </row>
    <row r="6086" spans="16:17" x14ac:dyDescent="0.35">
      <c r="P6086" s="1"/>
    </row>
    <row r="6088" spans="16:17" x14ac:dyDescent="0.35">
      <c r="P6088" s="1"/>
    </row>
    <row r="6091" spans="16:17" x14ac:dyDescent="0.35">
      <c r="P6091" s="1"/>
    </row>
    <row r="6092" spans="16:17" x14ac:dyDescent="0.35">
      <c r="P6092" s="1"/>
    </row>
    <row r="6093" spans="16:17" x14ac:dyDescent="0.35">
      <c r="P6093" s="1"/>
    </row>
    <row r="6094" spans="16:17" x14ac:dyDescent="0.35">
      <c r="P6094" s="1"/>
    </row>
    <row r="6097" spans="16:16" x14ac:dyDescent="0.35">
      <c r="P6097" s="1"/>
    </row>
    <row r="6098" spans="16:16" x14ac:dyDescent="0.35">
      <c r="P6098" s="1"/>
    </row>
    <row r="6099" spans="16:16" x14ac:dyDescent="0.35">
      <c r="P6099" s="1"/>
    </row>
    <row r="6100" spans="16:16" x14ac:dyDescent="0.35">
      <c r="P6100" s="1"/>
    </row>
    <row r="6104" spans="16:16" x14ac:dyDescent="0.35">
      <c r="P6104" s="1"/>
    </row>
    <row r="6107" spans="16:16" x14ac:dyDescent="0.35">
      <c r="P6107" s="1"/>
    </row>
    <row r="6108" spans="16:16" x14ac:dyDescent="0.35">
      <c r="P6108" s="1"/>
    </row>
    <row r="6112" spans="16:16" x14ac:dyDescent="0.35">
      <c r="P6112" s="1"/>
    </row>
    <row r="6114" spans="16:17" x14ac:dyDescent="0.35">
      <c r="P6114" s="1"/>
      <c r="Q6114" s="1"/>
    </row>
    <row r="6117" spans="16:17" x14ac:dyDescent="0.35">
      <c r="P6117" s="1"/>
    </row>
    <row r="6118" spans="16:17" x14ac:dyDescent="0.35">
      <c r="P6118" s="1"/>
    </row>
    <row r="6119" spans="16:17" x14ac:dyDescent="0.35">
      <c r="P6119" s="1"/>
    </row>
    <row r="6121" spans="16:17" x14ac:dyDescent="0.35">
      <c r="P6121" s="1"/>
    </row>
    <row r="6123" spans="16:17" x14ac:dyDescent="0.35">
      <c r="P6123" s="1"/>
    </row>
    <row r="6124" spans="16:17" x14ac:dyDescent="0.35">
      <c r="P6124" s="1"/>
    </row>
    <row r="6125" spans="16:17" x14ac:dyDescent="0.35">
      <c r="P6125" s="1"/>
    </row>
    <row r="6126" spans="16:17" x14ac:dyDescent="0.35">
      <c r="P6126" s="1"/>
    </row>
    <row r="6127" spans="16:17" x14ac:dyDescent="0.35">
      <c r="P6127" s="1"/>
    </row>
    <row r="6128" spans="16:17" x14ac:dyDescent="0.35">
      <c r="P6128" s="1"/>
    </row>
    <row r="6131" spans="16:16" x14ac:dyDescent="0.35">
      <c r="P6131" s="1"/>
    </row>
    <row r="6133" spans="16:16" x14ac:dyDescent="0.35">
      <c r="P6133" s="1"/>
    </row>
    <row r="6136" spans="16:16" x14ac:dyDescent="0.35">
      <c r="P6136" s="1"/>
    </row>
    <row r="6137" spans="16:16" x14ac:dyDescent="0.35">
      <c r="P6137" s="1"/>
    </row>
    <row r="6138" spans="16:16" x14ac:dyDescent="0.35">
      <c r="P6138" s="1"/>
    </row>
    <row r="6139" spans="16:16" x14ac:dyDescent="0.35">
      <c r="P6139" s="1"/>
    </row>
    <row r="6141" spans="16:16" x14ac:dyDescent="0.35">
      <c r="P6141" s="1"/>
    </row>
    <row r="6148" spans="16:17" x14ac:dyDescent="0.35">
      <c r="P6148" s="1"/>
    </row>
    <row r="6149" spans="16:17" x14ac:dyDescent="0.35">
      <c r="P6149" s="1"/>
    </row>
    <row r="6151" spans="16:17" x14ac:dyDescent="0.35">
      <c r="P6151" s="1"/>
    </row>
    <row r="6152" spans="16:17" x14ac:dyDescent="0.35">
      <c r="Q6152" s="1"/>
    </row>
    <row r="6158" spans="16:17" x14ac:dyDescent="0.35">
      <c r="P6158" s="1"/>
    </row>
    <row r="6159" spans="16:17" x14ac:dyDescent="0.35">
      <c r="P6159" s="1"/>
    </row>
    <row r="6160" spans="16:17" x14ac:dyDescent="0.35">
      <c r="P6160" s="1"/>
    </row>
    <row r="6163" spans="16:16" x14ac:dyDescent="0.35">
      <c r="P6163" s="1"/>
    </row>
    <row r="6164" spans="16:16" x14ac:dyDescent="0.35">
      <c r="P6164" s="1"/>
    </row>
    <row r="6168" spans="16:16" x14ac:dyDescent="0.35">
      <c r="P6168" s="1"/>
    </row>
    <row r="6169" spans="16:16" x14ac:dyDescent="0.35">
      <c r="P6169" s="1"/>
    </row>
    <row r="6170" spans="16:16" x14ac:dyDescent="0.35">
      <c r="P6170" s="1"/>
    </row>
    <row r="6171" spans="16:16" x14ac:dyDescent="0.35">
      <c r="P6171" s="1"/>
    </row>
    <row r="6172" spans="16:16" x14ac:dyDescent="0.35">
      <c r="P6172" s="1"/>
    </row>
    <row r="6174" spans="16:16" x14ac:dyDescent="0.35">
      <c r="P6174" s="1"/>
    </row>
    <row r="6175" spans="16:16" x14ac:dyDescent="0.35">
      <c r="P6175" s="1"/>
    </row>
    <row r="6177" spans="16:17" x14ac:dyDescent="0.35">
      <c r="P6177" s="1"/>
    </row>
    <row r="6179" spans="16:17" x14ac:dyDescent="0.35">
      <c r="P6179" s="1"/>
    </row>
    <row r="6180" spans="16:17" x14ac:dyDescent="0.35">
      <c r="P6180" s="1"/>
      <c r="Q6180" s="1"/>
    </row>
    <row r="6182" spans="16:17" x14ac:dyDescent="0.35">
      <c r="P6182" s="1"/>
    </row>
    <row r="6183" spans="16:17" x14ac:dyDescent="0.35">
      <c r="P6183" s="1"/>
    </row>
    <row r="6184" spans="16:17" x14ac:dyDescent="0.35">
      <c r="P6184" s="1"/>
    </row>
    <row r="6185" spans="16:17" x14ac:dyDescent="0.35">
      <c r="P6185" s="1"/>
    </row>
    <row r="6186" spans="16:17" x14ac:dyDescent="0.35">
      <c r="P6186" s="1"/>
    </row>
    <row r="6187" spans="16:17" x14ac:dyDescent="0.35">
      <c r="P6187" s="1"/>
    </row>
    <row r="6188" spans="16:17" x14ac:dyDescent="0.35">
      <c r="P6188" s="1"/>
    </row>
    <row r="6189" spans="16:17" x14ac:dyDescent="0.35">
      <c r="P6189" s="1"/>
    </row>
    <row r="6193" spans="16:17" x14ac:dyDescent="0.35">
      <c r="P6193" s="1"/>
    </row>
    <row r="6194" spans="16:17" x14ac:dyDescent="0.35">
      <c r="P6194" s="1"/>
    </row>
    <row r="6195" spans="16:17" x14ac:dyDescent="0.35">
      <c r="P6195" s="1"/>
    </row>
    <row r="6197" spans="16:17" x14ac:dyDescent="0.35">
      <c r="P6197" s="1"/>
    </row>
    <row r="6198" spans="16:17" x14ac:dyDescent="0.35">
      <c r="P6198" s="1"/>
    </row>
    <row r="6199" spans="16:17" x14ac:dyDescent="0.35">
      <c r="P6199" s="1"/>
    </row>
    <row r="6200" spans="16:17" x14ac:dyDescent="0.35">
      <c r="P6200" s="1"/>
    </row>
    <row r="6201" spans="16:17" x14ac:dyDescent="0.35">
      <c r="P6201" s="1"/>
    </row>
    <row r="6202" spans="16:17" x14ac:dyDescent="0.35">
      <c r="P6202" s="1"/>
    </row>
    <row r="6203" spans="16:17" x14ac:dyDescent="0.35">
      <c r="P6203" s="1"/>
    </row>
    <row r="6205" spans="16:17" x14ac:dyDescent="0.35">
      <c r="P6205" s="1"/>
    </row>
    <row r="6206" spans="16:17" x14ac:dyDescent="0.35">
      <c r="P6206" s="1"/>
      <c r="Q6206" s="1"/>
    </row>
    <row r="6207" spans="16:17" x14ac:dyDescent="0.35">
      <c r="P6207" s="1"/>
    </row>
    <row r="6209" spans="16:16" x14ac:dyDescent="0.35">
      <c r="P6209" s="1"/>
    </row>
    <row r="6210" spans="16:16" x14ac:dyDescent="0.35">
      <c r="P6210" s="1"/>
    </row>
    <row r="6211" spans="16:16" x14ac:dyDescent="0.35">
      <c r="P6211" s="1"/>
    </row>
    <row r="6216" spans="16:16" x14ac:dyDescent="0.35">
      <c r="P6216" s="1"/>
    </row>
    <row r="6217" spans="16:16" x14ac:dyDescent="0.35">
      <c r="P6217" s="1"/>
    </row>
    <row r="6219" spans="16:16" x14ac:dyDescent="0.35">
      <c r="P6219" s="1"/>
    </row>
    <row r="6220" spans="16:16" x14ac:dyDescent="0.35">
      <c r="P6220" s="1"/>
    </row>
    <row r="6222" spans="16:16" x14ac:dyDescent="0.35">
      <c r="P6222" s="1"/>
    </row>
    <row r="6223" spans="16:16" x14ac:dyDescent="0.35">
      <c r="P6223" s="1"/>
    </row>
    <row r="6226" spans="16:16" x14ac:dyDescent="0.35">
      <c r="P6226" s="1"/>
    </row>
    <row r="6228" spans="16:16" x14ac:dyDescent="0.35">
      <c r="P6228" s="1"/>
    </row>
    <row r="6229" spans="16:16" x14ac:dyDescent="0.35">
      <c r="P6229" s="1"/>
    </row>
    <row r="6230" spans="16:16" x14ac:dyDescent="0.35">
      <c r="P6230" s="1"/>
    </row>
    <row r="6231" spans="16:16" x14ac:dyDescent="0.35">
      <c r="P6231" s="1"/>
    </row>
    <row r="6232" spans="16:16" x14ac:dyDescent="0.35">
      <c r="P6232" s="1"/>
    </row>
    <row r="6233" spans="16:16" x14ac:dyDescent="0.35">
      <c r="P6233" s="1"/>
    </row>
    <row r="6237" spans="16:16" x14ac:dyDescent="0.35">
      <c r="P6237" s="1"/>
    </row>
    <row r="6240" spans="16:16" x14ac:dyDescent="0.35">
      <c r="P6240" s="1"/>
    </row>
    <row r="6241" spans="16:17" x14ac:dyDescent="0.35">
      <c r="P6241" s="1"/>
    </row>
    <row r="6242" spans="16:17" x14ac:dyDescent="0.35">
      <c r="P6242" s="1"/>
    </row>
    <row r="6243" spans="16:17" x14ac:dyDescent="0.35">
      <c r="P6243" s="1"/>
      <c r="Q6243" s="1"/>
    </row>
    <row r="6244" spans="16:17" x14ac:dyDescent="0.35">
      <c r="P6244" s="1"/>
    </row>
    <row r="6245" spans="16:17" x14ac:dyDescent="0.35">
      <c r="P6245" s="1"/>
    </row>
    <row r="6247" spans="16:17" x14ac:dyDescent="0.35">
      <c r="P6247" s="1"/>
    </row>
    <row r="6248" spans="16:17" x14ac:dyDescent="0.35">
      <c r="P6248" s="1"/>
    </row>
    <row r="6249" spans="16:17" x14ac:dyDescent="0.35">
      <c r="P6249" s="1"/>
    </row>
    <row r="6250" spans="16:17" x14ac:dyDescent="0.35">
      <c r="P6250" s="1"/>
    </row>
    <row r="6254" spans="16:17" x14ac:dyDescent="0.35">
      <c r="P6254" s="1"/>
    </row>
    <row r="6255" spans="16:17" x14ac:dyDescent="0.35">
      <c r="P6255" s="1"/>
    </row>
    <row r="6257" spans="16:16" x14ac:dyDescent="0.35">
      <c r="P6257" s="1"/>
    </row>
    <row r="6259" spans="16:16" x14ac:dyDescent="0.35">
      <c r="P6259" s="1"/>
    </row>
    <row r="6260" spans="16:16" x14ac:dyDescent="0.35">
      <c r="P6260" s="1"/>
    </row>
    <row r="6264" spans="16:16" x14ac:dyDescent="0.35">
      <c r="P6264" s="1"/>
    </row>
    <row r="6265" spans="16:16" x14ac:dyDescent="0.35">
      <c r="P6265" s="1"/>
    </row>
    <row r="6266" spans="16:16" x14ac:dyDescent="0.35">
      <c r="P6266" s="1"/>
    </row>
    <row r="6267" spans="16:16" x14ac:dyDescent="0.35">
      <c r="P6267" s="1"/>
    </row>
    <row r="6268" spans="16:16" x14ac:dyDescent="0.35">
      <c r="P6268" s="1"/>
    </row>
    <row r="6269" spans="16:16" x14ac:dyDescent="0.35">
      <c r="P6269" s="1"/>
    </row>
    <row r="6270" spans="16:16" x14ac:dyDescent="0.35">
      <c r="P6270" s="1"/>
    </row>
    <row r="6272" spans="16:16" x14ac:dyDescent="0.35">
      <c r="P6272" s="1"/>
    </row>
    <row r="6275" spans="16:16" x14ac:dyDescent="0.35">
      <c r="P6275" s="1"/>
    </row>
    <row r="6278" spans="16:16" x14ac:dyDescent="0.35">
      <c r="P6278" s="1"/>
    </row>
    <row r="6279" spans="16:16" x14ac:dyDescent="0.35">
      <c r="P6279" s="1"/>
    </row>
    <row r="6280" spans="16:16" x14ac:dyDescent="0.35">
      <c r="P6280" s="1"/>
    </row>
    <row r="6281" spans="16:16" x14ac:dyDescent="0.35">
      <c r="P6281" s="1"/>
    </row>
    <row r="6283" spans="16:16" x14ac:dyDescent="0.35">
      <c r="P6283" s="1"/>
    </row>
    <row r="6284" spans="16:16" x14ac:dyDescent="0.35">
      <c r="P6284" s="1"/>
    </row>
    <row r="6286" spans="16:16" x14ac:dyDescent="0.35">
      <c r="P6286" s="1"/>
    </row>
    <row r="6287" spans="16:16" x14ac:dyDescent="0.35">
      <c r="P6287" s="1"/>
    </row>
    <row r="6290" spans="16:16" x14ac:dyDescent="0.35">
      <c r="P6290" s="1"/>
    </row>
    <row r="6293" spans="16:16" x14ac:dyDescent="0.35">
      <c r="P6293" s="1"/>
    </row>
    <row r="6294" spans="16:16" x14ac:dyDescent="0.35">
      <c r="P6294" s="1"/>
    </row>
    <row r="6297" spans="16:16" x14ac:dyDescent="0.35">
      <c r="P6297" s="1"/>
    </row>
    <row r="6300" spans="16:16" x14ac:dyDescent="0.35">
      <c r="P6300" s="1"/>
    </row>
    <row r="6301" spans="16:16" x14ac:dyDescent="0.35">
      <c r="P6301" s="1"/>
    </row>
    <row r="6303" spans="16:16" x14ac:dyDescent="0.35">
      <c r="P6303" s="1"/>
    </row>
    <row r="6308" spans="16:16" x14ac:dyDescent="0.35">
      <c r="P6308" s="1"/>
    </row>
    <row r="6311" spans="16:16" x14ac:dyDescent="0.35">
      <c r="P6311" s="1"/>
    </row>
    <row r="6313" spans="16:16" x14ac:dyDescent="0.35">
      <c r="P6313" s="1"/>
    </row>
    <row r="6314" spans="16:16" x14ac:dyDescent="0.35">
      <c r="P6314" s="1"/>
    </row>
    <row r="6315" spans="16:16" x14ac:dyDescent="0.35">
      <c r="P6315" s="1"/>
    </row>
    <row r="6316" spans="16:16" x14ac:dyDescent="0.35">
      <c r="P6316" s="1"/>
    </row>
    <row r="6317" spans="16:16" x14ac:dyDescent="0.35">
      <c r="P6317" s="1"/>
    </row>
    <row r="6319" spans="16:16" x14ac:dyDescent="0.35">
      <c r="P6319" s="1"/>
    </row>
    <row r="6321" spans="16:17" x14ac:dyDescent="0.35">
      <c r="P6321" s="1"/>
    </row>
    <row r="6322" spans="16:17" x14ac:dyDescent="0.35">
      <c r="P6322" s="1"/>
    </row>
    <row r="6324" spans="16:17" x14ac:dyDescent="0.35">
      <c r="P6324" s="1"/>
    </row>
    <row r="6325" spans="16:17" x14ac:dyDescent="0.35">
      <c r="P6325" s="1"/>
    </row>
    <row r="6327" spans="16:17" x14ac:dyDescent="0.35">
      <c r="P6327" s="1"/>
    </row>
    <row r="6328" spans="16:17" x14ac:dyDescent="0.35">
      <c r="P6328" s="1"/>
    </row>
    <row r="6330" spans="16:17" x14ac:dyDescent="0.35">
      <c r="P6330" s="1"/>
    </row>
    <row r="6331" spans="16:17" x14ac:dyDescent="0.35">
      <c r="P6331" s="1"/>
    </row>
    <row r="6332" spans="16:17" x14ac:dyDescent="0.35">
      <c r="P6332" s="1"/>
    </row>
    <row r="6333" spans="16:17" x14ac:dyDescent="0.35">
      <c r="P6333" s="1"/>
    </row>
    <row r="6335" spans="16:17" x14ac:dyDescent="0.35">
      <c r="P6335" s="1"/>
      <c r="Q6335" s="1"/>
    </row>
    <row r="6338" spans="16:17" x14ac:dyDescent="0.35">
      <c r="P6338" s="1"/>
    </row>
    <row r="6339" spans="16:17" x14ac:dyDescent="0.35">
      <c r="Q6339" s="1"/>
    </row>
    <row r="6342" spans="16:17" x14ac:dyDescent="0.35">
      <c r="P6342" s="1"/>
    </row>
    <row r="6343" spans="16:17" x14ac:dyDescent="0.35">
      <c r="P6343" s="1"/>
    </row>
    <row r="6344" spans="16:17" x14ac:dyDescent="0.35">
      <c r="P6344" s="1"/>
    </row>
    <row r="6345" spans="16:17" x14ac:dyDescent="0.35">
      <c r="P6345" s="1"/>
    </row>
    <row r="6346" spans="16:17" x14ac:dyDescent="0.35">
      <c r="P6346" s="1"/>
    </row>
    <row r="6347" spans="16:17" x14ac:dyDescent="0.35">
      <c r="P6347" s="1"/>
    </row>
    <row r="6348" spans="16:17" x14ac:dyDescent="0.35">
      <c r="P6348" s="1"/>
    </row>
    <row r="6349" spans="16:17" x14ac:dyDescent="0.35">
      <c r="P6349" s="1"/>
    </row>
    <row r="6351" spans="16:17" x14ac:dyDescent="0.35">
      <c r="P6351" s="1"/>
    </row>
    <row r="6353" spans="16:17" x14ac:dyDescent="0.35">
      <c r="P6353" s="1"/>
    </row>
    <row r="6354" spans="16:17" x14ac:dyDescent="0.35">
      <c r="P6354" s="1"/>
    </row>
    <row r="6355" spans="16:17" x14ac:dyDescent="0.35">
      <c r="P6355" s="1"/>
      <c r="Q6355" s="1"/>
    </row>
    <row r="6361" spans="16:17" x14ac:dyDescent="0.35">
      <c r="P6361" s="1"/>
    </row>
    <row r="6364" spans="16:17" x14ac:dyDescent="0.35">
      <c r="P6364" s="1"/>
    </row>
    <row r="6366" spans="16:17" x14ac:dyDescent="0.35">
      <c r="P6366" s="1"/>
    </row>
    <row r="6371" spans="16:17" x14ac:dyDescent="0.35">
      <c r="P6371" s="1"/>
      <c r="Q6371" s="1"/>
    </row>
    <row r="6372" spans="16:17" x14ac:dyDescent="0.35">
      <c r="P6372" s="1"/>
    </row>
    <row r="6373" spans="16:17" x14ac:dyDescent="0.35">
      <c r="P6373" s="1"/>
    </row>
    <row r="6374" spans="16:17" x14ac:dyDescent="0.35">
      <c r="P6374" s="1"/>
    </row>
    <row r="6378" spans="16:17" x14ac:dyDescent="0.35">
      <c r="P6378" s="1"/>
    </row>
    <row r="6380" spans="16:17" x14ac:dyDescent="0.35">
      <c r="P6380" s="1"/>
    </row>
    <row r="6381" spans="16:17" x14ac:dyDescent="0.35">
      <c r="P6381" s="1"/>
    </row>
    <row r="6383" spans="16:17" x14ac:dyDescent="0.35">
      <c r="P6383" s="1"/>
    </row>
    <row r="6385" spans="16:16" x14ac:dyDescent="0.35">
      <c r="P6385" s="1"/>
    </row>
    <row r="6386" spans="16:16" x14ac:dyDescent="0.35">
      <c r="P6386" s="1"/>
    </row>
    <row r="6387" spans="16:16" x14ac:dyDescent="0.35">
      <c r="P6387" s="1"/>
    </row>
    <row r="6388" spans="16:16" x14ac:dyDescent="0.35">
      <c r="P6388" s="1"/>
    </row>
    <row r="6390" spans="16:16" x14ac:dyDescent="0.35">
      <c r="P6390" s="1"/>
    </row>
    <row r="6391" spans="16:16" x14ac:dyDescent="0.35">
      <c r="P6391" s="1"/>
    </row>
    <row r="6395" spans="16:16" x14ac:dyDescent="0.35">
      <c r="P6395" s="1"/>
    </row>
    <row r="6396" spans="16:16" x14ac:dyDescent="0.35">
      <c r="P6396" s="1"/>
    </row>
    <row r="6398" spans="16:16" x14ac:dyDescent="0.35">
      <c r="P6398" s="1"/>
    </row>
    <row r="6400" spans="16:16" x14ac:dyDescent="0.35">
      <c r="P6400" s="1"/>
    </row>
    <row r="6404" spans="16:16" x14ac:dyDescent="0.35">
      <c r="P6404" s="1"/>
    </row>
    <row r="6405" spans="16:16" x14ac:dyDescent="0.35">
      <c r="P6405" s="1"/>
    </row>
    <row r="6406" spans="16:16" x14ac:dyDescent="0.35">
      <c r="P6406" s="1"/>
    </row>
    <row r="6407" spans="16:16" x14ac:dyDescent="0.35">
      <c r="P6407" s="1"/>
    </row>
    <row r="6408" spans="16:16" x14ac:dyDescent="0.35">
      <c r="P6408" s="1"/>
    </row>
    <row r="6410" spans="16:16" x14ac:dyDescent="0.35">
      <c r="P6410" s="1"/>
    </row>
    <row r="6411" spans="16:16" x14ac:dyDescent="0.35">
      <c r="P6411" s="1"/>
    </row>
    <row r="6412" spans="16:16" x14ac:dyDescent="0.35">
      <c r="P6412" s="1"/>
    </row>
    <row r="6413" spans="16:16" x14ac:dyDescent="0.35">
      <c r="P6413" s="1"/>
    </row>
    <row r="6414" spans="16:16" x14ac:dyDescent="0.35">
      <c r="P6414" s="1"/>
    </row>
    <row r="6415" spans="16:16" x14ac:dyDescent="0.35">
      <c r="P6415" s="1"/>
    </row>
    <row r="6416" spans="16:16" x14ac:dyDescent="0.35">
      <c r="P6416" s="1"/>
    </row>
    <row r="6418" spans="16:17" x14ac:dyDescent="0.35">
      <c r="P6418" s="1"/>
    </row>
    <row r="6420" spans="16:17" x14ac:dyDescent="0.35">
      <c r="P6420" s="1"/>
    </row>
    <row r="6421" spans="16:17" x14ac:dyDescent="0.35">
      <c r="P6421" s="1"/>
    </row>
    <row r="6422" spans="16:17" x14ac:dyDescent="0.35">
      <c r="Q6422" s="1"/>
    </row>
    <row r="6424" spans="16:17" x14ac:dyDescent="0.35">
      <c r="P6424" s="1"/>
    </row>
    <row r="6425" spans="16:17" x14ac:dyDescent="0.35">
      <c r="P6425" s="1"/>
    </row>
    <row r="6427" spans="16:17" x14ac:dyDescent="0.35">
      <c r="P6427" s="1"/>
    </row>
    <row r="6428" spans="16:17" x14ac:dyDescent="0.35">
      <c r="P6428" s="1"/>
    </row>
    <row r="6429" spans="16:17" x14ac:dyDescent="0.35">
      <c r="Q6429" s="1"/>
    </row>
    <row r="6430" spans="16:17" x14ac:dyDescent="0.35">
      <c r="P6430" s="1"/>
    </row>
    <row r="6432" spans="16:17" x14ac:dyDescent="0.35">
      <c r="P6432" s="1"/>
    </row>
    <row r="6433" spans="16:16" x14ac:dyDescent="0.35">
      <c r="P6433" s="1"/>
    </row>
    <row r="6435" spans="16:16" x14ac:dyDescent="0.35">
      <c r="P6435" s="1"/>
    </row>
    <row r="6436" spans="16:16" x14ac:dyDescent="0.35">
      <c r="P6436" s="1"/>
    </row>
    <row r="6437" spans="16:16" x14ac:dyDescent="0.35">
      <c r="P6437" s="1"/>
    </row>
    <row r="6440" spans="16:16" x14ac:dyDescent="0.35">
      <c r="P6440" s="1"/>
    </row>
    <row r="6441" spans="16:16" x14ac:dyDescent="0.35">
      <c r="P6441" s="1"/>
    </row>
    <row r="6442" spans="16:16" x14ac:dyDescent="0.35">
      <c r="P6442" s="1"/>
    </row>
    <row r="6443" spans="16:16" x14ac:dyDescent="0.35">
      <c r="P6443" s="1"/>
    </row>
    <row r="6448" spans="16:16" x14ac:dyDescent="0.35">
      <c r="P6448" s="1"/>
    </row>
    <row r="6452" spans="16:16" x14ac:dyDescent="0.35">
      <c r="P6452" s="1"/>
    </row>
    <row r="6455" spans="16:16" x14ac:dyDescent="0.35">
      <c r="P6455" s="1"/>
    </row>
    <row r="6456" spans="16:16" x14ac:dyDescent="0.35">
      <c r="P6456" s="1"/>
    </row>
    <row r="6457" spans="16:16" x14ac:dyDescent="0.35">
      <c r="P6457" s="1"/>
    </row>
    <row r="6458" spans="16:16" x14ac:dyDescent="0.35">
      <c r="P6458" s="1"/>
    </row>
    <row r="6460" spans="16:16" x14ac:dyDescent="0.35">
      <c r="P6460" s="1"/>
    </row>
    <row r="6461" spans="16:16" x14ac:dyDescent="0.35">
      <c r="P6461" s="1"/>
    </row>
    <row r="6462" spans="16:16" x14ac:dyDescent="0.35">
      <c r="P6462" s="1"/>
    </row>
    <row r="6463" spans="16:16" x14ac:dyDescent="0.35">
      <c r="P6463" s="1"/>
    </row>
    <row r="6464" spans="16:16" x14ac:dyDescent="0.35">
      <c r="P6464" s="1"/>
    </row>
    <row r="6466" spans="16:17" x14ac:dyDescent="0.35">
      <c r="P6466" s="1"/>
    </row>
    <row r="6467" spans="16:17" x14ac:dyDescent="0.35">
      <c r="P6467" s="1"/>
    </row>
    <row r="6468" spans="16:17" x14ac:dyDescent="0.35">
      <c r="P6468" s="1"/>
    </row>
    <row r="6469" spans="16:17" x14ac:dyDescent="0.35">
      <c r="P6469" s="1"/>
      <c r="Q6469" s="1"/>
    </row>
    <row r="6470" spans="16:17" x14ac:dyDescent="0.35">
      <c r="P6470" s="1"/>
    </row>
    <row r="6472" spans="16:17" x14ac:dyDescent="0.35">
      <c r="Q6472" s="1"/>
    </row>
    <row r="6473" spans="16:17" x14ac:dyDescent="0.35">
      <c r="P6473" s="1"/>
    </row>
    <row r="6474" spans="16:17" x14ac:dyDescent="0.35">
      <c r="P6474" s="1"/>
    </row>
    <row r="6476" spans="16:17" x14ac:dyDescent="0.35">
      <c r="P6476" s="1"/>
    </row>
    <row r="6477" spans="16:17" x14ac:dyDescent="0.35">
      <c r="P6477" s="1"/>
    </row>
    <row r="6479" spans="16:17" x14ac:dyDescent="0.35">
      <c r="P6479" s="1"/>
    </row>
    <row r="6480" spans="16:17" x14ac:dyDescent="0.35">
      <c r="P6480" s="1"/>
      <c r="Q6480" s="1"/>
    </row>
    <row r="6481" spans="16:16" x14ac:dyDescent="0.35">
      <c r="P6481" s="1"/>
    </row>
    <row r="6482" spans="16:16" x14ac:dyDescent="0.35">
      <c r="P6482" s="1"/>
    </row>
    <row r="6483" spans="16:16" x14ac:dyDescent="0.35">
      <c r="P6483" s="1"/>
    </row>
    <row r="6484" spans="16:16" x14ac:dyDescent="0.35">
      <c r="P6484" s="1"/>
    </row>
    <row r="6485" spans="16:16" x14ac:dyDescent="0.35">
      <c r="P6485" s="1"/>
    </row>
    <row r="6486" spans="16:16" x14ac:dyDescent="0.35">
      <c r="P6486" s="1"/>
    </row>
    <row r="6488" spans="16:16" x14ac:dyDescent="0.35">
      <c r="P6488" s="1"/>
    </row>
    <row r="6490" spans="16:16" x14ac:dyDescent="0.35">
      <c r="P6490" s="1"/>
    </row>
    <row r="6491" spans="16:16" x14ac:dyDescent="0.35">
      <c r="P6491" s="1"/>
    </row>
    <row r="6494" spans="16:16" x14ac:dyDescent="0.35">
      <c r="P6494" s="1"/>
    </row>
    <row r="6495" spans="16:16" x14ac:dyDescent="0.35">
      <c r="P6495" s="1"/>
    </row>
    <row r="6497" spans="16:17" x14ac:dyDescent="0.35">
      <c r="P6497" s="1"/>
    </row>
    <row r="6498" spans="16:17" x14ac:dyDescent="0.35">
      <c r="P6498" s="1"/>
    </row>
    <row r="6499" spans="16:17" x14ac:dyDescent="0.35">
      <c r="P6499" s="1"/>
    </row>
    <row r="6500" spans="16:17" x14ac:dyDescent="0.35">
      <c r="P6500" s="1"/>
    </row>
    <row r="6503" spans="16:17" x14ac:dyDescent="0.35">
      <c r="P6503" s="1"/>
      <c r="Q6503" s="1"/>
    </row>
    <row r="6504" spans="16:17" x14ac:dyDescent="0.35">
      <c r="P6504" s="1"/>
    </row>
    <row r="6505" spans="16:17" x14ac:dyDescent="0.35">
      <c r="P6505" s="1"/>
      <c r="Q6505" s="1"/>
    </row>
    <row r="6506" spans="16:17" x14ac:dyDescent="0.35">
      <c r="P6506" s="1"/>
    </row>
    <row r="6508" spans="16:17" x14ac:dyDescent="0.35">
      <c r="P6508" s="1"/>
    </row>
    <row r="6510" spans="16:17" x14ac:dyDescent="0.35">
      <c r="P6510" s="1"/>
    </row>
    <row r="6511" spans="16:17" x14ac:dyDescent="0.35">
      <c r="P6511" s="1"/>
    </row>
    <row r="6512" spans="16:17" x14ac:dyDescent="0.35">
      <c r="P6512" s="1"/>
    </row>
    <row r="6514" spans="16:17" x14ac:dyDescent="0.35">
      <c r="P6514" s="1"/>
    </row>
    <row r="6515" spans="16:17" x14ac:dyDescent="0.35">
      <c r="P6515" s="1"/>
    </row>
    <row r="6518" spans="16:17" x14ac:dyDescent="0.35">
      <c r="P6518" s="1"/>
    </row>
    <row r="6519" spans="16:17" x14ac:dyDescent="0.35">
      <c r="P6519" s="1"/>
    </row>
    <row r="6520" spans="16:17" x14ac:dyDescent="0.35">
      <c r="P6520" s="1"/>
    </row>
    <row r="6521" spans="16:17" x14ac:dyDescent="0.35">
      <c r="P6521" s="1"/>
    </row>
    <row r="6527" spans="16:17" x14ac:dyDescent="0.35">
      <c r="Q6527" s="1"/>
    </row>
    <row r="6528" spans="16:17" x14ac:dyDescent="0.35">
      <c r="P6528" s="1"/>
    </row>
    <row r="6529" spans="16:16" x14ac:dyDescent="0.35">
      <c r="P6529" s="1"/>
    </row>
    <row r="6531" spans="16:16" x14ac:dyDescent="0.35">
      <c r="P6531" s="1"/>
    </row>
    <row r="6532" spans="16:16" x14ac:dyDescent="0.35">
      <c r="P6532" s="1"/>
    </row>
    <row r="6534" spans="16:16" x14ac:dyDescent="0.35">
      <c r="P6534" s="1"/>
    </row>
    <row r="6535" spans="16:16" x14ac:dyDescent="0.35">
      <c r="P6535" s="1"/>
    </row>
    <row r="6539" spans="16:16" x14ac:dyDescent="0.35">
      <c r="P6539" s="1"/>
    </row>
    <row r="6541" spans="16:16" x14ac:dyDescent="0.35">
      <c r="P6541" s="1"/>
    </row>
    <row r="6545" spans="16:17" x14ac:dyDescent="0.35">
      <c r="P6545" s="1"/>
    </row>
    <row r="6547" spans="16:17" x14ac:dyDescent="0.35">
      <c r="P6547" s="1"/>
    </row>
    <row r="6554" spans="16:17" x14ac:dyDescent="0.35">
      <c r="P6554" s="1"/>
    </row>
    <row r="6555" spans="16:17" x14ac:dyDescent="0.35">
      <c r="P6555" s="1"/>
    </row>
    <row r="6556" spans="16:17" x14ac:dyDescent="0.35">
      <c r="P6556" s="1"/>
    </row>
    <row r="6559" spans="16:17" x14ac:dyDescent="0.35">
      <c r="P6559" s="1"/>
      <c r="Q6559" s="1"/>
    </row>
    <row r="6560" spans="16:17" x14ac:dyDescent="0.35">
      <c r="P6560" s="1"/>
    </row>
    <row r="6562" spans="16:17" x14ac:dyDescent="0.35">
      <c r="P6562" s="1"/>
    </row>
    <row r="6563" spans="16:17" x14ac:dyDescent="0.35">
      <c r="P6563" s="1"/>
    </row>
    <row r="6565" spans="16:17" x14ac:dyDescent="0.35">
      <c r="P6565" s="1"/>
    </row>
    <row r="6569" spans="16:17" x14ac:dyDescent="0.35">
      <c r="P6569" s="1"/>
    </row>
    <row r="6571" spans="16:17" x14ac:dyDescent="0.35">
      <c r="P6571" s="1"/>
    </row>
    <row r="6572" spans="16:17" x14ac:dyDescent="0.35">
      <c r="Q6572" s="1"/>
    </row>
    <row r="6573" spans="16:17" x14ac:dyDescent="0.35">
      <c r="P6573" s="1"/>
    </row>
    <row r="6574" spans="16:17" x14ac:dyDescent="0.35">
      <c r="P6574" s="1"/>
    </row>
    <row r="6580" spans="16:17" x14ac:dyDescent="0.35">
      <c r="P6580" s="1"/>
    </row>
    <row r="6581" spans="16:17" x14ac:dyDescent="0.35">
      <c r="P6581" s="1"/>
    </row>
    <row r="6582" spans="16:17" x14ac:dyDescent="0.35">
      <c r="P6582" s="1"/>
    </row>
    <row r="6583" spans="16:17" x14ac:dyDescent="0.35">
      <c r="P6583" s="1"/>
    </row>
    <row r="6584" spans="16:17" x14ac:dyDescent="0.35">
      <c r="P6584" s="1"/>
      <c r="Q6584" s="1"/>
    </row>
    <row r="6585" spans="16:17" x14ac:dyDescent="0.35">
      <c r="P6585" s="1"/>
    </row>
    <row r="6587" spans="16:17" x14ac:dyDescent="0.35">
      <c r="P6587" s="1"/>
    </row>
    <row r="6590" spans="16:17" x14ac:dyDescent="0.35">
      <c r="Q6590" s="1"/>
    </row>
    <row r="6591" spans="16:17" x14ac:dyDescent="0.35">
      <c r="P6591" s="1"/>
    </row>
    <row r="6592" spans="16:17" x14ac:dyDescent="0.35">
      <c r="P6592" s="1"/>
    </row>
    <row r="6593" spans="16:16" x14ac:dyDescent="0.35">
      <c r="P6593" s="1"/>
    </row>
    <row r="6595" spans="16:16" x14ac:dyDescent="0.35">
      <c r="P6595" s="1"/>
    </row>
    <row r="6598" spans="16:16" x14ac:dyDescent="0.35">
      <c r="P6598" s="1"/>
    </row>
    <row r="6604" spans="16:16" x14ac:dyDescent="0.35">
      <c r="P6604" s="1"/>
    </row>
    <row r="6605" spans="16:16" x14ac:dyDescent="0.35">
      <c r="P6605" s="1"/>
    </row>
    <row r="6607" spans="16:16" x14ac:dyDescent="0.35">
      <c r="P6607" s="1"/>
    </row>
    <row r="6608" spans="16:16" x14ac:dyDescent="0.35">
      <c r="P6608" s="1"/>
    </row>
    <row r="6609" spans="16:16" x14ac:dyDescent="0.35">
      <c r="P6609" s="1"/>
    </row>
    <row r="6610" spans="16:16" x14ac:dyDescent="0.35">
      <c r="P6610" s="1"/>
    </row>
    <row r="6612" spans="16:16" x14ac:dyDescent="0.35">
      <c r="P6612" s="1"/>
    </row>
    <row r="6613" spans="16:16" x14ac:dyDescent="0.35">
      <c r="P6613" s="1"/>
    </row>
    <row r="6615" spans="16:16" x14ac:dyDescent="0.35">
      <c r="P6615" s="1"/>
    </row>
    <row r="6616" spans="16:16" x14ac:dyDescent="0.35">
      <c r="P6616" s="1"/>
    </row>
    <row r="6617" spans="16:16" x14ac:dyDescent="0.35">
      <c r="P6617" s="1"/>
    </row>
    <row r="6619" spans="16:16" x14ac:dyDescent="0.35">
      <c r="P6619" s="1"/>
    </row>
    <row r="6620" spans="16:16" x14ac:dyDescent="0.35">
      <c r="P6620" s="1"/>
    </row>
    <row r="6622" spans="16:16" x14ac:dyDescent="0.35">
      <c r="P6622" s="1"/>
    </row>
    <row r="6623" spans="16:16" x14ac:dyDescent="0.35">
      <c r="P6623" s="1"/>
    </row>
    <row r="6624" spans="16:16" x14ac:dyDescent="0.35">
      <c r="P6624" s="1"/>
    </row>
    <row r="6625" spans="16:16" x14ac:dyDescent="0.35">
      <c r="P6625" s="1"/>
    </row>
    <row r="6626" spans="16:16" x14ac:dyDescent="0.35">
      <c r="P6626" s="1"/>
    </row>
    <row r="6627" spans="16:16" x14ac:dyDescent="0.35">
      <c r="P6627" s="1"/>
    </row>
    <row r="6628" spans="16:16" x14ac:dyDescent="0.35">
      <c r="P6628" s="1"/>
    </row>
    <row r="6629" spans="16:16" x14ac:dyDescent="0.35">
      <c r="P6629" s="1"/>
    </row>
    <row r="6630" spans="16:16" x14ac:dyDescent="0.35">
      <c r="P6630" s="1"/>
    </row>
    <row r="6631" spans="16:16" x14ac:dyDescent="0.35">
      <c r="P6631" s="1"/>
    </row>
    <row r="6632" spans="16:16" x14ac:dyDescent="0.35">
      <c r="P6632" s="1"/>
    </row>
    <row r="6635" spans="16:16" x14ac:dyDescent="0.35">
      <c r="P6635" s="1"/>
    </row>
    <row r="6636" spans="16:16" x14ac:dyDescent="0.35">
      <c r="P6636" s="1"/>
    </row>
    <row r="6638" spans="16:16" x14ac:dyDescent="0.35">
      <c r="P6638" s="1"/>
    </row>
    <row r="6643" spans="16:16" x14ac:dyDescent="0.35">
      <c r="P6643" s="1"/>
    </row>
    <row r="6646" spans="16:16" x14ac:dyDescent="0.35">
      <c r="P6646" s="1"/>
    </row>
    <row r="6648" spans="16:16" x14ac:dyDescent="0.35">
      <c r="P6648" s="1"/>
    </row>
    <row r="6651" spans="16:16" x14ac:dyDescent="0.35">
      <c r="P6651" s="1"/>
    </row>
    <row r="6653" spans="16:16" x14ac:dyDescent="0.35">
      <c r="P6653" s="1"/>
    </row>
    <row r="6656" spans="16:16" x14ac:dyDescent="0.35">
      <c r="P6656" s="1"/>
    </row>
    <row r="6659" spans="16:16" x14ac:dyDescent="0.35">
      <c r="P6659" s="1"/>
    </row>
    <row r="6663" spans="16:16" x14ac:dyDescent="0.35">
      <c r="P6663" s="1"/>
    </row>
    <row r="6665" spans="16:16" x14ac:dyDescent="0.35">
      <c r="P6665" s="1"/>
    </row>
    <row r="6666" spans="16:16" x14ac:dyDescent="0.35">
      <c r="P6666" s="1"/>
    </row>
    <row r="6668" spans="16:16" x14ac:dyDescent="0.35">
      <c r="P6668" s="1"/>
    </row>
    <row r="6669" spans="16:16" x14ac:dyDescent="0.35">
      <c r="P6669" s="1"/>
    </row>
    <row r="6671" spans="16:16" x14ac:dyDescent="0.35">
      <c r="P6671" s="1"/>
    </row>
    <row r="6672" spans="16:16" x14ac:dyDescent="0.35">
      <c r="P6672" s="1"/>
    </row>
    <row r="6673" spans="16:17" x14ac:dyDescent="0.35">
      <c r="P6673" s="1"/>
    </row>
    <row r="6674" spans="16:17" x14ac:dyDescent="0.35">
      <c r="P6674" s="1"/>
    </row>
    <row r="6675" spans="16:17" x14ac:dyDescent="0.35">
      <c r="P6675" s="1"/>
    </row>
    <row r="6676" spans="16:17" x14ac:dyDescent="0.35">
      <c r="P6676" s="1"/>
    </row>
    <row r="6677" spans="16:17" x14ac:dyDescent="0.35">
      <c r="P6677" s="1"/>
      <c r="Q6677" s="1"/>
    </row>
    <row r="6678" spans="16:17" x14ac:dyDescent="0.35">
      <c r="P6678" s="1"/>
    </row>
    <row r="6679" spans="16:17" x14ac:dyDescent="0.35">
      <c r="P6679" s="1"/>
    </row>
    <row r="6680" spans="16:17" x14ac:dyDescent="0.35">
      <c r="Q6680" s="1"/>
    </row>
    <row r="6681" spans="16:17" x14ac:dyDescent="0.35">
      <c r="P6681" s="1"/>
    </row>
    <row r="6682" spans="16:17" x14ac:dyDescent="0.35">
      <c r="P6682" s="1"/>
    </row>
    <row r="6683" spans="16:17" x14ac:dyDescent="0.35">
      <c r="P6683" s="1"/>
    </row>
    <row r="6684" spans="16:17" x14ac:dyDescent="0.35">
      <c r="P6684" s="1"/>
    </row>
    <row r="6685" spans="16:17" x14ac:dyDescent="0.35">
      <c r="P6685" s="1"/>
    </row>
    <row r="6686" spans="16:17" x14ac:dyDescent="0.35">
      <c r="P6686" s="1"/>
    </row>
    <row r="6687" spans="16:17" x14ac:dyDescent="0.35">
      <c r="P6687" s="1"/>
    </row>
    <row r="6689" spans="16:17" x14ac:dyDescent="0.35">
      <c r="Q6689" s="1"/>
    </row>
    <row r="6690" spans="16:17" x14ac:dyDescent="0.35">
      <c r="P6690" s="1"/>
    </row>
    <row r="6691" spans="16:17" x14ac:dyDescent="0.35">
      <c r="P6691" s="1"/>
    </row>
    <row r="6693" spans="16:17" x14ac:dyDescent="0.35">
      <c r="P6693" s="1"/>
    </row>
    <row r="6694" spans="16:17" x14ac:dyDescent="0.35">
      <c r="P6694" s="1"/>
    </row>
    <row r="6696" spans="16:17" x14ac:dyDescent="0.35">
      <c r="P6696" s="1"/>
    </row>
    <row r="6697" spans="16:17" x14ac:dyDescent="0.35">
      <c r="P6697" s="1"/>
    </row>
    <row r="6698" spans="16:17" x14ac:dyDescent="0.35">
      <c r="P6698" s="1"/>
    </row>
    <row r="6701" spans="16:17" x14ac:dyDescent="0.35">
      <c r="P6701" s="1"/>
      <c r="Q6701" s="1"/>
    </row>
    <row r="6702" spans="16:17" x14ac:dyDescent="0.35">
      <c r="P6702" s="1"/>
    </row>
    <row r="6704" spans="16:17" x14ac:dyDescent="0.35">
      <c r="P6704" s="1"/>
    </row>
    <row r="6706" spans="16:17" x14ac:dyDescent="0.35">
      <c r="P6706" s="1"/>
    </row>
    <row r="6707" spans="16:17" x14ac:dyDescent="0.35">
      <c r="P6707" s="1"/>
    </row>
    <row r="6709" spans="16:17" x14ac:dyDescent="0.35">
      <c r="P6709" s="1"/>
    </row>
    <row r="6710" spans="16:17" x14ac:dyDescent="0.35">
      <c r="P6710" s="1"/>
    </row>
    <row r="6712" spans="16:17" x14ac:dyDescent="0.35">
      <c r="P6712" s="1"/>
    </row>
    <row r="6713" spans="16:17" x14ac:dyDescent="0.35">
      <c r="P6713" s="1"/>
    </row>
    <row r="6714" spans="16:17" x14ac:dyDescent="0.35">
      <c r="P6714" s="1"/>
    </row>
    <row r="6715" spans="16:17" x14ac:dyDescent="0.35">
      <c r="P6715" s="1"/>
    </row>
    <row r="6716" spans="16:17" x14ac:dyDescent="0.35">
      <c r="Q6716" s="1"/>
    </row>
    <row r="6717" spans="16:17" x14ac:dyDescent="0.35">
      <c r="P6717" s="1"/>
    </row>
    <row r="6720" spans="16:17" x14ac:dyDescent="0.35">
      <c r="P6720" s="1"/>
    </row>
    <row r="6721" spans="16:16" x14ac:dyDescent="0.35">
      <c r="P6721" s="1"/>
    </row>
    <row r="6722" spans="16:16" x14ac:dyDescent="0.35">
      <c r="P6722" s="1"/>
    </row>
    <row r="6723" spans="16:16" x14ac:dyDescent="0.35">
      <c r="P6723" s="1"/>
    </row>
    <row r="6724" spans="16:16" x14ac:dyDescent="0.35">
      <c r="P6724" s="1"/>
    </row>
    <row r="6725" spans="16:16" x14ac:dyDescent="0.35">
      <c r="P6725" s="1"/>
    </row>
    <row r="6726" spans="16:16" x14ac:dyDescent="0.35">
      <c r="P6726" s="1"/>
    </row>
    <row r="6727" spans="16:16" x14ac:dyDescent="0.35">
      <c r="P6727" s="1"/>
    </row>
    <row r="6728" spans="16:16" x14ac:dyDescent="0.35">
      <c r="P6728" s="1"/>
    </row>
    <row r="6730" spans="16:16" x14ac:dyDescent="0.35">
      <c r="P6730" s="1"/>
    </row>
    <row r="6733" spans="16:16" x14ac:dyDescent="0.35">
      <c r="P6733" s="1"/>
    </row>
    <row r="6734" spans="16:16" x14ac:dyDescent="0.35">
      <c r="P6734" s="1"/>
    </row>
    <row r="6735" spans="16:16" x14ac:dyDescent="0.35">
      <c r="P6735" s="1"/>
    </row>
    <row r="6737" spans="16:16" x14ac:dyDescent="0.35">
      <c r="P6737" s="1"/>
    </row>
    <row r="6738" spans="16:16" x14ac:dyDescent="0.35">
      <c r="P6738" s="1"/>
    </row>
    <row r="6739" spans="16:16" x14ac:dyDescent="0.35">
      <c r="P6739" s="1"/>
    </row>
    <row r="6740" spans="16:16" x14ac:dyDescent="0.35">
      <c r="P6740" s="1"/>
    </row>
    <row r="6741" spans="16:16" x14ac:dyDescent="0.35">
      <c r="P6741" s="1"/>
    </row>
    <row r="6744" spans="16:16" x14ac:dyDescent="0.35">
      <c r="P6744" s="1"/>
    </row>
    <row r="6745" spans="16:16" x14ac:dyDescent="0.35">
      <c r="P6745" s="1"/>
    </row>
    <row r="6746" spans="16:16" x14ac:dyDescent="0.35">
      <c r="P6746" s="1"/>
    </row>
    <row r="6747" spans="16:16" x14ac:dyDescent="0.35">
      <c r="P6747" s="1"/>
    </row>
    <row r="6748" spans="16:16" x14ac:dyDescent="0.35">
      <c r="P6748" s="1"/>
    </row>
    <row r="6749" spans="16:16" x14ac:dyDescent="0.35">
      <c r="P6749" s="1"/>
    </row>
    <row r="6750" spans="16:16" x14ac:dyDescent="0.35">
      <c r="P6750" s="1"/>
    </row>
    <row r="6751" spans="16:16" x14ac:dyDescent="0.35">
      <c r="P6751" s="1"/>
    </row>
    <row r="6755" spans="16:17" x14ac:dyDescent="0.35">
      <c r="P6755" s="1"/>
    </row>
    <row r="6757" spans="16:17" x14ac:dyDescent="0.35">
      <c r="P6757" s="1"/>
    </row>
    <row r="6759" spans="16:17" x14ac:dyDescent="0.35">
      <c r="P6759" s="1"/>
    </row>
    <row r="6760" spans="16:17" x14ac:dyDescent="0.35">
      <c r="P6760" s="1"/>
    </row>
    <row r="6761" spans="16:17" x14ac:dyDescent="0.35">
      <c r="P6761" s="1"/>
    </row>
    <row r="6763" spans="16:17" x14ac:dyDescent="0.35">
      <c r="P6763" s="1"/>
    </row>
    <row r="6764" spans="16:17" x14ac:dyDescent="0.35">
      <c r="P6764" s="1"/>
    </row>
    <row r="6765" spans="16:17" x14ac:dyDescent="0.35">
      <c r="P6765" s="1"/>
    </row>
    <row r="6766" spans="16:17" x14ac:dyDescent="0.35">
      <c r="P6766" s="1"/>
      <c r="Q6766" s="1"/>
    </row>
    <row r="6767" spans="16:17" x14ac:dyDescent="0.35">
      <c r="P6767" s="1"/>
    </row>
    <row r="6768" spans="16:17" x14ac:dyDescent="0.35">
      <c r="P6768" s="1"/>
    </row>
    <row r="6771" spans="16:16" x14ac:dyDescent="0.35">
      <c r="P6771" s="1"/>
    </row>
    <row r="6773" spans="16:16" x14ac:dyDescent="0.35">
      <c r="P6773" s="1"/>
    </row>
    <row r="6774" spans="16:16" x14ac:dyDescent="0.35">
      <c r="P6774" s="1"/>
    </row>
    <row r="6775" spans="16:16" x14ac:dyDescent="0.35">
      <c r="P6775" s="1"/>
    </row>
    <row r="6777" spans="16:16" x14ac:dyDescent="0.35">
      <c r="P6777" s="1"/>
    </row>
    <row r="6778" spans="16:16" x14ac:dyDescent="0.35">
      <c r="P6778" s="1"/>
    </row>
    <row r="6779" spans="16:16" x14ac:dyDescent="0.35">
      <c r="P6779" s="1"/>
    </row>
    <row r="6783" spans="16:16" x14ac:dyDescent="0.35">
      <c r="P6783" s="1"/>
    </row>
    <row r="6785" spans="16:17" x14ac:dyDescent="0.35">
      <c r="P6785" s="1"/>
    </row>
    <row r="6788" spans="16:17" x14ac:dyDescent="0.35">
      <c r="P6788" s="1"/>
    </row>
    <row r="6789" spans="16:17" x14ac:dyDescent="0.35">
      <c r="P6789" s="1"/>
    </row>
    <row r="6790" spans="16:17" x14ac:dyDescent="0.35">
      <c r="P6790" s="1"/>
    </row>
    <row r="6791" spans="16:17" x14ac:dyDescent="0.35">
      <c r="P6791" s="1"/>
    </row>
    <row r="6792" spans="16:17" x14ac:dyDescent="0.35">
      <c r="P6792" s="1"/>
    </row>
    <row r="6795" spans="16:17" x14ac:dyDescent="0.35">
      <c r="P6795" s="1"/>
    </row>
    <row r="6796" spans="16:17" x14ac:dyDescent="0.35">
      <c r="P6796" s="1"/>
    </row>
    <row r="6797" spans="16:17" x14ac:dyDescent="0.35">
      <c r="P6797" s="1"/>
    </row>
    <row r="6799" spans="16:17" x14ac:dyDescent="0.35">
      <c r="P6799" s="1"/>
      <c r="Q6799" s="1"/>
    </row>
    <row r="6800" spans="16:17" x14ac:dyDescent="0.35">
      <c r="P6800" s="1"/>
    </row>
    <row r="6801" spans="16:16" x14ac:dyDescent="0.35">
      <c r="P6801" s="1"/>
    </row>
    <row r="6802" spans="16:16" x14ac:dyDescent="0.35">
      <c r="P6802" s="1"/>
    </row>
    <row r="6803" spans="16:16" x14ac:dyDescent="0.35">
      <c r="P6803" s="1"/>
    </row>
    <row r="6804" spans="16:16" x14ac:dyDescent="0.35">
      <c r="P6804" s="1"/>
    </row>
    <row r="6805" spans="16:16" x14ac:dyDescent="0.35">
      <c r="P6805" s="1"/>
    </row>
    <row r="6807" spans="16:16" x14ac:dyDescent="0.35">
      <c r="P6807" s="1"/>
    </row>
    <row r="6809" spans="16:16" x14ac:dyDescent="0.35">
      <c r="P6809" s="1"/>
    </row>
    <row r="6813" spans="16:16" x14ac:dyDescent="0.35">
      <c r="P6813" s="1"/>
    </row>
    <row r="6814" spans="16:16" x14ac:dyDescent="0.35">
      <c r="P6814" s="1"/>
    </row>
    <row r="6815" spans="16:16" x14ac:dyDescent="0.35">
      <c r="P6815" s="1"/>
    </row>
    <row r="6817" spans="16:16" x14ac:dyDescent="0.35">
      <c r="P6817" s="1"/>
    </row>
    <row r="6818" spans="16:16" x14ac:dyDescent="0.35">
      <c r="P6818" s="1"/>
    </row>
    <row r="6823" spans="16:16" x14ac:dyDescent="0.35">
      <c r="P6823" s="1"/>
    </row>
    <row r="6824" spans="16:16" x14ac:dyDescent="0.35">
      <c r="P6824" s="1"/>
    </row>
    <row r="6827" spans="16:16" x14ac:dyDescent="0.35">
      <c r="P6827" s="1"/>
    </row>
    <row r="6828" spans="16:16" x14ac:dyDescent="0.35">
      <c r="P6828" s="1"/>
    </row>
    <row r="6829" spans="16:16" x14ac:dyDescent="0.35">
      <c r="P6829" s="1"/>
    </row>
    <row r="6830" spans="16:16" x14ac:dyDescent="0.35">
      <c r="P6830" s="1"/>
    </row>
    <row r="6833" spans="16:16" x14ac:dyDescent="0.35">
      <c r="P6833" s="1"/>
    </row>
    <row r="6834" spans="16:16" x14ac:dyDescent="0.35">
      <c r="P6834" s="1"/>
    </row>
    <row r="6835" spans="16:16" x14ac:dyDescent="0.35">
      <c r="P6835" s="1"/>
    </row>
    <row r="6836" spans="16:16" x14ac:dyDescent="0.35">
      <c r="P6836" s="1"/>
    </row>
    <row r="6837" spans="16:16" x14ac:dyDescent="0.35">
      <c r="P6837" s="1"/>
    </row>
    <row r="6838" spans="16:16" x14ac:dyDescent="0.35">
      <c r="P6838" s="1"/>
    </row>
    <row r="6839" spans="16:16" x14ac:dyDescent="0.35">
      <c r="P6839" s="1"/>
    </row>
    <row r="6840" spans="16:16" x14ac:dyDescent="0.35">
      <c r="P6840" s="1"/>
    </row>
    <row r="6841" spans="16:16" x14ac:dyDescent="0.35">
      <c r="P6841" s="1"/>
    </row>
    <row r="6842" spans="16:16" x14ac:dyDescent="0.35">
      <c r="P6842" s="1"/>
    </row>
    <row r="6843" spans="16:16" x14ac:dyDescent="0.35">
      <c r="P6843" s="1"/>
    </row>
    <row r="6845" spans="16:16" x14ac:dyDescent="0.35">
      <c r="P6845" s="1"/>
    </row>
    <row r="6847" spans="16:16" x14ac:dyDescent="0.35">
      <c r="P6847" s="1"/>
    </row>
    <row r="6849" spans="16:17" x14ac:dyDescent="0.35">
      <c r="P6849" s="1"/>
    </row>
    <row r="6850" spans="16:17" x14ac:dyDescent="0.35">
      <c r="Q6850" s="1"/>
    </row>
    <row r="6851" spans="16:17" x14ac:dyDescent="0.35">
      <c r="P6851" s="1"/>
    </row>
    <row r="6855" spans="16:17" x14ac:dyDescent="0.35">
      <c r="P6855" s="1"/>
    </row>
    <row r="6856" spans="16:17" x14ac:dyDescent="0.35">
      <c r="P6856" s="1"/>
    </row>
    <row r="6857" spans="16:17" x14ac:dyDescent="0.35">
      <c r="P6857" s="1"/>
    </row>
    <row r="6858" spans="16:17" x14ac:dyDescent="0.35">
      <c r="P6858" s="1"/>
    </row>
    <row r="6859" spans="16:17" x14ac:dyDescent="0.35">
      <c r="P6859" s="1"/>
    </row>
    <row r="6862" spans="16:17" x14ac:dyDescent="0.35">
      <c r="P6862" s="1"/>
    </row>
    <row r="6864" spans="16:17" x14ac:dyDescent="0.35">
      <c r="P6864" s="1"/>
    </row>
    <row r="6865" spans="16:17" x14ac:dyDescent="0.35">
      <c r="P6865" s="1"/>
    </row>
    <row r="6867" spans="16:17" x14ac:dyDescent="0.35">
      <c r="P6867" s="1"/>
    </row>
    <row r="6868" spans="16:17" x14ac:dyDescent="0.35">
      <c r="P6868" s="1"/>
    </row>
    <row r="6869" spans="16:17" x14ac:dyDescent="0.35">
      <c r="P6869" s="1"/>
    </row>
    <row r="6870" spans="16:17" x14ac:dyDescent="0.35">
      <c r="P6870" s="1"/>
    </row>
    <row r="6875" spans="16:17" x14ac:dyDescent="0.35">
      <c r="P6875" s="1"/>
    </row>
    <row r="6876" spans="16:17" x14ac:dyDescent="0.35">
      <c r="Q6876" s="1"/>
    </row>
    <row r="6877" spans="16:17" x14ac:dyDescent="0.35">
      <c r="P6877" s="1"/>
    </row>
    <row r="6878" spans="16:17" x14ac:dyDescent="0.35">
      <c r="P6878" s="1"/>
    </row>
    <row r="6880" spans="16:17" x14ac:dyDescent="0.35">
      <c r="P6880" s="1"/>
    </row>
    <row r="6881" spans="16:17" x14ac:dyDescent="0.35">
      <c r="P6881" s="1"/>
    </row>
    <row r="6882" spans="16:17" x14ac:dyDescent="0.35">
      <c r="P6882" s="1"/>
      <c r="Q6882" s="1"/>
    </row>
    <row r="6887" spans="16:17" x14ac:dyDescent="0.35">
      <c r="P6887" s="1"/>
    </row>
    <row r="6890" spans="16:17" x14ac:dyDescent="0.35">
      <c r="P6890" s="1"/>
    </row>
    <row r="6891" spans="16:17" x14ac:dyDescent="0.35">
      <c r="P6891" s="1"/>
    </row>
    <row r="6892" spans="16:17" x14ac:dyDescent="0.35">
      <c r="P6892" s="1"/>
    </row>
    <row r="6893" spans="16:17" x14ac:dyDescent="0.35">
      <c r="P6893" s="1"/>
    </row>
    <row r="6895" spans="16:17" x14ac:dyDescent="0.35">
      <c r="P6895" s="1"/>
    </row>
    <row r="6896" spans="16:17" x14ac:dyDescent="0.35">
      <c r="P6896" s="1"/>
    </row>
    <row r="6897" spans="16:16" x14ac:dyDescent="0.35">
      <c r="P6897" s="1"/>
    </row>
    <row r="6899" spans="16:16" x14ac:dyDescent="0.35">
      <c r="P6899" s="1"/>
    </row>
    <row r="6901" spans="16:16" x14ac:dyDescent="0.35">
      <c r="P6901" s="1"/>
    </row>
    <row r="6903" spans="16:16" x14ac:dyDescent="0.35">
      <c r="P6903" s="1"/>
    </row>
    <row r="6906" spans="16:16" x14ac:dyDescent="0.35">
      <c r="P6906" s="1"/>
    </row>
    <row r="6908" spans="16:16" x14ac:dyDescent="0.35">
      <c r="P6908" s="1"/>
    </row>
    <row r="6909" spans="16:16" x14ac:dyDescent="0.35">
      <c r="P6909" s="1"/>
    </row>
    <row r="6914" spans="16:16" x14ac:dyDescent="0.35">
      <c r="P6914" s="1"/>
    </row>
    <row r="6917" spans="16:16" x14ac:dyDescent="0.35">
      <c r="P6917" s="1"/>
    </row>
    <row r="6918" spans="16:16" x14ac:dyDescent="0.35">
      <c r="P6918" s="1"/>
    </row>
    <row r="6920" spans="16:16" x14ac:dyDescent="0.35">
      <c r="P6920" s="1"/>
    </row>
    <row r="6921" spans="16:16" x14ac:dyDescent="0.35">
      <c r="P6921" s="1"/>
    </row>
    <row r="6922" spans="16:16" x14ac:dyDescent="0.35">
      <c r="P6922" s="1"/>
    </row>
    <row r="6923" spans="16:16" x14ac:dyDescent="0.35">
      <c r="P6923" s="1"/>
    </row>
    <row r="6926" spans="16:16" x14ac:dyDescent="0.35">
      <c r="P6926" s="1"/>
    </row>
    <row r="6927" spans="16:16" x14ac:dyDescent="0.35">
      <c r="P6927" s="1"/>
    </row>
    <row r="6928" spans="16:16" x14ac:dyDescent="0.35">
      <c r="P6928" s="1"/>
    </row>
    <row r="6931" spans="16:16" x14ac:dyDescent="0.35">
      <c r="P6931" s="1"/>
    </row>
    <row r="6932" spans="16:16" x14ac:dyDescent="0.35">
      <c r="P6932" s="1"/>
    </row>
    <row r="6933" spans="16:16" x14ac:dyDescent="0.35">
      <c r="P6933" s="1"/>
    </row>
    <row r="6935" spans="16:16" x14ac:dyDescent="0.35">
      <c r="P6935" s="1"/>
    </row>
    <row r="6936" spans="16:16" x14ac:dyDescent="0.35">
      <c r="P6936" s="1"/>
    </row>
    <row r="6937" spans="16:16" x14ac:dyDescent="0.35">
      <c r="P6937" s="1"/>
    </row>
    <row r="6938" spans="16:16" x14ac:dyDescent="0.35">
      <c r="P6938" s="1"/>
    </row>
    <row r="6939" spans="16:16" x14ac:dyDescent="0.35">
      <c r="P6939" s="1"/>
    </row>
    <row r="6940" spans="16:16" x14ac:dyDescent="0.35">
      <c r="P6940" s="1"/>
    </row>
    <row r="6941" spans="16:16" x14ac:dyDescent="0.35">
      <c r="P6941" s="1"/>
    </row>
    <row r="6943" spans="16:16" x14ac:dyDescent="0.35">
      <c r="P6943" s="1"/>
    </row>
    <row r="6945" spans="16:16" x14ac:dyDescent="0.35">
      <c r="P6945" s="1"/>
    </row>
    <row r="6946" spans="16:16" x14ac:dyDescent="0.35">
      <c r="P6946" s="1"/>
    </row>
    <row r="6948" spans="16:16" x14ac:dyDescent="0.35">
      <c r="P6948" s="1"/>
    </row>
    <row r="6949" spans="16:16" x14ac:dyDescent="0.35">
      <c r="P6949" s="1"/>
    </row>
    <row r="6950" spans="16:16" x14ac:dyDescent="0.35">
      <c r="P6950" s="1"/>
    </row>
    <row r="6951" spans="16:16" x14ac:dyDescent="0.35">
      <c r="P6951" s="1"/>
    </row>
    <row r="6957" spans="16:16" x14ac:dyDescent="0.35">
      <c r="P6957" s="1"/>
    </row>
    <row r="6958" spans="16:16" x14ac:dyDescent="0.35">
      <c r="P6958" s="1"/>
    </row>
    <row r="6966" spans="16:16" x14ac:dyDescent="0.35">
      <c r="P6966" s="1"/>
    </row>
    <row r="6969" spans="16:16" x14ac:dyDescent="0.35">
      <c r="P6969" s="1"/>
    </row>
    <row r="6970" spans="16:16" x14ac:dyDescent="0.35">
      <c r="P6970" s="1"/>
    </row>
    <row r="6971" spans="16:16" x14ac:dyDescent="0.35">
      <c r="P6971" s="1"/>
    </row>
    <row r="6972" spans="16:16" x14ac:dyDescent="0.35">
      <c r="P6972" s="1"/>
    </row>
    <row r="6973" spans="16:16" x14ac:dyDescent="0.35">
      <c r="P6973" s="1"/>
    </row>
    <row r="6975" spans="16:16" x14ac:dyDescent="0.35">
      <c r="P6975" s="1"/>
    </row>
    <row r="6976" spans="16:16" x14ac:dyDescent="0.35">
      <c r="P6976" s="1"/>
    </row>
    <row r="6977" spans="16:16" x14ac:dyDescent="0.35">
      <c r="P6977" s="1"/>
    </row>
    <row r="6978" spans="16:16" x14ac:dyDescent="0.35">
      <c r="P6978" s="1"/>
    </row>
    <row r="6980" spans="16:16" x14ac:dyDescent="0.35">
      <c r="P6980" s="1"/>
    </row>
    <row r="6981" spans="16:16" x14ac:dyDescent="0.35">
      <c r="P6981" s="1"/>
    </row>
    <row r="6982" spans="16:16" x14ac:dyDescent="0.35">
      <c r="P6982" s="1"/>
    </row>
    <row r="6986" spans="16:16" x14ac:dyDescent="0.35">
      <c r="P6986" s="1"/>
    </row>
    <row r="6987" spans="16:16" x14ac:dyDescent="0.35">
      <c r="P6987" s="1"/>
    </row>
    <row r="6988" spans="16:16" x14ac:dyDescent="0.35">
      <c r="P6988" s="1"/>
    </row>
    <row r="6989" spans="16:16" x14ac:dyDescent="0.35">
      <c r="P6989" s="1"/>
    </row>
    <row r="6993" spans="16:17" x14ac:dyDescent="0.35">
      <c r="P6993" s="1"/>
    </row>
    <row r="6994" spans="16:17" x14ac:dyDescent="0.35">
      <c r="P6994" s="1"/>
    </row>
    <row r="6995" spans="16:17" x14ac:dyDescent="0.35">
      <c r="P6995" s="1"/>
    </row>
    <row r="6996" spans="16:17" x14ac:dyDescent="0.35">
      <c r="P6996" s="1"/>
    </row>
    <row r="7000" spans="16:17" x14ac:dyDescent="0.35">
      <c r="P7000" s="1"/>
    </row>
    <row r="7006" spans="16:17" x14ac:dyDescent="0.35">
      <c r="Q7006" s="1"/>
    </row>
    <row r="7008" spans="16:17" x14ac:dyDescent="0.35">
      <c r="Q7008" s="1"/>
    </row>
    <row r="7016" spans="17:17" x14ac:dyDescent="0.35">
      <c r="Q7016" s="1"/>
    </row>
    <row r="7020" spans="17:17" x14ac:dyDescent="0.35">
      <c r="Q7020" s="1"/>
    </row>
    <row r="7022" spans="17:17" x14ac:dyDescent="0.35">
      <c r="Q7022" s="1"/>
    </row>
    <row r="7023" spans="17:17" x14ac:dyDescent="0.35">
      <c r="Q7023" s="1"/>
    </row>
    <row r="7029" spans="17:17" x14ac:dyDescent="0.35">
      <c r="Q7029" s="1"/>
    </row>
    <row r="7035" spans="17:17" x14ac:dyDescent="0.35">
      <c r="Q7035" s="1"/>
    </row>
    <row r="7037" spans="17:17" x14ac:dyDescent="0.35">
      <c r="Q7037" s="1"/>
    </row>
    <row r="7046" spans="17:17" x14ac:dyDescent="0.35">
      <c r="Q7046" s="1"/>
    </row>
    <row r="7047" spans="17:17" x14ac:dyDescent="0.35">
      <c r="Q7047" s="1"/>
    </row>
    <row r="7049" spans="17:17" x14ac:dyDescent="0.35">
      <c r="Q7049" s="1"/>
    </row>
    <row r="7052" spans="17:17" x14ac:dyDescent="0.35">
      <c r="Q7052" s="1"/>
    </row>
    <row r="7054" spans="17:17" x14ac:dyDescent="0.35">
      <c r="Q7054" s="1"/>
    </row>
    <row r="7055" spans="17:17" x14ac:dyDescent="0.35">
      <c r="Q7055" s="1"/>
    </row>
    <row r="7056" spans="17:17" x14ac:dyDescent="0.35">
      <c r="Q7056" s="1"/>
    </row>
    <row r="7063" spans="17:17" x14ac:dyDescent="0.35">
      <c r="Q7063" s="1"/>
    </row>
    <row r="7065" spans="17:17" x14ac:dyDescent="0.35">
      <c r="Q7065" s="1"/>
    </row>
    <row r="7066" spans="17:17" x14ac:dyDescent="0.35">
      <c r="Q7066" s="1"/>
    </row>
    <row r="7068" spans="17:17" x14ac:dyDescent="0.35">
      <c r="Q7068" s="1"/>
    </row>
    <row r="7073" spans="17:17" x14ac:dyDescent="0.35">
      <c r="Q7073" s="1"/>
    </row>
    <row r="7074" spans="17:17" x14ac:dyDescent="0.35">
      <c r="Q7074" s="1"/>
    </row>
    <row r="7076" spans="17:17" x14ac:dyDescent="0.35">
      <c r="Q7076" s="1"/>
    </row>
    <row r="7077" spans="17:17" x14ac:dyDescent="0.35">
      <c r="Q7077" s="1"/>
    </row>
    <row r="7086" spans="17:17" x14ac:dyDescent="0.35">
      <c r="Q7086" s="1"/>
    </row>
    <row r="7088" spans="17:17" x14ac:dyDescent="0.35">
      <c r="Q7088" s="1"/>
    </row>
    <row r="7096" spans="17:17" x14ac:dyDescent="0.35">
      <c r="Q7096" s="1"/>
    </row>
    <row r="7097" spans="17:17" x14ac:dyDescent="0.35">
      <c r="Q7097" s="1"/>
    </row>
    <row r="7101" spans="17:17" x14ac:dyDescent="0.35">
      <c r="Q7101" s="1"/>
    </row>
    <row r="7102" spans="17:17" x14ac:dyDescent="0.35">
      <c r="Q7102" s="1"/>
    </row>
    <row r="7111" spans="17:17" x14ac:dyDescent="0.35">
      <c r="Q7111" s="1"/>
    </row>
    <row r="7113" spans="17:17" x14ac:dyDescent="0.35">
      <c r="Q7113" s="1"/>
    </row>
    <row r="7128" spans="17:17" x14ac:dyDescent="0.35">
      <c r="Q7128" s="1"/>
    </row>
    <row r="7131" spans="17:17" x14ac:dyDescent="0.35">
      <c r="Q7131" s="1"/>
    </row>
    <row r="7133" spans="17:17" x14ac:dyDescent="0.35">
      <c r="Q7133" s="1"/>
    </row>
    <row r="7136" spans="17:17" x14ac:dyDescent="0.35">
      <c r="Q7136" s="1"/>
    </row>
    <row r="7140" spans="17:17" x14ac:dyDescent="0.35">
      <c r="Q7140" s="1"/>
    </row>
    <row r="7141" spans="17:17" x14ac:dyDescent="0.35">
      <c r="Q7141" s="1"/>
    </row>
    <row r="7147" spans="17:17" x14ac:dyDescent="0.35">
      <c r="Q7147" s="1"/>
    </row>
    <row r="7150" spans="17:17" x14ac:dyDescent="0.35">
      <c r="Q7150" s="1"/>
    </row>
    <row r="7156" spans="17:17" x14ac:dyDescent="0.35">
      <c r="Q7156" s="1"/>
    </row>
    <row r="7162" spans="17:17" x14ac:dyDescent="0.35">
      <c r="Q7162" s="1"/>
    </row>
    <row r="7164" spans="17:17" x14ac:dyDescent="0.35">
      <c r="Q7164" s="1"/>
    </row>
    <row r="7166" spans="17:17" x14ac:dyDescent="0.35">
      <c r="Q7166" s="1"/>
    </row>
    <row r="7175" spans="17:17" x14ac:dyDescent="0.35">
      <c r="Q7175" s="1"/>
    </row>
    <row r="7178" spans="17:17" x14ac:dyDescent="0.35">
      <c r="Q7178" s="1"/>
    </row>
    <row r="7180" spans="17:17" x14ac:dyDescent="0.35">
      <c r="Q7180" s="1"/>
    </row>
    <row r="7183" spans="17:17" x14ac:dyDescent="0.35">
      <c r="Q7183" s="1"/>
    </row>
    <row r="7186" spans="17:17" x14ac:dyDescent="0.35">
      <c r="Q7186" s="1"/>
    </row>
    <row r="7187" spans="17:17" x14ac:dyDescent="0.35">
      <c r="Q7187" s="1"/>
    </row>
    <row r="7188" spans="17:17" x14ac:dyDescent="0.35">
      <c r="Q7188" s="1"/>
    </row>
    <row r="7189" spans="17:17" x14ac:dyDescent="0.35">
      <c r="Q7189" s="1"/>
    </row>
    <row r="7191" spans="17:17" x14ac:dyDescent="0.35">
      <c r="Q7191" s="1"/>
    </row>
    <row r="7196" spans="17:17" x14ac:dyDescent="0.35">
      <c r="Q7196" s="1"/>
    </row>
    <row r="7200" spans="17:17" x14ac:dyDescent="0.35">
      <c r="Q7200" s="1"/>
    </row>
    <row r="7202" spans="17:17" x14ac:dyDescent="0.35">
      <c r="Q7202" s="1"/>
    </row>
    <row r="7205" spans="17:17" x14ac:dyDescent="0.35">
      <c r="Q7205" s="1"/>
    </row>
    <row r="7214" spans="17:17" x14ac:dyDescent="0.35">
      <c r="Q7214" s="1"/>
    </row>
    <row r="7216" spans="17:17" x14ac:dyDescent="0.35">
      <c r="Q7216" s="1"/>
    </row>
    <row r="7217" spans="17:17" x14ac:dyDescent="0.35">
      <c r="Q7217" s="1"/>
    </row>
    <row r="7220" spans="17:17" x14ac:dyDescent="0.35">
      <c r="Q7220" s="1"/>
    </row>
    <row r="7223" spans="17:17" x14ac:dyDescent="0.35">
      <c r="Q7223" s="1"/>
    </row>
    <row r="7228" spans="17:17" x14ac:dyDescent="0.35">
      <c r="Q7228" s="1"/>
    </row>
    <row r="7242" spans="17:17" x14ac:dyDescent="0.35">
      <c r="Q7242" s="1"/>
    </row>
    <row r="7245" spans="17:17" x14ac:dyDescent="0.35">
      <c r="Q7245" s="1"/>
    </row>
    <row r="7247" spans="17:17" x14ac:dyDescent="0.35">
      <c r="Q7247" s="1"/>
    </row>
    <row r="7249" spans="17:17" x14ac:dyDescent="0.35">
      <c r="Q7249" s="1"/>
    </row>
    <row r="7253" spans="17:17" x14ac:dyDescent="0.35">
      <c r="Q7253" s="1"/>
    </row>
    <row r="7255" spans="17:17" x14ac:dyDescent="0.35">
      <c r="Q7255" s="1"/>
    </row>
    <row r="7260" spans="17:17" x14ac:dyDescent="0.35">
      <c r="Q7260" s="1"/>
    </row>
    <row r="7265" spans="17:17" x14ac:dyDescent="0.35">
      <c r="Q7265" s="1"/>
    </row>
    <row r="7274" spans="17:17" x14ac:dyDescent="0.35">
      <c r="Q7274" s="1"/>
    </row>
    <row r="7275" spans="17:17" x14ac:dyDescent="0.35">
      <c r="Q7275" s="1"/>
    </row>
    <row r="7284" spans="17:17" x14ac:dyDescent="0.35">
      <c r="Q7284" s="1"/>
    </row>
    <row r="7292" spans="17:17" x14ac:dyDescent="0.35">
      <c r="Q7292" s="1"/>
    </row>
    <row r="7293" spans="17:17" x14ac:dyDescent="0.35">
      <c r="Q7293" s="1"/>
    </row>
    <row r="7296" spans="17:17" x14ac:dyDescent="0.35">
      <c r="Q7296" s="1"/>
    </row>
    <row r="7298" spans="17:17" x14ac:dyDescent="0.35">
      <c r="Q7298" s="1"/>
    </row>
    <row r="7314" spans="17:17" x14ac:dyDescent="0.35">
      <c r="Q7314" s="1"/>
    </row>
    <row r="7319" spans="17:17" x14ac:dyDescent="0.35">
      <c r="Q7319" s="1"/>
    </row>
    <row r="7320" spans="17:17" x14ac:dyDescent="0.35">
      <c r="Q7320" s="1"/>
    </row>
    <row r="7327" spans="17:17" x14ac:dyDescent="0.35">
      <c r="Q7327" s="1"/>
    </row>
    <row r="7328" spans="17:17" x14ac:dyDescent="0.35">
      <c r="Q7328" s="1"/>
    </row>
    <row r="7336" spans="17:17" x14ac:dyDescent="0.35">
      <c r="Q7336" s="1"/>
    </row>
    <row r="7340" spans="17:17" x14ac:dyDescent="0.35">
      <c r="Q7340" s="1"/>
    </row>
    <row r="7343" spans="17:17" x14ac:dyDescent="0.35">
      <c r="Q7343" s="1"/>
    </row>
    <row r="7344" spans="17:17" x14ac:dyDescent="0.35">
      <c r="Q7344" s="1"/>
    </row>
    <row r="7355" spans="17:17" x14ac:dyDescent="0.35">
      <c r="Q7355" s="1"/>
    </row>
    <row r="7358" spans="17:17" x14ac:dyDescent="0.35">
      <c r="Q7358" s="1"/>
    </row>
    <row r="7360" spans="17:17" x14ac:dyDescent="0.35">
      <c r="Q7360" s="1"/>
    </row>
    <row r="7362" spans="17:17" x14ac:dyDescent="0.35">
      <c r="Q7362" s="1"/>
    </row>
    <row r="7364" spans="17:17" x14ac:dyDescent="0.35">
      <c r="Q7364" s="1"/>
    </row>
    <row r="7385" spans="17:17" x14ac:dyDescent="0.35">
      <c r="Q7385" s="1"/>
    </row>
    <row r="7390" spans="17:17" x14ac:dyDescent="0.35">
      <c r="Q7390" s="1"/>
    </row>
    <row r="7396" spans="17:17" x14ac:dyDescent="0.35">
      <c r="Q7396" s="1"/>
    </row>
    <row r="7401" spans="17:17" x14ac:dyDescent="0.35">
      <c r="Q7401" s="1"/>
    </row>
    <row r="7410" spans="17:17" x14ac:dyDescent="0.35">
      <c r="Q7410" s="1"/>
    </row>
    <row r="7411" spans="17:17" x14ac:dyDescent="0.35">
      <c r="Q7411" s="1"/>
    </row>
    <row r="7424" spans="17:17" x14ac:dyDescent="0.35">
      <c r="Q7424" s="1"/>
    </row>
    <row r="7426" spans="17:17" x14ac:dyDescent="0.35">
      <c r="Q7426" s="1"/>
    </row>
    <row r="7427" spans="17:17" x14ac:dyDescent="0.35">
      <c r="Q7427" s="1"/>
    </row>
    <row r="7432" spans="17:17" x14ac:dyDescent="0.35">
      <c r="Q7432" s="1"/>
    </row>
    <row r="7433" spans="17:17" x14ac:dyDescent="0.35">
      <c r="Q7433" s="1"/>
    </row>
    <row r="7434" spans="17:17" x14ac:dyDescent="0.35">
      <c r="Q7434" s="1"/>
    </row>
    <row r="7436" spans="17:17" x14ac:dyDescent="0.35">
      <c r="Q7436" s="1"/>
    </row>
    <row r="7437" spans="17:17" x14ac:dyDescent="0.35">
      <c r="Q7437" s="1"/>
    </row>
    <row r="7440" spans="17:17" x14ac:dyDescent="0.35">
      <c r="Q7440" s="1"/>
    </row>
    <row r="7441" spans="17:17" x14ac:dyDescent="0.35">
      <c r="Q7441" s="1"/>
    </row>
    <row r="7445" spans="17:17" x14ac:dyDescent="0.35">
      <c r="Q7445" s="1"/>
    </row>
    <row r="7446" spans="17:17" x14ac:dyDescent="0.35">
      <c r="Q7446" s="1"/>
    </row>
    <row r="7447" spans="17:17" x14ac:dyDescent="0.35">
      <c r="Q7447" s="1"/>
    </row>
    <row r="7457" spans="17:17" x14ac:dyDescent="0.35">
      <c r="Q7457" s="1"/>
    </row>
    <row r="7461" spans="17:17" x14ac:dyDescent="0.35">
      <c r="Q7461" s="1"/>
    </row>
    <row r="7462" spans="17:17" x14ac:dyDescent="0.35">
      <c r="Q7462" s="1"/>
    </row>
    <row r="7463" spans="17:17" x14ac:dyDescent="0.35">
      <c r="Q7463" s="1"/>
    </row>
    <row r="7477" spans="17:17" x14ac:dyDescent="0.35">
      <c r="Q7477" s="1"/>
    </row>
    <row r="7479" spans="17:17" x14ac:dyDescent="0.35">
      <c r="Q7479" s="1"/>
    </row>
    <row r="7482" spans="17:17" x14ac:dyDescent="0.35">
      <c r="Q7482" s="1"/>
    </row>
    <row r="7485" spans="17:17" x14ac:dyDescent="0.35">
      <c r="Q7485" s="1"/>
    </row>
    <row r="7491" spans="17:17" x14ac:dyDescent="0.35">
      <c r="Q7491" s="1"/>
    </row>
    <row r="7492" spans="17:17" x14ac:dyDescent="0.35">
      <c r="Q7492" s="1"/>
    </row>
    <row r="7493" spans="17:17" x14ac:dyDescent="0.35">
      <c r="Q7493" s="1"/>
    </row>
    <row r="7499" spans="17:17" x14ac:dyDescent="0.35">
      <c r="Q7499" s="1"/>
    </row>
    <row r="7501" spans="17:17" x14ac:dyDescent="0.35">
      <c r="Q7501" s="1"/>
    </row>
    <row r="7508" spans="3:17" x14ac:dyDescent="0.35">
      <c r="Q7508" s="1"/>
    </row>
    <row r="7511" spans="3:17" x14ac:dyDescent="0.35">
      <c r="Q7511" s="1"/>
    </row>
    <row r="7515" spans="3:17" x14ac:dyDescent="0.35">
      <c r="C7515" s="4"/>
      <c r="Q7515" s="1"/>
    </row>
    <row r="7519" spans="3:17" x14ac:dyDescent="0.35">
      <c r="Q7519" s="1"/>
    </row>
    <row r="7522" spans="17:17" x14ac:dyDescent="0.35">
      <c r="Q7522" s="1"/>
    </row>
    <row r="7525" spans="17:17" x14ac:dyDescent="0.35">
      <c r="Q7525" s="1"/>
    </row>
    <row r="7527" spans="17:17" x14ac:dyDescent="0.35">
      <c r="Q7527" s="1"/>
    </row>
    <row r="7528" spans="17:17" x14ac:dyDescent="0.35">
      <c r="Q7528" s="1"/>
    </row>
    <row r="7531" spans="17:17" x14ac:dyDescent="0.35">
      <c r="Q7531" s="1"/>
    </row>
    <row r="7534" spans="17:17" x14ac:dyDescent="0.35">
      <c r="Q7534" s="1"/>
    </row>
    <row r="7537" spans="17:17" x14ac:dyDescent="0.35">
      <c r="Q7537" s="1"/>
    </row>
    <row r="7547" spans="17:17" x14ac:dyDescent="0.35">
      <c r="Q7547" s="1"/>
    </row>
    <row r="7560" spans="17:17" x14ac:dyDescent="0.35">
      <c r="Q7560" s="1"/>
    </row>
    <row r="7569" spans="17:17" x14ac:dyDescent="0.35">
      <c r="Q7569" s="1"/>
    </row>
    <row r="7572" spans="17:17" x14ac:dyDescent="0.35">
      <c r="Q7572" s="1"/>
    </row>
    <row r="7574" spans="17:17" x14ac:dyDescent="0.35">
      <c r="Q7574" s="1"/>
    </row>
    <row r="7580" spans="17:17" x14ac:dyDescent="0.35">
      <c r="Q7580" s="1"/>
    </row>
    <row r="7582" spans="17:17" x14ac:dyDescent="0.35">
      <c r="Q7582" s="1"/>
    </row>
    <row r="7585" spans="17:17" x14ac:dyDescent="0.35">
      <c r="Q7585" s="1"/>
    </row>
    <row r="7593" spans="17:17" x14ac:dyDescent="0.35">
      <c r="Q7593" s="1"/>
    </row>
    <row r="7601" spans="17:17" x14ac:dyDescent="0.35">
      <c r="Q7601" s="1"/>
    </row>
    <row r="7603" spans="17:17" x14ac:dyDescent="0.35">
      <c r="Q7603" s="1"/>
    </row>
    <row r="7607" spans="17:17" x14ac:dyDescent="0.35">
      <c r="Q7607" s="1"/>
    </row>
    <row r="7617" spans="17:17" x14ac:dyDescent="0.35">
      <c r="Q7617" s="1"/>
    </row>
    <row r="7621" spans="17:17" x14ac:dyDescent="0.35">
      <c r="Q7621" s="1"/>
    </row>
    <row r="7622" spans="17:17" x14ac:dyDescent="0.35">
      <c r="Q7622" s="1"/>
    </row>
    <row r="7627" spans="17:17" x14ac:dyDescent="0.35">
      <c r="Q7627" s="1"/>
    </row>
    <row r="7628" spans="17:17" x14ac:dyDescent="0.35">
      <c r="Q7628" s="1"/>
    </row>
    <row r="7629" spans="17:17" x14ac:dyDescent="0.35">
      <c r="Q7629" s="1"/>
    </row>
    <row r="7633" spans="17:17" x14ac:dyDescent="0.35">
      <c r="Q7633" s="1"/>
    </row>
    <row r="7637" spans="17:17" x14ac:dyDescent="0.35">
      <c r="Q7637" s="1"/>
    </row>
    <row r="7638" spans="17:17" x14ac:dyDescent="0.35">
      <c r="Q7638" s="1"/>
    </row>
    <row r="7641" spans="17:17" x14ac:dyDescent="0.35">
      <c r="Q7641" s="1"/>
    </row>
    <row r="7667" spans="17:17" x14ac:dyDescent="0.35">
      <c r="Q7667" s="1"/>
    </row>
    <row r="7672" spans="17:17" x14ac:dyDescent="0.35">
      <c r="Q7672" s="1"/>
    </row>
    <row r="7684" spans="17:17" x14ac:dyDescent="0.35">
      <c r="Q7684" s="1"/>
    </row>
    <row r="7685" spans="17:17" x14ac:dyDescent="0.35">
      <c r="Q7685" s="1"/>
    </row>
    <row r="7688" spans="17:17" x14ac:dyDescent="0.35">
      <c r="Q7688" s="1"/>
    </row>
    <row r="7689" spans="17:17" x14ac:dyDescent="0.35">
      <c r="Q7689" s="1"/>
    </row>
    <row r="7692" spans="17:17" x14ac:dyDescent="0.35">
      <c r="Q7692" s="1"/>
    </row>
    <row r="7711" spans="17:17" x14ac:dyDescent="0.35">
      <c r="Q7711" s="1"/>
    </row>
    <row r="7712" spans="17:17" x14ac:dyDescent="0.35">
      <c r="Q7712" s="1"/>
    </row>
    <row r="7715" spans="17:17" x14ac:dyDescent="0.35">
      <c r="Q7715" s="1"/>
    </row>
    <row r="7721" spans="17:17" x14ac:dyDescent="0.35">
      <c r="Q7721" s="1"/>
    </row>
    <row r="7723" spans="17:17" x14ac:dyDescent="0.35">
      <c r="Q7723" s="1"/>
    </row>
    <row r="7726" spans="17:17" x14ac:dyDescent="0.35">
      <c r="Q7726" s="1"/>
    </row>
    <row r="7729" spans="17:17" x14ac:dyDescent="0.35">
      <c r="Q7729" s="1"/>
    </row>
    <row r="7731" spans="17:17" x14ac:dyDescent="0.35">
      <c r="Q7731" s="1"/>
    </row>
    <row r="7732" spans="17:17" x14ac:dyDescent="0.35">
      <c r="Q7732" s="1"/>
    </row>
    <row r="7736" spans="17:17" x14ac:dyDescent="0.35">
      <c r="Q7736" s="1"/>
    </row>
    <row r="7737" spans="17:17" x14ac:dyDescent="0.35">
      <c r="Q7737" s="1"/>
    </row>
    <row r="7738" spans="17:17" x14ac:dyDescent="0.35">
      <c r="Q7738" s="1"/>
    </row>
    <row r="7740" spans="17:17" x14ac:dyDescent="0.35">
      <c r="Q7740" s="1"/>
    </row>
    <row r="7744" spans="17:17" x14ac:dyDescent="0.35">
      <c r="Q7744" s="1"/>
    </row>
    <row r="7748" spans="17:17" x14ac:dyDescent="0.35">
      <c r="Q7748" s="1"/>
    </row>
    <row r="7749" spans="17:17" x14ac:dyDescent="0.35">
      <c r="Q7749" s="1"/>
    </row>
    <row r="7764" spans="17:17" x14ac:dyDescent="0.35">
      <c r="Q7764" s="1"/>
    </row>
    <row r="7767" spans="17:17" x14ac:dyDescent="0.35">
      <c r="Q7767" s="1"/>
    </row>
    <row r="7770" spans="17:17" x14ac:dyDescent="0.35">
      <c r="Q7770" s="1"/>
    </row>
    <row r="7782" spans="17:17" x14ac:dyDescent="0.35">
      <c r="Q7782" s="1"/>
    </row>
    <row r="7785" spans="17:17" x14ac:dyDescent="0.35">
      <c r="Q7785" s="1"/>
    </row>
    <row r="7791" spans="17:17" x14ac:dyDescent="0.35">
      <c r="Q7791" s="1"/>
    </row>
    <row r="7793" spans="17:17" x14ac:dyDescent="0.35">
      <c r="Q7793" s="1"/>
    </row>
    <row r="7795" spans="17:17" x14ac:dyDescent="0.35">
      <c r="Q7795" s="1"/>
    </row>
    <row r="7809" spans="17:17" x14ac:dyDescent="0.35">
      <c r="Q7809" s="1"/>
    </row>
    <row r="7812" spans="17:17" x14ac:dyDescent="0.35">
      <c r="Q7812" s="1"/>
    </row>
    <row r="7815" spans="17:17" x14ac:dyDescent="0.35">
      <c r="Q7815" s="1"/>
    </row>
    <row r="7820" spans="17:17" x14ac:dyDescent="0.35">
      <c r="Q7820" s="1"/>
    </row>
    <row r="7828" spans="17:17" x14ac:dyDescent="0.35">
      <c r="Q7828" s="1"/>
    </row>
    <row r="7830" spans="17:17" x14ac:dyDescent="0.35">
      <c r="Q7830" s="1"/>
    </row>
    <row r="7831" spans="17:17" x14ac:dyDescent="0.35">
      <c r="Q7831" s="1"/>
    </row>
    <row r="7837" spans="17:17" x14ac:dyDescent="0.35">
      <c r="Q7837" s="1"/>
    </row>
    <row r="7841" spans="17:17" x14ac:dyDescent="0.35">
      <c r="Q7841" s="1"/>
    </row>
    <row r="7844" spans="17:17" x14ac:dyDescent="0.35">
      <c r="Q7844" s="1"/>
    </row>
    <row r="7850" spans="17:17" x14ac:dyDescent="0.35">
      <c r="Q7850" s="1"/>
    </row>
    <row r="7854" spans="17:17" x14ac:dyDescent="0.35">
      <c r="Q7854" s="1"/>
    </row>
    <row r="7858" spans="17:17" x14ac:dyDescent="0.35">
      <c r="Q7858" s="1"/>
    </row>
    <row r="7861" spans="17:17" x14ac:dyDescent="0.35">
      <c r="Q7861" s="1"/>
    </row>
    <row r="7863" spans="17:17" x14ac:dyDescent="0.35">
      <c r="Q7863" s="1"/>
    </row>
    <row r="7868" spans="17:17" x14ac:dyDescent="0.35">
      <c r="Q7868" s="1"/>
    </row>
    <row r="7872" spans="17:17" x14ac:dyDescent="0.35">
      <c r="Q7872" s="1"/>
    </row>
    <row r="7885" spans="17:17" x14ac:dyDescent="0.35">
      <c r="Q7885" s="1"/>
    </row>
    <row r="7894" spans="17:17" x14ac:dyDescent="0.35">
      <c r="Q7894" s="1"/>
    </row>
    <row r="7895" spans="17:17" x14ac:dyDescent="0.35">
      <c r="Q7895" s="1"/>
    </row>
    <row r="7899" spans="17:17" x14ac:dyDescent="0.35">
      <c r="Q7899" s="1"/>
    </row>
    <row r="7905" spans="17:17" x14ac:dyDescent="0.35">
      <c r="Q7905" s="1"/>
    </row>
    <row r="7916" spans="17:17" x14ac:dyDescent="0.35">
      <c r="Q7916" s="1"/>
    </row>
    <row r="7921" spans="17:17" x14ac:dyDescent="0.35">
      <c r="Q7921" s="1"/>
    </row>
    <row r="7924" spans="17:17" x14ac:dyDescent="0.35">
      <c r="Q7924" s="1"/>
    </row>
    <row r="7927" spans="17:17" x14ac:dyDescent="0.35">
      <c r="Q7927" s="1"/>
    </row>
    <row r="7932" spans="17:17" x14ac:dyDescent="0.35">
      <c r="Q7932" s="1"/>
    </row>
    <row r="7935" spans="17:17" x14ac:dyDescent="0.35">
      <c r="Q7935" s="1"/>
    </row>
    <row r="7947" spans="17:17" x14ac:dyDescent="0.35">
      <c r="Q7947" s="1"/>
    </row>
    <row r="7951" spans="17:17" x14ac:dyDescent="0.35">
      <c r="Q7951" s="1"/>
    </row>
    <row r="7969" spans="17:17" x14ac:dyDescent="0.35">
      <c r="Q7969" s="1"/>
    </row>
    <row r="7972" spans="17:17" x14ac:dyDescent="0.35">
      <c r="Q7972" s="1"/>
    </row>
    <row r="7973" spans="17:17" x14ac:dyDescent="0.35">
      <c r="Q7973" s="1"/>
    </row>
    <row r="7978" spans="17:17" x14ac:dyDescent="0.35">
      <c r="Q7978" s="1"/>
    </row>
    <row r="7980" spans="17:17" x14ac:dyDescent="0.35">
      <c r="Q7980" s="1"/>
    </row>
    <row r="7981" spans="17:17" x14ac:dyDescent="0.35">
      <c r="Q7981" s="1"/>
    </row>
    <row r="7988" spans="17:17" x14ac:dyDescent="0.35">
      <c r="Q7988" s="1"/>
    </row>
    <row r="7994" spans="17:17" x14ac:dyDescent="0.35">
      <c r="Q7994" s="1"/>
    </row>
    <row r="7995" spans="17:17" x14ac:dyDescent="0.35">
      <c r="Q7995" s="1"/>
    </row>
    <row r="7999" spans="17:17" x14ac:dyDescent="0.35">
      <c r="Q7999" s="1"/>
    </row>
    <row r="8001" spans="17:17" x14ac:dyDescent="0.35">
      <c r="Q8001" s="1"/>
    </row>
    <row r="8004" spans="17:17" x14ac:dyDescent="0.35">
      <c r="Q8004" s="1"/>
    </row>
    <row r="8007" spans="17:17" x14ac:dyDescent="0.35">
      <c r="Q8007" s="1"/>
    </row>
    <row r="8009" spans="17:17" x14ac:dyDescent="0.35">
      <c r="Q8009" s="1"/>
    </row>
    <row r="8015" spans="17:17" x14ac:dyDescent="0.35">
      <c r="Q8015" s="1"/>
    </row>
    <row r="8037" spans="17:17" x14ac:dyDescent="0.35">
      <c r="Q8037" s="1"/>
    </row>
    <row r="8077" spans="17:17" x14ac:dyDescent="0.35">
      <c r="Q8077" s="1"/>
    </row>
    <row r="8096" spans="17:17" x14ac:dyDescent="0.35">
      <c r="Q8096" s="1"/>
    </row>
    <row r="8153" spans="17:17" x14ac:dyDescent="0.35">
      <c r="Q8153" s="1"/>
    </row>
    <row r="8164" spans="17:17" x14ac:dyDescent="0.35">
      <c r="Q8164" s="1"/>
    </row>
    <row r="8165" spans="17:17" x14ac:dyDescent="0.35">
      <c r="Q8165" s="1"/>
    </row>
    <row r="8166" spans="17:17" x14ac:dyDescent="0.35">
      <c r="Q8166" s="1"/>
    </row>
    <row r="8167" spans="17:17" x14ac:dyDescent="0.35">
      <c r="Q8167" s="1"/>
    </row>
    <row r="8168" spans="17:17" x14ac:dyDescent="0.35">
      <c r="Q8168" s="1"/>
    </row>
    <row r="8170" spans="17:17" x14ac:dyDescent="0.35">
      <c r="Q8170" s="1"/>
    </row>
    <row r="8174" spans="17:17" x14ac:dyDescent="0.35">
      <c r="Q8174" s="1"/>
    </row>
    <row r="8175" spans="17:17" x14ac:dyDescent="0.35">
      <c r="Q8175" s="1"/>
    </row>
    <row r="8176" spans="17:17" x14ac:dyDescent="0.35">
      <c r="Q8176" s="1"/>
    </row>
    <row r="8177" spans="17:17" x14ac:dyDescent="0.35">
      <c r="Q8177" s="1"/>
    </row>
    <row r="8178" spans="17:17" x14ac:dyDescent="0.35">
      <c r="Q8178" s="1"/>
    </row>
    <row r="8179" spans="17:17" x14ac:dyDescent="0.35">
      <c r="Q8179" s="1"/>
    </row>
    <row r="8183" spans="17:17" x14ac:dyDescent="0.35">
      <c r="Q8183" s="1"/>
    </row>
    <row r="8184" spans="17:17" x14ac:dyDescent="0.35">
      <c r="Q8184" s="1"/>
    </row>
    <row r="8185" spans="17:17" x14ac:dyDescent="0.35">
      <c r="Q8185" s="1"/>
    </row>
    <row r="8186" spans="17:17" x14ac:dyDescent="0.35">
      <c r="Q8186" s="1"/>
    </row>
    <row r="8189" spans="17:17" x14ac:dyDescent="0.35">
      <c r="Q8189" s="1"/>
    </row>
    <row r="8201" spans="3:17" x14ac:dyDescent="0.35">
      <c r="Q8201" s="1"/>
    </row>
    <row r="8203" spans="3:17" x14ac:dyDescent="0.35">
      <c r="C8203" s="4"/>
    </row>
    <row r="8210" spans="17:17" x14ac:dyDescent="0.35">
      <c r="Q8210" s="1"/>
    </row>
    <row r="8211" spans="17:17" x14ac:dyDescent="0.35">
      <c r="Q8211" s="1"/>
    </row>
    <row r="8212" spans="17:17" x14ac:dyDescent="0.35">
      <c r="Q8212" s="1"/>
    </row>
    <row r="8213" spans="17:17" x14ac:dyDescent="0.35">
      <c r="Q8213" s="1"/>
    </row>
    <row r="8215" spans="17:17" x14ac:dyDescent="0.35">
      <c r="Q8215" s="1"/>
    </row>
    <row r="8216" spans="17:17" x14ac:dyDescent="0.35">
      <c r="Q8216" s="1"/>
    </row>
    <row r="8217" spans="17:17" x14ac:dyDescent="0.35">
      <c r="Q8217" s="1"/>
    </row>
    <row r="8218" spans="17:17" x14ac:dyDescent="0.35">
      <c r="Q8218" s="1"/>
    </row>
    <row r="8219" spans="17:17" x14ac:dyDescent="0.35">
      <c r="Q8219" s="1"/>
    </row>
    <row r="8220" spans="17:17" x14ac:dyDescent="0.35">
      <c r="Q8220" s="1"/>
    </row>
    <row r="8221" spans="17:17" x14ac:dyDescent="0.35">
      <c r="Q8221" s="1"/>
    </row>
    <row r="8222" spans="17:17" x14ac:dyDescent="0.35">
      <c r="Q8222" s="1"/>
    </row>
    <row r="8223" spans="17:17" x14ac:dyDescent="0.35">
      <c r="Q8223" s="1"/>
    </row>
    <row r="8224" spans="17:17" x14ac:dyDescent="0.35">
      <c r="Q8224" s="1"/>
    </row>
    <row r="8225" spans="17:17" x14ac:dyDescent="0.35">
      <c r="Q8225" s="1"/>
    </row>
    <row r="8226" spans="17:17" x14ac:dyDescent="0.35">
      <c r="Q8226" s="1"/>
    </row>
    <row r="8227" spans="17:17" x14ac:dyDescent="0.35">
      <c r="Q8227" s="1"/>
    </row>
    <row r="8228" spans="17:17" x14ac:dyDescent="0.35">
      <c r="Q8228" s="1"/>
    </row>
    <row r="8230" spans="17:17" x14ac:dyDescent="0.35">
      <c r="Q8230" s="1"/>
    </row>
    <row r="8231" spans="17:17" x14ac:dyDescent="0.35">
      <c r="Q8231" s="1"/>
    </row>
    <row r="8233" spans="17:17" x14ac:dyDescent="0.35">
      <c r="Q8233" s="1"/>
    </row>
    <row r="8234" spans="17:17" x14ac:dyDescent="0.35">
      <c r="Q8234" s="1"/>
    </row>
    <row r="8235" spans="17:17" x14ac:dyDescent="0.35">
      <c r="Q8235" s="1"/>
    </row>
    <row r="8236" spans="17:17" x14ac:dyDescent="0.35">
      <c r="Q8236" s="1"/>
    </row>
    <row r="8237" spans="17:17" x14ac:dyDescent="0.35">
      <c r="Q8237" s="1"/>
    </row>
    <row r="8241" spans="17:17" x14ac:dyDescent="0.35">
      <c r="Q8241" s="1"/>
    </row>
    <row r="8242" spans="17:17" x14ac:dyDescent="0.35">
      <c r="Q8242" s="1"/>
    </row>
    <row r="8243" spans="17:17" x14ac:dyDescent="0.35">
      <c r="Q8243" s="1"/>
    </row>
    <row r="8245" spans="17:17" x14ac:dyDescent="0.35">
      <c r="Q8245" s="1"/>
    </row>
    <row r="8246" spans="17:17" x14ac:dyDescent="0.35">
      <c r="Q8246" s="1"/>
    </row>
    <row r="8248" spans="17:17" x14ac:dyDescent="0.35">
      <c r="Q8248" s="1"/>
    </row>
    <row r="8250" spans="17:17" x14ac:dyDescent="0.35">
      <c r="Q8250" s="1"/>
    </row>
    <row r="8251" spans="17:17" x14ac:dyDescent="0.35">
      <c r="Q8251" s="1"/>
    </row>
    <row r="8252" spans="17:17" x14ac:dyDescent="0.35">
      <c r="Q8252" s="1"/>
    </row>
    <row r="8256" spans="17:17" x14ac:dyDescent="0.35">
      <c r="Q8256" s="1"/>
    </row>
    <row r="8257" spans="17:17" x14ac:dyDescent="0.35">
      <c r="Q8257" s="1"/>
    </row>
    <row r="8261" spans="17:17" x14ac:dyDescent="0.35">
      <c r="Q8261" s="1"/>
    </row>
    <row r="8262" spans="17:17" x14ac:dyDescent="0.35">
      <c r="Q8262" s="1"/>
    </row>
    <row r="8266" spans="17:17" x14ac:dyDescent="0.35">
      <c r="Q8266" s="1"/>
    </row>
    <row r="8269" spans="17:17" x14ac:dyDescent="0.35">
      <c r="Q8269" s="1"/>
    </row>
    <row r="8273" spans="16:17" x14ac:dyDescent="0.35">
      <c r="P8273" s="1"/>
    </row>
    <row r="8274" spans="16:17" x14ac:dyDescent="0.35">
      <c r="P8274" s="1"/>
    </row>
    <row r="8287" spans="16:17" x14ac:dyDescent="0.35">
      <c r="Q8287" s="1"/>
    </row>
    <row r="8293" spans="17:17" x14ac:dyDescent="0.35">
      <c r="Q8293" s="1"/>
    </row>
    <row r="8299" spans="17:17" x14ac:dyDescent="0.35">
      <c r="Q8299" s="1"/>
    </row>
    <row r="8300" spans="17:17" x14ac:dyDescent="0.35">
      <c r="Q8300" s="1"/>
    </row>
    <row r="8307" spans="17:17" x14ac:dyDescent="0.35">
      <c r="Q8307" s="1"/>
    </row>
    <row r="8310" spans="17:17" x14ac:dyDescent="0.35">
      <c r="Q8310" s="1"/>
    </row>
    <row r="8314" spans="17:17" x14ac:dyDescent="0.35">
      <c r="Q8314" s="1"/>
    </row>
    <row r="8319" spans="17:17" x14ac:dyDescent="0.35">
      <c r="Q8319" s="1"/>
    </row>
    <row r="8325" spans="17:17" x14ac:dyDescent="0.35">
      <c r="Q8325" s="1"/>
    </row>
    <row r="8326" spans="17:17" x14ac:dyDescent="0.35">
      <c r="Q8326" s="1"/>
    </row>
    <row r="8327" spans="17:17" x14ac:dyDescent="0.35">
      <c r="Q8327" s="1"/>
    </row>
    <row r="8328" spans="17:17" x14ac:dyDescent="0.35">
      <c r="Q8328" s="1"/>
    </row>
    <row r="8329" spans="17:17" x14ac:dyDescent="0.35">
      <c r="Q8329" s="1"/>
    </row>
    <row r="8332" spans="17:17" x14ac:dyDescent="0.35">
      <c r="Q8332" s="1"/>
    </row>
    <row r="8333" spans="17:17" x14ac:dyDescent="0.35">
      <c r="Q8333" s="1"/>
    </row>
    <row r="8335" spans="17:17" x14ac:dyDescent="0.35">
      <c r="Q8335" s="1"/>
    </row>
    <row r="8336" spans="17:17" x14ac:dyDescent="0.35">
      <c r="Q8336" s="1"/>
    </row>
    <row r="8340" spans="17:17" x14ac:dyDescent="0.35">
      <c r="Q8340" s="1"/>
    </row>
    <row r="8341" spans="17:17" x14ac:dyDescent="0.35">
      <c r="Q8341" s="1"/>
    </row>
    <row r="8343" spans="17:17" x14ac:dyDescent="0.35">
      <c r="Q8343" s="1"/>
    </row>
    <row r="8345" spans="17:17" x14ac:dyDescent="0.35">
      <c r="Q8345" s="1"/>
    </row>
    <row r="8347" spans="17:17" x14ac:dyDescent="0.35">
      <c r="Q8347" s="1"/>
    </row>
    <row r="8348" spans="17:17" x14ac:dyDescent="0.35">
      <c r="Q8348" s="1"/>
    </row>
    <row r="8349" spans="17:17" x14ac:dyDescent="0.35">
      <c r="Q8349" s="1"/>
    </row>
    <row r="8350" spans="17:17" x14ac:dyDescent="0.35">
      <c r="Q8350" s="1"/>
    </row>
    <row r="8354" spans="17:17" x14ac:dyDescent="0.35">
      <c r="Q8354" s="1"/>
    </row>
    <row r="8362" spans="17:17" x14ac:dyDescent="0.35">
      <c r="Q8362" s="1"/>
    </row>
    <row r="8365" spans="17:17" x14ac:dyDescent="0.35">
      <c r="Q8365" s="1"/>
    </row>
    <row r="8368" spans="17:17" x14ac:dyDescent="0.35">
      <c r="Q8368" s="1"/>
    </row>
    <row r="8369" spans="17:17" x14ac:dyDescent="0.35">
      <c r="Q8369" s="1"/>
    </row>
    <row r="8375" spans="17:17" x14ac:dyDescent="0.35">
      <c r="Q8375" s="1"/>
    </row>
    <row r="8383" spans="17:17" x14ac:dyDescent="0.35">
      <c r="Q8383" s="1"/>
    </row>
    <row r="8386" spans="17:17" x14ac:dyDescent="0.35">
      <c r="Q8386" s="1"/>
    </row>
    <row r="8413" spans="17:17" x14ac:dyDescent="0.35">
      <c r="Q8413" s="1"/>
    </row>
    <row r="8416" spans="17:17" x14ac:dyDescent="0.35">
      <c r="Q8416" s="1"/>
    </row>
    <row r="8418" spans="17:17" x14ac:dyDescent="0.35">
      <c r="Q8418" s="1"/>
    </row>
    <row r="8419" spans="17:17" x14ac:dyDescent="0.35">
      <c r="Q8419" s="1"/>
    </row>
    <row r="8422" spans="17:17" x14ac:dyDescent="0.35">
      <c r="Q8422" s="1"/>
    </row>
    <row r="8425" spans="17:17" x14ac:dyDescent="0.35">
      <c r="Q8425" s="1"/>
    </row>
    <row r="8429" spans="17:17" x14ac:dyDescent="0.35">
      <c r="Q8429" s="1"/>
    </row>
    <row r="8433" spans="17:17" x14ac:dyDescent="0.35">
      <c r="Q8433" s="1"/>
    </row>
    <row r="8434" spans="17:17" x14ac:dyDescent="0.35">
      <c r="Q8434" s="1"/>
    </row>
    <row r="8437" spans="17:17" x14ac:dyDescent="0.35">
      <c r="Q8437" s="1"/>
    </row>
    <row r="8439" spans="17:17" x14ac:dyDescent="0.35">
      <c r="Q8439" s="1"/>
    </row>
    <row r="8445" spans="17:17" x14ac:dyDescent="0.35">
      <c r="Q8445" s="1"/>
    </row>
    <row r="8450" spans="17:17" x14ac:dyDescent="0.35">
      <c r="Q8450" s="1"/>
    </row>
    <row r="8451" spans="17:17" x14ac:dyDescent="0.35">
      <c r="Q8451" s="1"/>
    </row>
    <row r="8453" spans="17:17" x14ac:dyDescent="0.35">
      <c r="Q8453" s="1"/>
    </row>
    <row r="8458" spans="17:17" x14ac:dyDescent="0.35">
      <c r="Q8458" s="1"/>
    </row>
    <row r="8460" spans="17:17" x14ac:dyDescent="0.35">
      <c r="Q8460" s="1"/>
    </row>
    <row r="8463" spans="17:17" x14ac:dyDescent="0.35">
      <c r="Q8463" s="1"/>
    </row>
    <row r="8464" spans="17:17" x14ac:dyDescent="0.35">
      <c r="Q8464" s="1"/>
    </row>
    <row r="8471" spans="17:17" x14ac:dyDescent="0.35">
      <c r="Q8471" s="1"/>
    </row>
    <row r="8474" spans="17:17" x14ac:dyDescent="0.35">
      <c r="Q8474" s="1"/>
    </row>
    <row r="8475" spans="17:17" x14ac:dyDescent="0.35">
      <c r="Q8475" s="1"/>
    </row>
    <row r="8481" spans="17:17" x14ac:dyDescent="0.35">
      <c r="Q8481" s="1"/>
    </row>
    <row r="8483" spans="17:17" x14ac:dyDescent="0.35">
      <c r="Q8483" s="1"/>
    </row>
    <row r="8484" spans="17:17" x14ac:dyDescent="0.35">
      <c r="Q8484" s="1"/>
    </row>
    <row r="8490" spans="17:17" x14ac:dyDescent="0.35">
      <c r="Q8490" s="1"/>
    </row>
    <row r="8495" spans="17:17" x14ac:dyDescent="0.35">
      <c r="Q8495" s="1"/>
    </row>
    <row r="8496" spans="17:17" x14ac:dyDescent="0.35">
      <c r="Q8496" s="1"/>
    </row>
    <row r="8498" spans="17:17" x14ac:dyDescent="0.35">
      <c r="Q8498" s="1"/>
    </row>
    <row r="8499" spans="17:17" x14ac:dyDescent="0.35">
      <c r="Q8499" s="1"/>
    </row>
    <row r="8501" spans="17:17" x14ac:dyDescent="0.35">
      <c r="Q8501" s="1"/>
    </row>
    <row r="8503" spans="17:17" x14ac:dyDescent="0.35">
      <c r="Q8503" s="1"/>
    </row>
    <row r="8504" spans="17:17" x14ac:dyDescent="0.35">
      <c r="Q8504" s="1"/>
    </row>
    <row r="8506" spans="17:17" x14ac:dyDescent="0.35">
      <c r="Q8506" s="1"/>
    </row>
    <row r="8507" spans="17:17" x14ac:dyDescent="0.35">
      <c r="Q8507" s="1"/>
    </row>
    <row r="8509" spans="17:17" x14ac:dyDescent="0.35">
      <c r="Q8509" s="1"/>
    </row>
    <row r="8512" spans="17:17" x14ac:dyDescent="0.35">
      <c r="Q8512" s="1"/>
    </row>
    <row r="8517" spans="17:17" x14ac:dyDescent="0.35">
      <c r="Q8517" s="1"/>
    </row>
    <row r="8518" spans="17:17" x14ac:dyDescent="0.35">
      <c r="Q8518" s="1"/>
    </row>
    <row r="8521" spans="17:17" x14ac:dyDescent="0.35">
      <c r="Q8521" s="1"/>
    </row>
    <row r="8522" spans="17:17" x14ac:dyDescent="0.35">
      <c r="Q8522" s="1"/>
    </row>
    <row r="8523" spans="17:17" x14ac:dyDescent="0.35">
      <c r="Q8523" s="1"/>
    </row>
    <row r="8526" spans="17:17" x14ac:dyDescent="0.35">
      <c r="Q8526" s="1"/>
    </row>
    <row r="8533" spans="17:17" x14ac:dyDescent="0.35">
      <c r="Q8533" s="1"/>
    </row>
    <row r="8535" spans="17:17" x14ac:dyDescent="0.35">
      <c r="Q8535" s="1"/>
    </row>
    <row r="8537" spans="17:17" x14ac:dyDescent="0.35">
      <c r="Q8537" s="1"/>
    </row>
    <row r="8541" spans="17:17" x14ac:dyDescent="0.35">
      <c r="Q8541" s="1"/>
    </row>
    <row r="8542" spans="17:17" x14ac:dyDescent="0.35">
      <c r="Q8542" s="1"/>
    </row>
    <row r="8543" spans="17:17" x14ac:dyDescent="0.35">
      <c r="Q8543" s="1"/>
    </row>
    <row r="8546" spans="17:17" x14ac:dyDescent="0.35">
      <c r="Q8546" s="1"/>
    </row>
    <row r="8547" spans="17:17" x14ac:dyDescent="0.35">
      <c r="Q8547" s="1"/>
    </row>
    <row r="8551" spans="17:17" x14ac:dyDescent="0.35">
      <c r="Q8551" s="1"/>
    </row>
    <row r="8558" spans="17:17" x14ac:dyDescent="0.35">
      <c r="Q8558" s="1"/>
    </row>
    <row r="8559" spans="17:17" x14ac:dyDescent="0.35">
      <c r="Q8559" s="1"/>
    </row>
    <row r="8565" spans="17:17" x14ac:dyDescent="0.35">
      <c r="Q8565" s="1"/>
    </row>
    <row r="8567" spans="17:17" x14ac:dyDescent="0.35">
      <c r="Q8567" s="1"/>
    </row>
    <row r="8574" spans="17:17" x14ac:dyDescent="0.35">
      <c r="Q8574" s="1"/>
    </row>
    <row r="8576" spans="17:17" x14ac:dyDescent="0.35">
      <c r="Q8576" s="1"/>
    </row>
    <row r="8577" spans="17:17" x14ac:dyDescent="0.35">
      <c r="Q8577" s="1"/>
    </row>
    <row r="8581" spans="17:17" x14ac:dyDescent="0.35">
      <c r="Q8581" s="1"/>
    </row>
    <row r="8588" spans="17:17" x14ac:dyDescent="0.35">
      <c r="Q8588" s="1"/>
    </row>
    <row r="8592" spans="17:17" x14ac:dyDescent="0.35">
      <c r="Q8592" s="1"/>
    </row>
    <row r="8594" spans="17:17" x14ac:dyDescent="0.35">
      <c r="Q8594" s="1"/>
    </row>
    <row r="8595" spans="17:17" x14ac:dyDescent="0.35">
      <c r="Q8595" s="1"/>
    </row>
    <row r="8596" spans="17:17" x14ac:dyDescent="0.35">
      <c r="Q8596" s="1"/>
    </row>
    <row r="8597" spans="17:17" x14ac:dyDescent="0.35">
      <c r="Q8597" s="1"/>
    </row>
    <row r="8598" spans="17:17" x14ac:dyDescent="0.35">
      <c r="Q8598" s="1"/>
    </row>
    <row r="8599" spans="17:17" x14ac:dyDescent="0.35">
      <c r="Q8599" s="1"/>
    </row>
    <row r="8600" spans="17:17" x14ac:dyDescent="0.35">
      <c r="Q8600" s="1"/>
    </row>
    <row r="8601" spans="17:17" x14ac:dyDescent="0.35">
      <c r="Q8601" s="1"/>
    </row>
    <row r="8609" spans="17:17" x14ac:dyDescent="0.35">
      <c r="Q8609" s="1"/>
    </row>
    <row r="8614" spans="17:17" x14ac:dyDescent="0.35">
      <c r="Q8614" s="1"/>
    </row>
    <row r="8617" spans="17:17" x14ac:dyDescent="0.35">
      <c r="Q8617" s="1"/>
    </row>
    <row r="8625" spans="17:17" x14ac:dyDescent="0.35">
      <c r="Q8625" s="1"/>
    </row>
    <row r="8631" spans="17:17" x14ac:dyDescent="0.35">
      <c r="Q8631" s="1"/>
    </row>
    <row r="8632" spans="17:17" x14ac:dyDescent="0.35">
      <c r="Q8632" s="1"/>
    </row>
    <row r="8634" spans="17:17" x14ac:dyDescent="0.35">
      <c r="Q8634" s="1"/>
    </row>
    <row r="8635" spans="17:17" x14ac:dyDescent="0.35">
      <c r="Q8635" s="1"/>
    </row>
    <row r="8638" spans="17:17" x14ac:dyDescent="0.35">
      <c r="Q8638" s="1"/>
    </row>
    <row r="8639" spans="17:17" x14ac:dyDescent="0.35">
      <c r="Q8639" s="1"/>
    </row>
    <row r="8640" spans="17:17" x14ac:dyDescent="0.35">
      <c r="Q8640" s="1"/>
    </row>
    <row r="8642" spans="17:17" x14ac:dyDescent="0.35">
      <c r="Q8642" s="1"/>
    </row>
    <row r="8646" spans="17:17" x14ac:dyDescent="0.35">
      <c r="Q8646" s="1"/>
    </row>
    <row r="8647" spans="17:17" x14ac:dyDescent="0.35">
      <c r="Q8647" s="1"/>
    </row>
    <row r="8650" spans="17:17" x14ac:dyDescent="0.35">
      <c r="Q8650" s="1"/>
    </row>
    <row r="8654" spans="17:17" x14ac:dyDescent="0.35">
      <c r="Q8654" s="1"/>
    </row>
    <row r="8656" spans="17:17" x14ac:dyDescent="0.35">
      <c r="Q8656" s="1"/>
    </row>
    <row r="8667" spans="17:17" x14ac:dyDescent="0.35">
      <c r="Q8667" s="1"/>
    </row>
    <row r="8678" spans="17:17" x14ac:dyDescent="0.35">
      <c r="Q8678" s="1"/>
    </row>
    <row r="8686" spans="17:17" x14ac:dyDescent="0.35">
      <c r="Q8686" s="1"/>
    </row>
    <row r="8689" spans="17:17" x14ac:dyDescent="0.35">
      <c r="Q8689" s="1"/>
    </row>
    <row r="8692" spans="17:17" x14ac:dyDescent="0.35">
      <c r="Q8692" s="1"/>
    </row>
    <row r="8694" spans="17:17" x14ac:dyDescent="0.35">
      <c r="Q8694" s="1"/>
    </row>
    <row r="8695" spans="17:17" x14ac:dyDescent="0.35">
      <c r="Q8695" s="1"/>
    </row>
    <row r="8696" spans="17:17" x14ac:dyDescent="0.35">
      <c r="Q8696" s="1"/>
    </row>
    <row r="8698" spans="17:17" x14ac:dyDescent="0.35">
      <c r="Q8698" s="1"/>
    </row>
    <row r="8707" spans="17:17" x14ac:dyDescent="0.35">
      <c r="Q8707" s="1"/>
    </row>
    <row r="8709" spans="17:17" x14ac:dyDescent="0.35">
      <c r="Q8709" s="1"/>
    </row>
    <row r="8710" spans="17:17" x14ac:dyDescent="0.35">
      <c r="Q8710" s="1"/>
    </row>
    <row r="8712" spans="17:17" x14ac:dyDescent="0.35">
      <c r="Q8712" s="1"/>
    </row>
    <row r="8716" spans="17:17" x14ac:dyDescent="0.35">
      <c r="Q8716" s="1"/>
    </row>
    <row r="8720" spans="17:17" x14ac:dyDescent="0.35">
      <c r="Q8720" s="1"/>
    </row>
    <row r="8722" spans="17:17" x14ac:dyDescent="0.35">
      <c r="Q8722" s="1"/>
    </row>
    <row r="8723" spans="17:17" x14ac:dyDescent="0.35">
      <c r="Q8723" s="1"/>
    </row>
    <row r="8724" spans="17:17" x14ac:dyDescent="0.35">
      <c r="Q8724" s="1"/>
    </row>
    <row r="8725" spans="17:17" x14ac:dyDescent="0.35">
      <c r="Q8725" s="1"/>
    </row>
    <row r="8729" spans="17:17" x14ac:dyDescent="0.35">
      <c r="Q8729" s="1"/>
    </row>
    <row r="8751" spans="17:17" x14ac:dyDescent="0.35">
      <c r="Q8751" s="1"/>
    </row>
    <row r="8755" spans="17:17" x14ac:dyDescent="0.35">
      <c r="Q8755" s="1"/>
    </row>
    <row r="8756" spans="17:17" x14ac:dyDescent="0.35">
      <c r="Q8756" s="1"/>
    </row>
    <row r="8765" spans="17:17" x14ac:dyDescent="0.35">
      <c r="Q8765" s="1"/>
    </row>
    <row r="8768" spans="17:17" x14ac:dyDescent="0.35">
      <c r="Q8768" s="1"/>
    </row>
    <row r="8786" spans="17:17" x14ac:dyDescent="0.35">
      <c r="Q8786" s="1"/>
    </row>
    <row r="8788" spans="17:17" x14ac:dyDescent="0.35">
      <c r="Q8788" s="1"/>
    </row>
    <row r="8793" spans="17:17" x14ac:dyDescent="0.35">
      <c r="Q8793" s="1"/>
    </row>
    <row r="8802" spans="16:17" x14ac:dyDescent="0.35">
      <c r="Q8802" s="1"/>
    </row>
    <row r="8805" spans="16:17" x14ac:dyDescent="0.35">
      <c r="Q8805" s="1"/>
    </row>
    <row r="8808" spans="16:17" x14ac:dyDescent="0.35">
      <c r="Q8808" s="1"/>
    </row>
    <row r="8813" spans="16:17" x14ac:dyDescent="0.35">
      <c r="P8813" s="1"/>
      <c r="Q8813" s="1"/>
    </row>
    <row r="8824" spans="17:17" x14ac:dyDescent="0.35">
      <c r="Q8824" s="1"/>
    </row>
    <row r="8826" spans="17:17" x14ac:dyDescent="0.35">
      <c r="Q8826" s="1"/>
    </row>
    <row r="8832" spans="17:17" x14ac:dyDescent="0.35">
      <c r="Q8832" s="1"/>
    </row>
    <row r="8838" spans="17:17" x14ac:dyDescent="0.35">
      <c r="Q8838" s="1"/>
    </row>
    <row r="8840" spans="17:17" x14ac:dyDescent="0.35">
      <c r="Q8840" s="1"/>
    </row>
    <row r="8841" spans="17:17" x14ac:dyDescent="0.35">
      <c r="Q8841" s="1"/>
    </row>
    <row r="8851" spans="16:17" x14ac:dyDescent="0.35">
      <c r="Q8851" s="1"/>
    </row>
    <row r="8856" spans="16:17" x14ac:dyDescent="0.35">
      <c r="Q8856" s="1"/>
    </row>
    <row r="8858" spans="16:17" x14ac:dyDescent="0.35">
      <c r="Q8858" s="1"/>
    </row>
    <row r="8863" spans="16:17" x14ac:dyDescent="0.35">
      <c r="P8863" s="1"/>
    </row>
    <row r="8873" spans="17:17" x14ac:dyDescent="0.35">
      <c r="Q8873" s="1"/>
    </row>
    <row r="8875" spans="17:17" x14ac:dyDescent="0.35">
      <c r="Q8875" s="1"/>
    </row>
    <row r="8877" spans="17:17" x14ac:dyDescent="0.35">
      <c r="Q8877" s="1"/>
    </row>
    <row r="8878" spans="17:17" x14ac:dyDescent="0.35">
      <c r="Q8878" s="1"/>
    </row>
    <row r="8880" spans="17:17" x14ac:dyDescent="0.35">
      <c r="Q8880" s="1"/>
    </row>
    <row r="8881" spans="16:17" x14ac:dyDescent="0.35">
      <c r="Q8881" s="1"/>
    </row>
    <row r="8882" spans="16:17" x14ac:dyDescent="0.35">
      <c r="Q8882" s="1"/>
    </row>
    <row r="8887" spans="16:17" x14ac:dyDescent="0.35">
      <c r="Q8887" s="1"/>
    </row>
    <row r="8888" spans="16:17" x14ac:dyDescent="0.35">
      <c r="P8888" s="1"/>
    </row>
    <row r="8893" spans="16:17" x14ac:dyDescent="0.35">
      <c r="Q8893" s="1"/>
    </row>
    <row r="8896" spans="16:17" x14ac:dyDescent="0.35">
      <c r="Q8896" s="1"/>
    </row>
    <row r="8897" spans="17:17" x14ac:dyDescent="0.35">
      <c r="Q8897" s="1"/>
    </row>
    <row r="8906" spans="17:17" x14ac:dyDescent="0.35">
      <c r="Q8906" s="1"/>
    </row>
    <row r="8911" spans="17:17" x14ac:dyDescent="0.35">
      <c r="Q8911" s="1"/>
    </row>
    <row r="8923" spans="17:17" x14ac:dyDescent="0.35">
      <c r="Q8923" s="1"/>
    </row>
    <row r="8929" spans="17:17" x14ac:dyDescent="0.35">
      <c r="Q8929" s="1"/>
    </row>
    <row r="8930" spans="17:17" x14ac:dyDescent="0.35">
      <c r="Q8930" s="1"/>
    </row>
    <row r="8934" spans="17:17" x14ac:dyDescent="0.35">
      <c r="Q8934" s="1"/>
    </row>
    <row r="8936" spans="17:17" x14ac:dyDescent="0.35">
      <c r="Q8936" s="1"/>
    </row>
    <row r="8937" spans="17:17" x14ac:dyDescent="0.35">
      <c r="Q8937" s="1"/>
    </row>
    <row r="8941" spans="17:17" x14ac:dyDescent="0.35">
      <c r="Q8941" s="1"/>
    </row>
    <row r="8942" spans="17:17" x14ac:dyDescent="0.35">
      <c r="Q8942" s="1"/>
    </row>
    <row r="8947" spans="17:17" x14ac:dyDescent="0.35">
      <c r="Q8947" s="1"/>
    </row>
    <row r="8948" spans="17:17" x14ac:dyDescent="0.35">
      <c r="Q8948" s="1"/>
    </row>
    <row r="8949" spans="17:17" x14ac:dyDescent="0.35">
      <c r="Q8949" s="1"/>
    </row>
    <row r="8951" spans="17:17" x14ac:dyDescent="0.35">
      <c r="Q8951" s="1"/>
    </row>
    <row r="8957" spans="17:17" x14ac:dyDescent="0.35">
      <c r="Q8957" s="1"/>
    </row>
    <row r="8961" spans="17:17" x14ac:dyDescent="0.35">
      <c r="Q8961" s="1"/>
    </row>
    <row r="8964" spans="17:17" x14ac:dyDescent="0.35">
      <c r="Q8964" s="1"/>
    </row>
    <row r="8969" spans="17:17" x14ac:dyDescent="0.35">
      <c r="Q8969" s="1"/>
    </row>
    <row r="8974" spans="17:17" x14ac:dyDescent="0.35">
      <c r="Q8974" s="1"/>
    </row>
    <row r="8975" spans="17:17" x14ac:dyDescent="0.35">
      <c r="Q8975" s="1"/>
    </row>
    <row r="8976" spans="17:17" x14ac:dyDescent="0.35">
      <c r="Q8976" s="1"/>
    </row>
    <row r="8985" spans="17:17" x14ac:dyDescent="0.35">
      <c r="Q8985" s="1"/>
    </row>
    <row r="9001" spans="17:17" x14ac:dyDescent="0.35">
      <c r="Q9001" s="1"/>
    </row>
    <row r="9008" spans="17:17" x14ac:dyDescent="0.35">
      <c r="Q9008" s="1"/>
    </row>
    <row r="9009" spans="17:17" x14ac:dyDescent="0.35">
      <c r="Q9009" s="1"/>
    </row>
    <row r="9018" spans="17:17" x14ac:dyDescent="0.35">
      <c r="Q9018" s="1"/>
    </row>
    <row r="9023" spans="17:17" x14ac:dyDescent="0.35">
      <c r="Q9023" s="1"/>
    </row>
    <row r="9027" spans="17:17" x14ac:dyDescent="0.35">
      <c r="Q9027" s="1"/>
    </row>
    <row r="9028" spans="17:17" x14ac:dyDescent="0.35">
      <c r="Q9028" s="1"/>
    </row>
    <row r="9031" spans="17:17" x14ac:dyDescent="0.35">
      <c r="Q9031" s="1"/>
    </row>
    <row r="9034" spans="17:17" x14ac:dyDescent="0.35">
      <c r="Q9034" s="1"/>
    </row>
    <row r="9041" spans="17:17" x14ac:dyDescent="0.35">
      <c r="Q9041" s="1"/>
    </row>
    <row r="9045" spans="17:17" x14ac:dyDescent="0.35">
      <c r="Q9045" s="1"/>
    </row>
    <row r="9046" spans="17:17" x14ac:dyDescent="0.35">
      <c r="Q9046" s="1"/>
    </row>
    <row r="9047" spans="17:17" x14ac:dyDescent="0.35">
      <c r="Q9047" s="1"/>
    </row>
    <row r="9048" spans="17:17" x14ac:dyDescent="0.35">
      <c r="Q9048" s="1"/>
    </row>
    <row r="9049" spans="17:17" x14ac:dyDescent="0.35">
      <c r="Q9049" s="1"/>
    </row>
    <row r="9052" spans="17:17" x14ac:dyDescent="0.35">
      <c r="Q9052" s="1"/>
    </row>
    <row r="9056" spans="17:17" x14ac:dyDescent="0.35">
      <c r="Q9056" s="1"/>
    </row>
    <row r="9062" spans="17:17" x14ac:dyDescent="0.35">
      <c r="Q9062" s="1"/>
    </row>
    <row r="9065" spans="17:17" x14ac:dyDescent="0.35">
      <c r="Q9065" s="1"/>
    </row>
    <row r="9067" spans="17:17" x14ac:dyDescent="0.35">
      <c r="Q9067" s="1"/>
    </row>
    <row r="9068" spans="17:17" x14ac:dyDescent="0.35">
      <c r="Q9068" s="1"/>
    </row>
    <row r="9069" spans="17:17" x14ac:dyDescent="0.35">
      <c r="Q9069" s="1"/>
    </row>
    <row r="9076" spans="17:17" x14ac:dyDescent="0.35">
      <c r="Q9076" s="1"/>
    </row>
    <row r="9084" spans="17:17" x14ac:dyDescent="0.35">
      <c r="Q9084" s="1"/>
    </row>
    <row r="9087" spans="17:17" x14ac:dyDescent="0.35">
      <c r="Q9087" s="1"/>
    </row>
    <row r="9094" spans="17:17" x14ac:dyDescent="0.35">
      <c r="Q9094" s="1"/>
    </row>
    <row r="9099" spans="17:17" x14ac:dyDescent="0.35">
      <c r="Q9099" s="1"/>
    </row>
    <row r="9104" spans="17:17" x14ac:dyDescent="0.35">
      <c r="Q9104" s="1"/>
    </row>
    <row r="9111" spans="17:17" x14ac:dyDescent="0.35">
      <c r="Q9111" s="1"/>
    </row>
    <row r="9117" spans="17:17" x14ac:dyDescent="0.35">
      <c r="Q9117" s="1"/>
    </row>
    <row r="9118" spans="17:17" x14ac:dyDescent="0.35">
      <c r="Q9118" s="1"/>
    </row>
    <row r="9119" spans="17:17" x14ac:dyDescent="0.35">
      <c r="Q9119" s="1"/>
    </row>
    <row r="9121" spans="17:17" x14ac:dyDescent="0.35">
      <c r="Q9121" s="1"/>
    </row>
    <row r="9129" spans="17:17" x14ac:dyDescent="0.35">
      <c r="Q9129" s="1"/>
    </row>
    <row r="9131" spans="17:17" x14ac:dyDescent="0.35">
      <c r="Q9131" s="1"/>
    </row>
    <row r="9134" spans="17:17" x14ac:dyDescent="0.35">
      <c r="Q9134" s="1"/>
    </row>
    <row r="9136" spans="17:17" x14ac:dyDescent="0.35">
      <c r="Q9136" s="1"/>
    </row>
    <row r="9145" spans="16:17" x14ac:dyDescent="0.35">
      <c r="P9145" s="1"/>
    </row>
    <row r="9148" spans="16:17" x14ac:dyDescent="0.35">
      <c r="Q9148" s="1"/>
    </row>
    <row r="9149" spans="16:17" x14ac:dyDescent="0.35">
      <c r="Q9149" s="1"/>
    </row>
    <row r="9150" spans="16:17" x14ac:dyDescent="0.35">
      <c r="Q9150" s="1"/>
    </row>
    <row r="9155" spans="5:17" x14ac:dyDescent="0.35">
      <c r="Q9155" s="1"/>
    </row>
    <row r="9158" spans="5:17" x14ac:dyDescent="0.35">
      <c r="E9158" s="5"/>
    </row>
    <row r="9160" spans="5:17" x14ac:dyDescent="0.35">
      <c r="Q9160" s="1"/>
    </row>
    <row r="9168" spans="5:17" x14ac:dyDescent="0.35">
      <c r="Q9168" s="1"/>
    </row>
    <row r="9169" spans="17:17" x14ac:dyDescent="0.35">
      <c r="Q9169" s="1"/>
    </row>
    <row r="9172" spans="17:17" x14ac:dyDescent="0.35">
      <c r="Q9172" s="1"/>
    </row>
    <row r="9173" spans="17:17" x14ac:dyDescent="0.35">
      <c r="Q9173" s="1"/>
    </row>
    <row r="9175" spans="17:17" x14ac:dyDescent="0.35">
      <c r="Q9175" s="1"/>
    </row>
    <row r="9178" spans="17:17" x14ac:dyDescent="0.35">
      <c r="Q9178" s="1"/>
    </row>
    <row r="9180" spans="17:17" x14ac:dyDescent="0.35">
      <c r="Q9180" s="1"/>
    </row>
    <row r="9185" spans="17:17" x14ac:dyDescent="0.35">
      <c r="Q9185" s="1"/>
    </row>
    <row r="9193" spans="17:17" x14ac:dyDescent="0.35">
      <c r="Q9193" s="1"/>
    </row>
    <row r="9200" spans="17:17" x14ac:dyDescent="0.35">
      <c r="Q9200" s="1"/>
    </row>
    <row r="9204" spans="17:17" x14ac:dyDescent="0.35">
      <c r="Q9204" s="1"/>
    </row>
    <row r="9211" spans="17:17" x14ac:dyDescent="0.35">
      <c r="Q9211" s="1"/>
    </row>
    <row r="9218" spans="17:17" x14ac:dyDescent="0.35">
      <c r="Q9218" s="1"/>
    </row>
    <row r="9222" spans="17:17" x14ac:dyDescent="0.35">
      <c r="Q9222" s="1"/>
    </row>
    <row r="9225" spans="17:17" x14ac:dyDescent="0.35">
      <c r="Q9225" s="1"/>
    </row>
    <row r="9230" spans="17:17" x14ac:dyDescent="0.35">
      <c r="Q9230" s="1"/>
    </row>
    <row r="9239" spans="17:17" x14ac:dyDescent="0.35">
      <c r="Q9239" s="1"/>
    </row>
    <row r="9244" spans="17:17" x14ac:dyDescent="0.35">
      <c r="Q9244" s="1"/>
    </row>
    <row r="9246" spans="17:17" x14ac:dyDescent="0.35">
      <c r="Q9246" s="1"/>
    </row>
    <row r="9250" spans="17:17" x14ac:dyDescent="0.35">
      <c r="Q9250" s="1"/>
    </row>
    <row r="9252" spans="17:17" x14ac:dyDescent="0.35">
      <c r="Q9252" s="1"/>
    </row>
    <row r="9255" spans="17:17" x14ac:dyDescent="0.35">
      <c r="Q9255" s="1"/>
    </row>
    <row r="9256" spans="17:17" x14ac:dyDescent="0.35">
      <c r="Q9256" s="1"/>
    </row>
    <row r="9269" spans="17:17" x14ac:dyDescent="0.35">
      <c r="Q9269" s="1"/>
    </row>
    <row r="9275" spans="17:17" x14ac:dyDescent="0.35">
      <c r="Q9275" s="1"/>
    </row>
    <row r="9280" spans="17:17" x14ac:dyDescent="0.35">
      <c r="Q9280" s="1"/>
    </row>
    <row r="9284" spans="17:17" x14ac:dyDescent="0.35">
      <c r="Q9284" s="1"/>
    </row>
    <row r="9285" spans="17:17" x14ac:dyDescent="0.35">
      <c r="Q9285" s="1"/>
    </row>
    <row r="9289" spans="17:17" x14ac:dyDescent="0.35">
      <c r="Q9289" s="1"/>
    </row>
    <row r="9290" spans="17:17" x14ac:dyDescent="0.35">
      <c r="Q9290" s="1"/>
    </row>
    <row r="9292" spans="17:17" x14ac:dyDescent="0.35">
      <c r="Q9292" s="1"/>
    </row>
    <row r="9296" spans="17:17" x14ac:dyDescent="0.35">
      <c r="Q9296" s="1"/>
    </row>
    <row r="9298" spans="17:17" x14ac:dyDescent="0.35">
      <c r="Q9298" s="1"/>
    </row>
    <row r="9299" spans="17:17" x14ac:dyDescent="0.35">
      <c r="Q9299" s="1"/>
    </row>
    <row r="9309" spans="17:17" x14ac:dyDescent="0.35">
      <c r="Q9309" s="1"/>
    </row>
    <row r="9311" spans="17:17" x14ac:dyDescent="0.35">
      <c r="Q9311" s="1"/>
    </row>
    <row r="9312" spans="17:17" x14ac:dyDescent="0.35">
      <c r="Q9312" s="1"/>
    </row>
    <row r="9323" spans="17:17" x14ac:dyDescent="0.35">
      <c r="Q9323" s="1"/>
    </row>
    <row r="9328" spans="17:17" x14ac:dyDescent="0.35">
      <c r="Q9328" s="1"/>
    </row>
    <row r="9336" spans="17:17" x14ac:dyDescent="0.35">
      <c r="Q9336" s="1"/>
    </row>
    <row r="9337" spans="17:17" x14ac:dyDescent="0.35">
      <c r="Q9337" s="1"/>
    </row>
    <row r="9340" spans="17:17" x14ac:dyDescent="0.35">
      <c r="Q9340" s="1"/>
    </row>
    <row r="9342" spans="17:17" x14ac:dyDescent="0.35">
      <c r="Q9342" s="1"/>
    </row>
    <row r="9344" spans="17:17" x14ac:dyDescent="0.35">
      <c r="Q9344" s="1"/>
    </row>
    <row r="9349" spans="17:17" x14ac:dyDescent="0.35">
      <c r="Q9349" s="1"/>
    </row>
    <row r="9358" spans="17:17" x14ac:dyDescent="0.35">
      <c r="Q9358" s="1"/>
    </row>
    <row r="9368" spans="16:17" x14ac:dyDescent="0.35">
      <c r="Q9368" s="1"/>
    </row>
    <row r="9371" spans="16:17" x14ac:dyDescent="0.35">
      <c r="Q9371" s="1"/>
    </row>
    <row r="9374" spans="16:17" x14ac:dyDescent="0.35">
      <c r="P9374" s="1"/>
    </row>
    <row r="9377" spans="17:17" x14ac:dyDescent="0.35">
      <c r="Q9377" s="1"/>
    </row>
    <row r="9379" spans="17:17" x14ac:dyDescent="0.35">
      <c r="Q9379" s="1"/>
    </row>
    <row r="9384" spans="17:17" x14ac:dyDescent="0.35">
      <c r="Q9384" s="1"/>
    </row>
    <row r="9386" spans="17:17" x14ac:dyDescent="0.35">
      <c r="Q9386" s="1"/>
    </row>
    <row r="9390" spans="17:17" x14ac:dyDescent="0.35">
      <c r="Q9390" s="1"/>
    </row>
    <row r="9392" spans="17:17" x14ac:dyDescent="0.35">
      <c r="Q9392" s="1"/>
    </row>
    <row r="9393" spans="17:17" x14ac:dyDescent="0.35">
      <c r="Q9393" s="1"/>
    </row>
    <row r="9395" spans="17:17" x14ac:dyDescent="0.35">
      <c r="Q9395" s="1"/>
    </row>
    <row r="9405" spans="17:17" x14ac:dyDescent="0.35">
      <c r="Q9405" s="1"/>
    </row>
    <row r="9407" spans="17:17" x14ac:dyDescent="0.35">
      <c r="Q9407" s="1"/>
    </row>
    <row r="9416" spans="17:17" x14ac:dyDescent="0.35">
      <c r="Q9416" s="1"/>
    </row>
    <row r="9423" spans="17:17" x14ac:dyDescent="0.35">
      <c r="Q9423" s="1"/>
    </row>
    <row r="9431" spans="17:17" x14ac:dyDescent="0.35">
      <c r="Q9431" s="1"/>
    </row>
    <row r="9433" spans="17:17" x14ac:dyDescent="0.35">
      <c r="Q9433" s="1"/>
    </row>
    <row r="9442" spans="17:17" x14ac:dyDescent="0.35">
      <c r="Q9442" s="1"/>
    </row>
    <row r="9444" spans="17:17" x14ac:dyDescent="0.35">
      <c r="Q9444" s="1"/>
    </row>
    <row r="9446" spans="17:17" x14ac:dyDescent="0.35">
      <c r="Q9446" s="1"/>
    </row>
    <row r="9455" spans="17:17" x14ac:dyDescent="0.35">
      <c r="Q9455" s="1"/>
    </row>
    <row r="9458" spans="17:17" x14ac:dyDescent="0.35">
      <c r="Q9458" s="1"/>
    </row>
    <row r="9461" spans="17:17" x14ac:dyDescent="0.35">
      <c r="Q9461" s="1"/>
    </row>
    <row r="9463" spans="17:17" x14ac:dyDescent="0.35">
      <c r="Q9463" s="1"/>
    </row>
    <row r="9464" spans="17:17" x14ac:dyDescent="0.35">
      <c r="Q9464" s="1"/>
    </row>
    <row r="9478" spans="17:17" x14ac:dyDescent="0.35">
      <c r="Q9478" s="1"/>
    </row>
    <row r="9479" spans="17:17" x14ac:dyDescent="0.35">
      <c r="Q9479" s="1"/>
    </row>
    <row r="9480" spans="17:17" x14ac:dyDescent="0.35">
      <c r="Q9480" s="1"/>
    </row>
    <row r="9481" spans="17:17" x14ac:dyDescent="0.35">
      <c r="Q9481" s="1"/>
    </row>
    <row r="9484" spans="17:17" x14ac:dyDescent="0.35">
      <c r="Q9484" s="1"/>
    </row>
    <row r="9485" spans="17:17" x14ac:dyDescent="0.35">
      <c r="Q9485" s="1"/>
    </row>
    <row r="9495" spans="16:17" x14ac:dyDescent="0.35">
      <c r="P9495" s="1"/>
    </row>
    <row r="9496" spans="16:17" x14ac:dyDescent="0.35">
      <c r="Q9496" s="1"/>
    </row>
    <row r="9499" spans="16:17" x14ac:dyDescent="0.35">
      <c r="Q9499" s="1"/>
    </row>
    <row r="9501" spans="16:17" x14ac:dyDescent="0.35">
      <c r="Q9501" s="1"/>
    </row>
    <row r="9502" spans="16:17" x14ac:dyDescent="0.35">
      <c r="Q9502" s="1"/>
    </row>
    <row r="9511" spans="17:17" x14ac:dyDescent="0.35">
      <c r="Q9511" s="1"/>
    </row>
    <row r="9513" spans="17:17" x14ac:dyDescent="0.35">
      <c r="Q9513" s="1"/>
    </row>
    <row r="9518" spans="17:17" x14ac:dyDescent="0.35">
      <c r="Q9518" s="1"/>
    </row>
    <row r="9522" spans="17:17" x14ac:dyDescent="0.35">
      <c r="Q9522" s="1"/>
    </row>
    <row r="9535" spans="17:17" x14ac:dyDescent="0.35">
      <c r="Q9535" s="1"/>
    </row>
    <row r="9536" spans="17:17" x14ac:dyDescent="0.35">
      <c r="Q9536" s="1"/>
    </row>
    <row r="9545" spans="17:17" x14ac:dyDescent="0.35">
      <c r="Q9545" s="1"/>
    </row>
    <row r="9548" spans="17:17" x14ac:dyDescent="0.35">
      <c r="Q9548" s="1"/>
    </row>
    <row r="9552" spans="17:17" x14ac:dyDescent="0.35">
      <c r="Q9552" s="1"/>
    </row>
    <row r="9555" spans="16:17" x14ac:dyDescent="0.35">
      <c r="P9555" s="1"/>
    </row>
    <row r="9560" spans="16:17" x14ac:dyDescent="0.35">
      <c r="Q9560" s="1"/>
    </row>
    <row r="9562" spans="16:17" x14ac:dyDescent="0.35">
      <c r="Q9562" s="1"/>
    </row>
    <row r="9567" spans="16:17" x14ac:dyDescent="0.35">
      <c r="Q9567" s="1"/>
    </row>
    <row r="9568" spans="16:17" x14ac:dyDescent="0.35">
      <c r="Q9568" s="1"/>
    </row>
    <row r="9571" spans="17:17" x14ac:dyDescent="0.35">
      <c r="Q9571" s="1"/>
    </row>
    <row r="9573" spans="17:17" x14ac:dyDescent="0.35">
      <c r="Q9573" s="1"/>
    </row>
    <row r="9575" spans="17:17" x14ac:dyDescent="0.35">
      <c r="Q9575" s="1"/>
    </row>
    <row r="9576" spans="17:17" x14ac:dyDescent="0.35">
      <c r="Q9576" s="1"/>
    </row>
    <row r="9580" spans="17:17" x14ac:dyDescent="0.35">
      <c r="Q9580" s="1"/>
    </row>
    <row r="9583" spans="17:17" x14ac:dyDescent="0.35">
      <c r="Q9583" s="1"/>
    </row>
    <row r="9593" spans="17:17" x14ac:dyDescent="0.35">
      <c r="Q9593" s="1"/>
    </row>
    <row r="9596" spans="17:17" x14ac:dyDescent="0.35">
      <c r="Q9596" s="1"/>
    </row>
    <row r="9597" spans="17:17" x14ac:dyDescent="0.35">
      <c r="Q9597" s="1"/>
    </row>
    <row r="9598" spans="17:17" x14ac:dyDescent="0.35">
      <c r="Q9598" s="1"/>
    </row>
    <row r="9600" spans="17:17" x14ac:dyDescent="0.35">
      <c r="Q9600" s="1"/>
    </row>
    <row r="9604" spans="17:17" x14ac:dyDescent="0.35">
      <c r="Q9604" s="1"/>
    </row>
    <row r="9613" spans="17:17" x14ac:dyDescent="0.35">
      <c r="Q9613" s="1"/>
    </row>
    <row r="9615" spans="17:17" x14ac:dyDescent="0.35">
      <c r="Q9615" s="1"/>
    </row>
    <row r="9628" spans="17:17" x14ac:dyDescent="0.35">
      <c r="Q9628" s="1"/>
    </row>
    <row r="9637" spans="17:17" x14ac:dyDescent="0.35">
      <c r="Q9637" s="1"/>
    </row>
    <row r="9641" spans="17:17" x14ac:dyDescent="0.35">
      <c r="Q9641" s="1"/>
    </row>
    <row r="9646" spans="17:17" x14ac:dyDescent="0.35">
      <c r="Q9646" s="1"/>
    </row>
    <row r="9651" spans="17:17" x14ac:dyDescent="0.35">
      <c r="Q9651" s="1"/>
    </row>
    <row r="9655" spans="17:17" x14ac:dyDescent="0.35">
      <c r="Q9655" s="1"/>
    </row>
    <row r="9658" spans="17:17" x14ac:dyDescent="0.35">
      <c r="Q9658" s="1"/>
    </row>
    <row r="9659" spans="17:17" x14ac:dyDescent="0.35">
      <c r="Q9659" s="1"/>
    </row>
    <row r="9669" spans="17:17" x14ac:dyDescent="0.35">
      <c r="Q9669" s="1"/>
    </row>
    <row r="9672" spans="17:17" x14ac:dyDescent="0.35">
      <c r="Q9672" s="1"/>
    </row>
    <row r="9673" spans="17:17" x14ac:dyDescent="0.35">
      <c r="Q9673" s="1"/>
    </row>
    <row r="9678" spans="17:17" x14ac:dyDescent="0.35">
      <c r="Q9678" s="1"/>
    </row>
    <row r="9688" spans="17:17" x14ac:dyDescent="0.35">
      <c r="Q9688" s="1"/>
    </row>
    <row r="9690" spans="17:17" x14ac:dyDescent="0.35">
      <c r="Q9690" s="1"/>
    </row>
    <row r="9693" spans="17:17" x14ac:dyDescent="0.35">
      <c r="Q9693" s="1"/>
    </row>
    <row r="9698" spans="17:17" x14ac:dyDescent="0.35">
      <c r="Q9698" s="1"/>
    </row>
    <row r="9703" spans="17:17" x14ac:dyDescent="0.35">
      <c r="Q9703" s="1"/>
    </row>
    <row r="9716" spans="17:17" x14ac:dyDescent="0.35">
      <c r="Q9716" s="1"/>
    </row>
    <row r="9717" spans="17:17" x14ac:dyDescent="0.35">
      <c r="Q9717" s="1"/>
    </row>
    <row r="9720" spans="17:17" x14ac:dyDescent="0.35">
      <c r="Q9720" s="1"/>
    </row>
    <row r="9722" spans="17:17" x14ac:dyDescent="0.35">
      <c r="Q9722" s="1"/>
    </row>
    <row r="9727" spans="17:17" x14ac:dyDescent="0.35">
      <c r="Q9727" s="1"/>
    </row>
    <row r="9728" spans="17:17" x14ac:dyDescent="0.35">
      <c r="Q9728" s="1"/>
    </row>
    <row r="9729" spans="16:17" x14ac:dyDescent="0.35">
      <c r="Q9729" s="1"/>
    </row>
    <row r="9738" spans="16:17" x14ac:dyDescent="0.35">
      <c r="P9738" s="1"/>
    </row>
    <row r="9740" spans="16:17" x14ac:dyDescent="0.35">
      <c r="Q9740" s="1"/>
    </row>
    <row r="9741" spans="16:17" x14ac:dyDescent="0.35">
      <c r="Q9741" s="1"/>
    </row>
    <row r="9744" spans="16:17" x14ac:dyDescent="0.35">
      <c r="Q9744" s="1"/>
    </row>
    <row r="9745" spans="16:17" x14ac:dyDescent="0.35">
      <c r="P9745" s="1"/>
    </row>
    <row r="9751" spans="16:17" x14ac:dyDescent="0.35">
      <c r="Q9751" s="1"/>
    </row>
    <row r="9765" spans="17:17" x14ac:dyDescent="0.35">
      <c r="Q9765" s="1"/>
    </row>
    <row r="9766" spans="17:17" x14ac:dyDescent="0.35">
      <c r="Q9766" s="1"/>
    </row>
    <row r="9774" spans="17:17" x14ac:dyDescent="0.35">
      <c r="Q9774" s="1"/>
    </row>
    <row r="9776" spans="17:17" x14ac:dyDescent="0.35">
      <c r="Q9776" s="1"/>
    </row>
    <row r="9783" spans="17:17" x14ac:dyDescent="0.35">
      <c r="Q9783" s="1"/>
    </row>
    <row r="9791" spans="17:17" x14ac:dyDescent="0.35">
      <c r="Q9791" s="1"/>
    </row>
    <row r="9795" spans="17:17" x14ac:dyDescent="0.35">
      <c r="Q9795" s="1"/>
    </row>
    <row r="9796" spans="17:17" x14ac:dyDescent="0.35">
      <c r="Q9796" s="1"/>
    </row>
    <row r="9798" spans="17:17" x14ac:dyDescent="0.35">
      <c r="Q9798" s="1"/>
    </row>
    <row r="9800" spans="17:17" x14ac:dyDescent="0.35">
      <c r="Q9800" s="1"/>
    </row>
    <row r="9805" spans="17:17" x14ac:dyDescent="0.35">
      <c r="Q9805" s="1"/>
    </row>
    <row r="9819" spans="17:17" x14ac:dyDescent="0.35">
      <c r="Q9819" s="1"/>
    </row>
    <row r="9823" spans="17:17" x14ac:dyDescent="0.35">
      <c r="Q9823" s="1"/>
    </row>
    <row r="9828" spans="17:17" x14ac:dyDescent="0.35">
      <c r="Q9828" s="1"/>
    </row>
    <row r="9830" spans="17:17" x14ac:dyDescent="0.35">
      <c r="Q9830" s="1"/>
    </row>
    <row r="9831" spans="17:17" x14ac:dyDescent="0.35">
      <c r="Q9831" s="1"/>
    </row>
    <row r="9835" spans="17:17" x14ac:dyDescent="0.35">
      <c r="Q9835" s="1"/>
    </row>
    <row r="9838" spans="17:17" x14ac:dyDescent="0.35">
      <c r="Q9838" s="1"/>
    </row>
    <row r="9840" spans="17:17" x14ac:dyDescent="0.35">
      <c r="Q9840" s="1"/>
    </row>
    <row r="9843" spans="17:17" x14ac:dyDescent="0.35">
      <c r="Q9843" s="1"/>
    </row>
    <row r="9844" spans="17:17" x14ac:dyDescent="0.35">
      <c r="Q9844" s="1"/>
    </row>
    <row r="9845" spans="17:17" x14ac:dyDescent="0.35">
      <c r="Q9845" s="1"/>
    </row>
    <row r="9864" spans="16:17" x14ac:dyDescent="0.35">
      <c r="P9864" s="1"/>
    </row>
    <row r="9867" spans="16:17" x14ac:dyDescent="0.35">
      <c r="Q9867" s="1"/>
    </row>
    <row r="9868" spans="16:17" x14ac:dyDescent="0.35">
      <c r="Q9868" s="1"/>
    </row>
    <row r="9869" spans="16:17" x14ac:dyDescent="0.35">
      <c r="Q9869" s="1"/>
    </row>
    <row r="9872" spans="16:17" x14ac:dyDescent="0.35">
      <c r="Q9872" s="1"/>
    </row>
    <row r="9875" spans="17:17" x14ac:dyDescent="0.35">
      <c r="Q9875" s="1"/>
    </row>
    <row r="9876" spans="17:17" x14ac:dyDescent="0.35">
      <c r="Q9876" s="1"/>
    </row>
    <row r="9878" spans="17:17" x14ac:dyDescent="0.35">
      <c r="Q9878" s="1"/>
    </row>
    <row r="9887" spans="17:17" x14ac:dyDescent="0.35">
      <c r="Q9887" s="1"/>
    </row>
    <row r="9890" spans="17:17" x14ac:dyDescent="0.35">
      <c r="Q9890" s="1"/>
    </row>
    <row r="9891" spans="17:17" x14ac:dyDescent="0.35">
      <c r="Q9891" s="1"/>
    </row>
    <row r="9892" spans="17:17" x14ac:dyDescent="0.35">
      <c r="Q9892" s="1"/>
    </row>
    <row r="9895" spans="17:17" x14ac:dyDescent="0.35">
      <c r="Q9895" s="1"/>
    </row>
    <row r="9897" spans="17:17" x14ac:dyDescent="0.35">
      <c r="Q9897" s="1"/>
    </row>
    <row r="9900" spans="17:17" x14ac:dyDescent="0.35">
      <c r="Q9900" s="1"/>
    </row>
    <row r="9901" spans="17:17" x14ac:dyDescent="0.35">
      <c r="Q9901" s="1"/>
    </row>
    <row r="9913" spans="3:17" x14ac:dyDescent="0.35">
      <c r="Q9913" s="1"/>
    </row>
    <row r="9917" spans="3:17" x14ac:dyDescent="0.35">
      <c r="C9917" s="4"/>
    </row>
    <row r="9922" spans="17:17" x14ac:dyDescent="0.35">
      <c r="Q9922" s="1"/>
    </row>
    <row r="9923" spans="17:17" x14ac:dyDescent="0.35">
      <c r="Q9923" s="1"/>
    </row>
    <row r="9926" spans="17:17" x14ac:dyDescent="0.35">
      <c r="Q9926" s="1"/>
    </row>
    <row r="9928" spans="17:17" x14ac:dyDescent="0.35">
      <c r="Q9928" s="1"/>
    </row>
    <row r="9929" spans="17:17" x14ac:dyDescent="0.35">
      <c r="Q9929" s="1"/>
    </row>
    <row r="9945" spans="16:17" x14ac:dyDescent="0.35">
      <c r="Q9945" s="1"/>
    </row>
    <row r="9947" spans="16:17" x14ac:dyDescent="0.35">
      <c r="Q9947" s="1"/>
    </row>
    <row r="9950" spans="16:17" x14ac:dyDescent="0.35">
      <c r="Q9950" s="1"/>
    </row>
    <row r="9952" spans="16:17" x14ac:dyDescent="0.35">
      <c r="P9952" s="1"/>
    </row>
    <row r="9954" spans="17:17" x14ac:dyDescent="0.35">
      <c r="Q9954" s="1"/>
    </row>
    <row r="9955" spans="17:17" x14ac:dyDescent="0.35">
      <c r="Q9955" s="1"/>
    </row>
    <row r="9959" spans="17:17" x14ac:dyDescent="0.35">
      <c r="Q9959" s="1"/>
    </row>
    <row r="9961" spans="17:17" x14ac:dyDescent="0.35">
      <c r="Q9961" s="1"/>
    </row>
    <row r="9964" spans="17:17" x14ac:dyDescent="0.35">
      <c r="Q9964" s="1"/>
    </row>
    <row r="9971" spans="17:17" x14ac:dyDescent="0.35">
      <c r="Q9971" s="1"/>
    </row>
    <row r="9977" spans="17:17" x14ac:dyDescent="0.35">
      <c r="Q9977" s="1"/>
    </row>
    <row r="9979" spans="17:17" x14ac:dyDescent="0.35">
      <c r="Q9979" s="1"/>
    </row>
    <row r="9982" spans="17:17" x14ac:dyDescent="0.35">
      <c r="Q9982" s="1"/>
    </row>
    <row r="9983" spans="17:17" x14ac:dyDescent="0.35">
      <c r="Q9983" s="1"/>
    </row>
    <row r="9989" spans="17:17" x14ac:dyDescent="0.35">
      <c r="Q9989" s="1"/>
    </row>
    <row r="9991" spans="17:17" x14ac:dyDescent="0.35">
      <c r="Q9991" s="1"/>
    </row>
    <row r="9997" spans="17:17" x14ac:dyDescent="0.35">
      <c r="Q9997" s="1"/>
    </row>
    <row r="10002" spans="17:17" x14ac:dyDescent="0.35">
      <c r="Q10002" s="1"/>
    </row>
    <row r="10012" spans="17:17" x14ac:dyDescent="0.35">
      <c r="Q10012" s="1"/>
    </row>
    <row r="10017" spans="16:16" x14ac:dyDescent="0.35">
      <c r="P10017" s="1"/>
    </row>
    <row r="10021" spans="16:16" x14ac:dyDescent="0.35">
      <c r="P10021" s="1"/>
    </row>
    <row r="10038" spans="17:17" x14ac:dyDescent="0.35">
      <c r="Q10038" s="1"/>
    </row>
    <row r="10048" spans="17:17" x14ac:dyDescent="0.35">
      <c r="Q10048" s="1"/>
    </row>
    <row r="10049" spans="17:17" x14ac:dyDescent="0.35">
      <c r="Q10049" s="1"/>
    </row>
    <row r="10051" spans="17:17" x14ac:dyDescent="0.35">
      <c r="Q10051" s="1"/>
    </row>
    <row r="10061" spans="17:17" x14ac:dyDescent="0.35">
      <c r="Q10061" s="1"/>
    </row>
    <row r="10074" spans="16:17" x14ac:dyDescent="0.35">
      <c r="P10074" s="1"/>
    </row>
    <row r="10076" spans="16:17" x14ac:dyDescent="0.35">
      <c r="Q10076" s="1"/>
    </row>
    <row r="10079" spans="16:17" x14ac:dyDescent="0.35">
      <c r="Q10079" s="1"/>
    </row>
    <row r="10086" spans="16:17" x14ac:dyDescent="0.35">
      <c r="Q10086" s="1"/>
    </row>
    <row r="10092" spans="16:17" x14ac:dyDescent="0.35">
      <c r="P10092" s="1"/>
    </row>
    <row r="10093" spans="16:17" x14ac:dyDescent="0.35">
      <c r="Q10093" s="1"/>
    </row>
    <row r="10095" spans="16:17" x14ac:dyDescent="0.35">
      <c r="Q10095" s="1"/>
    </row>
    <row r="10097" spans="16:17" x14ac:dyDescent="0.35">
      <c r="P10097" s="1"/>
    </row>
    <row r="10101" spans="16:17" x14ac:dyDescent="0.35">
      <c r="Q10101" s="1"/>
    </row>
    <row r="10103" spans="16:17" x14ac:dyDescent="0.35">
      <c r="Q10103" s="1"/>
    </row>
    <row r="10110" spans="16:17" x14ac:dyDescent="0.35">
      <c r="P10110" s="1"/>
    </row>
    <row r="10112" spans="16:17" x14ac:dyDescent="0.35">
      <c r="P10112" s="1"/>
    </row>
    <row r="10115" spans="16:17" x14ac:dyDescent="0.35">
      <c r="P10115" s="1"/>
    </row>
    <row r="10116" spans="16:17" x14ac:dyDescent="0.35">
      <c r="P10116" s="1"/>
    </row>
    <row r="10117" spans="16:17" x14ac:dyDescent="0.35">
      <c r="P10117" s="1"/>
    </row>
    <row r="10119" spans="16:17" x14ac:dyDescent="0.35">
      <c r="Q10119" s="1"/>
    </row>
    <row r="10121" spans="16:17" x14ac:dyDescent="0.35">
      <c r="P10121" s="1"/>
    </row>
    <row r="10127" spans="16:17" x14ac:dyDescent="0.35">
      <c r="Q10127" s="1"/>
    </row>
    <row r="10131" spans="16:17" x14ac:dyDescent="0.35">
      <c r="P10131" s="1"/>
    </row>
    <row r="10135" spans="16:17" x14ac:dyDescent="0.35">
      <c r="Q10135" s="1"/>
    </row>
    <row r="10139" spans="16:17" x14ac:dyDescent="0.35">
      <c r="Q10139" s="1"/>
    </row>
    <row r="10146" spans="16:17" x14ac:dyDescent="0.35">
      <c r="P10146" s="1"/>
    </row>
    <row r="10147" spans="16:17" x14ac:dyDescent="0.35">
      <c r="P10147" s="1"/>
    </row>
    <row r="10152" spans="16:17" x14ac:dyDescent="0.35">
      <c r="Q10152" s="1"/>
    </row>
    <row r="10167" spans="16:16" x14ac:dyDescent="0.35">
      <c r="P10167" s="1"/>
    </row>
    <row r="10185" spans="17:17" x14ac:dyDescent="0.35">
      <c r="Q10185" s="1"/>
    </row>
    <row r="10191" spans="17:17" x14ac:dyDescent="0.35">
      <c r="Q10191" s="1"/>
    </row>
    <row r="10195" spans="16:17" x14ac:dyDescent="0.35">
      <c r="Q10195" s="1"/>
    </row>
    <row r="10196" spans="16:17" x14ac:dyDescent="0.35">
      <c r="Q10196" s="1"/>
    </row>
    <row r="10197" spans="16:17" x14ac:dyDescent="0.35">
      <c r="P10197" s="1"/>
    </row>
    <row r="10199" spans="16:17" x14ac:dyDescent="0.35">
      <c r="Q10199" s="1"/>
    </row>
    <row r="10207" spans="16:17" x14ac:dyDescent="0.35">
      <c r="Q10207" s="1"/>
    </row>
    <row r="10214" spans="16:17" x14ac:dyDescent="0.35">
      <c r="Q10214" s="1"/>
    </row>
    <row r="10216" spans="16:17" x14ac:dyDescent="0.35">
      <c r="P10216" s="1"/>
    </row>
    <row r="10217" spans="16:17" x14ac:dyDescent="0.35">
      <c r="Q10217" s="1"/>
    </row>
    <row r="10233" spans="16:17" x14ac:dyDescent="0.35">
      <c r="P10233" s="1"/>
    </row>
    <row r="10234" spans="16:17" x14ac:dyDescent="0.35">
      <c r="Q10234" s="1"/>
    </row>
    <row r="10244" spans="17:17" x14ac:dyDescent="0.35">
      <c r="Q10244" s="1"/>
    </row>
    <row r="10264" spans="17:17" x14ac:dyDescent="0.35">
      <c r="Q10264" s="1"/>
    </row>
    <row r="10284" spans="16:17" x14ac:dyDescent="0.35">
      <c r="Q10284" s="1"/>
    </row>
    <row r="10286" spans="16:17" x14ac:dyDescent="0.35">
      <c r="P10286" s="1"/>
    </row>
    <row r="10290" spans="16:17" x14ac:dyDescent="0.35">
      <c r="Q10290" s="1"/>
    </row>
    <row r="10294" spans="16:17" x14ac:dyDescent="0.35">
      <c r="P10294" s="1"/>
    </row>
    <row r="10303" spans="16:17" x14ac:dyDescent="0.35">
      <c r="Q10303" s="1"/>
    </row>
    <row r="10308" spans="16:17" x14ac:dyDescent="0.35">
      <c r="Q10308" s="1"/>
    </row>
    <row r="10317" spans="16:17" x14ac:dyDescent="0.35">
      <c r="P10317" s="1"/>
    </row>
    <row r="10319" spans="16:17" x14ac:dyDescent="0.35">
      <c r="Q10319" s="1"/>
    </row>
    <row r="10330" spans="17:17" x14ac:dyDescent="0.35">
      <c r="Q10330" s="1"/>
    </row>
    <row r="10335" spans="17:17" x14ac:dyDescent="0.35">
      <c r="Q10335" s="1"/>
    </row>
    <row r="10340" spans="16:16" x14ac:dyDescent="0.35">
      <c r="P10340" s="1"/>
    </row>
    <row r="10357" spans="16:17" x14ac:dyDescent="0.35">
      <c r="P10357" s="1"/>
    </row>
    <row r="10359" spans="16:17" x14ac:dyDescent="0.35">
      <c r="P10359" s="1"/>
    </row>
    <row r="10364" spans="16:17" x14ac:dyDescent="0.35">
      <c r="P10364" s="1"/>
    </row>
    <row r="10366" spans="16:17" x14ac:dyDescent="0.35">
      <c r="Q10366" s="1"/>
    </row>
    <row r="10373" spans="16:17" x14ac:dyDescent="0.35">
      <c r="P10373" s="1"/>
    </row>
    <row r="10375" spans="16:17" x14ac:dyDescent="0.35">
      <c r="Q10375" s="1"/>
    </row>
    <row r="10378" spans="16:17" x14ac:dyDescent="0.35">
      <c r="Q10378" s="1"/>
    </row>
    <row r="10381" spans="16:17" x14ac:dyDescent="0.35">
      <c r="P10381" s="1"/>
    </row>
    <row r="10387" spans="16:17" x14ac:dyDescent="0.35">
      <c r="Q10387" s="1"/>
    </row>
    <row r="10388" spans="16:17" x14ac:dyDescent="0.35">
      <c r="P10388" s="1"/>
    </row>
    <row r="10392" spans="16:17" x14ac:dyDescent="0.35">
      <c r="Q10392" s="1"/>
    </row>
    <row r="10399" spans="16:17" x14ac:dyDescent="0.35">
      <c r="Q10399" s="1"/>
    </row>
    <row r="10407" spans="16:16" x14ac:dyDescent="0.35">
      <c r="P10407" s="1"/>
    </row>
    <row r="10419" spans="16:16" x14ac:dyDescent="0.35">
      <c r="P10419" s="1"/>
    </row>
    <row r="10424" spans="16:16" x14ac:dyDescent="0.35">
      <c r="P10424" s="1"/>
    </row>
    <row r="10431" spans="16:16" x14ac:dyDescent="0.35">
      <c r="P10431" s="1"/>
    </row>
    <row r="10442" spans="17:17" x14ac:dyDescent="0.35">
      <c r="Q10442" s="1"/>
    </row>
    <row r="10450" spans="16:16" x14ac:dyDescent="0.35">
      <c r="P10450" s="1"/>
    </row>
    <row r="10464" spans="16:16" x14ac:dyDescent="0.35">
      <c r="P10464" s="1"/>
    </row>
    <row r="10486" spans="17:17" x14ac:dyDescent="0.35">
      <c r="Q10486" s="1"/>
    </row>
    <row r="10504" spans="17:17" x14ac:dyDescent="0.35">
      <c r="Q10504" s="1"/>
    </row>
    <row r="10512" spans="17:17" x14ac:dyDescent="0.35">
      <c r="Q10512" s="1"/>
    </row>
    <row r="10535" spans="17:17" x14ac:dyDescent="0.35">
      <c r="Q10535" s="1"/>
    </row>
    <row r="10547" spans="17:17" x14ac:dyDescent="0.35">
      <c r="Q10547" s="1"/>
    </row>
    <row r="10551" spans="17:17" x14ac:dyDescent="0.35">
      <c r="Q10551" s="1"/>
    </row>
    <row r="10552" spans="17:17" x14ac:dyDescent="0.35">
      <c r="Q10552" s="1"/>
    </row>
    <row r="10571" spans="16:16" x14ac:dyDescent="0.35">
      <c r="P10571" s="1"/>
    </row>
    <row r="10595" spans="16:16" x14ac:dyDescent="0.35">
      <c r="P10595" s="1"/>
    </row>
    <row r="10599" spans="16:16" x14ac:dyDescent="0.35">
      <c r="P10599" s="1"/>
    </row>
    <row r="10600" spans="16:16" x14ac:dyDescent="0.35">
      <c r="P10600" s="1"/>
    </row>
    <row r="10612" spans="16:17" x14ac:dyDescent="0.35">
      <c r="Q10612" s="1"/>
    </row>
    <row r="10620" spans="16:17" x14ac:dyDescent="0.35">
      <c r="P10620" s="1"/>
    </row>
    <row r="10647" spans="17:17" x14ac:dyDescent="0.35">
      <c r="Q10647" s="1"/>
    </row>
    <row r="10659" spans="17:17" x14ac:dyDescent="0.35">
      <c r="Q10659" s="1"/>
    </row>
    <row r="10669" spans="17:17" x14ac:dyDescent="0.35">
      <c r="Q10669" s="1"/>
    </row>
    <row r="10675" spans="17:17" x14ac:dyDescent="0.35">
      <c r="Q10675" s="1"/>
    </row>
    <row r="10680" spans="17:17" x14ac:dyDescent="0.35">
      <c r="Q10680" s="1"/>
    </row>
    <row r="10685" spans="17:17" x14ac:dyDescent="0.35">
      <c r="Q10685" s="1"/>
    </row>
    <row r="10691" spans="17:17" x14ac:dyDescent="0.35">
      <c r="Q10691" s="1"/>
    </row>
    <row r="10718" spans="16:16" x14ac:dyDescent="0.35">
      <c r="P10718" s="1"/>
    </row>
    <row r="10724" spans="16:17" x14ac:dyDescent="0.35">
      <c r="Q10724" s="1"/>
    </row>
    <row r="10725" spans="16:17" x14ac:dyDescent="0.35">
      <c r="Q10725" s="1"/>
    </row>
    <row r="10727" spans="16:17" x14ac:dyDescent="0.35">
      <c r="P10727" s="1"/>
    </row>
    <row r="10736" spans="16:17" x14ac:dyDescent="0.35">
      <c r="P10736" s="1"/>
    </row>
    <row r="10747" spans="17:17" x14ac:dyDescent="0.35">
      <c r="Q10747" s="1"/>
    </row>
    <row r="10754" spans="16:17" x14ac:dyDescent="0.35">
      <c r="P10754" s="1"/>
    </row>
    <row r="10755" spans="16:17" x14ac:dyDescent="0.35">
      <c r="P10755" s="1"/>
    </row>
    <row r="10763" spans="16:17" x14ac:dyDescent="0.35">
      <c r="Q10763" s="1"/>
    </row>
    <row r="10774" spans="16:17" x14ac:dyDescent="0.35">
      <c r="Q10774" s="1"/>
    </row>
    <row r="10782" spans="16:17" x14ac:dyDescent="0.35">
      <c r="P10782" s="1"/>
    </row>
    <row r="10795" spans="16:16" x14ac:dyDescent="0.35">
      <c r="P10795" s="1"/>
    </row>
    <row r="10806" spans="16:16" x14ac:dyDescent="0.35">
      <c r="P10806" s="1"/>
    </row>
    <row r="10808" spans="16:16" x14ac:dyDescent="0.35">
      <c r="P10808" s="1"/>
    </row>
    <row r="10829" spans="17:17" x14ac:dyDescent="0.35">
      <c r="Q10829" s="1"/>
    </row>
    <row r="10871" spans="16:17" x14ac:dyDescent="0.35">
      <c r="P10871" s="1"/>
    </row>
    <row r="10872" spans="16:17" x14ac:dyDescent="0.35">
      <c r="Q10872" s="1"/>
    </row>
    <row r="10878" spans="16:17" x14ac:dyDescent="0.35">
      <c r="P10878" s="1"/>
    </row>
    <row r="10879" spans="16:17" x14ac:dyDescent="0.35">
      <c r="Q10879" s="1"/>
    </row>
    <row r="10887" spans="16:17" x14ac:dyDescent="0.35">
      <c r="P10887" s="1"/>
    </row>
    <row r="10893" spans="16:17" x14ac:dyDescent="0.35">
      <c r="Q10893" s="1"/>
    </row>
    <row r="10904" spans="16:17" x14ac:dyDescent="0.35">
      <c r="P10904" s="1"/>
    </row>
    <row r="10912" spans="16:17" x14ac:dyDescent="0.35">
      <c r="Q10912" s="1"/>
    </row>
    <row r="10917" spans="16:17" x14ac:dyDescent="0.35">
      <c r="P10917" s="1"/>
    </row>
    <row r="10919" spans="16:17" x14ac:dyDescent="0.35">
      <c r="Q10919" s="1"/>
    </row>
    <row r="10923" spans="16:17" x14ac:dyDescent="0.35">
      <c r="P10923" s="1"/>
    </row>
    <row r="10929" spans="16:17" x14ac:dyDescent="0.35">
      <c r="Q10929" s="1"/>
    </row>
    <row r="10930" spans="16:17" x14ac:dyDescent="0.35">
      <c r="Q10930" s="1"/>
    </row>
    <row r="10935" spans="16:17" x14ac:dyDescent="0.35">
      <c r="P10935" s="1"/>
    </row>
    <row r="10942" spans="16:17" x14ac:dyDescent="0.35">
      <c r="Q10942" s="1"/>
    </row>
    <row r="10945" spans="17:17" x14ac:dyDescent="0.35">
      <c r="Q10945" s="1"/>
    </row>
    <row r="10966" spans="17:17" x14ac:dyDescent="0.35">
      <c r="Q10966" s="1"/>
    </row>
    <row r="10967" spans="17:17" x14ac:dyDescent="0.35">
      <c r="Q10967" s="1"/>
    </row>
    <row r="10969" spans="17:17" x14ac:dyDescent="0.35">
      <c r="Q10969" s="1"/>
    </row>
    <row r="10987" spans="16:17" x14ac:dyDescent="0.35">
      <c r="Q10987" s="1"/>
    </row>
    <row r="10988" spans="16:17" x14ac:dyDescent="0.35">
      <c r="P10988" s="1"/>
    </row>
    <row r="10993" spans="16:17" x14ac:dyDescent="0.35">
      <c r="P10993" s="1"/>
    </row>
    <row r="10998" spans="16:17" x14ac:dyDescent="0.35">
      <c r="Q10998" s="1"/>
    </row>
    <row r="11003" spans="16:17" x14ac:dyDescent="0.35">
      <c r="Q11003" s="1"/>
    </row>
    <row r="11011" spans="16:17" x14ac:dyDescent="0.35">
      <c r="Q11011" s="1"/>
    </row>
    <row r="11014" spans="16:17" x14ac:dyDescent="0.35">
      <c r="Q11014" s="1"/>
    </row>
    <row r="11016" spans="16:17" x14ac:dyDescent="0.35">
      <c r="Q11016" s="1"/>
    </row>
    <row r="11017" spans="16:17" x14ac:dyDescent="0.35">
      <c r="Q11017" s="1"/>
    </row>
    <row r="11021" spans="16:17" x14ac:dyDescent="0.35">
      <c r="Q11021" s="1"/>
    </row>
    <row r="11022" spans="16:17" x14ac:dyDescent="0.35">
      <c r="P11022" s="1"/>
    </row>
    <row r="11024" spans="16:17" x14ac:dyDescent="0.35">
      <c r="P11024" s="1"/>
      <c r="Q11024" s="1"/>
    </row>
    <row r="11025" spans="16:17" x14ac:dyDescent="0.35">
      <c r="Q11025" s="1"/>
    </row>
    <row r="11027" spans="16:17" x14ac:dyDescent="0.35">
      <c r="P11027" s="1"/>
      <c r="Q11027" s="1"/>
    </row>
    <row r="11028" spans="16:17" x14ac:dyDescent="0.35">
      <c r="Q11028" s="1"/>
    </row>
    <row r="11032" spans="16:17" x14ac:dyDescent="0.35">
      <c r="Q11032" s="1"/>
    </row>
    <row r="11035" spans="16:17" x14ac:dyDescent="0.35">
      <c r="Q11035" s="1"/>
    </row>
    <row r="11038" spans="16:17" x14ac:dyDescent="0.35">
      <c r="Q11038" s="1"/>
    </row>
    <row r="11060" spans="17:17" x14ac:dyDescent="0.35">
      <c r="Q11060" s="1"/>
    </row>
    <row r="11061" spans="17:17" x14ac:dyDescent="0.35">
      <c r="Q11061" s="1"/>
    </row>
    <row r="11065" spans="17:17" x14ac:dyDescent="0.35">
      <c r="Q11065" s="1"/>
    </row>
    <row r="11074" spans="17:17" x14ac:dyDescent="0.35">
      <c r="Q11074" s="1"/>
    </row>
    <row r="11078" spans="17:17" x14ac:dyDescent="0.35">
      <c r="Q11078" s="1"/>
    </row>
    <row r="11089" spans="17:17" x14ac:dyDescent="0.35">
      <c r="Q11089" s="1"/>
    </row>
    <row r="11090" spans="17:17" x14ac:dyDescent="0.35">
      <c r="Q11090" s="1"/>
    </row>
    <row r="11097" spans="17:17" x14ac:dyDescent="0.35">
      <c r="Q11097" s="1"/>
    </row>
    <row r="11101" spans="17:17" x14ac:dyDescent="0.35">
      <c r="Q11101" s="1"/>
    </row>
    <row r="11105" spans="17:17" x14ac:dyDescent="0.35">
      <c r="Q11105" s="1"/>
    </row>
    <row r="11106" spans="17:17" x14ac:dyDescent="0.35">
      <c r="Q11106" s="1"/>
    </row>
    <row r="11112" spans="17:17" x14ac:dyDescent="0.35">
      <c r="Q11112" s="1"/>
    </row>
    <row r="11116" spans="17:17" x14ac:dyDescent="0.35">
      <c r="Q11116" s="1"/>
    </row>
    <row r="11118" spans="17:17" x14ac:dyDescent="0.35">
      <c r="Q11118" s="1"/>
    </row>
    <row r="11121" spans="17:17" x14ac:dyDescent="0.35">
      <c r="Q11121" s="1"/>
    </row>
    <row r="11130" spans="17:17" x14ac:dyDescent="0.35">
      <c r="Q11130" s="1"/>
    </row>
    <row r="11131" spans="17:17" x14ac:dyDescent="0.35">
      <c r="Q11131" s="1"/>
    </row>
    <row r="11133" spans="17:17" x14ac:dyDescent="0.35">
      <c r="Q11133" s="1"/>
    </row>
    <row r="11140" spans="16:17" x14ac:dyDescent="0.35">
      <c r="Q11140" s="1"/>
    </row>
    <row r="11144" spans="16:17" x14ac:dyDescent="0.35">
      <c r="Q11144" s="1"/>
    </row>
    <row r="11145" spans="16:17" x14ac:dyDescent="0.35">
      <c r="Q11145" s="1"/>
    </row>
    <row r="11146" spans="16:17" x14ac:dyDescent="0.35">
      <c r="P11146" s="1"/>
    </row>
    <row r="11147" spans="16:17" x14ac:dyDescent="0.35">
      <c r="Q11147" s="1"/>
    </row>
    <row r="11148" spans="16:17" x14ac:dyDescent="0.35">
      <c r="Q11148" s="1"/>
    </row>
    <row r="11156" spans="17:17" x14ac:dyDescent="0.35">
      <c r="Q11156" s="1"/>
    </row>
    <row r="11158" spans="17:17" x14ac:dyDescent="0.35">
      <c r="Q11158" s="1"/>
    </row>
    <row r="11168" spans="17:17" x14ac:dyDescent="0.35">
      <c r="Q11168" s="1"/>
    </row>
    <row r="11173" spans="17:17" x14ac:dyDescent="0.35">
      <c r="Q11173" s="1"/>
    </row>
    <row r="11181" spans="17:17" x14ac:dyDescent="0.35">
      <c r="Q11181" s="1"/>
    </row>
    <row r="11184" spans="17:17" x14ac:dyDescent="0.35">
      <c r="Q11184" s="1"/>
    </row>
    <row r="11185" spans="17:17" x14ac:dyDescent="0.35">
      <c r="Q11185" s="1"/>
    </row>
    <row r="11186" spans="17:17" x14ac:dyDescent="0.35">
      <c r="Q11186" s="1"/>
    </row>
    <row r="11195" spans="17:17" x14ac:dyDescent="0.35">
      <c r="Q11195" s="1"/>
    </row>
    <row r="11202" spans="17:17" x14ac:dyDescent="0.35">
      <c r="Q11202" s="1"/>
    </row>
    <row r="11204" spans="17:17" x14ac:dyDescent="0.35">
      <c r="Q11204" s="1"/>
    </row>
    <row r="11211" spans="17:17" x14ac:dyDescent="0.35">
      <c r="Q11211" s="1"/>
    </row>
    <row r="11219" spans="16:17" x14ac:dyDescent="0.35">
      <c r="Q11219" s="1"/>
    </row>
    <row r="11220" spans="16:17" x14ac:dyDescent="0.35">
      <c r="Q11220" s="1"/>
    </row>
    <row r="11229" spans="16:17" x14ac:dyDescent="0.35">
      <c r="Q11229" s="1"/>
    </row>
    <row r="11230" spans="16:17" x14ac:dyDescent="0.35">
      <c r="P11230" s="1"/>
    </row>
    <row r="11234" spans="17:17" x14ac:dyDescent="0.35">
      <c r="Q11234" s="1"/>
    </row>
    <row r="11237" spans="17:17" x14ac:dyDescent="0.35">
      <c r="Q11237" s="1"/>
    </row>
    <row r="11239" spans="17:17" x14ac:dyDescent="0.35">
      <c r="Q11239" s="1"/>
    </row>
    <row r="11249" spans="16:17" x14ac:dyDescent="0.35">
      <c r="Q11249" s="1"/>
    </row>
    <row r="11256" spans="16:17" x14ac:dyDescent="0.35">
      <c r="P11256" s="1"/>
      <c r="Q11256" s="1"/>
    </row>
    <row r="11259" spans="16:17" x14ac:dyDescent="0.35">
      <c r="Q11259" s="1"/>
    </row>
    <row r="11260" spans="16:17" x14ac:dyDescent="0.35">
      <c r="Q11260" s="1"/>
    </row>
    <row r="11272" spans="17:17" x14ac:dyDescent="0.35">
      <c r="Q11272" s="1"/>
    </row>
    <row r="11280" spans="17:17" x14ac:dyDescent="0.35">
      <c r="Q11280" s="1"/>
    </row>
    <row r="11281" spans="17:17" x14ac:dyDescent="0.35">
      <c r="Q11281" s="1"/>
    </row>
    <row r="11288" spans="17:17" x14ac:dyDescent="0.35">
      <c r="Q11288" s="1"/>
    </row>
    <row r="11289" spans="17:17" x14ac:dyDescent="0.35">
      <c r="Q11289" s="1"/>
    </row>
    <row r="11295" spans="17:17" x14ac:dyDescent="0.35">
      <c r="Q11295" s="1"/>
    </row>
    <row r="11296" spans="17:17" x14ac:dyDescent="0.35">
      <c r="Q11296" s="1"/>
    </row>
    <row r="11301" spans="17:17" x14ac:dyDescent="0.35">
      <c r="Q11301" s="1"/>
    </row>
    <row r="11316" spans="17:17" x14ac:dyDescent="0.35">
      <c r="Q11316" s="1"/>
    </row>
    <row r="11337" spans="17:17" x14ac:dyDescent="0.35">
      <c r="Q11337" s="1"/>
    </row>
    <row r="11339" spans="17:17" x14ac:dyDescent="0.35">
      <c r="Q11339" s="1"/>
    </row>
    <row r="11354" spans="16:16" x14ac:dyDescent="0.35">
      <c r="P11354" s="1"/>
    </row>
    <row r="11358" spans="16:16" x14ac:dyDescent="0.35">
      <c r="P11358" s="1"/>
    </row>
    <row r="11398" spans="17:17" x14ac:dyDescent="0.35">
      <c r="Q11398" s="1"/>
    </row>
    <row r="11413" spans="17:17" x14ac:dyDescent="0.35">
      <c r="Q11413" s="1"/>
    </row>
    <row r="11418" spans="17:17" x14ac:dyDescent="0.35">
      <c r="Q11418" s="1"/>
    </row>
    <row r="11426" spans="17:17" x14ac:dyDescent="0.35">
      <c r="Q11426" s="1"/>
    </row>
    <row r="11431" spans="17:17" x14ac:dyDescent="0.35">
      <c r="Q11431" s="1"/>
    </row>
    <row r="11432" spans="17:17" x14ac:dyDescent="0.35">
      <c r="Q11432" s="1"/>
    </row>
    <row r="11443" spans="17:17" x14ac:dyDescent="0.35">
      <c r="Q11443" s="1"/>
    </row>
    <row r="11444" spans="17:17" x14ac:dyDescent="0.35">
      <c r="Q11444" s="1"/>
    </row>
    <row r="11446" spans="17:17" x14ac:dyDescent="0.35">
      <c r="Q11446" s="1"/>
    </row>
    <row r="11447" spans="17:17" x14ac:dyDescent="0.35">
      <c r="Q11447" s="1"/>
    </row>
    <row r="11448" spans="17:17" x14ac:dyDescent="0.35">
      <c r="Q11448" s="1"/>
    </row>
    <row r="11449" spans="17:17" x14ac:dyDescent="0.35">
      <c r="Q11449" s="1"/>
    </row>
    <row r="11450" spans="17:17" x14ac:dyDescent="0.35">
      <c r="Q11450" s="1"/>
    </row>
    <row r="11451" spans="17:17" x14ac:dyDescent="0.35">
      <c r="Q11451" s="1"/>
    </row>
    <row r="11455" spans="17:17" x14ac:dyDescent="0.35">
      <c r="Q11455" s="1"/>
    </row>
    <row r="11467" spans="17:17" x14ac:dyDescent="0.35">
      <c r="Q11467" s="1"/>
    </row>
    <row r="11468" spans="17:17" x14ac:dyDescent="0.35">
      <c r="Q11468" s="1"/>
    </row>
    <row r="11473" spans="17:17" x14ac:dyDescent="0.35">
      <c r="Q11473" s="1"/>
    </row>
    <row r="11479" spans="17:17" x14ac:dyDescent="0.35">
      <c r="Q11479" s="1"/>
    </row>
    <row r="11482" spans="17:17" x14ac:dyDescent="0.35">
      <c r="Q11482" s="1"/>
    </row>
    <row r="11484" spans="17:17" x14ac:dyDescent="0.35">
      <c r="Q11484" s="1"/>
    </row>
    <row r="11496" spans="17:17" x14ac:dyDescent="0.35">
      <c r="Q11496" s="1"/>
    </row>
    <row r="11508" spans="17:17" x14ac:dyDescent="0.35">
      <c r="Q11508" s="1"/>
    </row>
    <row r="11511" spans="17:17" x14ac:dyDescent="0.35">
      <c r="Q11511" s="1"/>
    </row>
    <row r="11515" spans="17:17" x14ac:dyDescent="0.35">
      <c r="Q11515" s="1"/>
    </row>
    <row r="11521" spans="16:17" x14ac:dyDescent="0.35">
      <c r="Q11521" s="1"/>
    </row>
    <row r="11525" spans="16:17" x14ac:dyDescent="0.35">
      <c r="P11525" s="1"/>
    </row>
    <row r="11527" spans="16:17" x14ac:dyDescent="0.35">
      <c r="Q11527" s="1"/>
    </row>
    <row r="11529" spans="16:17" x14ac:dyDescent="0.35">
      <c r="Q11529" s="1"/>
    </row>
    <row r="11541" spans="17:17" x14ac:dyDescent="0.35">
      <c r="Q11541" s="1"/>
    </row>
    <row r="11545" spans="17:17" x14ac:dyDescent="0.35">
      <c r="Q11545" s="1"/>
    </row>
    <row r="11549" spans="17:17" x14ac:dyDescent="0.35">
      <c r="Q11549" s="1"/>
    </row>
    <row r="11555" spans="17:17" x14ac:dyDescent="0.35">
      <c r="Q11555" s="1"/>
    </row>
    <row r="11558" spans="17:17" x14ac:dyDescent="0.35">
      <c r="Q11558" s="1"/>
    </row>
    <row r="11563" spans="17:17" x14ac:dyDescent="0.35">
      <c r="Q11563" s="1"/>
    </row>
    <row r="11566" spans="17:17" x14ac:dyDescent="0.35">
      <c r="Q11566" s="1"/>
    </row>
    <row r="11572" spans="17:17" x14ac:dyDescent="0.35">
      <c r="Q11572" s="1"/>
    </row>
    <row r="11573" spans="17:17" x14ac:dyDescent="0.35">
      <c r="Q11573" s="1"/>
    </row>
    <row r="11583" spans="17:17" x14ac:dyDescent="0.35">
      <c r="Q11583" s="1"/>
    </row>
    <row r="11584" spans="17:17" x14ac:dyDescent="0.35">
      <c r="Q11584" s="1"/>
    </row>
    <row r="11585" spans="17:17" x14ac:dyDescent="0.35">
      <c r="Q11585" s="1"/>
    </row>
    <row r="11590" spans="17:17" x14ac:dyDescent="0.35">
      <c r="Q11590" s="1"/>
    </row>
    <row r="11593" spans="17:17" x14ac:dyDescent="0.35">
      <c r="Q11593" s="1"/>
    </row>
    <row r="11596" spans="17:17" x14ac:dyDescent="0.35">
      <c r="Q11596" s="1"/>
    </row>
    <row r="11599" spans="17:17" x14ac:dyDescent="0.35">
      <c r="Q11599" s="1"/>
    </row>
    <row r="11601" spans="17:17" x14ac:dyDescent="0.35">
      <c r="Q11601" s="1"/>
    </row>
    <row r="11611" spans="17:17" x14ac:dyDescent="0.35">
      <c r="Q11611" s="1"/>
    </row>
    <row r="11629" spans="17:17" x14ac:dyDescent="0.35">
      <c r="Q11629" s="1"/>
    </row>
    <row r="11633" spans="17:17" x14ac:dyDescent="0.35">
      <c r="Q11633" s="1"/>
    </row>
    <row r="11634" spans="17:17" x14ac:dyDescent="0.35">
      <c r="Q11634" s="1"/>
    </row>
    <row r="11636" spans="17:17" x14ac:dyDescent="0.35">
      <c r="Q11636" s="1"/>
    </row>
    <row r="11637" spans="17:17" x14ac:dyDescent="0.35">
      <c r="Q11637" s="1"/>
    </row>
    <row r="11642" spans="17:17" x14ac:dyDescent="0.35">
      <c r="Q11642" s="1"/>
    </row>
    <row r="11651" spans="17:17" x14ac:dyDescent="0.35">
      <c r="Q11651" s="1"/>
    </row>
    <row r="11652" spans="17:17" x14ac:dyDescent="0.35">
      <c r="Q11652" s="1"/>
    </row>
    <row r="11654" spans="17:17" x14ac:dyDescent="0.35">
      <c r="Q11654" s="1"/>
    </row>
    <row r="11661" spans="17:17" x14ac:dyDescent="0.35">
      <c r="Q11661" s="1"/>
    </row>
    <row r="11665" spans="17:17" x14ac:dyDescent="0.35">
      <c r="Q11665" s="1"/>
    </row>
    <row r="11684" spans="17:17" x14ac:dyDescent="0.35">
      <c r="Q11684" s="1"/>
    </row>
    <row r="11685" spans="17:17" x14ac:dyDescent="0.35">
      <c r="Q11685" s="1"/>
    </row>
    <row r="11688" spans="17:17" x14ac:dyDescent="0.35">
      <c r="Q11688" s="1"/>
    </row>
    <row r="11707" spans="16:17" x14ac:dyDescent="0.35">
      <c r="P11707" s="1"/>
      <c r="Q11707" s="1"/>
    </row>
    <row r="11712" spans="16:17" x14ac:dyDescent="0.35">
      <c r="Q11712" s="1"/>
    </row>
    <row r="11722" spans="17:17" x14ac:dyDescent="0.35">
      <c r="Q11722" s="1"/>
    </row>
    <row r="11729" spans="16:17" x14ac:dyDescent="0.35">
      <c r="P11729" s="1"/>
    </row>
    <row r="11731" spans="16:17" x14ac:dyDescent="0.35">
      <c r="P11731" s="1"/>
    </row>
    <row r="11736" spans="16:17" x14ac:dyDescent="0.35">
      <c r="Q11736" s="1"/>
    </row>
    <row r="11741" spans="16:17" x14ac:dyDescent="0.35">
      <c r="Q11741" s="1"/>
    </row>
    <row r="11744" spans="16:17" x14ac:dyDescent="0.35">
      <c r="Q11744" s="1"/>
    </row>
    <row r="11745" spans="17:17" x14ac:dyDescent="0.35">
      <c r="Q11745" s="1"/>
    </row>
    <row r="11747" spans="17:17" x14ac:dyDescent="0.35">
      <c r="Q11747" s="1"/>
    </row>
    <row r="11756" spans="17:17" x14ac:dyDescent="0.35">
      <c r="Q11756" s="1"/>
    </row>
    <row r="11759" spans="17:17" x14ac:dyDescent="0.35">
      <c r="Q11759" s="1"/>
    </row>
    <row r="11763" spans="17:17" x14ac:dyDescent="0.35">
      <c r="Q11763" s="1"/>
    </row>
    <row r="11764" spans="17:17" x14ac:dyDescent="0.35">
      <c r="Q11764" s="1"/>
    </row>
    <row r="11773" spans="17:17" x14ac:dyDescent="0.35">
      <c r="Q11773" s="1"/>
    </row>
    <row r="11783" spans="17:17" x14ac:dyDescent="0.35">
      <c r="Q11783" s="1"/>
    </row>
    <row r="11784" spans="17:17" x14ac:dyDescent="0.35">
      <c r="Q11784" s="1"/>
    </row>
    <row r="11786" spans="17:17" x14ac:dyDescent="0.35">
      <c r="Q11786" s="1"/>
    </row>
    <row r="11789" spans="17:17" x14ac:dyDescent="0.35">
      <c r="Q11789" s="1"/>
    </row>
    <row r="11791" spans="17:17" x14ac:dyDescent="0.35">
      <c r="Q11791" s="1"/>
    </row>
    <row r="11792" spans="17:17" x14ac:dyDescent="0.35">
      <c r="Q11792" s="1"/>
    </row>
    <row r="11795" spans="17:17" x14ac:dyDescent="0.35">
      <c r="Q11795" s="1"/>
    </row>
    <row r="11797" spans="17:17" x14ac:dyDescent="0.35">
      <c r="Q11797" s="1"/>
    </row>
    <row r="11806" spans="17:17" x14ac:dyDescent="0.35">
      <c r="Q11806" s="1"/>
    </row>
    <row r="11808" spans="17:17" x14ac:dyDescent="0.35">
      <c r="Q11808" s="1"/>
    </row>
    <row r="11811" spans="16:17" x14ac:dyDescent="0.35">
      <c r="P11811" s="1"/>
    </row>
    <row r="11814" spans="16:17" x14ac:dyDescent="0.35">
      <c r="Q11814" s="1"/>
    </row>
    <row r="11822" spans="16:17" x14ac:dyDescent="0.35">
      <c r="Q11822" s="1"/>
    </row>
    <row r="11823" spans="16:17" x14ac:dyDescent="0.35">
      <c r="Q11823" s="1"/>
    </row>
    <row r="11828" spans="17:17" x14ac:dyDescent="0.35">
      <c r="Q11828" s="1"/>
    </row>
    <row r="11829" spans="17:17" x14ac:dyDescent="0.35">
      <c r="Q11829" s="1"/>
    </row>
    <row r="11830" spans="17:17" x14ac:dyDescent="0.35">
      <c r="Q11830" s="1"/>
    </row>
    <row r="11832" spans="17:17" x14ac:dyDescent="0.35">
      <c r="Q11832" s="1"/>
    </row>
    <row r="11833" spans="17:17" x14ac:dyDescent="0.35">
      <c r="Q11833" s="1"/>
    </row>
    <row r="11840" spans="17:17" x14ac:dyDescent="0.35">
      <c r="Q11840" s="1"/>
    </row>
    <row r="11841" spans="17:17" x14ac:dyDescent="0.35">
      <c r="Q11841" s="1"/>
    </row>
    <row r="11843" spans="17:17" x14ac:dyDescent="0.35">
      <c r="Q11843" s="1"/>
    </row>
    <row r="11847" spans="17:17" x14ac:dyDescent="0.35">
      <c r="Q11847" s="1"/>
    </row>
    <row r="11849" spans="17:17" x14ac:dyDescent="0.35">
      <c r="Q11849" s="1"/>
    </row>
    <row r="11852" spans="17:17" x14ac:dyDescent="0.35">
      <c r="Q11852" s="1"/>
    </row>
    <row r="11860" spans="17:17" x14ac:dyDescent="0.35">
      <c r="Q11860" s="1"/>
    </row>
    <row r="11861" spans="17:17" x14ac:dyDescent="0.35">
      <c r="Q11861" s="1"/>
    </row>
    <row r="11865" spans="17:17" x14ac:dyDescent="0.35">
      <c r="Q11865" s="1"/>
    </row>
    <row r="11875" spans="16:17" x14ac:dyDescent="0.35">
      <c r="Q11875" s="1"/>
    </row>
    <row r="11876" spans="16:17" x14ac:dyDescent="0.35">
      <c r="Q11876" s="1"/>
    </row>
    <row r="11878" spans="16:17" x14ac:dyDescent="0.35">
      <c r="Q11878" s="1"/>
    </row>
    <row r="11882" spans="16:17" x14ac:dyDescent="0.35">
      <c r="P11882" s="1"/>
    </row>
    <row r="11884" spans="16:17" x14ac:dyDescent="0.35">
      <c r="Q11884" s="1"/>
    </row>
    <row r="11890" spans="16:17" x14ac:dyDescent="0.35">
      <c r="Q11890" s="1"/>
    </row>
    <row r="11900" spans="16:17" x14ac:dyDescent="0.35">
      <c r="Q11900" s="1"/>
    </row>
    <row r="11901" spans="16:17" x14ac:dyDescent="0.35">
      <c r="P11901" s="1"/>
    </row>
    <row r="11902" spans="16:17" x14ac:dyDescent="0.35">
      <c r="Q11902" s="1"/>
    </row>
    <row r="11903" spans="16:17" x14ac:dyDescent="0.35">
      <c r="Q11903" s="1"/>
    </row>
    <row r="11923" spans="17:17" x14ac:dyDescent="0.35">
      <c r="Q11923" s="1"/>
    </row>
    <row r="11926" spans="17:17" x14ac:dyDescent="0.35">
      <c r="Q11926" s="1"/>
    </row>
    <row r="11928" spans="17:17" x14ac:dyDescent="0.35">
      <c r="Q11928" s="1"/>
    </row>
    <row r="11930" spans="17:17" x14ac:dyDescent="0.35">
      <c r="Q11930" s="1"/>
    </row>
    <row r="11936" spans="17:17" x14ac:dyDescent="0.35">
      <c r="Q11936" s="1"/>
    </row>
    <row r="11938" spans="16:17" x14ac:dyDescent="0.35">
      <c r="Q11938" s="1"/>
    </row>
    <row r="11940" spans="16:17" x14ac:dyDescent="0.35">
      <c r="Q11940" s="1"/>
    </row>
    <row r="11941" spans="16:17" x14ac:dyDescent="0.35">
      <c r="P11941" s="1"/>
      <c r="Q11941" s="1"/>
    </row>
    <row r="11943" spans="16:17" x14ac:dyDescent="0.35">
      <c r="Q11943" s="1"/>
    </row>
    <row r="11944" spans="16:17" x14ac:dyDescent="0.35">
      <c r="Q11944" s="1"/>
    </row>
    <row r="11949" spans="16:17" x14ac:dyDescent="0.35">
      <c r="Q11949" s="1"/>
    </row>
    <row r="11951" spans="16:17" x14ac:dyDescent="0.35">
      <c r="Q11951" s="1"/>
    </row>
    <row r="11952" spans="16:17" x14ac:dyDescent="0.35">
      <c r="Q11952" s="1"/>
    </row>
    <row r="11957" spans="17:17" x14ac:dyDescent="0.35">
      <c r="Q11957" s="1"/>
    </row>
    <row r="11977" spans="17:17" x14ac:dyDescent="0.35">
      <c r="Q11977" s="1"/>
    </row>
    <row r="11978" spans="17:17" x14ac:dyDescent="0.35">
      <c r="Q11978" s="1"/>
    </row>
    <row r="11986" spans="17:17" x14ac:dyDescent="0.35">
      <c r="Q11986" s="1"/>
    </row>
    <row r="11989" spans="17:17" x14ac:dyDescent="0.35">
      <c r="Q11989" s="1"/>
    </row>
    <row r="12000" spans="17:17" x14ac:dyDescent="0.35">
      <c r="Q12000" s="1"/>
    </row>
    <row r="12006" spans="17:17" x14ac:dyDescent="0.35">
      <c r="Q12006" s="1"/>
    </row>
    <row r="12016" spans="17:17" x14ac:dyDescent="0.35">
      <c r="Q12016" s="1"/>
    </row>
    <row r="12029" spans="17:17" x14ac:dyDescent="0.35">
      <c r="Q12029" s="1"/>
    </row>
    <row r="12031" spans="17:17" x14ac:dyDescent="0.35">
      <c r="Q12031" s="1"/>
    </row>
    <row r="12034" spans="17:17" x14ac:dyDescent="0.35">
      <c r="Q12034" s="1"/>
    </row>
    <row r="12037" spans="17:17" x14ac:dyDescent="0.35">
      <c r="Q12037" s="1"/>
    </row>
    <row r="12039" spans="17:17" x14ac:dyDescent="0.35">
      <c r="Q12039" s="1"/>
    </row>
    <row r="12043" spans="17:17" x14ac:dyDescent="0.35">
      <c r="Q12043" s="1"/>
    </row>
    <row r="12046" spans="17:17" x14ac:dyDescent="0.35">
      <c r="Q12046" s="1"/>
    </row>
    <row r="12063" spans="17:17" x14ac:dyDescent="0.35">
      <c r="Q12063" s="1"/>
    </row>
    <row r="12065" spans="17:17" x14ac:dyDescent="0.35">
      <c r="Q12065" s="1"/>
    </row>
    <row r="12067" spans="17:17" x14ac:dyDescent="0.35">
      <c r="Q12067" s="1"/>
    </row>
    <row r="12074" spans="17:17" x14ac:dyDescent="0.35">
      <c r="Q12074" s="1"/>
    </row>
    <row r="12078" spans="17:17" x14ac:dyDescent="0.35">
      <c r="Q12078" s="1"/>
    </row>
    <row r="12080" spans="17:17" x14ac:dyDescent="0.35">
      <c r="Q12080" s="1"/>
    </row>
    <row r="12081" spans="17:17" x14ac:dyDescent="0.35">
      <c r="Q12081" s="1"/>
    </row>
    <row r="12084" spans="17:17" x14ac:dyDescent="0.35">
      <c r="Q12084" s="1"/>
    </row>
    <row r="12094" spans="17:17" x14ac:dyDescent="0.35">
      <c r="Q12094" s="1"/>
    </row>
    <row r="12105" spans="17:17" x14ac:dyDescent="0.35">
      <c r="Q12105" s="1"/>
    </row>
    <row r="12108" spans="17:17" x14ac:dyDescent="0.35">
      <c r="Q12108" s="1"/>
    </row>
    <row r="12117" spans="17:17" x14ac:dyDescent="0.35">
      <c r="Q12117" s="1"/>
    </row>
    <row r="12118" spans="17:17" x14ac:dyDescent="0.35">
      <c r="Q12118" s="1"/>
    </row>
    <row r="12123" spans="17:17" x14ac:dyDescent="0.35">
      <c r="Q12123" s="1"/>
    </row>
    <row r="12126" spans="17:17" x14ac:dyDescent="0.35">
      <c r="Q12126" s="1"/>
    </row>
    <row r="12127" spans="17:17" x14ac:dyDescent="0.35">
      <c r="Q12127" s="1"/>
    </row>
    <row r="12138" spans="17:17" x14ac:dyDescent="0.35">
      <c r="Q12138" s="1"/>
    </row>
    <row r="12147" spans="17:17" x14ac:dyDescent="0.35">
      <c r="Q12147" s="1"/>
    </row>
    <row r="12151" spans="17:17" x14ac:dyDescent="0.35">
      <c r="Q12151" s="1"/>
    </row>
    <row r="12152" spans="17:17" x14ac:dyDescent="0.35">
      <c r="Q12152" s="1"/>
    </row>
    <row r="12157" spans="17:17" x14ac:dyDescent="0.35">
      <c r="Q12157" s="1"/>
    </row>
    <row r="12158" spans="17:17" x14ac:dyDescent="0.35">
      <c r="Q12158" s="1"/>
    </row>
    <row r="12159" spans="17:17" x14ac:dyDescent="0.35">
      <c r="Q12159" s="1"/>
    </row>
    <row r="12170" spans="17:17" x14ac:dyDescent="0.35">
      <c r="Q12170" s="1"/>
    </row>
    <row r="12171" spans="17:17" x14ac:dyDescent="0.35">
      <c r="Q12171" s="1"/>
    </row>
    <row r="12179" spans="17:17" x14ac:dyDescent="0.35">
      <c r="Q12179" s="1"/>
    </row>
    <row r="12181" spans="17:17" x14ac:dyDescent="0.35">
      <c r="Q12181" s="1"/>
    </row>
    <row r="12184" spans="17:17" x14ac:dyDescent="0.35">
      <c r="Q12184" s="1"/>
    </row>
    <row r="12190" spans="17:17" x14ac:dyDescent="0.35">
      <c r="Q12190" s="1"/>
    </row>
    <row r="12191" spans="17:17" x14ac:dyDescent="0.35">
      <c r="Q12191" s="1"/>
    </row>
    <row r="12192" spans="17:17" x14ac:dyDescent="0.35">
      <c r="Q12192" s="1"/>
    </row>
    <row r="12197" spans="17:17" x14ac:dyDescent="0.35">
      <c r="Q12197" s="1"/>
    </row>
    <row r="12210" spans="17:17" x14ac:dyDescent="0.35">
      <c r="Q12210" s="1"/>
    </row>
    <row r="12212" spans="17:17" x14ac:dyDescent="0.35">
      <c r="Q12212" s="1"/>
    </row>
    <row r="12214" spans="17:17" x14ac:dyDescent="0.35">
      <c r="Q12214" s="1"/>
    </row>
    <row r="12218" spans="17:17" x14ac:dyDescent="0.35">
      <c r="Q12218" s="1"/>
    </row>
    <row r="12222" spans="17:17" x14ac:dyDescent="0.35">
      <c r="Q12222" s="1"/>
    </row>
    <row r="12226" spans="17:17" x14ac:dyDescent="0.35">
      <c r="Q12226" s="1"/>
    </row>
    <row r="12230" spans="17:17" x14ac:dyDescent="0.35">
      <c r="Q12230" s="1"/>
    </row>
    <row r="12231" spans="17:17" x14ac:dyDescent="0.35">
      <c r="Q12231" s="1"/>
    </row>
    <row r="12232" spans="17:17" x14ac:dyDescent="0.35">
      <c r="Q12232" s="1"/>
    </row>
    <row r="12236" spans="17:17" x14ac:dyDescent="0.35">
      <c r="Q12236" s="1"/>
    </row>
    <row r="12238" spans="17:17" x14ac:dyDescent="0.35">
      <c r="Q12238" s="1"/>
    </row>
    <row r="12240" spans="17:17" x14ac:dyDescent="0.35">
      <c r="Q12240" s="1"/>
    </row>
    <row r="12242" spans="17:17" x14ac:dyDescent="0.35">
      <c r="Q12242" s="1"/>
    </row>
    <row r="12243" spans="17:17" x14ac:dyDescent="0.35">
      <c r="Q12243" s="1"/>
    </row>
    <row r="12251" spans="17:17" x14ac:dyDescent="0.35">
      <c r="Q12251" s="1"/>
    </row>
    <row r="12255" spans="17:17" x14ac:dyDescent="0.35">
      <c r="Q12255" s="1"/>
    </row>
    <row r="12264" spans="17:17" x14ac:dyDescent="0.35">
      <c r="Q12264" s="1"/>
    </row>
    <row r="12269" spans="17:17" x14ac:dyDescent="0.35">
      <c r="Q12269" s="1"/>
    </row>
    <row r="12276" spans="17:17" x14ac:dyDescent="0.35">
      <c r="Q12276" s="1"/>
    </row>
    <row r="12277" spans="17:17" x14ac:dyDescent="0.35">
      <c r="Q12277" s="1"/>
    </row>
    <row r="12281" spans="17:17" x14ac:dyDescent="0.35">
      <c r="Q12281" s="1"/>
    </row>
    <row r="12282" spans="17:17" x14ac:dyDescent="0.35">
      <c r="Q12282" s="1"/>
    </row>
    <row r="12285" spans="17:17" x14ac:dyDescent="0.35">
      <c r="Q12285" s="1"/>
    </row>
    <row r="12299" spans="16:17" x14ac:dyDescent="0.35">
      <c r="Q12299" s="1"/>
    </row>
    <row r="12302" spans="16:17" x14ac:dyDescent="0.35">
      <c r="P12302" s="1"/>
      <c r="Q12302" s="1"/>
    </row>
    <row r="12304" spans="16:17" x14ac:dyDescent="0.35">
      <c r="Q12304" s="1"/>
    </row>
    <row r="12305" spans="17:17" x14ac:dyDescent="0.35">
      <c r="Q12305" s="1"/>
    </row>
    <row r="12308" spans="17:17" x14ac:dyDescent="0.35">
      <c r="Q12308" s="1"/>
    </row>
    <row r="12312" spans="17:17" x14ac:dyDescent="0.35">
      <c r="Q12312" s="1"/>
    </row>
    <row r="12313" spans="17:17" x14ac:dyDescent="0.35">
      <c r="Q12313" s="1"/>
    </row>
    <row r="12316" spans="17:17" x14ac:dyDescent="0.35">
      <c r="Q12316" s="1"/>
    </row>
    <row r="12322" spans="17:17" x14ac:dyDescent="0.35">
      <c r="Q12322" s="1"/>
    </row>
    <row r="12324" spans="17:17" x14ac:dyDescent="0.35">
      <c r="Q12324" s="1"/>
    </row>
    <row r="12329" spans="17:17" x14ac:dyDescent="0.35">
      <c r="Q12329" s="1"/>
    </row>
    <row r="12332" spans="17:17" x14ac:dyDescent="0.35">
      <c r="Q12332" s="1"/>
    </row>
    <row r="12333" spans="17:17" x14ac:dyDescent="0.35">
      <c r="Q12333" s="1"/>
    </row>
    <row r="12335" spans="17:17" x14ac:dyDescent="0.35">
      <c r="Q12335" s="1"/>
    </row>
    <row r="12341" spans="17:17" x14ac:dyDescent="0.35">
      <c r="Q12341" s="1"/>
    </row>
    <row r="12344" spans="17:17" x14ac:dyDescent="0.35">
      <c r="Q12344" s="1"/>
    </row>
    <row r="12350" spans="17:17" x14ac:dyDescent="0.35">
      <c r="Q12350" s="1"/>
    </row>
    <row r="12351" spans="17:17" x14ac:dyDescent="0.35">
      <c r="Q12351" s="1"/>
    </row>
    <row r="12359" spans="17:17" x14ac:dyDescent="0.35">
      <c r="Q12359" s="1"/>
    </row>
    <row r="12363" spans="17:17" x14ac:dyDescent="0.35">
      <c r="Q12363" s="1"/>
    </row>
    <row r="12375" spans="17:17" x14ac:dyDescent="0.35">
      <c r="Q12375" s="1"/>
    </row>
    <row r="12376" spans="17:17" x14ac:dyDescent="0.35">
      <c r="Q12376" s="1"/>
    </row>
    <row r="12377" spans="17:17" x14ac:dyDescent="0.35">
      <c r="Q12377" s="1"/>
    </row>
    <row r="12382" spans="17:17" x14ac:dyDescent="0.35">
      <c r="Q12382" s="1"/>
    </row>
    <row r="12383" spans="17:17" x14ac:dyDescent="0.35">
      <c r="Q12383" s="1"/>
    </row>
    <row r="12386" spans="17:17" x14ac:dyDescent="0.35">
      <c r="Q12386" s="1"/>
    </row>
    <row r="12388" spans="17:17" x14ac:dyDescent="0.35">
      <c r="Q12388" s="1"/>
    </row>
    <row r="12394" spans="17:17" x14ac:dyDescent="0.35">
      <c r="Q12394" s="1"/>
    </row>
    <row r="12396" spans="17:17" x14ac:dyDescent="0.35">
      <c r="Q12396" s="1"/>
    </row>
    <row r="12397" spans="17:17" x14ac:dyDescent="0.35">
      <c r="Q12397" s="1"/>
    </row>
    <row r="12399" spans="17:17" x14ac:dyDescent="0.35">
      <c r="Q12399" s="1"/>
    </row>
    <row r="12401" spans="17:17" x14ac:dyDescent="0.35">
      <c r="Q12401" s="1"/>
    </row>
    <row r="12423" spans="17:17" x14ac:dyDescent="0.35">
      <c r="Q12423" s="1"/>
    </row>
    <row r="12425" spans="17:17" x14ac:dyDescent="0.35">
      <c r="Q12425" s="1"/>
    </row>
    <row r="12426" spans="17:17" x14ac:dyDescent="0.35">
      <c r="Q12426" s="1"/>
    </row>
    <row r="12427" spans="17:17" x14ac:dyDescent="0.35">
      <c r="Q12427" s="1"/>
    </row>
    <row r="12430" spans="17:17" x14ac:dyDescent="0.35">
      <c r="Q12430" s="1"/>
    </row>
    <row r="12431" spans="17:17" x14ac:dyDescent="0.35">
      <c r="Q12431" s="1"/>
    </row>
    <row r="12433" spans="17:17" x14ac:dyDescent="0.35">
      <c r="Q12433" s="1"/>
    </row>
    <row r="12438" spans="17:17" x14ac:dyDescent="0.35">
      <c r="Q12438" s="1"/>
    </row>
    <row r="12442" spans="17:17" x14ac:dyDescent="0.35">
      <c r="Q12442" s="1"/>
    </row>
    <row r="12445" spans="17:17" x14ac:dyDescent="0.35">
      <c r="Q12445" s="1"/>
    </row>
    <row r="12446" spans="17:17" x14ac:dyDescent="0.35">
      <c r="Q12446" s="1"/>
    </row>
    <row r="12449" spans="17:17" x14ac:dyDescent="0.35">
      <c r="Q12449" s="1"/>
    </row>
    <row r="12461" spans="17:17" x14ac:dyDescent="0.35">
      <c r="Q12461" s="1"/>
    </row>
    <row r="12463" spans="17:17" x14ac:dyDescent="0.35">
      <c r="Q12463" s="1"/>
    </row>
    <row r="12467" spans="17:17" x14ac:dyDescent="0.35">
      <c r="Q12467" s="1"/>
    </row>
    <row r="12468" spans="17:17" x14ac:dyDescent="0.35">
      <c r="Q12468" s="1"/>
    </row>
    <row r="12469" spans="17:17" x14ac:dyDescent="0.35">
      <c r="Q12469" s="1"/>
    </row>
    <row r="12471" spans="17:17" x14ac:dyDescent="0.35">
      <c r="Q12471" s="1"/>
    </row>
    <row r="12474" spans="17:17" x14ac:dyDescent="0.35">
      <c r="Q12474" s="1"/>
    </row>
    <row r="12475" spans="17:17" x14ac:dyDescent="0.35">
      <c r="Q12475" s="1"/>
    </row>
    <row r="12478" spans="17:17" x14ac:dyDescent="0.35">
      <c r="Q12478" s="1"/>
    </row>
    <row r="12479" spans="17:17" x14ac:dyDescent="0.35">
      <c r="Q12479" s="1"/>
    </row>
    <row r="12482" spans="17:17" x14ac:dyDescent="0.35">
      <c r="Q12482" s="1"/>
    </row>
    <row r="12483" spans="17:17" x14ac:dyDescent="0.35">
      <c r="Q12483" s="1"/>
    </row>
    <row r="12486" spans="17:17" x14ac:dyDescent="0.35">
      <c r="Q12486" s="1"/>
    </row>
    <row r="12489" spans="17:17" x14ac:dyDescent="0.35">
      <c r="Q12489" s="1"/>
    </row>
    <row r="12492" spans="17:17" x14ac:dyDescent="0.35">
      <c r="Q12492" s="1"/>
    </row>
    <row r="12493" spans="17:17" x14ac:dyDescent="0.35">
      <c r="Q12493" s="1"/>
    </row>
    <row r="12494" spans="17:17" x14ac:dyDescent="0.35">
      <c r="Q12494" s="1"/>
    </row>
    <row r="12496" spans="17:17" x14ac:dyDescent="0.35">
      <c r="Q12496" s="1"/>
    </row>
    <row r="12500" spans="17:17" x14ac:dyDescent="0.35">
      <c r="Q12500" s="1"/>
    </row>
    <row r="12502" spans="17:17" x14ac:dyDescent="0.35">
      <c r="Q12502" s="1"/>
    </row>
    <row r="12514" spans="17:17" x14ac:dyDescent="0.35">
      <c r="Q12514" s="1"/>
    </row>
    <row r="12519" spans="17:17" x14ac:dyDescent="0.35">
      <c r="Q12519" s="1"/>
    </row>
    <row r="12526" spans="17:17" x14ac:dyDescent="0.35">
      <c r="Q12526" s="1"/>
    </row>
    <row r="12532" spans="17:17" x14ac:dyDescent="0.35">
      <c r="Q12532" s="1"/>
    </row>
    <row r="12533" spans="17:17" x14ac:dyDescent="0.35">
      <c r="Q12533" s="1"/>
    </row>
    <row r="12536" spans="17:17" x14ac:dyDescent="0.35">
      <c r="Q12536" s="1"/>
    </row>
    <row r="12538" spans="17:17" x14ac:dyDescent="0.35">
      <c r="Q12538" s="1"/>
    </row>
    <row r="12548" spans="17:17" x14ac:dyDescent="0.35">
      <c r="Q12548" s="1"/>
    </row>
    <row r="12549" spans="17:17" x14ac:dyDescent="0.35">
      <c r="Q12549" s="1"/>
    </row>
    <row r="12561" spans="17:17" x14ac:dyDescent="0.35">
      <c r="Q12561" s="1"/>
    </row>
    <row r="12562" spans="17:17" x14ac:dyDescent="0.35">
      <c r="Q12562" s="1"/>
    </row>
    <row r="12569" spans="17:17" x14ac:dyDescent="0.35">
      <c r="Q12569" s="1"/>
    </row>
    <row r="12571" spans="17:17" x14ac:dyDescent="0.35">
      <c r="Q12571" s="1"/>
    </row>
    <row r="12573" spans="17:17" x14ac:dyDescent="0.35">
      <c r="Q12573" s="1"/>
    </row>
    <row r="12581" spans="17:17" x14ac:dyDescent="0.35">
      <c r="Q12581" s="1"/>
    </row>
    <row r="12586" spans="17:17" x14ac:dyDescent="0.35">
      <c r="Q12586" s="1"/>
    </row>
    <row r="12587" spans="17:17" x14ac:dyDescent="0.35">
      <c r="Q12587" s="1"/>
    </row>
    <row r="12589" spans="17:17" x14ac:dyDescent="0.35">
      <c r="Q12589" s="1"/>
    </row>
    <row r="12592" spans="17:17" x14ac:dyDescent="0.35">
      <c r="Q12592" s="1"/>
    </row>
    <row r="12599" spans="17:17" x14ac:dyDescent="0.35">
      <c r="Q12599" s="1"/>
    </row>
    <row r="12600" spans="17:17" x14ac:dyDescent="0.35">
      <c r="Q12600" s="1"/>
    </row>
    <row r="12605" spans="17:17" x14ac:dyDescent="0.35">
      <c r="Q12605" s="1"/>
    </row>
    <row r="12606" spans="17:17" x14ac:dyDescent="0.35">
      <c r="Q12606" s="1"/>
    </row>
    <row r="12613" spans="17:17" x14ac:dyDescent="0.35">
      <c r="Q12613" s="1"/>
    </row>
    <row r="12618" spans="17:17" x14ac:dyDescent="0.35">
      <c r="Q12618" s="1"/>
    </row>
    <row r="12620" spans="17:17" x14ac:dyDescent="0.35">
      <c r="Q12620" s="1"/>
    </row>
    <row r="12628" spans="17:17" x14ac:dyDescent="0.35">
      <c r="Q12628" s="1"/>
    </row>
    <row r="12630" spans="17:17" x14ac:dyDescent="0.35">
      <c r="Q12630" s="1"/>
    </row>
    <row r="12637" spans="17:17" x14ac:dyDescent="0.35">
      <c r="Q12637" s="1"/>
    </row>
    <row r="12650" spans="17:17" x14ac:dyDescent="0.35">
      <c r="Q12650" s="1"/>
    </row>
    <row r="12653" spans="17:17" x14ac:dyDescent="0.35">
      <c r="Q12653" s="1"/>
    </row>
    <row r="12654" spans="17:17" x14ac:dyDescent="0.35">
      <c r="Q12654" s="1"/>
    </row>
    <row r="12655" spans="17:17" x14ac:dyDescent="0.35">
      <c r="Q12655" s="1"/>
    </row>
    <row r="12663" spans="17:17" x14ac:dyDescent="0.35">
      <c r="Q12663" s="1"/>
    </row>
    <row r="12665" spans="17:17" x14ac:dyDescent="0.35">
      <c r="Q12665" s="1"/>
    </row>
    <row r="12666" spans="17:17" x14ac:dyDescent="0.35">
      <c r="Q12666" s="1"/>
    </row>
    <row r="12667" spans="17:17" x14ac:dyDescent="0.35">
      <c r="Q12667" s="1"/>
    </row>
    <row r="12668" spans="17:17" x14ac:dyDescent="0.35">
      <c r="Q12668" s="1"/>
    </row>
    <row r="12669" spans="17:17" x14ac:dyDescent="0.35">
      <c r="Q12669" s="1"/>
    </row>
    <row r="12670" spans="17:17" x14ac:dyDescent="0.35">
      <c r="Q12670" s="1"/>
    </row>
    <row r="12671" spans="17:17" x14ac:dyDescent="0.35">
      <c r="Q12671" s="1"/>
    </row>
    <row r="12673" spans="17:17" x14ac:dyDescent="0.35">
      <c r="Q12673" s="1"/>
    </row>
    <row r="12675" spans="17:17" x14ac:dyDescent="0.35">
      <c r="Q12675" s="1"/>
    </row>
    <row r="12676" spans="17:17" x14ac:dyDescent="0.35">
      <c r="Q12676" s="1"/>
    </row>
    <row r="12677" spans="17:17" x14ac:dyDescent="0.35">
      <c r="Q12677" s="1"/>
    </row>
    <row r="12684" spans="17:17" x14ac:dyDescent="0.35">
      <c r="Q12684" s="1"/>
    </row>
    <row r="12689" spans="17:17" x14ac:dyDescent="0.35">
      <c r="Q12689" s="1"/>
    </row>
    <row r="12691" spans="17:17" x14ac:dyDescent="0.35">
      <c r="Q12691" s="1"/>
    </row>
    <row r="12692" spans="17:17" x14ac:dyDescent="0.35">
      <c r="Q12692" s="1"/>
    </row>
    <row r="12693" spans="17:17" x14ac:dyDescent="0.35">
      <c r="Q12693" s="1"/>
    </row>
    <row r="12698" spans="17:17" x14ac:dyDescent="0.35">
      <c r="Q12698" s="1"/>
    </row>
    <row r="12701" spans="17:17" x14ac:dyDescent="0.35">
      <c r="Q12701" s="1"/>
    </row>
    <row r="12706" spans="17:17" x14ac:dyDescent="0.35">
      <c r="Q12706" s="1"/>
    </row>
    <row r="12710" spans="17:17" x14ac:dyDescent="0.35">
      <c r="Q12710" s="1"/>
    </row>
    <row r="12714" spans="17:17" x14ac:dyDescent="0.35">
      <c r="Q12714" s="1"/>
    </row>
    <row r="12720" spans="17:17" x14ac:dyDescent="0.35">
      <c r="Q12720" s="1"/>
    </row>
    <row r="12721" spans="17:17" x14ac:dyDescent="0.35">
      <c r="Q12721" s="1"/>
    </row>
    <row r="12726" spans="17:17" x14ac:dyDescent="0.35">
      <c r="Q12726" s="1"/>
    </row>
    <row r="12728" spans="17:17" x14ac:dyDescent="0.35">
      <c r="Q12728" s="1"/>
    </row>
    <row r="12730" spans="17:17" x14ac:dyDescent="0.35">
      <c r="Q12730" s="1"/>
    </row>
    <row r="12736" spans="17:17" x14ac:dyDescent="0.35">
      <c r="Q12736" s="1"/>
    </row>
    <row r="12738" spans="17:17" x14ac:dyDescent="0.35">
      <c r="Q12738" s="1"/>
    </row>
    <row r="12741" spans="17:17" x14ac:dyDescent="0.35">
      <c r="Q12741" s="1"/>
    </row>
    <row r="12754" spans="17:17" x14ac:dyDescent="0.35">
      <c r="Q12754" s="1"/>
    </row>
    <row r="12756" spans="17:17" x14ac:dyDescent="0.35">
      <c r="Q12756" s="1"/>
    </row>
    <row r="12771" spans="17:17" x14ac:dyDescent="0.35">
      <c r="Q12771" s="1"/>
    </row>
    <row r="12772" spans="17:17" x14ac:dyDescent="0.35">
      <c r="Q12772" s="1"/>
    </row>
    <row r="12775" spans="17:17" x14ac:dyDescent="0.35">
      <c r="Q12775" s="1"/>
    </row>
    <row r="12776" spans="17:17" x14ac:dyDescent="0.35">
      <c r="Q12776" s="1"/>
    </row>
    <row r="12785" spans="17:17" x14ac:dyDescent="0.35">
      <c r="Q12785" s="1"/>
    </row>
    <row r="12786" spans="17:17" x14ac:dyDescent="0.35">
      <c r="Q12786" s="1"/>
    </row>
    <row r="12790" spans="17:17" x14ac:dyDescent="0.35">
      <c r="Q12790" s="1"/>
    </row>
    <row r="12793" spans="17:17" x14ac:dyDescent="0.35">
      <c r="Q12793" s="1"/>
    </row>
    <row r="12794" spans="17:17" x14ac:dyDescent="0.35">
      <c r="Q12794" s="1"/>
    </row>
    <row r="12798" spans="17:17" x14ac:dyDescent="0.35">
      <c r="Q12798" s="1"/>
    </row>
    <row r="12801" spans="17:17" x14ac:dyDescent="0.35">
      <c r="Q12801" s="1"/>
    </row>
    <row r="12804" spans="17:17" x14ac:dyDescent="0.35">
      <c r="Q12804" s="1"/>
    </row>
    <row r="12809" spans="17:17" x14ac:dyDescent="0.35">
      <c r="Q12809" s="1"/>
    </row>
    <row r="12814" spans="17:17" x14ac:dyDescent="0.35">
      <c r="Q12814" s="1"/>
    </row>
    <row r="12815" spans="17:17" x14ac:dyDescent="0.35">
      <c r="Q12815" s="1"/>
    </row>
    <row r="12827" spans="17:17" x14ac:dyDescent="0.35">
      <c r="Q12827" s="1"/>
    </row>
    <row r="12829" spans="17:17" x14ac:dyDescent="0.35">
      <c r="Q12829" s="1"/>
    </row>
    <row r="12834" spans="17:17" x14ac:dyDescent="0.35">
      <c r="Q12834" s="1"/>
    </row>
    <row r="12835" spans="17:17" x14ac:dyDescent="0.35">
      <c r="Q12835" s="1"/>
    </row>
    <row r="12836" spans="17:17" x14ac:dyDescent="0.35">
      <c r="Q12836" s="1"/>
    </row>
    <row r="12841" spans="17:17" x14ac:dyDescent="0.35">
      <c r="Q12841" s="1"/>
    </row>
    <row r="12853" spans="17:17" x14ac:dyDescent="0.35">
      <c r="Q12853" s="1"/>
    </row>
    <row r="12860" spans="17:17" x14ac:dyDescent="0.35">
      <c r="Q12860" s="1"/>
    </row>
    <row r="12864" spans="17:17" x14ac:dyDescent="0.35">
      <c r="Q12864" s="1"/>
    </row>
    <row r="12866" spans="17:17" x14ac:dyDescent="0.35">
      <c r="Q12866" s="1"/>
    </row>
    <row r="12873" spans="17:17" x14ac:dyDescent="0.35">
      <c r="Q12873" s="1"/>
    </row>
    <row r="12876" spans="17:17" x14ac:dyDescent="0.35">
      <c r="Q12876" s="1"/>
    </row>
    <row r="12880" spans="17:17" x14ac:dyDescent="0.35">
      <c r="Q12880" s="1"/>
    </row>
    <row r="12891" spans="17:17" x14ac:dyDescent="0.35">
      <c r="Q12891" s="1"/>
    </row>
    <row r="12897" spans="17:17" x14ac:dyDescent="0.35">
      <c r="Q12897" s="1"/>
    </row>
    <row r="12898" spans="17:17" x14ac:dyDescent="0.35">
      <c r="Q12898" s="1"/>
    </row>
    <row r="12911" spans="17:17" x14ac:dyDescent="0.35">
      <c r="Q12911" s="1"/>
    </row>
    <row r="12919" spans="17:17" x14ac:dyDescent="0.35">
      <c r="Q12919" s="1"/>
    </row>
    <row r="12926" spans="17:17" x14ac:dyDescent="0.35">
      <c r="Q12926" s="1"/>
    </row>
    <row r="12946" spans="17:17" x14ac:dyDescent="0.35">
      <c r="Q12946" s="1"/>
    </row>
    <row r="12952" spans="17:17" x14ac:dyDescent="0.35">
      <c r="Q12952" s="1"/>
    </row>
    <row r="12953" spans="17:17" x14ac:dyDescent="0.35">
      <c r="Q12953" s="1"/>
    </row>
    <row r="12955" spans="17:17" x14ac:dyDescent="0.35">
      <c r="Q12955" s="1"/>
    </row>
    <row r="12959" spans="17:17" x14ac:dyDescent="0.35">
      <c r="Q12959" s="1"/>
    </row>
    <row r="12966" spans="17:17" x14ac:dyDescent="0.35">
      <c r="Q12966" s="1"/>
    </row>
    <row r="12971" spans="17:17" x14ac:dyDescent="0.35">
      <c r="Q12971" s="1"/>
    </row>
    <row r="12976" spans="17:17" x14ac:dyDescent="0.35">
      <c r="Q12976" s="1"/>
    </row>
    <row r="12982" spans="17:17" x14ac:dyDescent="0.35">
      <c r="Q12982" s="1"/>
    </row>
    <row r="12987" spans="17:17" x14ac:dyDescent="0.35">
      <c r="Q12987" s="1"/>
    </row>
    <row r="12994" spans="17:17" x14ac:dyDescent="0.35">
      <c r="Q12994" s="1"/>
    </row>
    <row r="12996" spans="17:17" x14ac:dyDescent="0.35">
      <c r="Q12996" s="1"/>
    </row>
    <row r="13000" spans="17:17" x14ac:dyDescent="0.35">
      <c r="Q13000" s="1"/>
    </row>
    <row r="13003" spans="17:17" x14ac:dyDescent="0.35">
      <c r="Q13003" s="1"/>
    </row>
    <row r="13016" spans="16:17" x14ac:dyDescent="0.35">
      <c r="P13016" s="1"/>
    </row>
    <row r="13017" spans="16:17" x14ac:dyDescent="0.35">
      <c r="P13017" s="1"/>
    </row>
    <row r="13019" spans="16:17" x14ac:dyDescent="0.35">
      <c r="Q13019" s="1"/>
    </row>
    <row r="13026" spans="16:17" x14ac:dyDescent="0.35">
      <c r="Q13026" s="1"/>
    </row>
    <row r="13028" spans="16:17" x14ac:dyDescent="0.35">
      <c r="Q13028" s="1"/>
    </row>
    <row r="13031" spans="16:17" x14ac:dyDescent="0.35">
      <c r="P13031" s="1"/>
    </row>
    <row r="13033" spans="16:17" x14ac:dyDescent="0.35">
      <c r="P13033" s="1"/>
    </row>
    <row r="13035" spans="16:17" x14ac:dyDescent="0.35">
      <c r="P13035" s="1"/>
    </row>
    <row r="13037" spans="16:17" x14ac:dyDescent="0.35">
      <c r="Q13037" s="1"/>
    </row>
    <row r="13042" spans="17:17" x14ac:dyDescent="0.35">
      <c r="Q13042" s="1"/>
    </row>
    <row r="13044" spans="17:17" x14ac:dyDescent="0.35">
      <c r="Q13044" s="1"/>
    </row>
    <row r="13066" spans="17:17" x14ac:dyDescent="0.35">
      <c r="Q13066" s="1"/>
    </row>
    <row r="13075" spans="16:16" x14ac:dyDescent="0.35">
      <c r="P13075" s="1"/>
    </row>
    <row r="13096" spans="16:16" x14ac:dyDescent="0.35">
      <c r="P13096" s="1"/>
    </row>
    <row r="13106" spans="16:17" x14ac:dyDescent="0.35">
      <c r="Q13106" s="1"/>
    </row>
    <row r="13108" spans="16:17" x14ac:dyDescent="0.35">
      <c r="P13108" s="1"/>
    </row>
    <row r="13113" spans="16:17" x14ac:dyDescent="0.35">
      <c r="Q13113" s="1"/>
    </row>
    <row r="13130" spans="17:17" x14ac:dyDescent="0.35">
      <c r="Q13130" s="1"/>
    </row>
    <row r="13132" spans="17:17" x14ac:dyDescent="0.35">
      <c r="Q13132" s="1"/>
    </row>
    <row r="13133" spans="17:17" x14ac:dyDescent="0.35">
      <c r="Q13133" s="1"/>
    </row>
    <row r="13139" spans="16:17" x14ac:dyDescent="0.35">
      <c r="Q13139" s="1"/>
    </row>
    <row r="13151" spans="16:17" x14ac:dyDescent="0.35">
      <c r="P13151" s="1"/>
    </row>
    <row r="13156" spans="16:17" x14ac:dyDescent="0.35">
      <c r="P13156" s="1"/>
    </row>
    <row r="13157" spans="16:17" x14ac:dyDescent="0.35">
      <c r="P13157" s="1"/>
    </row>
    <row r="13163" spans="16:17" x14ac:dyDescent="0.35">
      <c r="Q13163" s="1"/>
    </row>
    <row r="13166" spans="16:17" x14ac:dyDescent="0.35">
      <c r="P13166" s="1"/>
    </row>
    <row r="13167" spans="16:17" x14ac:dyDescent="0.35">
      <c r="Q13167" s="1"/>
    </row>
    <row r="13170" spans="16:17" x14ac:dyDescent="0.35">
      <c r="P13170" s="1"/>
    </row>
    <row r="13171" spans="16:17" x14ac:dyDescent="0.35">
      <c r="Q13171" s="1"/>
    </row>
    <row r="13174" spans="16:17" x14ac:dyDescent="0.35">
      <c r="Q13174" s="1"/>
    </row>
    <row r="13181" spans="16:17" x14ac:dyDescent="0.35">
      <c r="P13181" s="1"/>
    </row>
    <row r="13188" spans="17:17" x14ac:dyDescent="0.35">
      <c r="Q13188" s="1"/>
    </row>
    <row r="13209" spans="16:16" x14ac:dyDescent="0.35">
      <c r="P13209" s="1"/>
    </row>
    <row r="13224" spans="16:16" x14ac:dyDescent="0.35">
      <c r="P13224" s="1"/>
    </row>
    <row r="13227" spans="16:16" x14ac:dyDescent="0.35">
      <c r="P13227" s="1"/>
    </row>
    <row r="13235" spans="16:16" x14ac:dyDescent="0.35">
      <c r="P13235" s="1"/>
    </row>
    <row r="13237" spans="16:16" x14ac:dyDescent="0.35">
      <c r="P13237" s="1"/>
    </row>
    <row r="13255" spans="16:17" x14ac:dyDescent="0.35">
      <c r="P13255" s="1"/>
    </row>
    <row r="13260" spans="16:17" x14ac:dyDescent="0.35">
      <c r="Q13260" s="1"/>
    </row>
    <row r="13262" spans="16:17" x14ac:dyDescent="0.35">
      <c r="P13262" s="1"/>
    </row>
    <row r="13265" spans="5:17" x14ac:dyDescent="0.35">
      <c r="E13265" s="6"/>
    </row>
    <row r="13273" spans="5:17" x14ac:dyDescent="0.35">
      <c r="P13273" s="1"/>
    </row>
    <row r="13275" spans="5:17" x14ac:dyDescent="0.35">
      <c r="Q13275" s="1"/>
    </row>
    <row r="13297" spans="17:17" x14ac:dyDescent="0.35">
      <c r="Q13297" s="1"/>
    </row>
    <row r="13317" spans="16:17" x14ac:dyDescent="0.35">
      <c r="P13317" s="1"/>
    </row>
    <row r="13320" spans="16:17" x14ac:dyDescent="0.35">
      <c r="Q13320" s="1"/>
    </row>
    <row r="13325" spans="16:17" x14ac:dyDescent="0.35">
      <c r="P13325" s="1"/>
    </row>
    <row r="13328" spans="16:17" x14ac:dyDescent="0.35">
      <c r="P13328" s="1"/>
    </row>
    <row r="13329" spans="16:16" x14ac:dyDescent="0.35">
      <c r="P13329" s="1"/>
    </row>
    <row r="13335" spans="16:16" x14ac:dyDescent="0.35">
      <c r="P13335" s="1"/>
    </row>
    <row r="13345" spans="16:17" x14ac:dyDescent="0.35">
      <c r="P13345" s="1"/>
    </row>
    <row r="13355" spans="16:17" x14ac:dyDescent="0.35">
      <c r="Q13355" s="1"/>
    </row>
    <row r="13357" spans="16:17" x14ac:dyDescent="0.35">
      <c r="P13357" s="1"/>
    </row>
    <row r="13369" spans="17:17" x14ac:dyDescent="0.35">
      <c r="Q13369" s="1"/>
    </row>
    <row r="13371" spans="17:17" x14ac:dyDescent="0.35">
      <c r="Q13371" s="1"/>
    </row>
    <row r="13373" spans="17:17" x14ac:dyDescent="0.35">
      <c r="Q13373" s="1"/>
    </row>
    <row r="13383" spans="16:17" x14ac:dyDescent="0.35">
      <c r="P13383" s="1"/>
    </row>
    <row r="13385" spans="16:17" x14ac:dyDescent="0.35">
      <c r="P13385" s="1"/>
    </row>
    <row r="13386" spans="16:17" x14ac:dyDescent="0.35">
      <c r="Q13386" s="1"/>
    </row>
    <row r="13392" spans="16:17" x14ac:dyDescent="0.35">
      <c r="P13392" s="1"/>
    </row>
    <row r="13401" spans="17:17" x14ac:dyDescent="0.35">
      <c r="Q13401" s="1"/>
    </row>
    <row r="13415" spans="16:16" x14ac:dyDescent="0.35">
      <c r="P13415" s="1"/>
    </row>
    <row r="13424" spans="16:16" x14ac:dyDescent="0.35">
      <c r="P13424" s="1"/>
    </row>
    <row r="13432" spans="16:17" x14ac:dyDescent="0.35">
      <c r="P13432" s="1"/>
    </row>
    <row r="13437" spans="16:17" x14ac:dyDescent="0.35">
      <c r="Q13437" s="1"/>
    </row>
    <row r="13440" spans="16:17" x14ac:dyDescent="0.35">
      <c r="Q13440" s="1"/>
    </row>
    <row r="13452" spans="16:17" x14ac:dyDescent="0.35">
      <c r="Q13452" s="1"/>
    </row>
    <row r="13456" spans="16:17" x14ac:dyDescent="0.35">
      <c r="P13456" s="1"/>
    </row>
    <row r="13462" spans="16:16" x14ac:dyDescent="0.35">
      <c r="P13462" s="1"/>
    </row>
    <row r="13464" spans="16:16" x14ac:dyDescent="0.35">
      <c r="P13464" s="1"/>
    </row>
    <row r="13465" spans="16:16" x14ac:dyDescent="0.35">
      <c r="P13465" s="1"/>
    </row>
    <row r="13472" spans="16:16" x14ac:dyDescent="0.35">
      <c r="P13472" s="1"/>
    </row>
    <row r="13477" spans="16:16" x14ac:dyDescent="0.35">
      <c r="P13477" s="1"/>
    </row>
    <row r="13500" spans="16:16" x14ac:dyDescent="0.35">
      <c r="P13500" s="1"/>
    </row>
    <row r="13521" spans="16:17" x14ac:dyDescent="0.35">
      <c r="Q13521" s="1"/>
    </row>
    <row r="13527" spans="16:17" x14ac:dyDescent="0.35">
      <c r="P13527" s="1"/>
    </row>
    <row r="13530" spans="16:17" x14ac:dyDescent="0.35">
      <c r="Q13530" s="1"/>
    </row>
    <row r="13548" spans="17:17" x14ac:dyDescent="0.35">
      <c r="Q13548" s="1"/>
    </row>
    <row r="13550" spans="17:17" x14ac:dyDescent="0.35">
      <c r="Q13550" s="1"/>
    </row>
    <row r="13554" spans="16:16" x14ac:dyDescent="0.35">
      <c r="P13554" s="1"/>
    </row>
    <row r="13559" spans="16:16" x14ac:dyDescent="0.35">
      <c r="P13559" s="1"/>
    </row>
    <row r="13560" spans="16:16" x14ac:dyDescent="0.35">
      <c r="P13560" s="1"/>
    </row>
    <row r="13563" spans="16:16" x14ac:dyDescent="0.35">
      <c r="P13563" s="1"/>
    </row>
    <row r="13568" spans="16:16" x14ac:dyDescent="0.35">
      <c r="P13568" s="1"/>
    </row>
    <row r="13569" spans="5:16" x14ac:dyDescent="0.35">
      <c r="E13569" s="6"/>
    </row>
    <row r="13581" spans="5:16" x14ac:dyDescent="0.35">
      <c r="P13581" s="1"/>
    </row>
    <row r="13598" spans="17:17" x14ac:dyDescent="0.35">
      <c r="Q13598" s="1"/>
    </row>
    <row r="13607" spans="16:16" x14ac:dyDescent="0.35">
      <c r="P13607" s="1"/>
    </row>
    <row r="13619" spans="16:16" x14ac:dyDescent="0.35">
      <c r="P13619" s="1"/>
    </row>
    <row r="13644" spans="16:16" x14ac:dyDescent="0.35">
      <c r="P13644" s="1"/>
    </row>
    <row r="13647" spans="16:16" x14ac:dyDescent="0.35">
      <c r="P13647" s="1"/>
    </row>
    <row r="13649" spans="16:16" x14ac:dyDescent="0.35">
      <c r="P13649" s="1"/>
    </row>
    <row r="13656" spans="16:16" x14ac:dyDescent="0.35">
      <c r="P13656" s="1"/>
    </row>
    <row r="13664" spans="16:16" x14ac:dyDescent="0.35">
      <c r="P13664" s="1"/>
    </row>
    <row r="13686" spans="16:16" x14ac:dyDescent="0.35">
      <c r="P13686" s="1"/>
    </row>
    <row r="13691" spans="16:16" x14ac:dyDescent="0.35">
      <c r="P13691" s="1"/>
    </row>
    <row r="13711" spans="17:17" x14ac:dyDescent="0.35">
      <c r="Q13711" s="1"/>
    </row>
    <row r="13719" spans="16:16" x14ac:dyDescent="0.35">
      <c r="P13719" s="1"/>
    </row>
    <row r="13723" spans="16:16" x14ac:dyDescent="0.35">
      <c r="P13723" s="1"/>
    </row>
    <row r="13724" spans="16:16" x14ac:dyDescent="0.35">
      <c r="P13724" s="1"/>
    </row>
    <row r="13729" spans="16:17" x14ac:dyDescent="0.35">
      <c r="P13729" s="1"/>
    </row>
    <row r="13733" spans="16:17" x14ac:dyDescent="0.35">
      <c r="Q13733" s="1"/>
    </row>
    <row r="13734" spans="16:17" x14ac:dyDescent="0.35">
      <c r="P13734" s="1"/>
    </row>
    <row r="13764" spans="16:17" x14ac:dyDescent="0.35">
      <c r="P13764" s="1"/>
    </row>
    <row r="13765" spans="16:17" x14ac:dyDescent="0.35">
      <c r="P13765" s="1"/>
    </row>
    <row r="13768" spans="16:17" x14ac:dyDescent="0.35">
      <c r="Q13768" s="1"/>
    </row>
    <row r="13777" spans="16:17" x14ac:dyDescent="0.35">
      <c r="Q13777" s="1"/>
    </row>
    <row r="13781" spans="16:17" x14ac:dyDescent="0.35">
      <c r="Q13781" s="1"/>
    </row>
    <row r="13785" spans="16:17" x14ac:dyDescent="0.35">
      <c r="P13785" s="1"/>
    </row>
    <row r="13793" spans="16:17" x14ac:dyDescent="0.35">
      <c r="Q13793" s="1"/>
    </row>
    <row r="13796" spans="16:17" x14ac:dyDescent="0.35">
      <c r="P13796" s="1"/>
    </row>
    <row r="13804" spans="16:17" x14ac:dyDescent="0.35">
      <c r="Q13804" s="1"/>
    </row>
    <row r="13805" spans="16:17" x14ac:dyDescent="0.35">
      <c r="P13805" s="1"/>
    </row>
    <row r="13810" spans="16:17" x14ac:dyDescent="0.35">
      <c r="P13810" s="1"/>
    </row>
    <row r="13815" spans="16:17" x14ac:dyDescent="0.35">
      <c r="Q13815" s="1"/>
    </row>
    <row r="13830" spans="16:17" x14ac:dyDescent="0.35">
      <c r="P13830" s="1"/>
    </row>
    <row r="13836" spans="16:17" x14ac:dyDescent="0.35">
      <c r="Q13836" s="1"/>
    </row>
    <row r="13842" spans="16:17" x14ac:dyDescent="0.35">
      <c r="Q13842" s="1"/>
    </row>
    <row r="13844" spans="16:17" x14ac:dyDescent="0.35">
      <c r="P13844" s="1"/>
    </row>
    <row r="13847" spans="16:17" x14ac:dyDescent="0.35">
      <c r="P13847" s="1"/>
    </row>
    <row r="13867" spans="16:16" x14ac:dyDescent="0.35">
      <c r="P13867" s="1"/>
    </row>
    <row r="13885" spans="17:17" x14ac:dyDescent="0.35">
      <c r="Q13885" s="1"/>
    </row>
    <row r="13890" spans="16:17" x14ac:dyDescent="0.35">
      <c r="P13890" s="1"/>
    </row>
    <row r="13896" spans="16:17" x14ac:dyDescent="0.35">
      <c r="P13896" s="1"/>
    </row>
    <row r="13899" spans="16:17" x14ac:dyDescent="0.35">
      <c r="Q13899" s="1"/>
    </row>
    <row r="13914" spans="17:17" x14ac:dyDescent="0.35">
      <c r="Q13914" s="1"/>
    </row>
    <row r="13916" spans="17:17" x14ac:dyDescent="0.35">
      <c r="Q13916" s="1"/>
    </row>
    <row r="13925" spans="5:17" x14ac:dyDescent="0.35">
      <c r="E13925" s="6"/>
    </row>
    <row r="13928" spans="5:17" x14ac:dyDescent="0.35">
      <c r="Q13928" s="1"/>
    </row>
    <row r="13932" spans="5:17" x14ac:dyDescent="0.35">
      <c r="P13932" s="1"/>
    </row>
    <row r="13935" spans="5:17" x14ac:dyDescent="0.35">
      <c r="Q13935" s="1"/>
    </row>
    <row r="13936" spans="5:17" x14ac:dyDescent="0.35">
      <c r="Q13936" s="1"/>
    </row>
    <row r="13941" spans="16:17" x14ac:dyDescent="0.35">
      <c r="Q13941" s="1"/>
    </row>
    <row r="13946" spans="16:17" x14ac:dyDescent="0.35">
      <c r="P13946" s="1"/>
    </row>
    <row r="13960" spans="16:17" x14ac:dyDescent="0.35">
      <c r="Q13960" s="1"/>
    </row>
    <row r="13963" spans="16:17" x14ac:dyDescent="0.35">
      <c r="P13963" s="1"/>
    </row>
    <row r="13975" spans="5:17" x14ac:dyDescent="0.35">
      <c r="Q13975" s="1"/>
    </row>
    <row r="13980" spans="5:17" x14ac:dyDescent="0.35">
      <c r="E13980" s="6"/>
    </row>
    <row r="13984" spans="5:17" x14ac:dyDescent="0.35">
      <c r="P13984" s="1"/>
    </row>
    <row r="13989" spans="16:16" x14ac:dyDescent="0.35">
      <c r="P13989" s="1"/>
    </row>
    <row r="13994" spans="16:16" x14ac:dyDescent="0.35">
      <c r="P13994" s="1"/>
    </row>
    <row r="14001" spans="16:17" x14ac:dyDescent="0.35">
      <c r="P14001" s="1"/>
    </row>
    <row r="14003" spans="16:17" x14ac:dyDescent="0.35">
      <c r="Q14003" s="1"/>
    </row>
    <row r="14005" spans="16:17" x14ac:dyDescent="0.35">
      <c r="Q14005" s="1"/>
    </row>
    <row r="14006" spans="16:17" x14ac:dyDescent="0.35">
      <c r="Q14006" s="1"/>
    </row>
    <row r="14007" spans="16:17" x14ac:dyDescent="0.35">
      <c r="Q14007" s="1"/>
    </row>
    <row r="14008" spans="16:17" x14ac:dyDescent="0.35">
      <c r="Q14008" s="1"/>
    </row>
    <row r="14011" spans="16:17" x14ac:dyDescent="0.35">
      <c r="Q14011" s="1"/>
    </row>
    <row r="14012" spans="16:17" x14ac:dyDescent="0.35">
      <c r="Q14012" s="1"/>
    </row>
    <row r="14013" spans="16:17" x14ac:dyDescent="0.35">
      <c r="Q14013" s="1"/>
    </row>
    <row r="14015" spans="16:17" x14ac:dyDescent="0.35">
      <c r="Q14015" s="1"/>
    </row>
    <row r="14030" spans="17:17" x14ac:dyDescent="0.35">
      <c r="Q14030" s="1"/>
    </row>
    <row r="14035" spans="17:17" x14ac:dyDescent="0.35">
      <c r="Q14035" s="1"/>
    </row>
    <row r="14038" spans="17:17" x14ac:dyDescent="0.35">
      <c r="Q14038" s="1"/>
    </row>
    <row r="14050" spans="17:17" x14ac:dyDescent="0.35">
      <c r="Q14050" s="1"/>
    </row>
    <row r="14054" spans="17:17" x14ac:dyDescent="0.35">
      <c r="Q14054" s="1"/>
    </row>
    <row r="14055" spans="17:17" x14ac:dyDescent="0.35">
      <c r="Q14055" s="1"/>
    </row>
    <row r="14059" spans="17:17" x14ac:dyDescent="0.35">
      <c r="Q14059" s="1"/>
    </row>
    <row r="14060" spans="17:17" x14ac:dyDescent="0.35">
      <c r="Q14060" s="1"/>
    </row>
    <row r="14061" spans="17:17" x14ac:dyDescent="0.35">
      <c r="Q14061" s="1"/>
    </row>
    <row r="14063" spans="17:17" x14ac:dyDescent="0.35">
      <c r="Q14063" s="1"/>
    </row>
    <row r="14065" spans="17:17" x14ac:dyDescent="0.35">
      <c r="Q14065" s="1"/>
    </row>
    <row r="14070" spans="17:17" x14ac:dyDescent="0.35">
      <c r="Q14070" s="1"/>
    </row>
    <row r="14073" spans="17:17" x14ac:dyDescent="0.35">
      <c r="Q14073" s="1"/>
    </row>
    <row r="14076" spans="17:17" x14ac:dyDescent="0.35">
      <c r="Q14076" s="1"/>
    </row>
    <row r="14082" spans="17:17" x14ac:dyDescent="0.35">
      <c r="Q14082" s="1"/>
    </row>
    <row r="14084" spans="17:17" x14ac:dyDescent="0.35">
      <c r="Q14084" s="1"/>
    </row>
    <row r="14089" spans="17:17" x14ac:dyDescent="0.35">
      <c r="Q14089" s="1"/>
    </row>
    <row r="14090" spans="17:17" x14ac:dyDescent="0.35">
      <c r="Q14090" s="1"/>
    </row>
    <row r="14094" spans="17:17" x14ac:dyDescent="0.35">
      <c r="Q14094" s="1"/>
    </row>
    <row r="14108" spans="17:17" x14ac:dyDescent="0.35">
      <c r="Q14108" s="1"/>
    </row>
    <row r="14112" spans="17:17" x14ac:dyDescent="0.35">
      <c r="Q14112" s="1"/>
    </row>
    <row r="14113" spans="17:17" x14ac:dyDescent="0.35">
      <c r="Q14113" s="1"/>
    </row>
    <row r="14116" spans="17:17" x14ac:dyDescent="0.35">
      <c r="Q14116" s="1"/>
    </row>
    <row r="14118" spans="17:17" x14ac:dyDescent="0.35">
      <c r="Q14118" s="1"/>
    </row>
    <row r="14124" spans="17:17" x14ac:dyDescent="0.35">
      <c r="Q14124" s="1"/>
    </row>
    <row r="14128" spans="17:17" x14ac:dyDescent="0.35">
      <c r="Q14128" s="1"/>
    </row>
    <row r="14130" spans="17:17" x14ac:dyDescent="0.35">
      <c r="Q14130" s="1"/>
    </row>
    <row r="14131" spans="17:17" x14ac:dyDescent="0.35">
      <c r="Q14131" s="1"/>
    </row>
    <row r="14142" spans="17:17" x14ac:dyDescent="0.35">
      <c r="Q14142" s="1"/>
    </row>
    <row r="14143" spans="17:17" x14ac:dyDescent="0.35">
      <c r="Q14143" s="1"/>
    </row>
    <row r="14145" spans="17:17" x14ac:dyDescent="0.35">
      <c r="Q14145" s="1"/>
    </row>
    <row r="14149" spans="17:17" x14ac:dyDescent="0.35">
      <c r="Q14149" s="1"/>
    </row>
    <row r="14154" spans="17:17" x14ac:dyDescent="0.35">
      <c r="Q14154" s="1"/>
    </row>
    <row r="14159" spans="17:17" x14ac:dyDescent="0.35">
      <c r="Q14159" s="1"/>
    </row>
    <row r="14160" spans="17:17" x14ac:dyDescent="0.35">
      <c r="Q14160" s="1"/>
    </row>
    <row r="14161" spans="17:17" x14ac:dyDescent="0.35">
      <c r="Q14161" s="1"/>
    </row>
    <row r="14163" spans="17:17" x14ac:dyDescent="0.35">
      <c r="Q14163" s="1"/>
    </row>
    <row r="14164" spans="17:17" x14ac:dyDescent="0.35">
      <c r="Q14164" s="1"/>
    </row>
    <row r="14169" spans="17:17" x14ac:dyDescent="0.35">
      <c r="Q14169" s="1"/>
    </row>
    <row r="14170" spans="17:17" x14ac:dyDescent="0.35">
      <c r="Q14170" s="1"/>
    </row>
    <row r="14171" spans="17:17" x14ac:dyDescent="0.35">
      <c r="Q14171" s="1"/>
    </row>
    <row r="14174" spans="17:17" x14ac:dyDescent="0.35">
      <c r="Q14174" s="1"/>
    </row>
    <row r="14178" spans="17:17" x14ac:dyDescent="0.35">
      <c r="Q14178" s="1"/>
    </row>
    <row r="14179" spans="17:17" x14ac:dyDescent="0.35">
      <c r="Q14179" s="1"/>
    </row>
    <row r="14183" spans="17:17" x14ac:dyDescent="0.35">
      <c r="Q14183" s="1"/>
    </row>
    <row r="14187" spans="17:17" x14ac:dyDescent="0.35">
      <c r="Q14187" s="1"/>
    </row>
    <row r="14198" spans="17:17" x14ac:dyDescent="0.35">
      <c r="Q14198" s="1"/>
    </row>
    <row r="14202" spans="17:17" x14ac:dyDescent="0.35">
      <c r="Q14202" s="1"/>
    </row>
    <row r="14211" spans="17:17" x14ac:dyDescent="0.35">
      <c r="Q14211" s="1"/>
    </row>
    <row r="14215" spans="17:17" x14ac:dyDescent="0.35">
      <c r="Q14215" s="1"/>
    </row>
    <row r="14220" spans="17:17" x14ac:dyDescent="0.35">
      <c r="Q14220" s="1"/>
    </row>
    <row r="14227" spans="17:17" x14ac:dyDescent="0.35">
      <c r="Q14227" s="1"/>
    </row>
    <row r="14231" spans="17:17" x14ac:dyDescent="0.35">
      <c r="Q14231" s="1"/>
    </row>
    <row r="14247" spans="17:17" x14ac:dyDescent="0.35">
      <c r="Q14247" s="1"/>
    </row>
    <row r="14253" spans="17:17" x14ac:dyDescent="0.35">
      <c r="Q14253" s="1"/>
    </row>
    <row r="14264" spans="17:17" x14ac:dyDescent="0.35">
      <c r="Q14264" s="1"/>
    </row>
    <row r="14269" spans="17:17" x14ac:dyDescent="0.35">
      <c r="Q14269" s="1"/>
    </row>
    <row r="14270" spans="17:17" x14ac:dyDescent="0.35">
      <c r="Q14270" s="1"/>
    </row>
    <row r="14278" spans="17:17" x14ac:dyDescent="0.35">
      <c r="Q14278" s="1"/>
    </row>
    <row r="14284" spans="17:17" x14ac:dyDescent="0.35">
      <c r="Q14284" s="1"/>
    </row>
    <row r="14289" spans="17:17" x14ac:dyDescent="0.35">
      <c r="Q14289" s="1"/>
    </row>
    <row r="14290" spans="17:17" x14ac:dyDescent="0.35">
      <c r="Q14290" s="1"/>
    </row>
    <row r="14291" spans="17:17" x14ac:dyDescent="0.35">
      <c r="Q14291" s="1"/>
    </row>
    <row r="14292" spans="17:17" x14ac:dyDescent="0.35">
      <c r="Q14292" s="1"/>
    </row>
    <row r="14294" spans="17:17" x14ac:dyDescent="0.35">
      <c r="Q14294" s="1"/>
    </row>
    <row r="14295" spans="17:17" x14ac:dyDescent="0.35">
      <c r="Q14295" s="1"/>
    </row>
    <row r="14296" spans="17:17" x14ac:dyDescent="0.35">
      <c r="Q14296" s="1"/>
    </row>
    <row r="14297" spans="17:17" x14ac:dyDescent="0.35">
      <c r="Q14297" s="1"/>
    </row>
    <row r="14298" spans="17:17" x14ac:dyDescent="0.35">
      <c r="Q14298" s="1"/>
    </row>
    <row r="14299" spans="17:17" x14ac:dyDescent="0.35">
      <c r="Q14299" s="1"/>
    </row>
    <row r="14300" spans="17:17" x14ac:dyDescent="0.35">
      <c r="Q14300" s="1"/>
    </row>
    <row r="14302" spans="17:17" x14ac:dyDescent="0.35">
      <c r="Q14302" s="1"/>
    </row>
    <row r="14303" spans="17:17" x14ac:dyDescent="0.35">
      <c r="Q14303" s="1"/>
    </row>
    <row r="14304" spans="17:17" x14ac:dyDescent="0.35">
      <c r="Q14304" s="1"/>
    </row>
    <row r="14305" spans="17:17" x14ac:dyDescent="0.35">
      <c r="Q14305" s="1"/>
    </row>
    <row r="14317" spans="17:17" x14ac:dyDescent="0.35">
      <c r="Q14317" s="1"/>
    </row>
    <row r="14318" spans="17:17" x14ac:dyDescent="0.35">
      <c r="Q14318" s="1"/>
    </row>
    <row r="14323" spans="17:17" x14ac:dyDescent="0.35">
      <c r="Q14323" s="1"/>
    </row>
    <row r="14324" spans="17:17" x14ac:dyDescent="0.35">
      <c r="Q14324" s="1"/>
    </row>
    <row r="14327" spans="17:17" x14ac:dyDescent="0.35">
      <c r="Q14327" s="1"/>
    </row>
    <row r="14335" spans="17:17" x14ac:dyDescent="0.35">
      <c r="Q14335" s="1"/>
    </row>
    <row r="14347" spans="17:17" x14ac:dyDescent="0.35">
      <c r="Q14347" s="1"/>
    </row>
    <row r="14348" spans="17:17" x14ac:dyDescent="0.35">
      <c r="Q14348" s="1"/>
    </row>
    <row r="14350" spans="17:17" x14ac:dyDescent="0.35">
      <c r="Q14350" s="1"/>
    </row>
    <row r="14352" spans="17:17" x14ac:dyDescent="0.35">
      <c r="Q14352" s="1"/>
    </row>
    <row r="14363" spans="17:17" x14ac:dyDescent="0.35">
      <c r="Q14363" s="1"/>
    </row>
    <row r="14372" spans="17:17" x14ac:dyDescent="0.35">
      <c r="Q14372" s="1"/>
    </row>
    <row r="14378" spans="17:17" x14ac:dyDescent="0.35">
      <c r="Q14378" s="1"/>
    </row>
    <row r="14379" spans="17:17" x14ac:dyDescent="0.35">
      <c r="Q14379" s="1"/>
    </row>
    <row r="14386" spans="17:17" x14ac:dyDescent="0.35">
      <c r="Q14386" s="1"/>
    </row>
    <row r="14387" spans="17:17" x14ac:dyDescent="0.35">
      <c r="Q14387" s="1"/>
    </row>
    <row r="14399" spans="17:17" x14ac:dyDescent="0.35">
      <c r="Q14399" s="1"/>
    </row>
    <row r="14400" spans="17:17" x14ac:dyDescent="0.35">
      <c r="Q14400" s="1"/>
    </row>
    <row r="14401" spans="17:17" x14ac:dyDescent="0.35">
      <c r="Q14401" s="1"/>
    </row>
    <row r="14402" spans="17:17" x14ac:dyDescent="0.35">
      <c r="Q14402" s="1"/>
    </row>
    <row r="14403" spans="17:17" x14ac:dyDescent="0.35">
      <c r="Q14403" s="1"/>
    </row>
    <row r="14407" spans="17:17" x14ac:dyDescent="0.35">
      <c r="Q14407" s="1"/>
    </row>
    <row r="14421" spans="17:17" x14ac:dyDescent="0.35">
      <c r="Q14421" s="1"/>
    </row>
    <row r="14431" spans="17:17" x14ac:dyDescent="0.35">
      <c r="Q14431" s="1"/>
    </row>
    <row r="14432" spans="17:17" x14ac:dyDescent="0.35">
      <c r="Q14432" s="1"/>
    </row>
    <row r="14434" spans="17:17" x14ac:dyDescent="0.35">
      <c r="Q14434" s="1"/>
    </row>
    <row r="14435" spans="17:17" x14ac:dyDescent="0.35">
      <c r="Q14435" s="1"/>
    </row>
    <row r="14446" spans="17:17" x14ac:dyDescent="0.35">
      <c r="Q14446" s="1"/>
    </row>
    <row r="14450" spans="17:17" x14ac:dyDescent="0.35">
      <c r="Q14450" s="1"/>
    </row>
    <row r="14455" spans="17:17" x14ac:dyDescent="0.35">
      <c r="Q14455" s="1"/>
    </row>
    <row r="14463" spans="17:17" x14ac:dyDescent="0.35">
      <c r="Q14463" s="1"/>
    </row>
    <row r="14469" spans="17:17" x14ac:dyDescent="0.35">
      <c r="Q14469" s="1"/>
    </row>
    <row r="14476" spans="17:17" x14ac:dyDescent="0.35">
      <c r="Q14476" s="1"/>
    </row>
    <row r="14477" spans="17:17" x14ac:dyDescent="0.35">
      <c r="Q14477" s="1"/>
    </row>
    <row r="14482" spans="17:17" x14ac:dyDescent="0.35">
      <c r="Q14482" s="1"/>
    </row>
    <row r="14487" spans="17:17" x14ac:dyDescent="0.35">
      <c r="Q14487" s="1"/>
    </row>
    <row r="14488" spans="17:17" x14ac:dyDescent="0.35">
      <c r="Q14488" s="1"/>
    </row>
    <row r="14489" spans="17:17" x14ac:dyDescent="0.35">
      <c r="Q14489" s="1"/>
    </row>
    <row r="14493" spans="17:17" x14ac:dyDescent="0.35">
      <c r="Q14493" s="1"/>
    </row>
    <row r="14499" spans="17:17" x14ac:dyDescent="0.35">
      <c r="Q14499" s="1"/>
    </row>
    <row r="14500" spans="17:17" x14ac:dyDescent="0.35">
      <c r="Q14500" s="1"/>
    </row>
    <row r="14504" spans="17:17" x14ac:dyDescent="0.35">
      <c r="Q14504" s="1"/>
    </row>
    <row r="14506" spans="17:17" x14ac:dyDescent="0.35">
      <c r="Q14506" s="1"/>
    </row>
    <row r="14507" spans="17:17" x14ac:dyDescent="0.35">
      <c r="Q14507" s="1"/>
    </row>
    <row r="14509" spans="17:17" x14ac:dyDescent="0.35">
      <c r="Q14509" s="1"/>
    </row>
    <row r="14517" spans="16:17" x14ac:dyDescent="0.35">
      <c r="Q14517" s="1"/>
    </row>
    <row r="14518" spans="16:17" x14ac:dyDescent="0.35">
      <c r="Q14518" s="1"/>
    </row>
    <row r="14521" spans="16:17" x14ac:dyDescent="0.35">
      <c r="Q14521" s="1"/>
    </row>
    <row r="14522" spans="16:17" x14ac:dyDescent="0.35">
      <c r="Q14522" s="1"/>
    </row>
    <row r="14524" spans="16:17" x14ac:dyDescent="0.35">
      <c r="P14524" s="1"/>
    </row>
    <row r="14525" spans="16:17" x14ac:dyDescent="0.35">
      <c r="Q14525" s="1"/>
    </row>
    <row r="14529" spans="17:17" x14ac:dyDescent="0.35">
      <c r="Q14529" s="1"/>
    </row>
    <row r="14539" spans="17:17" x14ac:dyDescent="0.35">
      <c r="Q14539" s="1"/>
    </row>
    <row r="14542" spans="17:17" x14ac:dyDescent="0.35">
      <c r="Q14542" s="1"/>
    </row>
    <row r="14544" spans="17:17" x14ac:dyDescent="0.35">
      <c r="Q14544" s="1"/>
    </row>
    <row r="14546" spans="17:17" x14ac:dyDescent="0.35">
      <c r="Q14546" s="1"/>
    </row>
    <row r="14547" spans="17:17" x14ac:dyDescent="0.35">
      <c r="Q14547" s="1"/>
    </row>
    <row r="14548" spans="17:17" x14ac:dyDescent="0.35">
      <c r="Q14548" s="1"/>
    </row>
    <row r="14552" spans="17:17" x14ac:dyDescent="0.35">
      <c r="Q14552" s="1"/>
    </row>
    <row r="14553" spans="17:17" x14ac:dyDescent="0.35">
      <c r="Q14553" s="1"/>
    </row>
    <row r="14556" spans="17:17" x14ac:dyDescent="0.35">
      <c r="Q14556" s="1"/>
    </row>
    <row r="14557" spans="17:17" x14ac:dyDescent="0.35">
      <c r="Q14557" s="1"/>
    </row>
    <row r="14559" spans="17:17" x14ac:dyDescent="0.35">
      <c r="Q14559" s="1"/>
    </row>
    <row r="14562" spans="17:17" x14ac:dyDescent="0.35">
      <c r="Q14562" s="1"/>
    </row>
    <row r="14566" spans="17:17" x14ac:dyDescent="0.35">
      <c r="Q14566" s="1"/>
    </row>
    <row r="14578" spans="17:17" x14ac:dyDescent="0.35">
      <c r="Q14578" s="1"/>
    </row>
    <row r="14581" spans="17:17" x14ac:dyDescent="0.35">
      <c r="Q14581" s="1"/>
    </row>
    <row r="14582" spans="17:17" x14ac:dyDescent="0.35">
      <c r="Q14582" s="1"/>
    </row>
    <row r="14583" spans="17:17" x14ac:dyDescent="0.35">
      <c r="Q14583" s="1"/>
    </row>
    <row r="14584" spans="17:17" x14ac:dyDescent="0.35">
      <c r="Q14584" s="1"/>
    </row>
    <row r="14585" spans="17:17" x14ac:dyDescent="0.35">
      <c r="Q14585" s="1"/>
    </row>
    <row r="14590" spans="17:17" x14ac:dyDescent="0.35">
      <c r="Q14590" s="1"/>
    </row>
    <row r="14591" spans="17:17" x14ac:dyDescent="0.35">
      <c r="Q14591" s="1"/>
    </row>
    <row r="14599" spans="17:17" x14ac:dyDescent="0.35">
      <c r="Q14599" s="1"/>
    </row>
    <row r="14600" spans="17:17" x14ac:dyDescent="0.35">
      <c r="Q14600" s="1"/>
    </row>
    <row r="14609" spans="17:17" x14ac:dyDescent="0.35">
      <c r="Q14609" s="1"/>
    </row>
    <row r="14615" spans="17:17" x14ac:dyDescent="0.35">
      <c r="Q14615" s="1"/>
    </row>
    <row r="14630" spans="17:17" x14ac:dyDescent="0.35">
      <c r="Q14630" s="1"/>
    </row>
    <row r="14634" spans="17:17" x14ac:dyDescent="0.35">
      <c r="Q14634" s="1"/>
    </row>
    <row r="14638" spans="17:17" x14ac:dyDescent="0.35">
      <c r="Q14638" s="1"/>
    </row>
    <row r="14642" spans="17:17" x14ac:dyDescent="0.35">
      <c r="Q14642" s="1"/>
    </row>
    <row r="14643" spans="17:17" x14ac:dyDescent="0.35">
      <c r="Q14643" s="1"/>
    </row>
    <row r="14649" spans="17:17" x14ac:dyDescent="0.35">
      <c r="Q14649" s="1"/>
    </row>
    <row r="14650" spans="17:17" x14ac:dyDescent="0.35">
      <c r="Q14650" s="1"/>
    </row>
    <row r="14657" spans="17:17" x14ac:dyDescent="0.35">
      <c r="Q14657" s="1"/>
    </row>
    <row r="14666" spans="17:17" x14ac:dyDescent="0.35">
      <c r="Q14666" s="1"/>
    </row>
    <row r="14667" spans="17:17" x14ac:dyDescent="0.35">
      <c r="Q14667" s="1"/>
    </row>
    <row r="14669" spans="17:17" x14ac:dyDescent="0.35">
      <c r="Q14669" s="1"/>
    </row>
    <row r="14673" spans="17:17" x14ac:dyDescent="0.35">
      <c r="Q14673" s="1"/>
    </row>
    <row r="14674" spans="17:17" x14ac:dyDescent="0.35">
      <c r="Q14674" s="1"/>
    </row>
    <row r="14677" spans="17:17" x14ac:dyDescent="0.35">
      <c r="Q14677" s="1"/>
    </row>
    <row r="14680" spans="17:17" x14ac:dyDescent="0.35">
      <c r="Q14680" s="1"/>
    </row>
    <row r="14684" spans="17:17" x14ac:dyDescent="0.35">
      <c r="Q14684" s="1"/>
    </row>
    <row r="14690" spans="17:17" x14ac:dyDescent="0.35">
      <c r="Q14690" s="1"/>
    </row>
    <row r="14691" spans="17:17" x14ac:dyDescent="0.35">
      <c r="Q14691" s="1"/>
    </row>
    <row r="14702" spans="17:17" x14ac:dyDescent="0.35">
      <c r="Q14702" s="1"/>
    </row>
    <row r="14705" spans="17:17" x14ac:dyDescent="0.35">
      <c r="Q14705" s="1"/>
    </row>
    <row r="14706" spans="17:17" x14ac:dyDescent="0.35">
      <c r="Q14706" s="1"/>
    </row>
    <row r="14707" spans="17:17" x14ac:dyDescent="0.35">
      <c r="Q14707" s="1"/>
    </row>
    <row r="14719" spans="17:17" x14ac:dyDescent="0.35">
      <c r="Q14719" s="1"/>
    </row>
    <row r="14721" spans="17:17" x14ac:dyDescent="0.35">
      <c r="Q14721" s="1"/>
    </row>
    <row r="14722" spans="17:17" x14ac:dyDescent="0.35">
      <c r="Q14722" s="1"/>
    </row>
    <row r="14723" spans="17:17" x14ac:dyDescent="0.35">
      <c r="Q14723" s="1"/>
    </row>
    <row r="14726" spans="17:17" x14ac:dyDescent="0.35">
      <c r="Q14726" s="1"/>
    </row>
    <row r="14732" spans="17:17" x14ac:dyDescent="0.35">
      <c r="Q14732" s="1"/>
    </row>
    <row r="14733" spans="17:17" x14ac:dyDescent="0.35">
      <c r="Q14733" s="1"/>
    </row>
    <row r="14735" spans="17:17" x14ac:dyDescent="0.35">
      <c r="Q14735" s="1"/>
    </row>
    <row r="14745" spans="17:17" x14ac:dyDescent="0.35">
      <c r="Q14745" s="1"/>
    </row>
    <row r="14759" spans="17:17" x14ac:dyDescent="0.35">
      <c r="Q14759" s="1"/>
    </row>
    <row r="14762" spans="17:17" x14ac:dyDescent="0.35">
      <c r="Q14762" s="1"/>
    </row>
    <row r="14767" spans="17:17" x14ac:dyDescent="0.35">
      <c r="Q14767" s="1"/>
    </row>
    <row r="14769" spans="17:17" x14ac:dyDescent="0.35">
      <c r="Q14769" s="1"/>
    </row>
    <row r="14773" spans="17:17" x14ac:dyDescent="0.35">
      <c r="Q14773" s="1"/>
    </row>
    <row r="14774" spans="17:17" x14ac:dyDescent="0.35">
      <c r="Q14774" s="1"/>
    </row>
    <row r="14778" spans="17:17" x14ac:dyDescent="0.35">
      <c r="Q14778" s="1"/>
    </row>
    <row r="14780" spans="17:17" x14ac:dyDescent="0.35">
      <c r="Q14780" s="1"/>
    </row>
    <row r="14784" spans="17:17" x14ac:dyDescent="0.35">
      <c r="Q14784" s="1"/>
    </row>
    <row r="14787" spans="17:17" x14ac:dyDescent="0.35">
      <c r="Q14787" s="1"/>
    </row>
    <row r="14789" spans="17:17" x14ac:dyDescent="0.35">
      <c r="Q14789" s="1"/>
    </row>
    <row r="14794" spans="17:17" x14ac:dyDescent="0.35">
      <c r="Q14794" s="1"/>
    </row>
    <row r="14802" spans="17:17" x14ac:dyDescent="0.35">
      <c r="Q14802" s="1"/>
    </row>
    <row r="14807" spans="17:17" x14ac:dyDescent="0.35">
      <c r="Q14807" s="1"/>
    </row>
    <row r="14809" spans="17:17" x14ac:dyDescent="0.35">
      <c r="Q14809" s="1"/>
    </row>
    <row r="14817" spans="17:17" x14ac:dyDescent="0.35">
      <c r="Q14817" s="1"/>
    </row>
    <row r="14821" spans="17:17" x14ac:dyDescent="0.35">
      <c r="Q14821" s="1"/>
    </row>
    <row r="14825" spans="17:17" x14ac:dyDescent="0.35">
      <c r="Q14825" s="1"/>
    </row>
    <row r="14830" spans="17:17" x14ac:dyDescent="0.35">
      <c r="Q14830" s="1"/>
    </row>
    <row r="14832" spans="17:17" x14ac:dyDescent="0.35">
      <c r="Q14832" s="1"/>
    </row>
    <row r="14833" spans="17:17" x14ac:dyDescent="0.35">
      <c r="Q14833" s="1"/>
    </row>
    <row r="14836" spans="17:17" x14ac:dyDescent="0.35">
      <c r="Q14836" s="1"/>
    </row>
    <row r="14854" spans="17:17" x14ac:dyDescent="0.35">
      <c r="Q14854" s="1"/>
    </row>
    <row r="14856" spans="17:17" x14ac:dyDescent="0.35">
      <c r="Q14856" s="1"/>
    </row>
    <row r="14859" spans="17:17" x14ac:dyDescent="0.35">
      <c r="Q14859" s="1"/>
    </row>
    <row r="14861" spans="17:17" x14ac:dyDescent="0.35">
      <c r="Q14861" s="1"/>
    </row>
    <row r="14863" spans="17:17" x14ac:dyDescent="0.35">
      <c r="Q14863" s="1"/>
    </row>
    <row r="14864" spans="17:17" x14ac:dyDescent="0.35">
      <c r="Q14864" s="1"/>
    </row>
    <row r="14872" spans="17:17" x14ac:dyDescent="0.35">
      <c r="Q14872" s="1"/>
    </row>
    <row r="14873" spans="17:17" x14ac:dyDescent="0.35">
      <c r="Q14873" s="1"/>
    </row>
    <row r="14877" spans="17:17" x14ac:dyDescent="0.35">
      <c r="Q14877" s="1"/>
    </row>
    <row r="14878" spans="17:17" x14ac:dyDescent="0.35">
      <c r="Q14878" s="1"/>
    </row>
    <row r="14881" spans="17:17" x14ac:dyDescent="0.35">
      <c r="Q14881" s="1"/>
    </row>
    <row r="14884" spans="17:17" x14ac:dyDescent="0.35">
      <c r="Q14884" s="1"/>
    </row>
    <row r="14897" spans="17:17" x14ac:dyDescent="0.35">
      <c r="Q14897" s="1"/>
    </row>
    <row r="14900" spans="17:17" x14ac:dyDescent="0.35">
      <c r="Q14900" s="1"/>
    </row>
    <row r="14901" spans="17:17" x14ac:dyDescent="0.35">
      <c r="Q14901" s="1"/>
    </row>
    <row r="14902" spans="17:17" x14ac:dyDescent="0.35">
      <c r="Q14902" s="1"/>
    </row>
    <row r="14903" spans="17:17" x14ac:dyDescent="0.35">
      <c r="Q14903" s="1"/>
    </row>
    <row r="14904" spans="17:17" x14ac:dyDescent="0.35">
      <c r="Q14904" s="1"/>
    </row>
    <row r="14909" spans="17:17" x14ac:dyDescent="0.35">
      <c r="Q14909" s="1"/>
    </row>
    <row r="14911" spans="17:17" x14ac:dyDescent="0.35">
      <c r="Q14911" s="1"/>
    </row>
    <row r="14913" spans="17:17" x14ac:dyDescent="0.35">
      <c r="Q14913" s="1"/>
    </row>
    <row r="14921" spans="17:17" x14ac:dyDescent="0.35">
      <c r="Q14921" s="1"/>
    </row>
    <row r="14925" spans="17:17" x14ac:dyDescent="0.35">
      <c r="Q14925" s="1"/>
    </row>
    <row r="14927" spans="17:17" x14ac:dyDescent="0.35">
      <c r="Q14927" s="1"/>
    </row>
    <row r="14928" spans="17:17" x14ac:dyDescent="0.35">
      <c r="Q14928" s="1"/>
    </row>
    <row r="14929" spans="17:17" x14ac:dyDescent="0.35">
      <c r="Q14929" s="1"/>
    </row>
    <row r="14934" spans="17:17" x14ac:dyDescent="0.35">
      <c r="Q14934" s="1"/>
    </row>
    <row r="14935" spans="17:17" x14ac:dyDescent="0.35">
      <c r="Q14935" s="1"/>
    </row>
    <row r="14946" spans="17:17" x14ac:dyDescent="0.35">
      <c r="Q14946" s="1"/>
    </row>
    <row r="14951" spans="17:17" x14ac:dyDescent="0.35">
      <c r="Q14951" s="1"/>
    </row>
    <row r="14954" spans="17:17" x14ac:dyDescent="0.35">
      <c r="Q14954" s="1"/>
    </row>
    <row r="14961" spans="17:17" x14ac:dyDescent="0.35">
      <c r="Q14961" s="1"/>
    </row>
    <row r="14963" spans="17:17" x14ac:dyDescent="0.35">
      <c r="Q14963" s="1"/>
    </row>
    <row r="14965" spans="17:17" x14ac:dyDescent="0.35">
      <c r="Q14965" s="1"/>
    </row>
    <row r="14971" spans="17:17" x14ac:dyDescent="0.35">
      <c r="Q14971" s="1"/>
    </row>
    <row r="14980" spans="17:17" x14ac:dyDescent="0.35">
      <c r="Q14980" s="1"/>
    </row>
    <row r="14981" spans="17:17" x14ac:dyDescent="0.35">
      <c r="Q14981" s="1"/>
    </row>
    <row r="14999" spans="6:17" x14ac:dyDescent="0.35">
      <c r="Q14999" s="1"/>
    </row>
    <row r="15005" spans="6:17" x14ac:dyDescent="0.35">
      <c r="F15005" s="7"/>
    </row>
    <row r="15015" spans="17:17" x14ac:dyDescent="0.35">
      <c r="Q15015" s="1"/>
    </row>
    <row r="15029" spans="17:17" x14ac:dyDescent="0.35">
      <c r="Q15029" s="1"/>
    </row>
    <row r="15030" spans="17:17" x14ac:dyDescent="0.35">
      <c r="Q15030" s="1"/>
    </row>
    <row r="15037" spans="17:17" x14ac:dyDescent="0.35">
      <c r="Q15037" s="1"/>
    </row>
    <row r="15040" spans="17:17" x14ac:dyDescent="0.35">
      <c r="Q15040" s="1"/>
    </row>
    <row r="15041" spans="17:17" x14ac:dyDescent="0.35">
      <c r="Q15041" s="1"/>
    </row>
    <row r="15042" spans="17:17" x14ac:dyDescent="0.35">
      <c r="Q15042" s="1"/>
    </row>
    <row r="15046" spans="17:17" x14ac:dyDescent="0.35">
      <c r="Q15046" s="1"/>
    </row>
    <row r="15047" spans="17:17" x14ac:dyDescent="0.35">
      <c r="Q15047" s="1"/>
    </row>
    <row r="15050" spans="17:17" x14ac:dyDescent="0.35">
      <c r="Q15050" s="1"/>
    </row>
    <row r="15051" spans="17:17" x14ac:dyDescent="0.35">
      <c r="Q15051" s="1"/>
    </row>
    <row r="15054" spans="17:17" x14ac:dyDescent="0.35">
      <c r="Q15054" s="1"/>
    </row>
    <row r="15057" spans="17:17" x14ac:dyDescent="0.35">
      <c r="Q15057" s="1"/>
    </row>
    <row r="15063" spans="17:17" x14ac:dyDescent="0.35">
      <c r="Q15063" s="1"/>
    </row>
    <row r="15071" spans="17:17" x14ac:dyDescent="0.35">
      <c r="Q15071" s="1"/>
    </row>
    <row r="15072" spans="17:17" x14ac:dyDescent="0.35">
      <c r="Q15072" s="1"/>
    </row>
    <row r="15077" spans="17:17" x14ac:dyDescent="0.35">
      <c r="Q15077" s="1"/>
    </row>
    <row r="15079" spans="17:17" x14ac:dyDescent="0.35">
      <c r="Q15079" s="1"/>
    </row>
    <row r="15080" spans="17:17" x14ac:dyDescent="0.35">
      <c r="Q15080" s="1"/>
    </row>
    <row r="15082" spans="17:17" x14ac:dyDescent="0.35">
      <c r="Q15082" s="1"/>
    </row>
    <row r="15093" spans="17:17" x14ac:dyDescent="0.35">
      <c r="Q15093" s="1"/>
    </row>
    <row r="15095" spans="17:17" x14ac:dyDescent="0.35">
      <c r="Q15095" s="1"/>
    </row>
    <row r="15096" spans="17:17" x14ac:dyDescent="0.35">
      <c r="Q15096" s="1"/>
    </row>
    <row r="15099" spans="17:17" x14ac:dyDescent="0.35">
      <c r="Q15099" s="1"/>
    </row>
    <row r="15100" spans="17:17" x14ac:dyDescent="0.35">
      <c r="Q15100" s="1"/>
    </row>
    <row r="15102" spans="17:17" x14ac:dyDescent="0.35">
      <c r="Q15102" s="1"/>
    </row>
    <row r="15116" spans="5:17" x14ac:dyDescent="0.35">
      <c r="Q15116" s="1"/>
    </row>
    <row r="15119" spans="5:17" x14ac:dyDescent="0.35">
      <c r="E15119" s="7"/>
      <c r="F15119" s="7"/>
    </row>
    <row r="15122" spans="17:17" x14ac:dyDescent="0.35">
      <c r="Q15122" s="1"/>
    </row>
    <row r="15126" spans="17:17" x14ac:dyDescent="0.35">
      <c r="Q15126" s="1"/>
    </row>
    <row r="15133" spans="17:17" x14ac:dyDescent="0.35">
      <c r="Q15133" s="1"/>
    </row>
    <row r="15139" spans="17:17" x14ac:dyDescent="0.35">
      <c r="Q15139" s="1"/>
    </row>
    <row r="15144" spans="17:17" x14ac:dyDescent="0.35">
      <c r="Q15144" s="1"/>
    </row>
    <row r="15149" spans="17:17" x14ac:dyDescent="0.35">
      <c r="Q15149" s="1"/>
    </row>
    <row r="15153" spans="17:17" x14ac:dyDescent="0.35">
      <c r="Q15153" s="1"/>
    </row>
    <row r="15154" spans="17:17" x14ac:dyDescent="0.35">
      <c r="Q15154" s="1"/>
    </row>
    <row r="15161" spans="17:17" x14ac:dyDescent="0.35">
      <c r="Q15161" s="1"/>
    </row>
    <row r="15163" spans="17:17" x14ac:dyDescent="0.35">
      <c r="Q15163" s="1"/>
    </row>
    <row r="15167" spans="17:17" x14ac:dyDescent="0.35">
      <c r="Q15167" s="1"/>
    </row>
    <row r="15174" spans="17:17" x14ac:dyDescent="0.35">
      <c r="Q15174" s="1"/>
    </row>
    <row r="15181" spans="17:17" x14ac:dyDescent="0.35">
      <c r="Q15181" s="1"/>
    </row>
    <row r="15191" spans="17:17" x14ac:dyDescent="0.35">
      <c r="Q15191" s="1"/>
    </row>
    <row r="15192" spans="17:17" x14ac:dyDescent="0.35">
      <c r="Q15192" s="1"/>
    </row>
    <row r="15194" spans="17:17" x14ac:dyDescent="0.35">
      <c r="Q15194" s="1"/>
    </row>
    <row r="15200" spans="17:17" x14ac:dyDescent="0.35">
      <c r="Q15200" s="1"/>
    </row>
    <row r="15202" spans="17:17" x14ac:dyDescent="0.35">
      <c r="Q15202" s="1"/>
    </row>
    <row r="15204" spans="17:17" x14ac:dyDescent="0.35">
      <c r="Q15204" s="1"/>
    </row>
    <row r="15205" spans="17:17" x14ac:dyDescent="0.35">
      <c r="Q15205" s="1"/>
    </row>
    <row r="15212" spans="17:17" x14ac:dyDescent="0.35">
      <c r="Q15212" s="1"/>
    </row>
    <row r="15219" spans="17:17" x14ac:dyDescent="0.35">
      <c r="Q15219" s="1"/>
    </row>
    <row r="15224" spans="17:17" x14ac:dyDescent="0.35">
      <c r="Q15224" s="1"/>
    </row>
    <row r="15226" spans="17:17" x14ac:dyDescent="0.35">
      <c r="Q15226" s="1"/>
    </row>
    <row r="15232" spans="17:17" x14ac:dyDescent="0.35">
      <c r="Q15232" s="1"/>
    </row>
    <row r="15238" spans="17:17" x14ac:dyDescent="0.35">
      <c r="Q15238" s="1"/>
    </row>
    <row r="15240" spans="17:17" x14ac:dyDescent="0.35">
      <c r="Q15240" s="1"/>
    </row>
    <row r="15244" spans="17:17" x14ac:dyDescent="0.35">
      <c r="Q15244" s="1"/>
    </row>
    <row r="15251" spans="17:17" x14ac:dyDescent="0.35">
      <c r="Q15251" s="1"/>
    </row>
    <row r="15252" spans="17:17" x14ac:dyDescent="0.35">
      <c r="Q15252" s="1"/>
    </row>
    <row r="15259" spans="17:17" x14ac:dyDescent="0.35">
      <c r="Q15259" s="1"/>
    </row>
    <row r="15260" spans="17:17" x14ac:dyDescent="0.35">
      <c r="Q15260" s="1"/>
    </row>
    <row r="15261" spans="17:17" x14ac:dyDescent="0.35">
      <c r="Q15261" s="1"/>
    </row>
    <row r="15275" spans="17:17" x14ac:dyDescent="0.35">
      <c r="Q15275" s="1"/>
    </row>
    <row r="15281" spans="17:17" x14ac:dyDescent="0.35">
      <c r="Q15281" s="1"/>
    </row>
    <row r="15297" spans="17:17" x14ac:dyDescent="0.35">
      <c r="Q15297" s="1"/>
    </row>
    <row r="15298" spans="17:17" x14ac:dyDescent="0.35">
      <c r="Q15298" s="1"/>
    </row>
    <row r="15319" spans="17:17" x14ac:dyDescent="0.35">
      <c r="Q15319" s="1"/>
    </row>
    <row r="15331" spans="17:17" x14ac:dyDescent="0.35">
      <c r="Q15331" s="1"/>
    </row>
    <row r="15336" spans="17:17" x14ac:dyDescent="0.35">
      <c r="Q15336" s="1"/>
    </row>
    <row r="15342" spans="17:17" x14ac:dyDescent="0.35">
      <c r="Q15342" s="1"/>
    </row>
    <row r="15352" spans="17:17" x14ac:dyDescent="0.35">
      <c r="Q15352" s="1"/>
    </row>
    <row r="15354" spans="17:17" x14ac:dyDescent="0.35">
      <c r="Q15354" s="1"/>
    </row>
    <row r="15356" spans="17:17" x14ac:dyDescent="0.35">
      <c r="Q15356" s="1"/>
    </row>
    <row r="15361" spans="17:17" x14ac:dyDescent="0.35">
      <c r="Q15361" s="1"/>
    </row>
    <row r="15362" spans="17:17" x14ac:dyDescent="0.35">
      <c r="Q15362" s="1"/>
    </row>
    <row r="15365" spans="17:17" x14ac:dyDescent="0.35">
      <c r="Q15365" s="1"/>
    </row>
    <row r="15381" spans="17:17" x14ac:dyDescent="0.35">
      <c r="Q15381" s="1"/>
    </row>
    <row r="15398" spans="17:17" x14ac:dyDescent="0.35">
      <c r="Q15398" s="1"/>
    </row>
    <row r="15399" spans="17:17" x14ac:dyDescent="0.35">
      <c r="Q15399" s="1"/>
    </row>
    <row r="15406" spans="17:17" x14ac:dyDescent="0.35">
      <c r="Q15406" s="1"/>
    </row>
    <row r="15407" spans="17:17" x14ac:dyDescent="0.35">
      <c r="Q15407" s="1"/>
    </row>
    <row r="15409" spans="17:17" x14ac:dyDescent="0.35">
      <c r="Q15409" s="1"/>
    </row>
    <row r="15416" spans="17:17" x14ac:dyDescent="0.35">
      <c r="Q15416" s="1"/>
    </row>
    <row r="15418" spans="17:17" x14ac:dyDescent="0.35">
      <c r="Q15418" s="1"/>
    </row>
    <row r="15419" spans="17:17" x14ac:dyDescent="0.35">
      <c r="Q15419" s="1"/>
    </row>
    <row r="15433" spans="17:17" x14ac:dyDescent="0.35">
      <c r="Q15433" s="1"/>
    </row>
    <row r="15435" spans="17:17" x14ac:dyDescent="0.35">
      <c r="Q15435" s="1"/>
    </row>
    <row r="15438" spans="17:17" x14ac:dyDescent="0.35">
      <c r="Q15438" s="1"/>
    </row>
    <row r="15439" spans="17:17" x14ac:dyDescent="0.35">
      <c r="Q15439" s="1"/>
    </row>
    <row r="15443" spans="17:17" x14ac:dyDescent="0.35">
      <c r="Q15443" s="1"/>
    </row>
    <row r="15448" spans="17:17" x14ac:dyDescent="0.35">
      <c r="Q15448" s="1"/>
    </row>
    <row r="15455" spans="17:17" x14ac:dyDescent="0.35">
      <c r="Q15455" s="1"/>
    </row>
    <row r="15456" spans="17:17" x14ac:dyDescent="0.35">
      <c r="Q15456" s="1"/>
    </row>
    <row r="15457" spans="17:17" x14ac:dyDescent="0.35">
      <c r="Q15457" s="1"/>
    </row>
    <row r="15458" spans="17:17" x14ac:dyDescent="0.35">
      <c r="Q15458" s="1"/>
    </row>
    <row r="15460" spans="17:17" x14ac:dyDescent="0.35">
      <c r="Q15460" s="1"/>
    </row>
    <row r="15467" spans="17:17" x14ac:dyDescent="0.35">
      <c r="Q15467" s="1"/>
    </row>
    <row r="15469" spans="17:17" x14ac:dyDescent="0.35">
      <c r="Q15469" s="1"/>
    </row>
    <row r="15470" spans="17:17" x14ac:dyDescent="0.35">
      <c r="Q15470" s="1"/>
    </row>
    <row r="15471" spans="17:17" x14ac:dyDescent="0.35">
      <c r="Q15471" s="1"/>
    </row>
    <row r="15475" spans="17:17" x14ac:dyDescent="0.35">
      <c r="Q15475" s="1"/>
    </row>
    <row r="15477" spans="17:17" x14ac:dyDescent="0.35">
      <c r="Q15477" s="1"/>
    </row>
    <row r="15478" spans="17:17" x14ac:dyDescent="0.35">
      <c r="Q15478" s="1"/>
    </row>
    <row r="15491" spans="6:17" x14ac:dyDescent="0.35">
      <c r="F15491" s="2"/>
    </row>
    <row r="15495" spans="6:17" x14ac:dyDescent="0.35">
      <c r="Q15495" s="1"/>
    </row>
    <row r="15497" spans="6:17" x14ac:dyDescent="0.35">
      <c r="Q15497" s="1"/>
    </row>
    <row r="15507" spans="17:17" x14ac:dyDescent="0.35">
      <c r="Q15507" s="1"/>
    </row>
    <row r="15508" spans="17:17" x14ac:dyDescent="0.35">
      <c r="Q15508" s="1"/>
    </row>
    <row r="15514" spans="17:17" x14ac:dyDescent="0.35">
      <c r="Q15514" s="1"/>
    </row>
    <row r="15530" spans="17:17" x14ac:dyDescent="0.35">
      <c r="Q15530" s="1"/>
    </row>
    <row r="15531" spans="17:17" x14ac:dyDescent="0.35">
      <c r="Q15531" s="1"/>
    </row>
    <row r="15536" spans="17:17" x14ac:dyDescent="0.35">
      <c r="Q15536" s="1"/>
    </row>
    <row r="15539" spans="17:17" x14ac:dyDescent="0.35">
      <c r="Q15539" s="1"/>
    </row>
    <row r="15543" spans="17:17" x14ac:dyDescent="0.35">
      <c r="Q15543" s="1"/>
    </row>
    <row r="15552" spans="17:17" x14ac:dyDescent="0.35">
      <c r="Q15552" s="1"/>
    </row>
    <row r="15560" spans="17:17" x14ac:dyDescent="0.35">
      <c r="Q15560" s="1"/>
    </row>
    <row r="15561" spans="17:17" x14ac:dyDescent="0.35">
      <c r="Q15561" s="1"/>
    </row>
    <row r="15562" spans="17:17" x14ac:dyDescent="0.35">
      <c r="Q15562" s="1"/>
    </row>
    <row r="15573" spans="17:17" x14ac:dyDescent="0.35">
      <c r="Q15573" s="1"/>
    </row>
    <row r="15577" spans="17:17" x14ac:dyDescent="0.35">
      <c r="Q15577" s="1"/>
    </row>
    <row r="15579" spans="17:17" x14ac:dyDescent="0.35">
      <c r="Q15579" s="1"/>
    </row>
    <row r="15581" spans="17:17" x14ac:dyDescent="0.35">
      <c r="Q15581" s="1"/>
    </row>
    <row r="15591" spans="17:17" x14ac:dyDescent="0.35">
      <c r="Q15591" s="1"/>
    </row>
    <row r="15602" spans="17:17" x14ac:dyDescent="0.35">
      <c r="Q15602" s="1"/>
    </row>
    <row r="15604" spans="17:17" x14ac:dyDescent="0.35">
      <c r="Q15604" s="1"/>
    </row>
    <row r="15606" spans="17:17" x14ac:dyDescent="0.35">
      <c r="Q15606" s="1"/>
    </row>
    <row r="15610" spans="17:17" x14ac:dyDescent="0.35">
      <c r="Q15610" s="1"/>
    </row>
    <row r="15624" spans="17:17" x14ac:dyDescent="0.35">
      <c r="Q15624" s="1"/>
    </row>
    <row r="15630" spans="17:17" x14ac:dyDescent="0.35">
      <c r="Q15630" s="1"/>
    </row>
    <row r="15652" spans="17:17" x14ac:dyDescent="0.35">
      <c r="Q15652" s="1"/>
    </row>
    <row r="15657" spans="17:17" x14ac:dyDescent="0.35">
      <c r="Q15657" s="1"/>
    </row>
    <row r="15660" spans="17:17" x14ac:dyDescent="0.35">
      <c r="Q15660" s="1"/>
    </row>
    <row r="15669" spans="17:17" x14ac:dyDescent="0.35">
      <c r="Q15669" s="1"/>
    </row>
    <row r="15671" spans="17:17" x14ac:dyDescent="0.35">
      <c r="Q15671" s="1"/>
    </row>
    <row r="15672" spans="17:17" x14ac:dyDescent="0.35">
      <c r="Q15672" s="1"/>
    </row>
    <row r="15680" spans="17:17" x14ac:dyDescent="0.35">
      <c r="Q15680" s="1"/>
    </row>
    <row r="15683" spans="17:17" x14ac:dyDescent="0.35">
      <c r="Q15683" s="1"/>
    </row>
    <row r="15685" spans="17:17" x14ac:dyDescent="0.35">
      <c r="Q15685" s="1"/>
    </row>
    <row r="15686" spans="17:17" x14ac:dyDescent="0.35">
      <c r="Q15686" s="1"/>
    </row>
    <row r="15690" spans="17:17" x14ac:dyDescent="0.35">
      <c r="Q15690" s="1"/>
    </row>
    <row r="15691" spans="17:17" x14ac:dyDescent="0.35">
      <c r="Q15691" s="1"/>
    </row>
    <row r="15692" spans="17:17" x14ac:dyDescent="0.35">
      <c r="Q15692" s="1"/>
    </row>
    <row r="15704" spans="17:17" x14ac:dyDescent="0.35">
      <c r="Q15704" s="1"/>
    </row>
    <row r="15712" spans="17:17" x14ac:dyDescent="0.35">
      <c r="Q15712" s="1"/>
    </row>
    <row r="15713" spans="17:17" x14ac:dyDescent="0.35">
      <c r="Q15713" s="1"/>
    </row>
    <row r="15714" spans="17:17" x14ac:dyDescent="0.35">
      <c r="Q15714" s="1"/>
    </row>
    <row r="15717" spans="17:17" x14ac:dyDescent="0.35">
      <c r="Q15717" s="1"/>
    </row>
    <row r="15727" spans="17:17" x14ac:dyDescent="0.35">
      <c r="Q15727" s="1"/>
    </row>
    <row r="15728" spans="17:17" x14ac:dyDescent="0.35">
      <c r="Q15728" s="1"/>
    </row>
    <row r="15740" spans="17:17" x14ac:dyDescent="0.35">
      <c r="Q15740" s="1"/>
    </row>
    <row r="15746" spans="17:17" x14ac:dyDescent="0.35">
      <c r="Q15746" s="1"/>
    </row>
    <row r="15751" spans="17:17" x14ac:dyDescent="0.35">
      <c r="Q15751" s="1"/>
    </row>
    <row r="15755" spans="17:17" x14ac:dyDescent="0.35">
      <c r="Q15755" s="1"/>
    </row>
    <row r="15761" spans="17:17" x14ac:dyDescent="0.35">
      <c r="Q15761" s="1"/>
    </row>
    <row r="15768" spans="17:17" x14ac:dyDescent="0.35">
      <c r="Q15768" s="1"/>
    </row>
    <row r="15780" spans="17:17" x14ac:dyDescent="0.35">
      <c r="Q15780" s="1"/>
    </row>
    <row r="15792" spans="17:17" x14ac:dyDescent="0.35">
      <c r="Q15792" s="1"/>
    </row>
    <row r="15794" spans="17:17" x14ac:dyDescent="0.35">
      <c r="Q15794" s="1"/>
    </row>
    <row r="15795" spans="17:17" x14ac:dyDescent="0.35">
      <c r="Q15795" s="1"/>
    </row>
    <row r="15802" spans="17:17" x14ac:dyDescent="0.35">
      <c r="Q15802" s="1"/>
    </row>
    <row r="15805" spans="17:17" x14ac:dyDescent="0.35">
      <c r="Q15805" s="1"/>
    </row>
    <row r="15806" spans="17:17" x14ac:dyDescent="0.35">
      <c r="Q15806" s="1"/>
    </row>
    <row r="15807" spans="17:17" x14ac:dyDescent="0.35">
      <c r="Q15807" s="1"/>
    </row>
    <row r="15813" spans="17:17" x14ac:dyDescent="0.35">
      <c r="Q15813" s="1"/>
    </row>
    <row r="15828" spans="16:17" x14ac:dyDescent="0.35">
      <c r="P15828" s="1"/>
    </row>
    <row r="15831" spans="16:17" x14ac:dyDescent="0.35">
      <c r="Q15831" s="1"/>
    </row>
    <row r="15838" spans="16:17" x14ac:dyDescent="0.35">
      <c r="Q15838" s="1"/>
    </row>
    <row r="15855" spans="17:17" x14ac:dyDescent="0.35">
      <c r="Q15855" s="1"/>
    </row>
    <row r="15860" spans="17:17" x14ac:dyDescent="0.35">
      <c r="Q15860" s="1"/>
    </row>
    <row r="15864" spans="17:17" x14ac:dyDescent="0.35">
      <c r="Q15864" s="1"/>
    </row>
    <row r="15871" spans="17:17" x14ac:dyDescent="0.35">
      <c r="Q15871" s="1"/>
    </row>
    <row r="15874" spans="17:17" x14ac:dyDescent="0.35">
      <c r="Q15874" s="1"/>
    </row>
    <row r="15876" spans="17:17" x14ac:dyDescent="0.35">
      <c r="Q15876" s="1"/>
    </row>
    <row r="15877" spans="17:17" x14ac:dyDescent="0.35">
      <c r="Q15877" s="1"/>
    </row>
    <row r="15881" spans="17:17" x14ac:dyDescent="0.35">
      <c r="Q15881" s="1"/>
    </row>
    <row r="15885" spans="17:17" x14ac:dyDescent="0.35">
      <c r="Q15885" s="1"/>
    </row>
    <row r="15889" spans="17:17" x14ac:dyDescent="0.35">
      <c r="Q15889" s="1"/>
    </row>
    <row r="15891" spans="17:17" x14ac:dyDescent="0.35">
      <c r="Q15891" s="1"/>
    </row>
    <row r="15894" spans="17:17" x14ac:dyDescent="0.35">
      <c r="Q15894" s="1"/>
    </row>
    <row r="15900" spans="17:17" x14ac:dyDescent="0.35">
      <c r="Q15900" s="1"/>
    </row>
    <row r="15901" spans="17:17" x14ac:dyDescent="0.35">
      <c r="Q15901" s="1"/>
    </row>
    <row r="15908" spans="17:17" x14ac:dyDescent="0.35">
      <c r="Q15908" s="1"/>
    </row>
    <row r="15918" spans="17:17" x14ac:dyDescent="0.35">
      <c r="Q15918" s="1"/>
    </row>
    <row r="15925" spans="17:17" x14ac:dyDescent="0.35">
      <c r="Q15925" s="1"/>
    </row>
    <row r="15926" spans="17:17" x14ac:dyDescent="0.35">
      <c r="Q15926" s="1"/>
    </row>
    <row r="15928" spans="17:17" x14ac:dyDescent="0.35">
      <c r="Q15928" s="1"/>
    </row>
    <row r="15942" spans="17:17" x14ac:dyDescent="0.35">
      <c r="Q15942" s="1"/>
    </row>
    <row r="15948" spans="17:17" x14ac:dyDescent="0.35">
      <c r="Q15948" s="1"/>
    </row>
    <row r="15952" spans="17:17" x14ac:dyDescent="0.35">
      <c r="Q15952" s="1"/>
    </row>
    <row r="15955" spans="17:17" x14ac:dyDescent="0.35">
      <c r="Q15955" s="1"/>
    </row>
    <row r="15956" spans="17:17" x14ac:dyDescent="0.35">
      <c r="Q15956" s="1"/>
    </row>
    <row r="15963" spans="17:17" x14ac:dyDescent="0.35">
      <c r="Q15963" s="1"/>
    </row>
    <row r="15972" spans="17:17" x14ac:dyDescent="0.35">
      <c r="Q15972" s="1"/>
    </row>
    <row r="15973" spans="17:17" x14ac:dyDescent="0.35">
      <c r="Q15973" s="1"/>
    </row>
    <row r="15980" spans="17:17" x14ac:dyDescent="0.35">
      <c r="Q15980" s="1"/>
    </row>
    <row r="15982" spans="17:17" x14ac:dyDescent="0.35">
      <c r="Q15982" s="1"/>
    </row>
    <row r="15983" spans="17:17" x14ac:dyDescent="0.35">
      <c r="Q15983" s="1"/>
    </row>
    <row r="15987" spans="17:17" x14ac:dyDescent="0.35">
      <c r="Q15987" s="1"/>
    </row>
    <row r="15988" spans="17:17" x14ac:dyDescent="0.35">
      <c r="Q15988" s="1"/>
    </row>
    <row r="15994" spans="17:17" x14ac:dyDescent="0.35">
      <c r="Q15994" s="1"/>
    </row>
    <row r="15999" spans="17:17" x14ac:dyDescent="0.35">
      <c r="Q15999" s="1"/>
    </row>
    <row r="16001" spans="17:17" x14ac:dyDescent="0.35">
      <c r="Q16001" s="1"/>
    </row>
    <row r="16002" spans="17:17" x14ac:dyDescent="0.35">
      <c r="Q16002" s="1"/>
    </row>
    <row r="16007" spans="17:17" x14ac:dyDescent="0.35">
      <c r="Q16007" s="1"/>
    </row>
    <row r="16105" spans="17:17" x14ac:dyDescent="0.35">
      <c r="Q16105" s="1"/>
    </row>
    <row r="16107" spans="17:17" x14ac:dyDescent="0.35">
      <c r="Q16107" s="1"/>
    </row>
    <row r="16135" spans="17:17" x14ac:dyDescent="0.35">
      <c r="Q16135" s="1"/>
    </row>
    <row r="16154" spans="17:17" x14ac:dyDescent="0.35">
      <c r="Q16154" s="1"/>
    </row>
    <row r="16156" spans="17:17" x14ac:dyDescent="0.35">
      <c r="Q16156" s="1"/>
    </row>
    <row r="16162" spans="17:17" x14ac:dyDescent="0.35">
      <c r="Q16162" s="1"/>
    </row>
    <row r="16164" spans="17:17" x14ac:dyDescent="0.35">
      <c r="Q16164" s="1"/>
    </row>
    <row r="16167" spans="17:17" x14ac:dyDescent="0.35">
      <c r="Q16167" s="1"/>
    </row>
    <row r="16168" spans="17:17" x14ac:dyDescent="0.35">
      <c r="Q16168" s="1"/>
    </row>
    <row r="16203" spans="17:17" x14ac:dyDescent="0.35">
      <c r="Q16203" s="1"/>
    </row>
    <row r="16215" spans="17:17" x14ac:dyDescent="0.35">
      <c r="Q16215" s="1"/>
    </row>
    <row r="16298" spans="17:17" x14ac:dyDescent="0.35">
      <c r="Q16298" s="1"/>
    </row>
    <row r="16318" spans="17:17" x14ac:dyDescent="0.35">
      <c r="Q16318" s="1"/>
    </row>
    <row r="16329" spans="17:17" x14ac:dyDescent="0.35">
      <c r="Q16329" s="1"/>
    </row>
    <row r="16360" spans="17:17" x14ac:dyDescent="0.35">
      <c r="Q16360" s="1"/>
    </row>
    <row r="16367" spans="17:17" x14ac:dyDescent="0.35">
      <c r="Q16367" s="1"/>
    </row>
    <row r="16369" spans="16:16" x14ac:dyDescent="0.35">
      <c r="P16369" s="1"/>
    </row>
    <row r="16407" spans="17:17" x14ac:dyDescent="0.35">
      <c r="Q16407" s="1"/>
    </row>
    <row r="16421" spans="17:17" x14ac:dyDescent="0.35">
      <c r="Q16421" s="1"/>
    </row>
    <row r="16433" spans="16:17" x14ac:dyDescent="0.35">
      <c r="P16433" s="1"/>
    </row>
    <row r="16441" spans="16:17" x14ac:dyDescent="0.35">
      <c r="Q16441" s="1"/>
    </row>
    <row r="16454" spans="17:17" x14ac:dyDescent="0.35">
      <c r="Q16454" s="1"/>
    </row>
    <row r="16457" spans="17:17" x14ac:dyDescent="0.35">
      <c r="Q16457" s="1"/>
    </row>
    <row r="16467" spans="17:17" x14ac:dyDescent="0.35">
      <c r="Q16467" s="1"/>
    </row>
    <row r="16477" spans="17:17" x14ac:dyDescent="0.35">
      <c r="Q16477" s="1"/>
    </row>
    <row r="16502" spans="17:17" x14ac:dyDescent="0.35">
      <c r="Q16502" s="1"/>
    </row>
    <row r="16516" spans="17:17" x14ac:dyDescent="0.35">
      <c r="Q16516" s="1"/>
    </row>
    <row r="16517" spans="17:17" x14ac:dyDescent="0.35">
      <c r="Q16517" s="1"/>
    </row>
    <row r="16530" spans="17:17" x14ac:dyDescent="0.35">
      <c r="Q16530" s="1"/>
    </row>
    <row r="16557" spans="17:17" x14ac:dyDescent="0.35">
      <c r="Q16557" s="1"/>
    </row>
    <row r="16558" spans="17:17" x14ac:dyDescent="0.35">
      <c r="Q16558" s="1"/>
    </row>
    <row r="16560" spans="17:17" x14ac:dyDescent="0.35">
      <c r="Q16560" s="1"/>
    </row>
    <row r="16565" spans="17:17" x14ac:dyDescent="0.35">
      <c r="Q16565" s="1"/>
    </row>
    <row r="16578" spans="17:17" x14ac:dyDescent="0.35">
      <c r="Q16578" s="1"/>
    </row>
    <row r="16603" spans="17:17" x14ac:dyDescent="0.35">
      <c r="Q16603" s="1"/>
    </row>
    <row r="16606" spans="17:17" x14ac:dyDescent="0.35">
      <c r="Q16606" s="1"/>
    </row>
    <row r="16624" spans="17:17" x14ac:dyDescent="0.35">
      <c r="Q16624" s="1"/>
    </row>
    <row r="16626" spans="17:17" x14ac:dyDescent="0.35">
      <c r="Q16626" s="1"/>
    </row>
    <row r="16630" spans="17:17" x14ac:dyDescent="0.35">
      <c r="Q16630" s="1"/>
    </row>
    <row r="16633" spans="17:17" x14ac:dyDescent="0.35">
      <c r="Q16633" s="1"/>
    </row>
    <row r="16636" spans="17:17" x14ac:dyDescent="0.35">
      <c r="Q16636" s="1"/>
    </row>
    <row r="16650" spans="17:17" x14ac:dyDescent="0.35">
      <c r="Q16650" s="1"/>
    </row>
    <row r="16652" spans="17:17" x14ac:dyDescent="0.35">
      <c r="Q16652" s="1"/>
    </row>
    <row r="16653" spans="17:17" x14ac:dyDescent="0.35">
      <c r="Q16653" s="1"/>
    </row>
    <row r="16660" spans="17:17" x14ac:dyDescent="0.35">
      <c r="Q16660" s="1"/>
    </row>
    <row r="16785" spans="17:17" x14ac:dyDescent="0.35">
      <c r="Q16785" s="1"/>
    </row>
    <row r="16818" spans="17:17" x14ac:dyDescent="0.35">
      <c r="Q16818" s="1"/>
    </row>
    <row r="16876" spans="17:17" x14ac:dyDescent="0.35">
      <c r="Q16876" s="1"/>
    </row>
    <row r="17007" spans="17:17" x14ac:dyDescent="0.35">
      <c r="Q17007" s="1"/>
    </row>
    <row r="17013" spans="16:16" x14ac:dyDescent="0.35">
      <c r="P17013" s="1"/>
    </row>
    <row r="17023" spans="16:16" x14ac:dyDescent="0.35">
      <c r="P17023" s="1"/>
    </row>
    <row r="17026" spans="16:16" x14ac:dyDescent="0.35">
      <c r="P17026" s="1"/>
    </row>
    <row r="17027" spans="16:16" x14ac:dyDescent="0.35">
      <c r="P17027" s="1"/>
    </row>
    <row r="17050" spans="17:17" x14ac:dyDescent="0.35">
      <c r="Q17050" s="1"/>
    </row>
    <row r="17051" spans="17:17" x14ac:dyDescent="0.35">
      <c r="Q17051" s="1"/>
    </row>
    <row r="17053" spans="17:17" x14ac:dyDescent="0.35">
      <c r="Q17053" s="1"/>
    </row>
    <row r="17057" spans="16:17" x14ac:dyDescent="0.35">
      <c r="Q17057" s="1"/>
    </row>
    <row r="17059" spans="16:17" x14ac:dyDescent="0.35">
      <c r="P17059" s="1"/>
    </row>
    <row r="17067" spans="16:17" x14ac:dyDescent="0.35">
      <c r="P17067" s="1"/>
    </row>
    <row r="17077" spans="16:17" x14ac:dyDescent="0.35">
      <c r="Q17077" s="1"/>
    </row>
    <row r="17085" spans="16:17" x14ac:dyDescent="0.35">
      <c r="P17085" s="1"/>
    </row>
    <row r="17093" spans="17:17" x14ac:dyDescent="0.35">
      <c r="Q17093" s="1"/>
    </row>
    <row r="17094" spans="17:17" x14ac:dyDescent="0.35">
      <c r="Q17094" s="1"/>
    </row>
    <row r="17096" spans="17:17" x14ac:dyDescent="0.35">
      <c r="Q17096" s="1"/>
    </row>
    <row r="17098" spans="17:17" x14ac:dyDescent="0.35">
      <c r="Q17098" s="1"/>
    </row>
    <row r="17114" spans="17:17" x14ac:dyDescent="0.35">
      <c r="Q17114" s="1"/>
    </row>
    <row r="17123" spans="16:16" x14ac:dyDescent="0.35">
      <c r="P17123" s="1"/>
    </row>
    <row r="17126" spans="16:16" x14ac:dyDescent="0.35">
      <c r="P17126" s="1"/>
    </row>
    <row r="17138" spans="17:17" x14ac:dyDescent="0.35">
      <c r="Q17138" s="1"/>
    </row>
    <row r="17149" spans="17:17" x14ac:dyDescent="0.35">
      <c r="Q17149" s="1"/>
    </row>
    <row r="17150" spans="17:17" x14ac:dyDescent="0.35">
      <c r="Q17150" s="1"/>
    </row>
    <row r="17155" spans="17:17" x14ac:dyDescent="0.35">
      <c r="Q17155" s="1"/>
    </row>
    <row r="17169" spans="16:17" x14ac:dyDescent="0.35">
      <c r="Q17169" s="1"/>
    </row>
    <row r="17174" spans="16:17" x14ac:dyDescent="0.35">
      <c r="P17174" s="1"/>
    </row>
    <row r="17189" spans="17:17" x14ac:dyDescent="0.35">
      <c r="Q17189" s="1"/>
    </row>
    <row r="17193" spans="17:17" x14ac:dyDescent="0.35">
      <c r="Q17193" s="1"/>
    </row>
    <row r="17196" spans="17:17" x14ac:dyDescent="0.35">
      <c r="Q17196" s="1"/>
    </row>
    <row r="17199" spans="17:17" x14ac:dyDescent="0.35">
      <c r="Q17199" s="1"/>
    </row>
    <row r="17200" spans="17:17" x14ac:dyDescent="0.35">
      <c r="Q17200" s="1"/>
    </row>
    <row r="17201" spans="17:17" x14ac:dyDescent="0.35">
      <c r="Q17201" s="1"/>
    </row>
    <row r="17222" spans="16:17" x14ac:dyDescent="0.35">
      <c r="P17222" s="1"/>
    </row>
    <row r="17228" spans="16:17" x14ac:dyDescent="0.35">
      <c r="P17228" s="1"/>
    </row>
    <row r="17231" spans="16:17" x14ac:dyDescent="0.35">
      <c r="Q17231" s="1"/>
    </row>
    <row r="17232" spans="16:17" x14ac:dyDescent="0.35">
      <c r="Q17232" s="1"/>
    </row>
    <row r="17233" spans="16:17" x14ac:dyDescent="0.35">
      <c r="P17233" s="1"/>
    </row>
    <row r="17240" spans="16:17" x14ac:dyDescent="0.35">
      <c r="Q17240" s="1"/>
    </row>
    <row r="17241" spans="16:17" x14ac:dyDescent="0.35">
      <c r="Q17241" s="1"/>
    </row>
    <row r="17246" spans="16:17" x14ac:dyDescent="0.35">
      <c r="Q17246" s="1"/>
    </row>
    <row r="17249" spans="17:17" x14ac:dyDescent="0.35">
      <c r="Q17249" s="1"/>
    </row>
    <row r="17250" spans="17:17" x14ac:dyDescent="0.35">
      <c r="Q17250" s="1"/>
    </row>
    <row r="17261" spans="17:17" x14ac:dyDescent="0.35">
      <c r="Q17261" s="1"/>
    </row>
    <row r="17264" spans="17:17" x14ac:dyDescent="0.35">
      <c r="Q17264" s="1"/>
    </row>
    <row r="17275" spans="17:17" x14ac:dyDescent="0.35">
      <c r="Q17275" s="1"/>
    </row>
    <row r="17294" spans="17:17" x14ac:dyDescent="0.35">
      <c r="Q17294" s="1"/>
    </row>
    <row r="17297" spans="17:17" x14ac:dyDescent="0.35">
      <c r="Q17297" s="1"/>
    </row>
    <row r="17322" spans="17:17" x14ac:dyDescent="0.35">
      <c r="Q17322" s="1"/>
    </row>
    <row r="17339" spans="16:17" x14ac:dyDescent="0.35">
      <c r="Q17339" s="1"/>
    </row>
    <row r="17343" spans="16:17" x14ac:dyDescent="0.35">
      <c r="P17343" s="1"/>
    </row>
    <row r="17344" spans="16:17" x14ac:dyDescent="0.35">
      <c r="Q17344" s="1"/>
    </row>
    <row r="17346" spans="17:17" x14ac:dyDescent="0.35">
      <c r="Q17346" s="1"/>
    </row>
    <row r="17356" spans="17:17" x14ac:dyDescent="0.35">
      <c r="Q17356" s="1"/>
    </row>
    <row r="17367" spans="16:17" x14ac:dyDescent="0.35">
      <c r="P17367" s="1"/>
    </row>
    <row r="17373" spans="16:17" x14ac:dyDescent="0.35">
      <c r="Q17373" s="1"/>
    </row>
    <row r="17381" spans="17:17" x14ac:dyDescent="0.35">
      <c r="Q17381" s="1"/>
    </row>
    <row r="17391" spans="17:17" x14ac:dyDescent="0.35">
      <c r="Q17391" s="1"/>
    </row>
    <row r="17396" spans="17:17" x14ac:dyDescent="0.35">
      <c r="Q17396" s="1"/>
    </row>
    <row r="17400" spans="17:17" x14ac:dyDescent="0.35">
      <c r="Q17400" s="1"/>
    </row>
    <row r="17410" spans="16:17" x14ac:dyDescent="0.35">
      <c r="Q17410" s="1"/>
    </row>
    <row r="17413" spans="16:17" x14ac:dyDescent="0.35">
      <c r="P17413" s="1"/>
    </row>
    <row r="17417" spans="16:17" x14ac:dyDescent="0.35">
      <c r="Q17417" s="1"/>
    </row>
    <row r="17421" spans="16:17" x14ac:dyDescent="0.35">
      <c r="Q17421" s="1"/>
    </row>
    <row r="17423" spans="16:17" x14ac:dyDescent="0.35">
      <c r="P17423" s="1"/>
    </row>
    <row r="17428" spans="17:17" x14ac:dyDescent="0.35">
      <c r="Q17428" s="1"/>
    </row>
    <row r="17443" spans="16:17" x14ac:dyDescent="0.35">
      <c r="P17443" s="1"/>
    </row>
    <row r="17449" spans="16:17" x14ac:dyDescent="0.35">
      <c r="Q17449" s="1"/>
    </row>
    <row r="17451" spans="16:17" x14ac:dyDescent="0.35">
      <c r="Q17451" s="1"/>
    </row>
    <row r="17466" spans="17:17" x14ac:dyDescent="0.35">
      <c r="Q17466" s="1"/>
    </row>
    <row r="17477" spans="16:17" x14ac:dyDescent="0.35">
      <c r="P17477" s="1"/>
    </row>
    <row r="17482" spans="16:17" x14ac:dyDescent="0.35">
      <c r="P17482" s="1"/>
    </row>
    <row r="17486" spans="16:17" x14ac:dyDescent="0.35">
      <c r="Q17486" s="1"/>
    </row>
    <row r="17488" spans="16:17" x14ac:dyDescent="0.35">
      <c r="P17488" s="1"/>
    </row>
    <row r="17499" spans="16:17" x14ac:dyDescent="0.35">
      <c r="Q17499" s="1"/>
    </row>
    <row r="17500" spans="16:17" x14ac:dyDescent="0.35">
      <c r="Q17500" s="1"/>
    </row>
    <row r="17503" spans="16:17" x14ac:dyDescent="0.35">
      <c r="P17503" s="1"/>
    </row>
    <row r="17507" spans="17:17" x14ac:dyDescent="0.35">
      <c r="Q17507" s="1"/>
    </row>
    <row r="17508" spans="17:17" x14ac:dyDescent="0.35">
      <c r="Q17508" s="1"/>
    </row>
    <row r="17515" spans="17:17" x14ac:dyDescent="0.35">
      <c r="Q17515" s="1"/>
    </row>
    <row r="17516" spans="17:17" x14ac:dyDescent="0.35">
      <c r="Q17516" s="1"/>
    </row>
    <row r="17524" spans="16:17" x14ac:dyDescent="0.35">
      <c r="Q17524" s="1"/>
    </row>
    <row r="17531" spans="16:17" x14ac:dyDescent="0.35">
      <c r="Q17531" s="1"/>
    </row>
    <row r="17532" spans="16:17" x14ac:dyDescent="0.35">
      <c r="Q17532" s="1"/>
    </row>
    <row r="17533" spans="16:17" x14ac:dyDescent="0.35">
      <c r="P17533" s="1"/>
    </row>
    <row r="17535" spans="16:17" x14ac:dyDescent="0.35">
      <c r="Q17535" s="1"/>
    </row>
    <row r="17537" spans="16:17" x14ac:dyDescent="0.35">
      <c r="P17537" s="1"/>
    </row>
    <row r="17543" spans="16:17" x14ac:dyDescent="0.35">
      <c r="Q17543" s="1"/>
    </row>
    <row r="17544" spans="16:17" x14ac:dyDescent="0.35">
      <c r="Q17544" s="1"/>
    </row>
    <row r="17551" spans="16:17" x14ac:dyDescent="0.35">
      <c r="Q17551" s="1"/>
    </row>
    <row r="17573" spans="16:17" x14ac:dyDescent="0.35">
      <c r="P17573" s="1"/>
    </row>
    <row r="17582" spans="16:17" x14ac:dyDescent="0.35">
      <c r="Q17582" s="1"/>
    </row>
    <row r="17584" spans="16:17" x14ac:dyDescent="0.35">
      <c r="P17584" s="1"/>
    </row>
    <row r="17598" spans="17:17" x14ac:dyDescent="0.35">
      <c r="Q17598" s="1"/>
    </row>
    <row r="17601" spans="16:17" x14ac:dyDescent="0.35">
      <c r="Q17601" s="1"/>
    </row>
    <row r="17605" spans="16:17" x14ac:dyDescent="0.35">
      <c r="P17605" s="1"/>
    </row>
    <row r="17613" spans="16:17" x14ac:dyDescent="0.35">
      <c r="Q17613" s="1"/>
    </row>
    <row r="17638" spans="16:17" x14ac:dyDescent="0.35">
      <c r="P17638" s="1"/>
    </row>
    <row r="17639" spans="16:17" x14ac:dyDescent="0.35">
      <c r="P17639" s="1"/>
    </row>
    <row r="17640" spans="16:17" x14ac:dyDescent="0.35">
      <c r="Q17640" s="1"/>
    </row>
    <row r="17647" spans="16:17" x14ac:dyDescent="0.35">
      <c r="Q17647" s="1"/>
    </row>
    <row r="17649" spans="17:17" x14ac:dyDescent="0.35">
      <c r="Q17649" s="1"/>
    </row>
    <row r="17651" spans="17:17" x14ac:dyDescent="0.35">
      <c r="Q17651" s="1"/>
    </row>
    <row r="17669" spans="17:17" x14ac:dyDescent="0.35">
      <c r="Q17669" s="1"/>
    </row>
    <row r="17675" spans="17:17" x14ac:dyDescent="0.35">
      <c r="Q17675" s="1"/>
    </row>
    <row r="17682" spans="17:17" x14ac:dyDescent="0.35">
      <c r="Q17682" s="1"/>
    </row>
    <row r="17689" spans="17:17" x14ac:dyDescent="0.35">
      <c r="Q17689" s="1"/>
    </row>
    <row r="17745" spans="16:17" x14ac:dyDescent="0.35">
      <c r="P17745" s="1"/>
    </row>
    <row r="17746" spans="16:17" x14ac:dyDescent="0.35">
      <c r="P17746" s="1"/>
    </row>
    <row r="17751" spans="16:17" x14ac:dyDescent="0.35">
      <c r="Q17751" s="1"/>
    </row>
    <row r="17763" spans="16:17" x14ac:dyDescent="0.35">
      <c r="P17763" s="1"/>
    </row>
    <row r="17768" spans="16:17" x14ac:dyDescent="0.35">
      <c r="P17768" s="1"/>
    </row>
    <row r="17770" spans="16:17" x14ac:dyDescent="0.35">
      <c r="Q17770" s="1"/>
    </row>
    <row r="17778" spans="16:17" x14ac:dyDescent="0.35">
      <c r="Q17778" s="1"/>
    </row>
    <row r="17786" spans="16:17" x14ac:dyDescent="0.35">
      <c r="Q17786" s="1"/>
    </row>
    <row r="17788" spans="16:17" x14ac:dyDescent="0.35">
      <c r="P17788" s="1"/>
    </row>
    <row r="17789" spans="16:17" x14ac:dyDescent="0.35">
      <c r="P17789" s="1"/>
    </row>
    <row r="17791" spans="16:17" x14ac:dyDescent="0.35">
      <c r="Q17791" s="1"/>
    </row>
    <row r="17792" spans="16:17" x14ac:dyDescent="0.35">
      <c r="Q17792" s="1"/>
    </row>
    <row r="17799" spans="17:17" x14ac:dyDescent="0.35">
      <c r="Q17799" s="1"/>
    </row>
    <row r="17802" spans="17:17" x14ac:dyDescent="0.35">
      <c r="Q17802" s="1"/>
    </row>
    <row r="17824" spans="17:17" x14ac:dyDescent="0.35">
      <c r="Q17824" s="1"/>
    </row>
    <row r="17828" spans="17:17" x14ac:dyDescent="0.35">
      <c r="Q17828" s="1"/>
    </row>
    <row r="17840" spans="17:17" x14ac:dyDescent="0.35">
      <c r="Q17840" s="1"/>
    </row>
    <row r="17851" spans="17:17" x14ac:dyDescent="0.35">
      <c r="Q17851" s="1"/>
    </row>
    <row r="17854" spans="17:17" x14ac:dyDescent="0.35">
      <c r="Q17854" s="1"/>
    </row>
    <row r="17864" spans="17:17" x14ac:dyDescent="0.35">
      <c r="Q17864" s="1"/>
    </row>
    <row r="17867" spans="17:17" x14ac:dyDescent="0.35">
      <c r="Q17867" s="1"/>
    </row>
    <row r="17875" spans="16:17" x14ac:dyDescent="0.35">
      <c r="Q17875" s="1"/>
    </row>
    <row r="17879" spans="16:17" x14ac:dyDescent="0.35">
      <c r="P17879" s="1"/>
    </row>
    <row r="17881" spans="16:17" x14ac:dyDescent="0.35">
      <c r="P17881" s="1"/>
    </row>
    <row r="17883" spans="16:17" x14ac:dyDescent="0.35">
      <c r="P17883" s="1"/>
    </row>
    <row r="17887" spans="16:17" x14ac:dyDescent="0.35">
      <c r="P17887" s="1"/>
    </row>
    <row r="17889" spans="16:17" x14ac:dyDescent="0.35">
      <c r="P17889" s="1"/>
    </row>
    <row r="17892" spans="16:17" x14ac:dyDescent="0.35">
      <c r="Q17892" s="1"/>
    </row>
    <row r="17913" spans="16:16" x14ac:dyDescent="0.35">
      <c r="P17913" s="1"/>
    </row>
    <row r="17925" spans="16:17" x14ac:dyDescent="0.35">
      <c r="P17925" s="1"/>
    </row>
    <row r="17929" spans="16:17" x14ac:dyDescent="0.35">
      <c r="P17929" s="1"/>
    </row>
    <row r="17932" spans="16:17" x14ac:dyDescent="0.35">
      <c r="Q17932" s="1"/>
    </row>
    <row r="17936" spans="16:17" x14ac:dyDescent="0.35">
      <c r="Q17936" s="1"/>
    </row>
    <row r="17940" spans="16:17" x14ac:dyDescent="0.35">
      <c r="Q17940" s="1"/>
    </row>
    <row r="17943" spans="16:17" x14ac:dyDescent="0.35">
      <c r="P17943" s="1"/>
    </row>
    <row r="17944" spans="16:17" x14ac:dyDescent="0.35">
      <c r="Q17944" s="1"/>
    </row>
    <row r="17951" spans="16:17" x14ac:dyDescent="0.35">
      <c r="Q17951" s="1"/>
    </row>
    <row r="17956" spans="17:17" x14ac:dyDescent="0.35">
      <c r="Q17956" s="1"/>
    </row>
    <row r="17961" spans="17:17" x14ac:dyDescent="0.35">
      <c r="Q17961" s="1"/>
    </row>
    <row r="17976" spans="17:17" x14ac:dyDescent="0.35">
      <c r="Q17976" s="1"/>
    </row>
    <row r="17982" spans="17:17" x14ac:dyDescent="0.35">
      <c r="Q17982" s="1"/>
    </row>
    <row r="17983" spans="17:17" x14ac:dyDescent="0.35">
      <c r="Q17983" s="1"/>
    </row>
    <row r="17986" spans="16:17" x14ac:dyDescent="0.35">
      <c r="Q17986" s="1"/>
    </row>
    <row r="17987" spans="16:17" x14ac:dyDescent="0.35">
      <c r="Q17987" s="1"/>
    </row>
    <row r="17990" spans="16:17" x14ac:dyDescent="0.35">
      <c r="P17990" s="1"/>
    </row>
    <row r="17997" spans="16:17" x14ac:dyDescent="0.35">
      <c r="P17997" s="1"/>
    </row>
    <row r="18001" spans="17:17" x14ac:dyDescent="0.35">
      <c r="Q18001" s="1"/>
    </row>
    <row r="18016" spans="17:17" x14ac:dyDescent="0.35">
      <c r="Q18016" s="1"/>
    </row>
    <row r="18020" spans="17:17" x14ac:dyDescent="0.35">
      <c r="Q18020" s="1"/>
    </row>
    <row r="18052" spans="17:17" x14ac:dyDescent="0.35">
      <c r="Q18052" s="1"/>
    </row>
    <row r="18089" spans="17:17" x14ac:dyDescent="0.35">
      <c r="Q18089" s="1"/>
    </row>
    <row r="18093" spans="17:17" x14ac:dyDescent="0.35">
      <c r="Q18093" s="1"/>
    </row>
    <row r="18099" spans="17:17" x14ac:dyDescent="0.35">
      <c r="Q18099" s="1"/>
    </row>
    <row r="18106" spans="17:17" x14ac:dyDescent="0.35">
      <c r="Q18106" s="1"/>
    </row>
    <row r="18110" spans="17:17" x14ac:dyDescent="0.35">
      <c r="Q18110" s="1"/>
    </row>
    <row r="18143" spans="17:17" x14ac:dyDescent="0.35">
      <c r="Q18143" s="1"/>
    </row>
    <row r="18152" spans="17:17" x14ac:dyDescent="0.35">
      <c r="Q18152" s="1"/>
    </row>
    <row r="18171" spans="17:17" x14ac:dyDescent="0.35">
      <c r="Q18171" s="1"/>
    </row>
    <row r="18184" spans="17:17" x14ac:dyDescent="0.35">
      <c r="Q18184" s="1"/>
    </row>
    <row r="18192" spans="17:17" x14ac:dyDescent="0.35">
      <c r="Q18192" s="1"/>
    </row>
    <row r="18201" spans="17:17" x14ac:dyDescent="0.35">
      <c r="Q18201" s="1"/>
    </row>
    <row r="18219" spans="17:17" x14ac:dyDescent="0.35">
      <c r="Q18219" s="1"/>
    </row>
    <row r="18237" spans="17:17" x14ac:dyDescent="0.35">
      <c r="Q18237" s="1"/>
    </row>
    <row r="18269" spans="17:17" x14ac:dyDescent="0.35">
      <c r="Q18269" s="1"/>
    </row>
    <row r="18272" spans="17:17" x14ac:dyDescent="0.35">
      <c r="Q18272" s="1"/>
    </row>
    <row r="18280" spans="17:17" x14ac:dyDescent="0.35">
      <c r="Q18280" s="1"/>
    </row>
    <row r="18290" spans="17:17" x14ac:dyDescent="0.35">
      <c r="Q18290" s="1"/>
    </row>
    <row r="18292" spans="17:17" x14ac:dyDescent="0.35">
      <c r="Q18292" s="1"/>
    </row>
    <row r="18306" spans="17:17" x14ac:dyDescent="0.35">
      <c r="Q18306" s="1"/>
    </row>
    <row r="18320" spans="17:17" x14ac:dyDescent="0.35">
      <c r="Q18320" s="1"/>
    </row>
    <row r="18342" spans="17:17" x14ac:dyDescent="0.35">
      <c r="Q18342" s="1"/>
    </row>
    <row r="18354" spans="17:17" x14ac:dyDescent="0.35">
      <c r="Q18354" s="1"/>
    </row>
    <row r="18355" spans="17:17" x14ac:dyDescent="0.35">
      <c r="Q18355" s="1"/>
    </row>
    <row r="18367" spans="17:17" x14ac:dyDescent="0.35">
      <c r="Q18367" s="1"/>
    </row>
    <row r="18370" spans="17:17" x14ac:dyDescent="0.35">
      <c r="Q18370" s="1"/>
    </row>
    <row r="18372" spans="17:17" x14ac:dyDescent="0.35">
      <c r="Q18372" s="1"/>
    </row>
    <row r="18377" spans="17:17" x14ac:dyDescent="0.35">
      <c r="Q18377" s="1"/>
    </row>
    <row r="18395" spans="17:17" x14ac:dyDescent="0.35">
      <c r="Q18395" s="1"/>
    </row>
    <row r="18406" spans="17:17" x14ac:dyDescent="0.35">
      <c r="Q18406" s="1"/>
    </row>
    <row r="18414" spans="17:17" x14ac:dyDescent="0.35">
      <c r="Q18414" s="1"/>
    </row>
    <row r="18437" spans="17:17" x14ac:dyDescent="0.35">
      <c r="Q18437" s="1"/>
    </row>
    <row r="18443" spans="17:17" x14ac:dyDescent="0.35">
      <c r="Q18443" s="1"/>
    </row>
    <row r="18450" spans="17:17" x14ac:dyDescent="0.35">
      <c r="Q18450" s="1"/>
    </row>
    <row r="18455" spans="17:17" x14ac:dyDescent="0.35">
      <c r="Q18455" s="1"/>
    </row>
    <row r="18468" spans="17:17" x14ac:dyDescent="0.35">
      <c r="Q18468" s="1"/>
    </row>
    <row r="18503" spans="17:17" x14ac:dyDescent="0.35">
      <c r="Q18503" s="1"/>
    </row>
    <row r="18507" spans="17:17" x14ac:dyDescent="0.35">
      <c r="Q18507" s="1"/>
    </row>
    <row r="18520" spans="17:17" x14ac:dyDescent="0.35">
      <c r="Q18520" s="1"/>
    </row>
    <row r="18522" spans="17:17" x14ac:dyDescent="0.35">
      <c r="Q18522" s="1"/>
    </row>
    <row r="18555" spans="17:17" x14ac:dyDescent="0.35">
      <c r="Q18555" s="1"/>
    </row>
    <row r="18574" spans="17:17" x14ac:dyDescent="0.35">
      <c r="Q18574" s="1"/>
    </row>
    <row r="18576" spans="17:17" x14ac:dyDescent="0.35">
      <c r="Q18576" s="1"/>
    </row>
    <row r="18603" spans="17:17" x14ac:dyDescent="0.35">
      <c r="Q18603" s="1"/>
    </row>
    <row r="18614" spans="17:17" x14ac:dyDescent="0.35">
      <c r="Q18614" s="1"/>
    </row>
    <row r="18621" spans="17:17" x14ac:dyDescent="0.35">
      <c r="Q18621" s="1"/>
    </row>
    <row r="18641" spans="17:17" x14ac:dyDescent="0.35">
      <c r="Q18641" s="1"/>
    </row>
    <row r="18652" spans="17:17" x14ac:dyDescent="0.35">
      <c r="Q18652" s="1"/>
    </row>
    <row r="18655" spans="17:17" x14ac:dyDescent="0.35">
      <c r="Q18655" s="1"/>
    </row>
    <row r="18697" spans="17:17" x14ac:dyDescent="0.35">
      <c r="Q18697" s="1"/>
    </row>
    <row r="18699" spans="17:17" x14ac:dyDescent="0.35">
      <c r="Q18699" s="1"/>
    </row>
    <row r="18701" spans="17:17" x14ac:dyDescent="0.35">
      <c r="Q18701" s="1"/>
    </row>
    <row r="18708" spans="17:17" x14ac:dyDescent="0.35">
      <c r="Q18708" s="1"/>
    </row>
    <row r="18709" spans="17:17" x14ac:dyDescent="0.35">
      <c r="Q18709" s="1"/>
    </row>
    <row r="18713" spans="17:17" x14ac:dyDescent="0.35">
      <c r="Q18713" s="1"/>
    </row>
    <row r="18715" spans="17:17" x14ac:dyDescent="0.35">
      <c r="Q18715" s="1"/>
    </row>
    <row r="18744" spans="17:17" x14ac:dyDescent="0.35">
      <c r="Q18744" s="1"/>
    </row>
    <row r="18747" spans="17:17" x14ac:dyDescent="0.35">
      <c r="Q18747" s="1"/>
    </row>
    <row r="18757" spans="17:17" x14ac:dyDescent="0.35">
      <c r="Q18757" s="1"/>
    </row>
    <row r="18759" spans="17:17" x14ac:dyDescent="0.35">
      <c r="Q18759" s="1"/>
    </row>
    <row r="18761" spans="17:17" x14ac:dyDescent="0.35">
      <c r="Q18761" s="1"/>
    </row>
    <row r="18765" spans="17:17" x14ac:dyDescent="0.35">
      <c r="Q18765" s="1"/>
    </row>
    <row r="18768" spans="17:17" x14ac:dyDescent="0.35">
      <c r="Q18768" s="1"/>
    </row>
    <row r="18777" spans="17:17" x14ac:dyDescent="0.35">
      <c r="Q18777" s="1"/>
    </row>
    <row r="18808" spans="17:17" x14ac:dyDescent="0.35">
      <c r="Q18808" s="1"/>
    </row>
    <row r="18810" spans="17:17" x14ac:dyDescent="0.35">
      <c r="Q18810" s="1"/>
    </row>
    <row r="18842" spans="17:17" x14ac:dyDescent="0.35">
      <c r="Q18842" s="1"/>
    </row>
    <row r="18845" spans="17:17" x14ac:dyDescent="0.35">
      <c r="Q18845" s="1"/>
    </row>
    <row r="18863" spans="17:17" x14ac:dyDescent="0.35">
      <c r="Q18863" s="1"/>
    </row>
    <row r="18922" spans="17:17" x14ac:dyDescent="0.35">
      <c r="Q18922" s="1"/>
    </row>
    <row r="18928" spans="17:17" x14ac:dyDescent="0.35">
      <c r="Q18928" s="1"/>
    </row>
    <row r="18932" spans="17:17" x14ac:dyDescent="0.35">
      <c r="Q18932" s="1"/>
    </row>
    <row r="18933" spans="17:17" x14ac:dyDescent="0.35">
      <c r="Q18933" s="1"/>
    </row>
    <row r="18943" spans="17:17" x14ac:dyDescent="0.35">
      <c r="Q18943" s="1"/>
    </row>
    <row r="18945" spans="17:17" x14ac:dyDescent="0.35">
      <c r="Q18945" s="1"/>
    </row>
    <row r="18952" spans="17:17" x14ac:dyDescent="0.35">
      <c r="Q18952" s="1"/>
    </row>
    <row r="18984" spans="17:17" x14ac:dyDescent="0.35">
      <c r="Q18984" s="1"/>
    </row>
    <row r="18988" spans="17:17" x14ac:dyDescent="0.35">
      <c r="Q18988" s="1"/>
    </row>
    <row r="18991" spans="17:17" x14ac:dyDescent="0.35">
      <c r="Q18991" s="1"/>
    </row>
    <row r="18993" spans="17:17" x14ac:dyDescent="0.35">
      <c r="Q18993" s="1"/>
    </row>
    <row r="18995" spans="17:17" x14ac:dyDescent="0.35">
      <c r="Q18995" s="1"/>
    </row>
    <row r="19003" spans="17:17" x14ac:dyDescent="0.35">
      <c r="Q19003" s="1"/>
    </row>
    <row r="19004" spans="17:17" x14ac:dyDescent="0.35">
      <c r="Q19004" s="1"/>
    </row>
    <row r="19005" spans="17:17" x14ac:dyDescent="0.35">
      <c r="Q19005" s="1"/>
    </row>
    <row r="19006" spans="17:17" x14ac:dyDescent="0.35">
      <c r="Q19006" s="1"/>
    </row>
    <row r="19007" spans="17:17" x14ac:dyDescent="0.35">
      <c r="Q19007" s="1"/>
    </row>
    <row r="19008" spans="17:17" x14ac:dyDescent="0.35">
      <c r="Q19008" s="1"/>
    </row>
    <row r="19009" spans="17:17" x14ac:dyDescent="0.35">
      <c r="Q19009" s="1"/>
    </row>
    <row r="19010" spans="17:17" x14ac:dyDescent="0.35">
      <c r="Q19010" s="1"/>
    </row>
    <row r="19012" spans="17:17" x14ac:dyDescent="0.35">
      <c r="Q19012" s="1"/>
    </row>
    <row r="19013" spans="17:17" x14ac:dyDescent="0.35">
      <c r="Q19013" s="1"/>
    </row>
    <row r="19015" spans="17:17" x14ac:dyDescent="0.35">
      <c r="Q19015" s="1"/>
    </row>
    <row r="19016" spans="17:17" x14ac:dyDescent="0.35">
      <c r="Q19016" s="1"/>
    </row>
    <row r="19019" spans="17:17" x14ac:dyDescent="0.35">
      <c r="Q19019" s="1"/>
    </row>
    <row r="19022" spans="17:17" x14ac:dyDescent="0.35">
      <c r="Q19022" s="1"/>
    </row>
    <row r="19023" spans="17:17" x14ac:dyDescent="0.35">
      <c r="Q19023" s="1"/>
    </row>
    <row r="19025" spans="17:17" x14ac:dyDescent="0.35">
      <c r="Q19025" s="1"/>
    </row>
    <row r="19028" spans="17:17" x14ac:dyDescent="0.35">
      <c r="Q19028" s="1"/>
    </row>
    <row r="19030" spans="17:17" x14ac:dyDescent="0.35">
      <c r="Q19030" s="1"/>
    </row>
    <row r="19033" spans="17:17" x14ac:dyDescent="0.35">
      <c r="Q19033" s="1"/>
    </row>
    <row r="19034" spans="17:17" x14ac:dyDescent="0.35">
      <c r="Q19034" s="1"/>
    </row>
    <row r="19036" spans="17:17" x14ac:dyDescent="0.35">
      <c r="Q19036" s="1"/>
    </row>
    <row r="19037" spans="17:17" x14ac:dyDescent="0.35">
      <c r="Q19037" s="1"/>
    </row>
    <row r="19045" spans="17:17" x14ac:dyDescent="0.35">
      <c r="Q19045" s="1"/>
    </row>
    <row r="19048" spans="17:17" x14ac:dyDescent="0.35">
      <c r="Q19048" s="1"/>
    </row>
    <row r="19049" spans="17:17" x14ac:dyDescent="0.35">
      <c r="Q19049" s="1"/>
    </row>
    <row r="19050" spans="17:17" x14ac:dyDescent="0.35">
      <c r="Q19050" s="1"/>
    </row>
    <row r="19051" spans="17:17" x14ac:dyDescent="0.35">
      <c r="Q19051" s="1"/>
    </row>
    <row r="19077" spans="17:17" x14ac:dyDescent="0.35">
      <c r="Q19077" s="1"/>
    </row>
    <row r="19078" spans="17:17" x14ac:dyDescent="0.35">
      <c r="Q19078" s="1"/>
    </row>
    <row r="19081" spans="17:17" x14ac:dyDescent="0.35">
      <c r="Q19081" s="1"/>
    </row>
    <row r="19088" spans="17:17" x14ac:dyDescent="0.35">
      <c r="Q19088" s="1"/>
    </row>
    <row r="19093" spans="17:17" x14ac:dyDescent="0.35">
      <c r="Q19093" s="1"/>
    </row>
    <row r="19097" spans="17:17" x14ac:dyDescent="0.35">
      <c r="Q19097" s="1"/>
    </row>
    <row r="19098" spans="17:17" x14ac:dyDescent="0.35">
      <c r="Q19098" s="1"/>
    </row>
    <row r="19100" spans="17:17" x14ac:dyDescent="0.35">
      <c r="Q19100" s="1"/>
    </row>
    <row r="19123" spans="17:17" x14ac:dyDescent="0.35">
      <c r="Q19123" s="1"/>
    </row>
    <row r="19146" spans="17:17" x14ac:dyDescent="0.35">
      <c r="Q19146" s="1"/>
    </row>
    <row r="19152" spans="17:17" x14ac:dyDescent="0.35">
      <c r="Q19152" s="1"/>
    </row>
    <row r="19154" spans="17:17" x14ac:dyDescent="0.35">
      <c r="Q19154" s="1"/>
    </row>
    <row r="19158" spans="17:17" x14ac:dyDescent="0.35">
      <c r="Q19158" s="1"/>
    </row>
    <row r="19159" spans="17:17" x14ac:dyDescent="0.35">
      <c r="Q19159" s="1"/>
    </row>
    <row r="19164" spans="17:17" x14ac:dyDescent="0.35">
      <c r="Q19164" s="1"/>
    </row>
    <row r="19165" spans="17:17" x14ac:dyDescent="0.35">
      <c r="Q19165" s="1"/>
    </row>
    <row r="19171" spans="17:17" x14ac:dyDescent="0.35">
      <c r="Q19171" s="1"/>
    </row>
    <row r="19172" spans="17:17" x14ac:dyDescent="0.35">
      <c r="Q19172" s="1"/>
    </row>
    <row r="19189" spans="17:17" x14ac:dyDescent="0.35">
      <c r="Q19189" s="1"/>
    </row>
    <row r="19190" spans="17:17" x14ac:dyDescent="0.35">
      <c r="Q19190" s="1"/>
    </row>
    <row r="19191" spans="17:17" x14ac:dyDescent="0.35">
      <c r="Q19191" s="1"/>
    </row>
    <row r="19193" spans="17:17" x14ac:dyDescent="0.35">
      <c r="Q19193" s="1"/>
    </row>
    <row r="19195" spans="17:17" x14ac:dyDescent="0.35">
      <c r="Q19195" s="1"/>
    </row>
    <row r="19197" spans="17:17" x14ac:dyDescent="0.35">
      <c r="Q19197" s="1"/>
    </row>
    <row r="19202" spans="17:17" x14ac:dyDescent="0.35">
      <c r="Q19202" s="1"/>
    </row>
    <row r="19205" spans="17:17" x14ac:dyDescent="0.35">
      <c r="Q19205" s="1"/>
    </row>
    <row r="19212" spans="17:17" x14ac:dyDescent="0.35">
      <c r="Q19212" s="1"/>
    </row>
    <row r="19230" spans="17:17" x14ac:dyDescent="0.35">
      <c r="Q19230" s="1"/>
    </row>
    <row r="19234" spans="17:17" x14ac:dyDescent="0.35">
      <c r="Q19234" s="1"/>
    </row>
    <row r="19248" spans="17:17" x14ac:dyDescent="0.35">
      <c r="Q19248" s="1"/>
    </row>
    <row r="19267" spans="17:17" x14ac:dyDescent="0.35">
      <c r="Q19267" s="1"/>
    </row>
    <row r="19269" spans="17:17" x14ac:dyDescent="0.35">
      <c r="Q19269" s="1"/>
    </row>
    <row r="19270" spans="17:17" x14ac:dyDescent="0.35">
      <c r="Q19270" s="1"/>
    </row>
    <row r="19271" spans="17:17" x14ac:dyDescent="0.35">
      <c r="Q19271" s="1"/>
    </row>
    <row r="19272" spans="17:17" x14ac:dyDescent="0.35">
      <c r="Q19272" s="1"/>
    </row>
    <row r="19275" spans="17:17" x14ac:dyDescent="0.35">
      <c r="Q19275" s="1"/>
    </row>
    <row r="19276" spans="17:17" x14ac:dyDescent="0.35">
      <c r="Q19276" s="1"/>
    </row>
    <row r="19277" spans="17:17" x14ac:dyDescent="0.35">
      <c r="Q19277" s="1"/>
    </row>
    <row r="19278" spans="17:17" x14ac:dyDescent="0.35">
      <c r="Q19278" s="1"/>
    </row>
    <row r="19305" spans="17:17" x14ac:dyDescent="0.35">
      <c r="Q19305" s="1"/>
    </row>
    <row r="19316" spans="17:17" x14ac:dyDescent="0.35">
      <c r="Q19316" s="1"/>
    </row>
    <row r="19318" spans="17:17" x14ac:dyDescent="0.35">
      <c r="Q19318" s="1"/>
    </row>
    <row r="19319" spans="17:17" x14ac:dyDescent="0.35">
      <c r="Q19319" s="1"/>
    </row>
    <row r="19321" spans="17:17" x14ac:dyDescent="0.35">
      <c r="Q19321" s="1"/>
    </row>
    <row r="19322" spans="17:17" x14ac:dyDescent="0.35">
      <c r="Q19322" s="1"/>
    </row>
    <row r="19325" spans="17:17" x14ac:dyDescent="0.35">
      <c r="Q19325" s="1"/>
    </row>
    <row r="19334" spans="17:17" x14ac:dyDescent="0.35">
      <c r="Q19334" s="1"/>
    </row>
    <row r="19337" spans="17:17" x14ac:dyDescent="0.35">
      <c r="Q19337" s="1"/>
    </row>
    <row r="19339" spans="17:17" x14ac:dyDescent="0.35">
      <c r="Q19339" s="1"/>
    </row>
    <row r="19340" spans="17:17" x14ac:dyDescent="0.35">
      <c r="Q19340" s="1"/>
    </row>
    <row r="19349" spans="17:17" x14ac:dyDescent="0.35">
      <c r="Q19349" s="1"/>
    </row>
    <row r="19351" spans="17:17" x14ac:dyDescent="0.35">
      <c r="Q19351" s="1"/>
    </row>
    <row r="19352" spans="17:17" x14ac:dyDescent="0.35">
      <c r="Q19352" s="1"/>
    </row>
    <row r="19357" spans="17:17" x14ac:dyDescent="0.35">
      <c r="Q19357" s="1"/>
    </row>
    <row r="19370" spans="17:17" x14ac:dyDescent="0.35">
      <c r="Q19370" s="1"/>
    </row>
    <row r="19377" spans="17:17" x14ac:dyDescent="0.35">
      <c r="Q19377" s="1"/>
    </row>
    <row r="19382" spans="17:17" x14ac:dyDescent="0.35">
      <c r="Q19382" s="1"/>
    </row>
    <row r="19389" spans="17:17" x14ac:dyDescent="0.35">
      <c r="Q19389" s="1"/>
    </row>
    <row r="19393" spans="17:17" x14ac:dyDescent="0.35">
      <c r="Q19393" s="1"/>
    </row>
    <row r="19394" spans="17:17" x14ac:dyDescent="0.35">
      <c r="Q19394" s="1"/>
    </row>
    <row r="19395" spans="17:17" x14ac:dyDescent="0.35">
      <c r="Q19395" s="1"/>
    </row>
    <row r="19409" spans="17:17" x14ac:dyDescent="0.35">
      <c r="Q19409" s="1"/>
    </row>
    <row r="19413" spans="17:17" x14ac:dyDescent="0.35">
      <c r="Q19413" s="1"/>
    </row>
    <row r="19418" spans="17:17" x14ac:dyDescent="0.35">
      <c r="Q19418" s="1"/>
    </row>
    <row r="19419" spans="17:17" x14ac:dyDescent="0.35">
      <c r="Q19419" s="1"/>
    </row>
    <row r="19430" spans="17:17" x14ac:dyDescent="0.35">
      <c r="Q19430" s="1"/>
    </row>
    <row r="19435" spans="17:17" x14ac:dyDescent="0.35">
      <c r="Q19435" s="1"/>
    </row>
    <row r="19443" spans="3:17" x14ac:dyDescent="0.35">
      <c r="Q19443" s="1"/>
    </row>
    <row r="19456" spans="3:17" x14ac:dyDescent="0.35">
      <c r="C19456" s="4"/>
    </row>
    <row r="19471" spans="17:17" x14ac:dyDescent="0.35">
      <c r="Q19471" s="1"/>
    </row>
    <row r="19478" spans="17:17" x14ac:dyDescent="0.35">
      <c r="Q19478" s="1"/>
    </row>
    <row r="19481" spans="17:17" x14ac:dyDescent="0.35">
      <c r="Q19481" s="1"/>
    </row>
    <row r="19492" spans="17:17" x14ac:dyDescent="0.35">
      <c r="Q19492" s="1"/>
    </row>
    <row r="19493" spans="17:17" x14ac:dyDescent="0.35">
      <c r="Q19493" s="1"/>
    </row>
    <row r="19494" spans="17:17" x14ac:dyDescent="0.35">
      <c r="Q19494" s="1"/>
    </row>
    <row r="19506" spans="17:17" x14ac:dyDescent="0.35">
      <c r="Q19506" s="1"/>
    </row>
    <row r="19507" spans="17:17" x14ac:dyDescent="0.35">
      <c r="Q19507" s="1"/>
    </row>
    <row r="19509" spans="17:17" x14ac:dyDescent="0.35">
      <c r="Q19509" s="1"/>
    </row>
    <row r="19510" spans="17:17" x14ac:dyDescent="0.35">
      <c r="Q19510" s="1"/>
    </row>
    <row r="19511" spans="17:17" x14ac:dyDescent="0.35">
      <c r="Q19511" s="1"/>
    </row>
    <row r="19513" spans="17:17" x14ac:dyDescent="0.35">
      <c r="Q19513" s="1"/>
    </row>
    <row r="19514" spans="17:17" x14ac:dyDescent="0.35">
      <c r="Q19514" s="1"/>
    </row>
    <row r="19515" spans="17:17" x14ac:dyDescent="0.35">
      <c r="Q19515" s="1"/>
    </row>
    <row r="19517" spans="17:17" x14ac:dyDescent="0.35">
      <c r="Q19517" s="1"/>
    </row>
    <row r="19518" spans="17:17" x14ac:dyDescent="0.35">
      <c r="Q19518" s="1"/>
    </row>
    <row r="19519" spans="17:17" x14ac:dyDescent="0.35">
      <c r="Q19519" s="1"/>
    </row>
    <row r="19522" spans="17:17" x14ac:dyDescent="0.35">
      <c r="Q19522" s="1"/>
    </row>
    <row r="19523" spans="17:17" x14ac:dyDescent="0.35">
      <c r="Q19523" s="1"/>
    </row>
    <row r="19524" spans="17:17" x14ac:dyDescent="0.35">
      <c r="Q19524" s="1"/>
    </row>
    <row r="19525" spans="17:17" x14ac:dyDescent="0.35">
      <c r="Q19525" s="1"/>
    </row>
    <row r="19528" spans="17:17" x14ac:dyDescent="0.35">
      <c r="Q19528" s="1"/>
    </row>
    <row r="19530" spans="17:17" x14ac:dyDescent="0.35">
      <c r="Q19530" s="1"/>
    </row>
    <row r="19532" spans="17:17" x14ac:dyDescent="0.35">
      <c r="Q19532" s="1"/>
    </row>
    <row r="19537" spans="17:17" x14ac:dyDescent="0.35">
      <c r="Q19537" s="1"/>
    </row>
    <row r="19538" spans="17:17" x14ac:dyDescent="0.35">
      <c r="Q19538" s="1"/>
    </row>
    <row r="19541" spans="17:17" x14ac:dyDescent="0.35">
      <c r="Q19541" s="1"/>
    </row>
    <row r="19546" spans="17:17" x14ac:dyDescent="0.35">
      <c r="Q19546" s="1"/>
    </row>
    <row r="19547" spans="17:17" x14ac:dyDescent="0.35">
      <c r="Q19547" s="1"/>
    </row>
    <row r="19550" spans="17:17" x14ac:dyDescent="0.35">
      <c r="Q19550" s="1"/>
    </row>
    <row r="19551" spans="17:17" x14ac:dyDescent="0.35">
      <c r="Q19551" s="1"/>
    </row>
    <row r="19554" spans="17:17" x14ac:dyDescent="0.35">
      <c r="Q19554" s="1"/>
    </row>
    <row r="19558" spans="17:17" x14ac:dyDescent="0.35">
      <c r="Q19558" s="1"/>
    </row>
    <row r="19562" spans="17:17" x14ac:dyDescent="0.35">
      <c r="Q19562" s="1"/>
    </row>
    <row r="19567" spans="17:17" x14ac:dyDescent="0.35">
      <c r="Q19567" s="1"/>
    </row>
    <row r="19568" spans="17:17" x14ac:dyDescent="0.35">
      <c r="Q19568" s="1"/>
    </row>
    <row r="19569" spans="17:17" x14ac:dyDescent="0.35">
      <c r="Q19569" s="1"/>
    </row>
    <row r="19572" spans="17:17" x14ac:dyDescent="0.35">
      <c r="Q19572" s="1"/>
    </row>
    <row r="19573" spans="17:17" x14ac:dyDescent="0.35">
      <c r="Q19573" s="1"/>
    </row>
    <row r="19574" spans="17:17" x14ac:dyDescent="0.35">
      <c r="Q19574" s="1"/>
    </row>
    <row r="19576" spans="17:17" x14ac:dyDescent="0.35">
      <c r="Q19576" s="1"/>
    </row>
    <row r="19577" spans="17:17" x14ac:dyDescent="0.35">
      <c r="Q19577" s="1"/>
    </row>
    <row r="19579" spans="17:17" x14ac:dyDescent="0.35">
      <c r="Q19579" s="1"/>
    </row>
    <row r="19583" spans="17:17" x14ac:dyDescent="0.35">
      <c r="Q19583" s="1"/>
    </row>
    <row r="19584" spans="17:17" x14ac:dyDescent="0.35">
      <c r="Q19584" s="1"/>
    </row>
    <row r="19587" spans="17:17" x14ac:dyDescent="0.35">
      <c r="Q19587" s="1"/>
    </row>
    <row r="19589" spans="17:17" x14ac:dyDescent="0.35">
      <c r="Q19589" s="1"/>
    </row>
    <row r="19590" spans="17:17" x14ac:dyDescent="0.35">
      <c r="Q19590" s="1"/>
    </row>
    <row r="19592" spans="17:17" x14ac:dyDescent="0.35">
      <c r="Q19592" s="1"/>
    </row>
    <row r="19593" spans="17:17" x14ac:dyDescent="0.35">
      <c r="Q19593" s="1"/>
    </row>
    <row r="19601" spans="17:17" x14ac:dyDescent="0.35">
      <c r="Q19601" s="1"/>
    </row>
    <row r="19602" spans="17:17" x14ac:dyDescent="0.35">
      <c r="Q19602" s="1"/>
    </row>
    <row r="19603" spans="17:17" x14ac:dyDescent="0.35">
      <c r="Q19603" s="1"/>
    </row>
    <row r="19607" spans="17:17" x14ac:dyDescent="0.35">
      <c r="Q19607" s="1"/>
    </row>
    <row r="19608" spans="17:17" x14ac:dyDescent="0.35">
      <c r="Q19608" s="1"/>
    </row>
    <row r="19609" spans="17:17" x14ac:dyDescent="0.35">
      <c r="Q19609" s="1"/>
    </row>
    <row r="19618" spans="17:17" x14ac:dyDescent="0.35">
      <c r="Q19618" s="1"/>
    </row>
    <row r="19619" spans="17:17" x14ac:dyDescent="0.35">
      <c r="Q19619" s="1"/>
    </row>
    <row r="19620" spans="17:17" x14ac:dyDescent="0.35">
      <c r="Q19620" s="1"/>
    </row>
    <row r="19621" spans="17:17" x14ac:dyDescent="0.35">
      <c r="Q19621" s="1"/>
    </row>
    <row r="19624" spans="17:17" x14ac:dyDescent="0.35">
      <c r="Q19624" s="1"/>
    </row>
    <row r="19637" spans="17:17" x14ac:dyDescent="0.35">
      <c r="Q19637" s="1"/>
    </row>
    <row r="19639" spans="17:17" x14ac:dyDescent="0.35">
      <c r="Q19639" s="1"/>
    </row>
    <row r="19640" spans="17:17" x14ac:dyDescent="0.35">
      <c r="Q19640" s="1"/>
    </row>
    <row r="19641" spans="17:17" x14ac:dyDescent="0.35">
      <c r="Q19641" s="1"/>
    </row>
    <row r="19649" spans="17:17" x14ac:dyDescent="0.35">
      <c r="Q19649" s="1"/>
    </row>
    <row r="19651" spans="17:17" x14ac:dyDescent="0.35">
      <c r="Q19651" s="1"/>
    </row>
    <row r="19659" spans="17:17" x14ac:dyDescent="0.35">
      <c r="Q19659" s="1"/>
    </row>
    <row r="19668" spans="17:17" x14ac:dyDescent="0.35">
      <c r="Q19668" s="1"/>
    </row>
    <row r="19670" spans="17:17" x14ac:dyDescent="0.35">
      <c r="Q19670" s="1"/>
    </row>
    <row r="19673" spans="17:17" x14ac:dyDescent="0.35">
      <c r="Q19673" s="1"/>
    </row>
    <row r="19674" spans="17:17" x14ac:dyDescent="0.35">
      <c r="Q19674" s="1"/>
    </row>
    <row r="19688" spans="17:17" x14ac:dyDescent="0.35">
      <c r="Q19688" s="1"/>
    </row>
    <row r="19690" spans="17:17" x14ac:dyDescent="0.35">
      <c r="Q19690" s="1"/>
    </row>
    <row r="19694" spans="17:17" x14ac:dyDescent="0.35">
      <c r="Q19694" s="1"/>
    </row>
    <row r="19697" spans="17:17" x14ac:dyDescent="0.35">
      <c r="Q19697" s="1"/>
    </row>
    <row r="19698" spans="17:17" x14ac:dyDescent="0.35">
      <c r="Q19698" s="1"/>
    </row>
    <row r="19711" spans="17:17" x14ac:dyDescent="0.35">
      <c r="Q19711" s="1"/>
    </row>
    <row r="19712" spans="17:17" x14ac:dyDescent="0.35">
      <c r="Q19712" s="1"/>
    </row>
    <row r="19713" spans="17:17" x14ac:dyDescent="0.35">
      <c r="Q19713" s="1"/>
    </row>
    <row r="19725" spans="17:17" x14ac:dyDescent="0.35">
      <c r="Q19725" s="1"/>
    </row>
    <row r="19729" spans="17:17" x14ac:dyDescent="0.35">
      <c r="Q19729" s="1"/>
    </row>
    <row r="19736" spans="17:17" x14ac:dyDescent="0.35">
      <c r="Q19736" s="1"/>
    </row>
    <row r="19739" spans="17:17" x14ac:dyDescent="0.35">
      <c r="Q19739" s="1"/>
    </row>
    <row r="19742" spans="17:17" x14ac:dyDescent="0.35">
      <c r="Q19742" s="1"/>
    </row>
    <row r="19747" spans="17:17" x14ac:dyDescent="0.35">
      <c r="Q19747" s="1"/>
    </row>
    <row r="19748" spans="17:17" x14ac:dyDescent="0.35">
      <c r="Q19748" s="1"/>
    </row>
    <row r="19750" spans="17:17" x14ac:dyDescent="0.35">
      <c r="Q19750" s="1"/>
    </row>
    <row r="19753" spans="17:17" x14ac:dyDescent="0.35">
      <c r="Q19753" s="1"/>
    </row>
    <row r="19767" spans="17:17" x14ac:dyDescent="0.35">
      <c r="Q19767" s="1"/>
    </row>
    <row r="19769" spans="17:17" x14ac:dyDescent="0.35">
      <c r="Q19769" s="1"/>
    </row>
    <row r="19772" spans="17:17" x14ac:dyDescent="0.35">
      <c r="Q19772" s="1"/>
    </row>
    <row r="19780" spans="17:17" x14ac:dyDescent="0.35">
      <c r="Q19780" s="1"/>
    </row>
    <row r="19782" spans="17:17" x14ac:dyDescent="0.35">
      <c r="Q19782" s="1"/>
    </row>
    <row r="19785" spans="17:17" x14ac:dyDescent="0.35">
      <c r="Q19785" s="1"/>
    </row>
    <row r="19796" spans="17:17" x14ac:dyDescent="0.35">
      <c r="Q19796" s="1"/>
    </row>
    <row r="19802" spans="17:17" x14ac:dyDescent="0.35">
      <c r="Q19802" s="1"/>
    </row>
    <row r="19807" spans="17:17" x14ac:dyDescent="0.35">
      <c r="Q19807" s="1"/>
    </row>
    <row r="19817" spans="17:17" x14ac:dyDescent="0.35">
      <c r="Q19817" s="1"/>
    </row>
    <row r="19821" spans="17:17" x14ac:dyDescent="0.35">
      <c r="Q19821" s="1"/>
    </row>
    <row r="19823" spans="17:17" x14ac:dyDescent="0.35">
      <c r="Q19823" s="1"/>
    </row>
    <row r="19836" spans="17:17" x14ac:dyDescent="0.35">
      <c r="Q19836" s="1"/>
    </row>
    <row r="19844" spans="17:17" x14ac:dyDescent="0.35">
      <c r="Q19844" s="1"/>
    </row>
    <row r="19847" spans="17:17" x14ac:dyDescent="0.35">
      <c r="Q19847" s="1"/>
    </row>
    <row r="19850" spans="17:17" x14ac:dyDescent="0.35">
      <c r="Q19850" s="1"/>
    </row>
    <row r="19853" spans="17:17" x14ac:dyDescent="0.35">
      <c r="Q19853" s="1"/>
    </row>
    <row r="19854" spans="17:17" x14ac:dyDescent="0.35">
      <c r="Q19854" s="1"/>
    </row>
    <row r="19859" spans="17:17" x14ac:dyDescent="0.35">
      <c r="Q19859" s="1"/>
    </row>
    <row r="19872" spans="17:17" x14ac:dyDescent="0.35">
      <c r="Q19872" s="1"/>
    </row>
    <row r="19880" spans="17:17" x14ac:dyDescent="0.35">
      <c r="Q19880" s="1"/>
    </row>
    <row r="19881" spans="17:17" x14ac:dyDescent="0.35">
      <c r="Q19881" s="1"/>
    </row>
    <row r="19887" spans="17:17" x14ac:dyDescent="0.35">
      <c r="Q19887" s="1"/>
    </row>
    <row r="19888" spans="17:17" x14ac:dyDescent="0.35">
      <c r="Q19888" s="1"/>
    </row>
    <row r="19893" spans="17:17" x14ac:dyDescent="0.35">
      <c r="Q19893" s="1"/>
    </row>
    <row r="19895" spans="17:17" x14ac:dyDescent="0.35">
      <c r="Q19895" s="1"/>
    </row>
    <row r="19906" spans="17:17" x14ac:dyDescent="0.35">
      <c r="Q19906" s="1"/>
    </row>
    <row r="19914" spans="17:17" x14ac:dyDescent="0.35">
      <c r="Q19914" s="1"/>
    </row>
    <row r="19920" spans="17:17" x14ac:dyDescent="0.35">
      <c r="Q19920" s="1"/>
    </row>
    <row r="19933" spans="17:17" x14ac:dyDescent="0.35">
      <c r="Q19933" s="1"/>
    </row>
    <row r="19938" spans="17:17" x14ac:dyDescent="0.35">
      <c r="Q19938" s="1"/>
    </row>
    <row r="19939" spans="17:17" x14ac:dyDescent="0.35">
      <c r="Q19939" s="1"/>
    </row>
    <row r="19942" spans="17:17" x14ac:dyDescent="0.35">
      <c r="Q19942" s="1"/>
    </row>
    <row r="19943" spans="17:17" x14ac:dyDescent="0.35">
      <c r="Q19943" s="1"/>
    </row>
    <row r="19948" spans="17:17" x14ac:dyDescent="0.35">
      <c r="Q19948" s="1"/>
    </row>
    <row r="19949" spans="17:17" x14ac:dyDescent="0.35">
      <c r="Q19949" s="1"/>
    </row>
    <row r="19950" spans="17:17" x14ac:dyDescent="0.35">
      <c r="Q19950" s="1"/>
    </row>
    <row r="19951" spans="17:17" x14ac:dyDescent="0.35">
      <c r="Q19951" s="1"/>
    </row>
    <row r="19954" spans="17:17" x14ac:dyDescent="0.35">
      <c r="Q19954" s="1"/>
    </row>
    <row r="19955" spans="17:17" x14ac:dyDescent="0.35">
      <c r="Q19955" s="1"/>
    </row>
    <row r="19957" spans="17:17" x14ac:dyDescent="0.35">
      <c r="Q19957" s="1"/>
    </row>
    <row r="19963" spans="17:17" x14ac:dyDescent="0.35">
      <c r="Q19963" s="1"/>
    </row>
    <row r="19964" spans="17:17" x14ac:dyDescent="0.35">
      <c r="Q19964" s="1"/>
    </row>
    <row r="19965" spans="17:17" x14ac:dyDescent="0.35">
      <c r="Q19965" s="1"/>
    </row>
    <row r="19966" spans="17:17" x14ac:dyDescent="0.35">
      <c r="Q19966" s="1"/>
    </row>
    <row r="19969" spans="17:17" x14ac:dyDescent="0.35">
      <c r="Q19969" s="1"/>
    </row>
    <row r="19971" spans="17:17" x14ac:dyDescent="0.35">
      <c r="Q19971" s="1"/>
    </row>
    <row r="19984" spans="17:17" x14ac:dyDescent="0.35">
      <c r="Q19984" s="1"/>
    </row>
    <row r="19987" spans="17:17" x14ac:dyDescent="0.35">
      <c r="Q19987" s="1"/>
    </row>
    <row r="19994" spans="17:17" x14ac:dyDescent="0.35">
      <c r="Q19994" s="1"/>
    </row>
    <row r="19995" spans="17:17" x14ac:dyDescent="0.35">
      <c r="Q19995" s="1"/>
    </row>
    <row r="20002" spans="17:17" x14ac:dyDescent="0.35">
      <c r="Q20002" s="1"/>
    </row>
    <row r="20003" spans="17:17" x14ac:dyDescent="0.35">
      <c r="Q20003" s="1"/>
    </row>
    <row r="20004" spans="17:17" x14ac:dyDescent="0.35">
      <c r="Q20004" s="1"/>
    </row>
    <row r="20007" spans="17:17" x14ac:dyDescent="0.35">
      <c r="Q20007" s="1"/>
    </row>
    <row r="20010" spans="17:17" x14ac:dyDescent="0.35">
      <c r="Q20010" s="1"/>
    </row>
    <row r="20012" spans="17:17" x14ac:dyDescent="0.35">
      <c r="Q20012" s="1"/>
    </row>
    <row r="20013" spans="17:17" x14ac:dyDescent="0.35">
      <c r="Q20013" s="1"/>
    </row>
    <row r="20016" spans="17:17" x14ac:dyDescent="0.35">
      <c r="Q20016" s="1"/>
    </row>
    <row r="20019" spans="17:17" x14ac:dyDescent="0.35">
      <c r="Q20019" s="1"/>
    </row>
    <row r="20021" spans="17:17" x14ac:dyDescent="0.35">
      <c r="Q20021" s="1"/>
    </row>
    <row r="20027" spans="17:17" x14ac:dyDescent="0.35">
      <c r="Q20027" s="1"/>
    </row>
    <row r="20033" spans="17:17" x14ac:dyDescent="0.35">
      <c r="Q20033" s="1"/>
    </row>
    <row r="20034" spans="17:17" x14ac:dyDescent="0.35">
      <c r="Q20034" s="1"/>
    </row>
    <row r="20038" spans="17:17" x14ac:dyDescent="0.35">
      <c r="Q20038" s="1"/>
    </row>
    <row r="20039" spans="17:17" x14ac:dyDescent="0.35">
      <c r="Q20039" s="1"/>
    </row>
    <row r="20048" spans="17:17" x14ac:dyDescent="0.35">
      <c r="Q20048" s="1"/>
    </row>
    <row r="20055" spans="17:17" x14ac:dyDescent="0.35">
      <c r="Q20055" s="1"/>
    </row>
    <row r="20057" spans="17:17" x14ac:dyDescent="0.35">
      <c r="Q20057" s="1"/>
    </row>
    <row r="20060" spans="17:17" x14ac:dyDescent="0.35">
      <c r="Q20060" s="1"/>
    </row>
    <row r="20061" spans="17:17" x14ac:dyDescent="0.35">
      <c r="Q20061" s="1"/>
    </row>
    <row r="20063" spans="17:17" x14ac:dyDescent="0.35">
      <c r="Q20063" s="1"/>
    </row>
    <row r="20070" spans="17:17" x14ac:dyDescent="0.35">
      <c r="Q20070" s="1"/>
    </row>
    <row r="20071" spans="17:17" x14ac:dyDescent="0.35">
      <c r="Q20071" s="1"/>
    </row>
    <row r="20086" spans="17:17" x14ac:dyDescent="0.35">
      <c r="Q20086" s="1"/>
    </row>
    <row r="20106" spans="17:17" x14ac:dyDescent="0.35">
      <c r="Q20106" s="1"/>
    </row>
    <row r="20107" spans="17:17" x14ac:dyDescent="0.35">
      <c r="Q20107" s="1"/>
    </row>
    <row r="20109" spans="17:17" x14ac:dyDescent="0.35">
      <c r="Q20109" s="1"/>
    </row>
    <row r="20112" spans="17:17" x14ac:dyDescent="0.35">
      <c r="Q20112" s="1"/>
    </row>
    <row r="20116" spans="17:17" x14ac:dyDescent="0.35">
      <c r="Q20116" s="1"/>
    </row>
    <row r="20129" spans="17:17" x14ac:dyDescent="0.35">
      <c r="Q20129" s="1"/>
    </row>
    <row r="20131" spans="17:17" x14ac:dyDescent="0.35">
      <c r="Q20131" s="1"/>
    </row>
    <row r="20133" spans="17:17" x14ac:dyDescent="0.35">
      <c r="Q20133" s="1"/>
    </row>
    <row r="20140" spans="17:17" x14ac:dyDescent="0.35">
      <c r="Q20140" s="1"/>
    </row>
    <row r="20141" spans="17:17" x14ac:dyDescent="0.35">
      <c r="Q20141" s="1"/>
    </row>
    <row r="20142" spans="17:17" x14ac:dyDescent="0.35">
      <c r="Q20142" s="1"/>
    </row>
    <row r="20143" spans="17:17" x14ac:dyDescent="0.35">
      <c r="Q20143" s="1"/>
    </row>
    <row r="20144" spans="17:17" x14ac:dyDescent="0.35">
      <c r="Q20144" s="1"/>
    </row>
    <row r="20147" spans="17:17" x14ac:dyDescent="0.35">
      <c r="Q20147" s="1"/>
    </row>
    <row r="20154" spans="17:17" x14ac:dyDescent="0.35">
      <c r="Q20154" s="1"/>
    </row>
    <row r="20156" spans="17:17" x14ac:dyDescent="0.35">
      <c r="Q20156" s="1"/>
    </row>
    <row r="20161" spans="17:17" x14ac:dyDescent="0.35">
      <c r="Q20161" s="1"/>
    </row>
    <row r="20167" spans="17:17" x14ac:dyDescent="0.35">
      <c r="Q20167" s="1"/>
    </row>
    <row r="20168" spans="17:17" x14ac:dyDescent="0.35">
      <c r="Q20168" s="1"/>
    </row>
    <row r="20170" spans="17:17" x14ac:dyDescent="0.35">
      <c r="Q20170" s="1"/>
    </row>
    <row r="20172" spans="17:17" x14ac:dyDescent="0.35">
      <c r="Q20172" s="1"/>
    </row>
    <row r="20173" spans="17:17" x14ac:dyDescent="0.35">
      <c r="Q20173" s="1"/>
    </row>
    <row r="20175" spans="17:17" x14ac:dyDescent="0.35">
      <c r="Q20175" s="1"/>
    </row>
    <row r="20178" spans="16:17" x14ac:dyDescent="0.35">
      <c r="P20178" s="1"/>
      <c r="Q20178" s="1"/>
    </row>
    <row r="20180" spans="16:17" x14ac:dyDescent="0.35">
      <c r="Q20180" s="1"/>
    </row>
    <row r="20181" spans="16:17" x14ac:dyDescent="0.35">
      <c r="Q20181" s="1"/>
    </row>
    <row r="20183" spans="16:17" x14ac:dyDescent="0.35">
      <c r="Q20183" s="1"/>
    </row>
    <row r="20185" spans="16:17" x14ac:dyDescent="0.35">
      <c r="Q20185" s="1"/>
    </row>
    <row r="20189" spans="16:17" x14ac:dyDescent="0.35">
      <c r="Q20189" s="1"/>
    </row>
    <row r="20192" spans="16:17" x14ac:dyDescent="0.35">
      <c r="Q20192" s="1"/>
    </row>
    <row r="20193" spans="17:17" x14ac:dyDescent="0.35">
      <c r="Q20193" s="1"/>
    </row>
    <row r="20195" spans="17:17" x14ac:dyDescent="0.35">
      <c r="Q20195" s="1"/>
    </row>
    <row r="20196" spans="17:17" x14ac:dyDescent="0.35">
      <c r="Q20196" s="1"/>
    </row>
    <row r="20197" spans="17:17" x14ac:dyDescent="0.35">
      <c r="Q20197" s="1"/>
    </row>
    <row r="20202" spans="17:17" x14ac:dyDescent="0.35">
      <c r="Q20202" s="1"/>
    </row>
    <row r="20204" spans="17:17" x14ac:dyDescent="0.35">
      <c r="Q20204" s="1"/>
    </row>
    <row r="20205" spans="17:17" x14ac:dyDescent="0.35">
      <c r="Q20205" s="1"/>
    </row>
    <row r="20207" spans="17:17" x14ac:dyDescent="0.35">
      <c r="Q20207" s="1"/>
    </row>
    <row r="20208" spans="17:17" x14ac:dyDescent="0.35">
      <c r="Q20208" s="1"/>
    </row>
    <row r="20209" spans="17:17" x14ac:dyDescent="0.35">
      <c r="Q20209" s="1"/>
    </row>
    <row r="20213" spans="17:17" x14ac:dyDescent="0.35">
      <c r="Q20213" s="1"/>
    </row>
    <row r="20215" spans="17:17" x14ac:dyDescent="0.35">
      <c r="Q20215" s="1"/>
    </row>
    <row r="20229" spans="17:17" x14ac:dyDescent="0.35">
      <c r="Q20229" s="1"/>
    </row>
    <row r="20249" spans="17:17" x14ac:dyDescent="0.35">
      <c r="Q20249" s="1"/>
    </row>
    <row r="20250" spans="17:17" x14ac:dyDescent="0.35">
      <c r="Q20250" s="1"/>
    </row>
    <row r="20255" spans="17:17" x14ac:dyDescent="0.35">
      <c r="Q20255" s="1"/>
    </row>
    <row r="20260" spans="17:17" x14ac:dyDescent="0.35">
      <c r="Q20260" s="1"/>
    </row>
    <row r="20262" spans="17:17" x14ac:dyDescent="0.35">
      <c r="Q20262" s="1"/>
    </row>
    <row r="20266" spans="17:17" x14ac:dyDescent="0.35">
      <c r="Q20266" s="1"/>
    </row>
    <row r="20267" spans="17:17" x14ac:dyDescent="0.35">
      <c r="Q20267" s="1"/>
    </row>
    <row r="20270" spans="17:17" x14ac:dyDescent="0.35">
      <c r="Q20270" s="1"/>
    </row>
    <row r="20272" spans="17:17" x14ac:dyDescent="0.35">
      <c r="Q20272" s="1"/>
    </row>
    <row r="20277" spans="17:17" x14ac:dyDescent="0.35">
      <c r="Q20277" s="1"/>
    </row>
    <row r="20278" spans="17:17" x14ac:dyDescent="0.35">
      <c r="Q20278" s="1"/>
    </row>
    <row r="20279" spans="17:17" x14ac:dyDescent="0.35">
      <c r="Q20279" s="1"/>
    </row>
    <row r="20281" spans="17:17" x14ac:dyDescent="0.35">
      <c r="Q20281" s="1"/>
    </row>
    <row r="20283" spans="17:17" x14ac:dyDescent="0.35">
      <c r="Q20283" s="1"/>
    </row>
    <row r="20284" spans="17:17" x14ac:dyDescent="0.35">
      <c r="Q20284" s="1"/>
    </row>
    <row r="20285" spans="17:17" x14ac:dyDescent="0.35">
      <c r="Q20285" s="1"/>
    </row>
    <row r="20286" spans="17:17" x14ac:dyDescent="0.35">
      <c r="Q20286" s="1"/>
    </row>
    <row r="20291" spans="17:17" x14ac:dyDescent="0.35">
      <c r="Q20291" s="1"/>
    </row>
    <row r="20303" spans="17:17" x14ac:dyDescent="0.35">
      <c r="Q20303" s="1"/>
    </row>
    <row r="20308" spans="17:17" x14ac:dyDescent="0.35">
      <c r="Q20308" s="1"/>
    </row>
    <row r="20309" spans="17:17" x14ac:dyDescent="0.35">
      <c r="Q20309" s="1"/>
    </row>
    <row r="20318" spans="17:17" x14ac:dyDescent="0.35">
      <c r="Q20318" s="1"/>
    </row>
    <row r="20323" spans="17:17" x14ac:dyDescent="0.35">
      <c r="Q20323" s="1"/>
    </row>
    <row r="20328" spans="17:17" x14ac:dyDescent="0.35">
      <c r="Q20328" s="1"/>
    </row>
    <row r="20346" spans="17:17" x14ac:dyDescent="0.35">
      <c r="Q20346" s="1"/>
    </row>
    <row r="20364" spans="17:17" x14ac:dyDescent="0.35">
      <c r="Q20364" s="1"/>
    </row>
    <row r="20366" spans="17:17" x14ac:dyDescent="0.35">
      <c r="Q20366" s="1"/>
    </row>
    <row r="20375" spans="17:17" x14ac:dyDescent="0.35">
      <c r="Q20375" s="1"/>
    </row>
    <row r="20376" spans="17:17" x14ac:dyDescent="0.35">
      <c r="Q20376" s="1"/>
    </row>
    <row r="20378" spans="17:17" x14ac:dyDescent="0.35">
      <c r="Q20378" s="1"/>
    </row>
    <row r="20382" spans="17:17" x14ac:dyDescent="0.35">
      <c r="Q20382" s="1"/>
    </row>
    <row r="20383" spans="17:17" x14ac:dyDescent="0.35">
      <c r="Q20383" s="1"/>
    </row>
    <row r="20384" spans="17:17" x14ac:dyDescent="0.35">
      <c r="Q20384" s="1"/>
    </row>
    <row r="20385" spans="17:17" x14ac:dyDescent="0.35">
      <c r="Q20385" s="1"/>
    </row>
    <row r="20390" spans="17:17" x14ac:dyDescent="0.35">
      <c r="Q20390" s="1"/>
    </row>
    <row r="20397" spans="17:17" x14ac:dyDescent="0.35">
      <c r="Q20397" s="1"/>
    </row>
    <row r="20399" spans="17:17" x14ac:dyDescent="0.35">
      <c r="Q20399" s="1"/>
    </row>
    <row r="20400" spans="17:17" x14ac:dyDescent="0.35">
      <c r="Q20400" s="1"/>
    </row>
    <row r="20412" spans="17:17" x14ac:dyDescent="0.35">
      <c r="Q20412" s="1"/>
    </row>
    <row r="20417" spans="17:17" x14ac:dyDescent="0.35">
      <c r="Q20417" s="1"/>
    </row>
    <row r="20419" spans="17:17" x14ac:dyDescent="0.35">
      <c r="Q20419" s="1"/>
    </row>
    <row r="20420" spans="17:17" x14ac:dyDescent="0.35">
      <c r="Q20420" s="1"/>
    </row>
    <row r="20421" spans="17:17" x14ac:dyDescent="0.35">
      <c r="Q20421" s="1"/>
    </row>
    <row r="20423" spans="17:17" x14ac:dyDescent="0.35">
      <c r="Q20423" s="1"/>
    </row>
    <row r="20424" spans="17:17" x14ac:dyDescent="0.35">
      <c r="Q20424" s="1"/>
    </row>
    <row r="20425" spans="17:17" x14ac:dyDescent="0.35">
      <c r="Q20425" s="1"/>
    </row>
    <row r="20426" spans="17:17" x14ac:dyDescent="0.35">
      <c r="Q20426" s="1"/>
    </row>
    <row r="20428" spans="17:17" x14ac:dyDescent="0.35">
      <c r="Q20428" s="1"/>
    </row>
    <row r="20429" spans="17:17" x14ac:dyDescent="0.35">
      <c r="Q20429" s="1"/>
    </row>
    <row r="20430" spans="17:17" x14ac:dyDescent="0.35">
      <c r="Q20430" s="1"/>
    </row>
    <row r="20431" spans="17:17" x14ac:dyDescent="0.35">
      <c r="Q20431" s="1"/>
    </row>
    <row r="20432" spans="17:17" x14ac:dyDescent="0.35">
      <c r="Q20432" s="1"/>
    </row>
    <row r="20433" spans="17:17" x14ac:dyDescent="0.35">
      <c r="Q20433" s="1"/>
    </row>
    <row r="20434" spans="17:17" x14ac:dyDescent="0.35">
      <c r="Q20434" s="1"/>
    </row>
    <row r="20435" spans="17:17" x14ac:dyDescent="0.35">
      <c r="Q20435" s="1"/>
    </row>
    <row r="20436" spans="17:17" x14ac:dyDescent="0.35">
      <c r="Q20436" s="1"/>
    </row>
    <row r="20438" spans="17:17" x14ac:dyDescent="0.35">
      <c r="Q20438" s="1"/>
    </row>
    <row r="20439" spans="17:17" x14ac:dyDescent="0.35">
      <c r="Q20439" s="1"/>
    </row>
    <row r="20440" spans="17:17" x14ac:dyDescent="0.35">
      <c r="Q20440" s="1"/>
    </row>
    <row r="20445" spans="17:17" x14ac:dyDescent="0.35">
      <c r="Q20445" s="1"/>
    </row>
    <row r="20448" spans="17:17" x14ac:dyDescent="0.35">
      <c r="Q20448" s="1"/>
    </row>
    <row r="20449" spans="17:17" x14ac:dyDescent="0.35">
      <c r="Q20449" s="1"/>
    </row>
    <row r="20452" spans="17:17" x14ac:dyDescent="0.35">
      <c r="Q20452" s="1"/>
    </row>
    <row r="20454" spans="17:17" x14ac:dyDescent="0.35">
      <c r="Q20454" s="1"/>
    </row>
    <row r="20455" spans="17:17" x14ac:dyDescent="0.35">
      <c r="Q20455" s="1"/>
    </row>
    <row r="20459" spans="17:17" x14ac:dyDescent="0.35">
      <c r="Q20459" s="1"/>
    </row>
    <row r="20468" spans="17:17" x14ac:dyDescent="0.35">
      <c r="Q20468" s="1"/>
    </row>
    <row r="20476" spans="17:17" x14ac:dyDescent="0.35">
      <c r="Q20476" s="1"/>
    </row>
    <row r="20489" spans="17:17" x14ac:dyDescent="0.35">
      <c r="Q20489" s="1"/>
    </row>
    <row r="20491" spans="17:17" x14ac:dyDescent="0.35">
      <c r="Q20491" s="1"/>
    </row>
    <row r="20492" spans="17:17" x14ac:dyDescent="0.35">
      <c r="Q20492" s="1"/>
    </row>
    <row r="20493" spans="17:17" x14ac:dyDescent="0.35">
      <c r="Q20493" s="1"/>
    </row>
    <row r="20495" spans="17:17" x14ac:dyDescent="0.35">
      <c r="Q20495" s="1"/>
    </row>
    <row r="20497" spans="17:17" x14ac:dyDescent="0.35">
      <c r="Q20497" s="1"/>
    </row>
    <row r="20499" spans="17:17" x14ac:dyDescent="0.35">
      <c r="Q20499" s="1"/>
    </row>
    <row r="20500" spans="17:17" x14ac:dyDescent="0.35">
      <c r="Q20500" s="1"/>
    </row>
    <row r="20502" spans="17:17" x14ac:dyDescent="0.35">
      <c r="Q20502" s="1"/>
    </row>
    <row r="20505" spans="17:17" x14ac:dyDescent="0.35">
      <c r="Q20505" s="1"/>
    </row>
    <row r="20509" spans="17:17" x14ac:dyDescent="0.35">
      <c r="Q20509" s="1"/>
    </row>
    <row r="20511" spans="17:17" x14ac:dyDescent="0.35">
      <c r="Q20511" s="1"/>
    </row>
    <row r="20518" spans="17:17" x14ac:dyDescent="0.35">
      <c r="Q20518" s="1"/>
    </row>
    <row r="20535" spans="17:17" x14ac:dyDescent="0.35">
      <c r="Q20535" s="1"/>
    </row>
    <row r="20539" spans="17:17" x14ac:dyDescent="0.35">
      <c r="Q20539" s="1"/>
    </row>
    <row r="20542" spans="17:17" x14ac:dyDescent="0.35">
      <c r="Q20542" s="1"/>
    </row>
    <row r="20550" spans="17:17" x14ac:dyDescent="0.35">
      <c r="Q20550" s="1"/>
    </row>
    <row r="20557" spans="17:17" x14ac:dyDescent="0.35">
      <c r="Q20557" s="1"/>
    </row>
    <row r="20559" spans="17:17" x14ac:dyDescent="0.35">
      <c r="Q20559" s="1"/>
    </row>
    <row r="20560" spans="17:17" x14ac:dyDescent="0.35">
      <c r="Q20560" s="1"/>
    </row>
    <row r="20569" spans="17:17" x14ac:dyDescent="0.35">
      <c r="Q20569" s="1"/>
    </row>
    <row r="20577" spans="17:17" x14ac:dyDescent="0.35">
      <c r="Q20577" s="1"/>
    </row>
    <row r="20578" spans="17:17" x14ac:dyDescent="0.35">
      <c r="Q20578" s="1"/>
    </row>
    <row r="20580" spans="17:17" x14ac:dyDescent="0.35">
      <c r="Q20580" s="1"/>
    </row>
    <row r="20584" spans="17:17" x14ac:dyDescent="0.35">
      <c r="Q20584" s="1"/>
    </row>
    <row r="20585" spans="17:17" x14ac:dyDescent="0.35">
      <c r="Q20585" s="1"/>
    </row>
    <row r="20592" spans="17:17" x14ac:dyDescent="0.35">
      <c r="Q20592" s="1"/>
    </row>
    <row r="20607" spans="17:17" x14ac:dyDescent="0.35">
      <c r="Q20607" s="1"/>
    </row>
    <row r="20608" spans="17:17" x14ac:dyDescent="0.35">
      <c r="Q20608" s="1"/>
    </row>
    <row r="20609" spans="17:17" x14ac:dyDescent="0.35">
      <c r="Q20609" s="1"/>
    </row>
    <row r="20612" spans="17:17" x14ac:dyDescent="0.35">
      <c r="Q20612" s="1"/>
    </row>
    <row r="20630" spans="17:17" x14ac:dyDescent="0.35">
      <c r="Q20630" s="1"/>
    </row>
    <row r="20631" spans="17:17" x14ac:dyDescent="0.35">
      <c r="Q20631" s="1"/>
    </row>
    <row r="20635" spans="17:17" x14ac:dyDescent="0.35">
      <c r="Q20635" s="1"/>
    </row>
    <row r="20637" spans="17:17" x14ac:dyDescent="0.35">
      <c r="Q20637" s="1"/>
    </row>
    <row r="20639" spans="17:17" x14ac:dyDescent="0.35">
      <c r="Q20639" s="1"/>
    </row>
    <row r="20648" spans="17:17" x14ac:dyDescent="0.35">
      <c r="Q20648" s="1"/>
    </row>
    <row r="20650" spans="17:17" x14ac:dyDescent="0.35">
      <c r="Q20650" s="1"/>
    </row>
    <row r="20652" spans="17:17" x14ac:dyDescent="0.35">
      <c r="Q20652" s="1"/>
    </row>
    <row r="20657" spans="17:17" x14ac:dyDescent="0.35">
      <c r="Q20657" s="1"/>
    </row>
    <row r="20662" spans="17:17" x14ac:dyDescent="0.35">
      <c r="Q20662" s="1"/>
    </row>
    <row r="20666" spans="17:17" x14ac:dyDescent="0.35">
      <c r="Q20666" s="1"/>
    </row>
    <row r="20670" spans="17:17" x14ac:dyDescent="0.35">
      <c r="Q20670" s="1"/>
    </row>
    <row r="20697" spans="17:17" x14ac:dyDescent="0.35">
      <c r="Q20697" s="1"/>
    </row>
    <row r="20712" spans="17:17" x14ac:dyDescent="0.35">
      <c r="Q20712" s="1"/>
    </row>
    <row r="20718" spans="17:17" x14ac:dyDescent="0.35">
      <c r="Q20718" s="1"/>
    </row>
    <row r="20730" spans="17:17" x14ac:dyDescent="0.35">
      <c r="Q20730" s="1"/>
    </row>
    <row r="20731" spans="17:17" x14ac:dyDescent="0.35">
      <c r="Q20731" s="1"/>
    </row>
    <row r="20732" spans="17:17" x14ac:dyDescent="0.35">
      <c r="Q20732" s="1"/>
    </row>
    <row r="20754" spans="17:17" x14ac:dyDescent="0.35">
      <c r="Q20754" s="1"/>
    </row>
    <row r="20756" spans="17:17" x14ac:dyDescent="0.35">
      <c r="Q20756" s="1"/>
    </row>
    <row r="20757" spans="17:17" x14ac:dyDescent="0.35">
      <c r="Q20757" s="1"/>
    </row>
    <row r="20758" spans="17:17" x14ac:dyDescent="0.35">
      <c r="Q20758" s="1"/>
    </row>
    <row r="20760" spans="17:17" x14ac:dyDescent="0.35">
      <c r="Q20760" s="1"/>
    </row>
    <row r="20762" spans="17:17" x14ac:dyDescent="0.35">
      <c r="Q20762" s="1"/>
    </row>
    <row r="20772" spans="17:17" x14ac:dyDescent="0.35">
      <c r="Q20772" s="1"/>
    </row>
    <row r="20791" spans="17:17" x14ac:dyDescent="0.35">
      <c r="Q20791" s="1"/>
    </row>
    <row r="20801" spans="17:17" x14ac:dyDescent="0.35">
      <c r="Q20801" s="1"/>
    </row>
    <row r="20803" spans="17:17" x14ac:dyDescent="0.35">
      <c r="Q20803" s="1"/>
    </row>
    <row r="20811" spans="17:17" x14ac:dyDescent="0.35">
      <c r="Q20811" s="1"/>
    </row>
    <row r="20813" spans="17:17" x14ac:dyDescent="0.35">
      <c r="Q20813" s="1"/>
    </row>
    <row r="20820" spans="17:17" x14ac:dyDescent="0.35">
      <c r="Q20820" s="1"/>
    </row>
    <row r="20823" spans="17:17" x14ac:dyDescent="0.35">
      <c r="Q20823" s="1"/>
    </row>
    <row r="20825" spans="17:17" x14ac:dyDescent="0.35">
      <c r="Q20825" s="1"/>
    </row>
    <row r="20826" spans="17:17" x14ac:dyDescent="0.35">
      <c r="Q20826" s="1"/>
    </row>
    <row r="20832" spans="17:17" x14ac:dyDescent="0.35">
      <c r="Q20832" s="1"/>
    </row>
    <row r="20833" spans="17:17" x14ac:dyDescent="0.35">
      <c r="Q20833" s="1"/>
    </row>
    <row r="20836" spans="17:17" x14ac:dyDescent="0.35">
      <c r="Q20836" s="1"/>
    </row>
    <row r="20838" spans="17:17" x14ac:dyDescent="0.35">
      <c r="Q20838" s="1"/>
    </row>
    <row r="20840" spans="17:17" x14ac:dyDescent="0.35">
      <c r="Q20840" s="1"/>
    </row>
    <row r="20841" spans="17:17" x14ac:dyDescent="0.35">
      <c r="Q20841" s="1"/>
    </row>
    <row r="20849" spans="17:17" x14ac:dyDescent="0.35">
      <c r="Q20849" s="1"/>
    </row>
    <row r="20852" spans="17:17" x14ac:dyDescent="0.35">
      <c r="Q20852" s="1"/>
    </row>
    <row r="20853" spans="17:17" x14ac:dyDescent="0.35">
      <c r="Q20853" s="1"/>
    </row>
    <row r="20856" spans="17:17" x14ac:dyDescent="0.35">
      <c r="Q20856" s="1"/>
    </row>
    <row r="20860" spans="17:17" x14ac:dyDescent="0.35">
      <c r="Q20860" s="1"/>
    </row>
    <row r="20862" spans="17:17" x14ac:dyDescent="0.35">
      <c r="Q20862" s="1"/>
    </row>
    <row r="20871" spans="17:17" x14ac:dyDescent="0.35">
      <c r="Q20871" s="1"/>
    </row>
    <row r="20872" spans="17:17" x14ac:dyDescent="0.35">
      <c r="Q20872" s="1"/>
    </row>
    <row r="20875" spans="17:17" x14ac:dyDescent="0.35">
      <c r="Q20875" s="1"/>
    </row>
    <row r="20878" spans="17:17" x14ac:dyDescent="0.35">
      <c r="Q20878" s="1"/>
    </row>
    <row r="20879" spans="17:17" x14ac:dyDescent="0.35">
      <c r="Q20879" s="1"/>
    </row>
    <row r="20880" spans="17:17" x14ac:dyDescent="0.35">
      <c r="Q20880" s="1"/>
    </row>
    <row r="20881" spans="17:17" x14ac:dyDescent="0.35">
      <c r="Q20881" s="1"/>
    </row>
    <row r="20882" spans="17:17" x14ac:dyDescent="0.35">
      <c r="Q20882" s="1"/>
    </row>
    <row r="20883" spans="17:17" x14ac:dyDescent="0.35">
      <c r="Q20883" s="1"/>
    </row>
    <row r="20884" spans="17:17" x14ac:dyDescent="0.35">
      <c r="Q20884" s="1"/>
    </row>
    <row r="20885" spans="17:17" x14ac:dyDescent="0.35">
      <c r="Q20885" s="1"/>
    </row>
    <row r="20886" spans="17:17" x14ac:dyDescent="0.35">
      <c r="Q20886" s="1"/>
    </row>
    <row r="20887" spans="17:17" x14ac:dyDescent="0.35">
      <c r="Q20887" s="1"/>
    </row>
    <row r="20891" spans="17:17" x14ac:dyDescent="0.35">
      <c r="Q20891" s="1"/>
    </row>
    <row r="20892" spans="17:17" x14ac:dyDescent="0.35">
      <c r="Q20892" s="1"/>
    </row>
    <row r="20893" spans="17:17" x14ac:dyDescent="0.35">
      <c r="Q20893" s="1"/>
    </row>
    <row r="20895" spans="17:17" x14ac:dyDescent="0.35">
      <c r="Q20895" s="1"/>
    </row>
    <row r="20896" spans="17:17" x14ac:dyDescent="0.35">
      <c r="Q20896" s="1"/>
    </row>
    <row r="20897" spans="17:17" x14ac:dyDescent="0.35">
      <c r="Q20897" s="1"/>
    </row>
    <row r="20898" spans="17:17" x14ac:dyDescent="0.35">
      <c r="Q20898" s="1"/>
    </row>
    <row r="20899" spans="17:17" x14ac:dyDescent="0.35">
      <c r="Q20899" s="1"/>
    </row>
    <row r="20904" spans="17:17" x14ac:dyDescent="0.35">
      <c r="Q20904" s="1"/>
    </row>
    <row r="20905" spans="17:17" x14ac:dyDescent="0.35">
      <c r="Q20905" s="1"/>
    </row>
    <row r="20909" spans="17:17" x14ac:dyDescent="0.35">
      <c r="Q20909" s="1"/>
    </row>
    <row r="20918" spans="17:17" x14ac:dyDescent="0.35">
      <c r="Q20918" s="1"/>
    </row>
    <row r="20923" spans="17:17" x14ac:dyDescent="0.35">
      <c r="Q20923" s="1"/>
    </row>
    <row r="20924" spans="17:17" x14ac:dyDescent="0.35">
      <c r="Q20924" s="1"/>
    </row>
    <row r="20926" spans="17:17" x14ac:dyDescent="0.35">
      <c r="Q20926" s="1"/>
    </row>
    <row r="20928" spans="17:17" x14ac:dyDescent="0.35">
      <c r="Q20928" s="1"/>
    </row>
    <row r="20944" spans="17:17" x14ac:dyDescent="0.35">
      <c r="Q20944" s="1"/>
    </row>
    <row r="20945" spans="17:17" x14ac:dyDescent="0.35">
      <c r="Q20945" s="1"/>
    </row>
    <row r="20946" spans="17:17" x14ac:dyDescent="0.35">
      <c r="Q20946" s="1"/>
    </row>
    <row r="20948" spans="17:17" x14ac:dyDescent="0.35">
      <c r="Q20948" s="1"/>
    </row>
    <row r="20952" spans="17:17" x14ac:dyDescent="0.35">
      <c r="Q20952" s="1"/>
    </row>
    <row r="20953" spans="17:17" x14ac:dyDescent="0.35">
      <c r="Q20953" s="1"/>
    </row>
    <row r="20954" spans="17:17" x14ac:dyDescent="0.35">
      <c r="Q20954" s="1"/>
    </row>
    <row r="20955" spans="17:17" x14ac:dyDescent="0.35">
      <c r="Q20955" s="1"/>
    </row>
    <row r="20957" spans="17:17" x14ac:dyDescent="0.35">
      <c r="Q20957" s="1"/>
    </row>
    <row r="20958" spans="17:17" x14ac:dyDescent="0.35">
      <c r="Q20958" s="1"/>
    </row>
    <row r="20964" spans="17:17" x14ac:dyDescent="0.35">
      <c r="Q20964" s="1"/>
    </row>
    <row r="20966" spans="17:17" x14ac:dyDescent="0.35">
      <c r="Q20966" s="1"/>
    </row>
    <row r="20969" spans="17:17" x14ac:dyDescent="0.35">
      <c r="Q20969" s="1"/>
    </row>
    <row r="20973" spans="17:17" x14ac:dyDescent="0.35">
      <c r="Q20973" s="1"/>
    </row>
    <row r="20975" spans="17:17" x14ac:dyDescent="0.35">
      <c r="Q20975" s="1"/>
    </row>
    <row r="20977" spans="16:17" x14ac:dyDescent="0.35">
      <c r="Q20977" s="1"/>
    </row>
    <row r="20980" spans="16:17" x14ac:dyDescent="0.35">
      <c r="Q20980" s="1"/>
    </row>
    <row r="20983" spans="16:17" x14ac:dyDescent="0.35">
      <c r="Q20983" s="1"/>
    </row>
    <row r="20985" spans="16:17" x14ac:dyDescent="0.35">
      <c r="Q20985" s="1"/>
    </row>
    <row r="20987" spans="16:17" x14ac:dyDescent="0.35">
      <c r="Q20987" s="1"/>
    </row>
    <row r="20992" spans="16:17" x14ac:dyDescent="0.35">
      <c r="P20992" s="1"/>
    </row>
    <row r="21004" spans="17:17" x14ac:dyDescent="0.35">
      <c r="Q21004" s="1"/>
    </row>
    <row r="21006" spans="17:17" x14ac:dyDescent="0.35">
      <c r="Q21006" s="1"/>
    </row>
    <row r="21041" spans="17:17" x14ac:dyDescent="0.35">
      <c r="Q21041" s="1"/>
    </row>
    <row r="21049" spans="17:17" x14ac:dyDescent="0.35">
      <c r="Q21049" s="1"/>
    </row>
    <row r="21057" spans="17:17" x14ac:dyDescent="0.35">
      <c r="Q21057" s="1"/>
    </row>
    <row r="21061" spans="17:17" x14ac:dyDescent="0.35">
      <c r="Q21061" s="1"/>
    </row>
    <row r="21067" spans="17:17" x14ac:dyDescent="0.35">
      <c r="Q21067" s="1"/>
    </row>
    <row r="21068" spans="17:17" x14ac:dyDescent="0.35">
      <c r="Q21068" s="1"/>
    </row>
    <row r="21079" spans="17:17" x14ac:dyDescent="0.35">
      <c r="Q21079" s="1"/>
    </row>
    <row r="21083" spans="17:17" x14ac:dyDescent="0.35">
      <c r="Q21083" s="1"/>
    </row>
    <row r="21097" spans="17:17" x14ac:dyDescent="0.35">
      <c r="Q21097" s="1"/>
    </row>
    <row r="21099" spans="17:17" x14ac:dyDescent="0.35">
      <c r="Q21099" s="1"/>
    </row>
    <row r="21100" spans="17:17" x14ac:dyDescent="0.35">
      <c r="Q21100" s="1"/>
    </row>
    <row r="21102" spans="17:17" x14ac:dyDescent="0.35">
      <c r="Q21102" s="1"/>
    </row>
    <row r="21105" spans="17:17" x14ac:dyDescent="0.35">
      <c r="Q21105" s="1"/>
    </row>
    <row r="21111" spans="17:17" x14ac:dyDescent="0.35">
      <c r="Q21111" s="1"/>
    </row>
    <row r="21119" spans="17:17" x14ac:dyDescent="0.35">
      <c r="Q21119" s="1"/>
    </row>
    <row r="21120" spans="17:17" x14ac:dyDescent="0.35">
      <c r="Q21120" s="1"/>
    </row>
    <row r="21123" spans="17:17" x14ac:dyDescent="0.35">
      <c r="Q21123" s="1"/>
    </row>
    <row r="21125" spans="17:17" x14ac:dyDescent="0.35">
      <c r="Q21125" s="1"/>
    </row>
    <row r="21128" spans="17:17" x14ac:dyDescent="0.35">
      <c r="Q21128" s="1"/>
    </row>
    <row r="21131" spans="17:17" x14ac:dyDescent="0.35">
      <c r="Q21131" s="1"/>
    </row>
    <row r="21133" spans="17:17" x14ac:dyDescent="0.35">
      <c r="Q21133" s="1"/>
    </row>
    <row r="21134" spans="17:17" x14ac:dyDescent="0.35">
      <c r="Q21134" s="1"/>
    </row>
    <row r="21136" spans="17:17" x14ac:dyDescent="0.35">
      <c r="Q21136" s="1"/>
    </row>
    <row r="21139" spans="17:17" x14ac:dyDescent="0.35">
      <c r="Q21139" s="1"/>
    </row>
    <row r="21144" spans="17:17" x14ac:dyDescent="0.35">
      <c r="Q21144" s="1"/>
    </row>
    <row r="21156" spans="17:17" x14ac:dyDescent="0.35">
      <c r="Q21156" s="1"/>
    </row>
    <row r="21157" spans="17:17" x14ac:dyDescent="0.35">
      <c r="Q21157" s="1"/>
    </row>
    <row r="21161" spans="17:17" x14ac:dyDescent="0.35">
      <c r="Q21161" s="1"/>
    </row>
    <row r="21164" spans="17:17" x14ac:dyDescent="0.35">
      <c r="Q21164" s="1"/>
    </row>
    <row r="21171" spans="17:17" x14ac:dyDescent="0.35">
      <c r="Q21171" s="1"/>
    </row>
    <row r="21174" spans="17:17" x14ac:dyDescent="0.35">
      <c r="Q21174" s="1"/>
    </row>
    <row r="21175" spans="17:17" x14ac:dyDescent="0.35">
      <c r="Q21175" s="1"/>
    </row>
    <row r="21177" spans="17:17" x14ac:dyDescent="0.35">
      <c r="Q21177" s="1"/>
    </row>
    <row r="21180" spans="17:17" x14ac:dyDescent="0.35">
      <c r="Q21180" s="1"/>
    </row>
    <row r="21183" spans="17:17" x14ac:dyDescent="0.35">
      <c r="Q21183" s="1"/>
    </row>
    <row r="21187" spans="17:17" x14ac:dyDescent="0.35">
      <c r="Q21187" s="1"/>
    </row>
    <row r="21188" spans="17:17" x14ac:dyDescent="0.35">
      <c r="Q21188" s="1"/>
    </row>
    <row r="21190" spans="17:17" x14ac:dyDescent="0.35">
      <c r="Q21190" s="1"/>
    </row>
    <row r="21200" spans="17:17" x14ac:dyDescent="0.35">
      <c r="Q21200" s="1"/>
    </row>
    <row r="21202" spans="17:17" x14ac:dyDescent="0.35">
      <c r="Q21202" s="1"/>
    </row>
    <row r="21205" spans="17:17" x14ac:dyDescent="0.35">
      <c r="Q21205" s="1"/>
    </row>
    <row r="21207" spans="17:17" x14ac:dyDescent="0.35">
      <c r="Q21207" s="1"/>
    </row>
    <row r="21209" spans="17:17" x14ac:dyDescent="0.35">
      <c r="Q21209" s="1"/>
    </row>
    <row r="21213" spans="17:17" x14ac:dyDescent="0.35">
      <c r="Q21213" s="1"/>
    </row>
    <row r="21220" spans="17:17" x14ac:dyDescent="0.35">
      <c r="Q21220" s="1"/>
    </row>
    <row r="21222" spans="17:17" x14ac:dyDescent="0.35">
      <c r="Q21222" s="1"/>
    </row>
    <row r="21223" spans="17:17" x14ac:dyDescent="0.35">
      <c r="Q21223" s="1"/>
    </row>
    <row r="21226" spans="17:17" x14ac:dyDescent="0.35">
      <c r="Q21226" s="1"/>
    </row>
    <row r="21230" spans="17:17" x14ac:dyDescent="0.35">
      <c r="Q21230" s="1"/>
    </row>
    <row r="21239" spans="17:17" x14ac:dyDescent="0.35">
      <c r="Q21239" s="1"/>
    </row>
    <row r="21245" spans="17:17" x14ac:dyDescent="0.35">
      <c r="Q21245" s="1"/>
    </row>
    <row r="21246" spans="17:17" x14ac:dyDescent="0.35">
      <c r="Q21246" s="1"/>
    </row>
    <row r="21254" spans="17:17" x14ac:dyDescent="0.35">
      <c r="Q21254" s="1"/>
    </row>
    <row r="21259" spans="17:17" x14ac:dyDescent="0.35">
      <c r="Q21259" s="1"/>
    </row>
    <row r="21262" spans="17:17" x14ac:dyDescent="0.35">
      <c r="Q21262" s="1"/>
    </row>
    <row r="21263" spans="17:17" x14ac:dyDescent="0.35">
      <c r="Q21263" s="1"/>
    </row>
    <row r="21269" spans="17:17" x14ac:dyDescent="0.35">
      <c r="Q21269" s="1"/>
    </row>
    <row r="21270" spans="17:17" x14ac:dyDescent="0.35">
      <c r="Q21270" s="1"/>
    </row>
    <row r="21273" spans="17:17" x14ac:dyDescent="0.35">
      <c r="Q21273" s="1"/>
    </row>
    <row r="21279" spans="17:17" x14ac:dyDescent="0.35">
      <c r="Q21279" s="1"/>
    </row>
    <row r="21295" spans="17:17" x14ac:dyDescent="0.35">
      <c r="Q21295" s="1"/>
    </row>
    <row r="21304" spans="17:17" x14ac:dyDescent="0.35">
      <c r="Q21304" s="1"/>
    </row>
    <row r="21307" spans="17:17" x14ac:dyDescent="0.35">
      <c r="Q21307" s="1"/>
    </row>
    <row r="21310" spans="17:17" x14ac:dyDescent="0.35">
      <c r="Q21310" s="1"/>
    </row>
    <row r="21317" spans="17:17" x14ac:dyDescent="0.35">
      <c r="Q21317" s="1"/>
    </row>
    <row r="21319" spans="17:17" x14ac:dyDescent="0.35">
      <c r="Q21319" s="1"/>
    </row>
    <row r="21327" spans="17:17" x14ac:dyDescent="0.35">
      <c r="Q21327" s="1"/>
    </row>
    <row r="21339" spans="17:17" x14ac:dyDescent="0.35">
      <c r="Q21339" s="1"/>
    </row>
    <row r="21340" spans="17:17" x14ac:dyDescent="0.35">
      <c r="Q21340" s="1"/>
    </row>
    <row r="21343" spans="17:17" x14ac:dyDescent="0.35">
      <c r="Q21343" s="1"/>
    </row>
    <row r="21346" spans="17:17" x14ac:dyDescent="0.35">
      <c r="Q21346" s="1"/>
    </row>
    <row r="21347" spans="17:17" x14ac:dyDescent="0.35">
      <c r="Q21347" s="1"/>
    </row>
    <row r="21349" spans="17:17" x14ac:dyDescent="0.35">
      <c r="Q21349" s="1"/>
    </row>
    <row r="21353" spans="17:17" x14ac:dyDescent="0.35">
      <c r="Q21353" s="1"/>
    </row>
    <row r="21356" spans="17:17" x14ac:dyDescent="0.35">
      <c r="Q21356" s="1"/>
    </row>
    <row r="21357" spans="17:17" x14ac:dyDescent="0.35">
      <c r="Q21357" s="1"/>
    </row>
    <row r="21359" spans="17:17" x14ac:dyDescent="0.35">
      <c r="Q21359" s="1"/>
    </row>
    <row r="21364" spans="17:17" x14ac:dyDescent="0.35">
      <c r="Q21364" s="1"/>
    </row>
    <row r="21365" spans="17:17" x14ac:dyDescent="0.35">
      <c r="Q21365" s="1"/>
    </row>
    <row r="21367" spans="17:17" x14ac:dyDescent="0.35">
      <c r="Q21367" s="1"/>
    </row>
    <row r="21376" spans="17:17" x14ac:dyDescent="0.35">
      <c r="Q21376" s="1"/>
    </row>
    <row r="21378" spans="17:17" x14ac:dyDescent="0.35">
      <c r="Q21378" s="1"/>
    </row>
    <row r="21381" spans="17:17" x14ac:dyDescent="0.35">
      <c r="Q21381" s="1"/>
    </row>
    <row r="21384" spans="17:17" x14ac:dyDescent="0.35">
      <c r="Q21384" s="1"/>
    </row>
    <row r="21386" spans="17:17" x14ac:dyDescent="0.35">
      <c r="Q21386" s="1"/>
    </row>
    <row r="21394" spans="17:17" x14ac:dyDescent="0.35">
      <c r="Q21394" s="1"/>
    </row>
    <row r="21398" spans="17:17" x14ac:dyDescent="0.35">
      <c r="Q21398" s="1"/>
    </row>
    <row r="21402" spans="17:17" x14ac:dyDescent="0.35">
      <c r="Q21402" s="1"/>
    </row>
    <row r="21404" spans="17:17" x14ac:dyDescent="0.35">
      <c r="Q21404" s="1"/>
    </row>
    <row r="21406" spans="17:17" x14ac:dyDescent="0.35">
      <c r="Q21406" s="1"/>
    </row>
    <row r="21408" spans="17:17" x14ac:dyDescent="0.35">
      <c r="Q21408" s="1"/>
    </row>
    <row r="21412" spans="17:17" x14ac:dyDescent="0.35">
      <c r="Q21412" s="1"/>
    </row>
    <row r="21413" spans="17:17" x14ac:dyDescent="0.35">
      <c r="Q21413" s="1"/>
    </row>
    <row r="21417" spans="17:17" x14ac:dyDescent="0.35">
      <c r="Q21417" s="1"/>
    </row>
    <row r="21420" spans="17:17" x14ac:dyDescent="0.35">
      <c r="Q21420" s="1"/>
    </row>
    <row r="21421" spans="17:17" x14ac:dyDescent="0.35">
      <c r="Q21421" s="1"/>
    </row>
    <row r="21422" spans="17:17" x14ac:dyDescent="0.35">
      <c r="Q21422" s="1"/>
    </row>
    <row r="21426" spans="17:17" x14ac:dyDescent="0.35">
      <c r="Q21426" s="1"/>
    </row>
    <row r="21433" spans="17:17" x14ac:dyDescent="0.35">
      <c r="Q21433" s="1"/>
    </row>
    <row r="21445" spans="17:17" x14ac:dyDescent="0.35">
      <c r="Q21445" s="1"/>
    </row>
    <row r="21447" spans="17:17" x14ac:dyDescent="0.35">
      <c r="Q21447" s="1"/>
    </row>
    <row r="21448" spans="17:17" x14ac:dyDescent="0.35">
      <c r="Q21448" s="1"/>
    </row>
    <row r="21452" spans="17:17" x14ac:dyDescent="0.35">
      <c r="Q21452" s="1"/>
    </row>
    <row r="21457" spans="17:17" x14ac:dyDescent="0.35">
      <c r="Q21457" s="1"/>
    </row>
    <row r="21462" spans="17:17" x14ac:dyDescent="0.35">
      <c r="Q21462" s="1"/>
    </row>
    <row r="21463" spans="17:17" x14ac:dyDescent="0.35">
      <c r="Q21463" s="1"/>
    </row>
    <row r="21470" spans="17:17" x14ac:dyDescent="0.35">
      <c r="Q21470" s="1"/>
    </row>
    <row r="21471" spans="17:17" x14ac:dyDescent="0.35">
      <c r="Q21471" s="1"/>
    </row>
    <row r="21473" spans="17:17" x14ac:dyDescent="0.35">
      <c r="Q21473" s="1"/>
    </row>
    <row r="21475" spans="17:17" x14ac:dyDescent="0.35">
      <c r="Q21475" s="1"/>
    </row>
    <row r="21477" spans="17:17" x14ac:dyDescent="0.35">
      <c r="Q21477" s="1"/>
    </row>
    <row r="21487" spans="17:17" x14ac:dyDescent="0.35">
      <c r="Q21487" s="1"/>
    </row>
    <row r="21488" spans="17:17" x14ac:dyDescent="0.35">
      <c r="Q21488" s="1"/>
    </row>
    <row r="21490" spans="17:17" x14ac:dyDescent="0.35">
      <c r="Q21490" s="1"/>
    </row>
    <row r="21493" spans="17:17" x14ac:dyDescent="0.35">
      <c r="Q21493" s="1"/>
    </row>
    <row r="21497" spans="17:17" x14ac:dyDescent="0.35">
      <c r="Q21497" s="1"/>
    </row>
    <row r="21502" spans="17:17" x14ac:dyDescent="0.35">
      <c r="Q21502" s="1"/>
    </row>
    <row r="21511" spans="17:17" x14ac:dyDescent="0.35">
      <c r="Q21511" s="1"/>
    </row>
    <row r="21513" spans="17:17" x14ac:dyDescent="0.35">
      <c r="Q21513" s="1"/>
    </row>
    <row r="21518" spans="17:17" x14ac:dyDescent="0.35">
      <c r="Q21518" s="1"/>
    </row>
    <row r="21519" spans="17:17" x14ac:dyDescent="0.35">
      <c r="Q21519" s="1"/>
    </row>
    <row r="21523" spans="17:17" x14ac:dyDescent="0.35">
      <c r="Q21523" s="1"/>
    </row>
    <row r="21525" spans="17:17" x14ac:dyDescent="0.35">
      <c r="Q21525" s="1"/>
    </row>
    <row r="21528" spans="17:17" x14ac:dyDescent="0.35">
      <c r="Q21528" s="1"/>
    </row>
    <row r="21530" spans="17:17" x14ac:dyDescent="0.35">
      <c r="Q21530" s="1"/>
    </row>
    <row r="21540" spans="17:17" x14ac:dyDescent="0.35">
      <c r="Q21540" s="1"/>
    </row>
    <row r="21542" spans="17:17" x14ac:dyDescent="0.35">
      <c r="Q21542" s="1"/>
    </row>
    <row r="21546" spans="17:17" x14ac:dyDescent="0.35">
      <c r="Q21546" s="1"/>
    </row>
    <row r="21557" spans="17:17" x14ac:dyDescent="0.35">
      <c r="Q21557" s="1"/>
    </row>
    <row r="21558" spans="17:17" x14ac:dyDescent="0.35">
      <c r="Q21558" s="1"/>
    </row>
    <row r="21559" spans="17:17" x14ac:dyDescent="0.35">
      <c r="Q21559" s="1"/>
    </row>
    <row r="21561" spans="17:17" x14ac:dyDescent="0.35">
      <c r="Q21561" s="1"/>
    </row>
    <row r="21567" spans="17:17" x14ac:dyDescent="0.35">
      <c r="Q21567" s="1"/>
    </row>
    <row r="21568" spans="17:17" x14ac:dyDescent="0.35">
      <c r="Q21568" s="1"/>
    </row>
    <row r="21575" spans="17:17" x14ac:dyDescent="0.35">
      <c r="Q21575" s="1"/>
    </row>
    <row r="21576" spans="17:17" x14ac:dyDescent="0.35">
      <c r="Q21576" s="1"/>
    </row>
    <row r="21579" spans="17:17" x14ac:dyDescent="0.35">
      <c r="Q21579" s="1"/>
    </row>
    <row r="21587" spans="17:17" x14ac:dyDescent="0.35">
      <c r="Q21587" s="1"/>
    </row>
    <row r="21588" spans="17:17" x14ac:dyDescent="0.35">
      <c r="Q21588" s="1"/>
    </row>
    <row r="21589" spans="17:17" x14ac:dyDescent="0.35">
      <c r="Q21589" s="1"/>
    </row>
    <row r="21603" spans="17:17" x14ac:dyDescent="0.35">
      <c r="Q21603" s="1"/>
    </row>
    <row r="21604" spans="17:17" x14ac:dyDescent="0.35">
      <c r="Q21604" s="1"/>
    </row>
    <row r="21605" spans="17:17" x14ac:dyDescent="0.35">
      <c r="Q21605" s="1"/>
    </row>
    <row r="21606" spans="17:17" x14ac:dyDescent="0.35">
      <c r="Q21606" s="1"/>
    </row>
    <row r="21608" spans="17:17" x14ac:dyDescent="0.35">
      <c r="Q21608" s="1"/>
    </row>
    <row r="21610" spans="17:17" x14ac:dyDescent="0.35">
      <c r="Q21610" s="1"/>
    </row>
    <row r="21614" spans="17:17" x14ac:dyDescent="0.35">
      <c r="Q21614" s="1"/>
    </row>
    <row r="21620" spans="17:17" x14ac:dyDescent="0.35">
      <c r="Q21620" s="1"/>
    </row>
    <row r="21623" spans="17:17" x14ac:dyDescent="0.35">
      <c r="Q21623" s="1"/>
    </row>
    <row r="21626" spans="17:17" x14ac:dyDescent="0.35">
      <c r="Q21626" s="1"/>
    </row>
    <row r="21627" spans="17:17" x14ac:dyDescent="0.35">
      <c r="Q21627" s="1"/>
    </row>
    <row r="21635" spans="17:17" x14ac:dyDescent="0.35">
      <c r="Q21635" s="1"/>
    </row>
    <row r="21647" spans="17:17" x14ac:dyDescent="0.35">
      <c r="Q21647" s="1"/>
    </row>
    <row r="21657" spans="17:17" x14ac:dyDescent="0.35">
      <c r="Q21657" s="1"/>
    </row>
    <row r="21659" spans="17:17" x14ac:dyDescent="0.35">
      <c r="Q21659" s="1"/>
    </row>
    <row r="21666" spans="17:17" x14ac:dyDescent="0.35">
      <c r="Q21666" s="1"/>
    </row>
    <row r="21671" spans="17:17" x14ac:dyDescent="0.35">
      <c r="Q21671" s="1"/>
    </row>
    <row r="21681" spans="17:17" x14ac:dyDescent="0.35">
      <c r="Q21681" s="1"/>
    </row>
    <row r="21685" spans="17:17" x14ac:dyDescent="0.35">
      <c r="Q21685" s="1"/>
    </row>
    <row r="21687" spans="17:17" x14ac:dyDescent="0.35">
      <c r="Q21687" s="1"/>
    </row>
    <row r="21689" spans="17:17" x14ac:dyDescent="0.35">
      <c r="Q21689" s="1"/>
    </row>
    <row r="21692" spans="17:17" x14ac:dyDescent="0.35">
      <c r="Q21692" s="1"/>
    </row>
    <row r="21697" spans="17:17" x14ac:dyDescent="0.35">
      <c r="Q21697" s="1"/>
    </row>
    <row r="21700" spans="17:17" x14ac:dyDescent="0.35">
      <c r="Q21700" s="1"/>
    </row>
    <row r="21702" spans="17:17" x14ac:dyDescent="0.35">
      <c r="Q21702" s="1"/>
    </row>
    <row r="21707" spans="17:17" x14ac:dyDescent="0.35">
      <c r="Q21707" s="1"/>
    </row>
    <row r="21710" spans="17:17" x14ac:dyDescent="0.35">
      <c r="Q21710" s="1"/>
    </row>
    <row r="21714" spans="17:17" x14ac:dyDescent="0.35">
      <c r="Q21714" s="1"/>
    </row>
    <row r="21716" spans="17:17" x14ac:dyDescent="0.35">
      <c r="Q21716" s="1"/>
    </row>
    <row r="21721" spans="17:17" x14ac:dyDescent="0.35">
      <c r="Q21721" s="1"/>
    </row>
    <row r="21739" spans="17:17" x14ac:dyDescent="0.35">
      <c r="Q21739" s="1"/>
    </row>
    <row r="21743" spans="17:17" x14ac:dyDescent="0.35">
      <c r="Q21743" s="1"/>
    </row>
    <row r="21745" spans="17:17" x14ac:dyDescent="0.35">
      <c r="Q21745" s="1"/>
    </row>
    <row r="21750" spans="17:17" x14ac:dyDescent="0.35">
      <c r="Q21750" s="1"/>
    </row>
    <row r="21752" spans="17:17" x14ac:dyDescent="0.35">
      <c r="Q21752" s="1"/>
    </row>
    <row r="21753" spans="17:17" x14ac:dyDescent="0.35">
      <c r="Q21753" s="1"/>
    </row>
    <row r="21762" spans="17:17" x14ac:dyDescent="0.35">
      <c r="Q21762" s="1"/>
    </row>
    <row r="21763" spans="17:17" x14ac:dyDescent="0.35">
      <c r="Q21763" s="1"/>
    </row>
    <row r="21769" spans="17:17" x14ac:dyDescent="0.35">
      <c r="Q21769" s="1"/>
    </row>
    <row r="21772" spans="17:17" x14ac:dyDescent="0.35">
      <c r="Q21772" s="1"/>
    </row>
    <row r="21773" spans="17:17" x14ac:dyDescent="0.35">
      <c r="Q21773" s="1"/>
    </row>
    <row r="21784" spans="17:17" x14ac:dyDescent="0.35">
      <c r="Q21784" s="1"/>
    </row>
    <row r="21793" spans="17:17" x14ac:dyDescent="0.35">
      <c r="Q21793" s="1"/>
    </row>
    <row r="21803" spans="17:17" x14ac:dyDescent="0.35">
      <c r="Q21803" s="1"/>
    </row>
    <row r="21805" spans="17:17" x14ac:dyDescent="0.35">
      <c r="Q21805" s="1"/>
    </row>
    <row r="21806" spans="17:17" x14ac:dyDescent="0.35">
      <c r="Q21806" s="1"/>
    </row>
    <row r="21808" spans="17:17" x14ac:dyDescent="0.35">
      <c r="Q21808" s="1"/>
    </row>
    <row r="21812" spans="17:17" x14ac:dyDescent="0.35">
      <c r="Q21812" s="1"/>
    </row>
    <row r="21814" spans="17:17" x14ac:dyDescent="0.35">
      <c r="Q21814" s="1"/>
    </row>
    <row r="21818" spans="17:17" x14ac:dyDescent="0.35">
      <c r="Q21818" s="1"/>
    </row>
    <row r="21820" spans="17:17" x14ac:dyDescent="0.35">
      <c r="Q21820" s="1"/>
    </row>
    <row r="21825" spans="17:17" x14ac:dyDescent="0.35">
      <c r="Q21825" s="1"/>
    </row>
    <row r="21827" spans="17:17" x14ac:dyDescent="0.35">
      <c r="Q21827" s="1"/>
    </row>
    <row r="21829" spans="17:17" x14ac:dyDescent="0.35">
      <c r="Q21829" s="1"/>
    </row>
    <row r="21844" spans="17:17" x14ac:dyDescent="0.35">
      <c r="Q21844" s="1"/>
    </row>
    <row r="21852" spans="17:17" x14ac:dyDescent="0.35">
      <c r="Q21852" s="1"/>
    </row>
    <row r="21853" spans="17:17" x14ac:dyDescent="0.35">
      <c r="Q21853" s="1"/>
    </row>
    <row r="21855" spans="17:17" x14ac:dyDescent="0.35">
      <c r="Q21855" s="1"/>
    </row>
    <row r="21857" spans="17:17" x14ac:dyDescent="0.35">
      <c r="Q21857" s="1"/>
    </row>
    <row r="21865" spans="17:17" x14ac:dyDescent="0.35">
      <c r="Q21865" s="1"/>
    </row>
    <row r="21869" spans="17:17" x14ac:dyDescent="0.35">
      <c r="Q21869" s="1"/>
    </row>
    <row r="21873" spans="17:17" x14ac:dyDescent="0.35">
      <c r="Q21873" s="1"/>
    </row>
    <row r="21875" spans="17:17" x14ac:dyDescent="0.35">
      <c r="Q21875" s="1"/>
    </row>
    <row r="21878" spans="17:17" x14ac:dyDescent="0.35">
      <c r="Q21878" s="1"/>
    </row>
    <row r="21886" spans="17:17" x14ac:dyDescent="0.35">
      <c r="Q21886" s="1"/>
    </row>
    <row r="21890" spans="17:17" x14ac:dyDescent="0.35">
      <c r="Q21890" s="1"/>
    </row>
    <row r="21895" spans="17:17" x14ac:dyDescent="0.35">
      <c r="Q21895" s="1"/>
    </row>
    <row r="21906" spans="17:17" x14ac:dyDescent="0.35">
      <c r="Q21906" s="1"/>
    </row>
    <row r="21909" spans="17:17" x14ac:dyDescent="0.35">
      <c r="Q21909" s="1"/>
    </row>
    <row r="21910" spans="17:17" x14ac:dyDescent="0.35">
      <c r="Q21910" s="1"/>
    </row>
    <row r="21913" spans="17:17" x14ac:dyDescent="0.35">
      <c r="Q21913" s="1"/>
    </row>
    <row r="21921" spans="17:17" x14ac:dyDescent="0.35">
      <c r="Q21921" s="1"/>
    </row>
    <row r="21933" spans="17:17" x14ac:dyDescent="0.35">
      <c r="Q21933" s="1"/>
    </row>
    <row r="21935" spans="17:17" x14ac:dyDescent="0.35">
      <c r="Q21935" s="1"/>
    </row>
    <row r="21939" spans="17:17" x14ac:dyDescent="0.35">
      <c r="Q21939" s="1"/>
    </row>
    <row r="21943" spans="17:17" x14ac:dyDescent="0.35">
      <c r="Q21943" s="1"/>
    </row>
    <row r="21947" spans="17:17" x14ac:dyDescent="0.35">
      <c r="Q21947" s="1"/>
    </row>
    <row r="21948" spans="17:17" x14ac:dyDescent="0.35">
      <c r="Q21948" s="1"/>
    </row>
    <row r="21949" spans="17:17" x14ac:dyDescent="0.35">
      <c r="Q21949" s="1"/>
    </row>
    <row r="21960" spans="17:17" x14ac:dyDescent="0.35">
      <c r="Q21960" s="1"/>
    </row>
    <row r="21962" spans="17:17" x14ac:dyDescent="0.35">
      <c r="Q21962" s="1"/>
    </row>
    <row r="21975" spans="17:17" x14ac:dyDescent="0.35">
      <c r="Q21975" s="1"/>
    </row>
    <row r="21976" spans="17:17" x14ac:dyDescent="0.35">
      <c r="Q21976" s="1"/>
    </row>
    <row r="21982" spans="17:17" x14ac:dyDescent="0.35">
      <c r="Q21982" s="1"/>
    </row>
    <row r="21992" spans="17:17" x14ac:dyDescent="0.35">
      <c r="Q21992" s="1"/>
    </row>
    <row r="22002" spans="16:17" x14ac:dyDescent="0.35">
      <c r="P22002" s="1"/>
    </row>
    <row r="22003" spans="16:17" x14ac:dyDescent="0.35">
      <c r="P22003" s="1"/>
    </row>
    <row r="22010" spans="16:17" x14ac:dyDescent="0.35">
      <c r="Q22010" s="1"/>
    </row>
    <row r="22012" spans="16:17" x14ac:dyDescent="0.35">
      <c r="P22012" s="1"/>
    </row>
    <row r="22017" spans="16:16" x14ac:dyDescent="0.35">
      <c r="P22017" s="1"/>
    </row>
    <row r="22018" spans="16:16" x14ac:dyDescent="0.35">
      <c r="P22018" s="1"/>
    </row>
    <row r="22021" spans="16:16" x14ac:dyDescent="0.35">
      <c r="P22021" s="1"/>
    </row>
    <row r="22022" spans="16:16" x14ac:dyDescent="0.35">
      <c r="P22022" s="1"/>
    </row>
    <row r="22026" spans="16:16" x14ac:dyDescent="0.35">
      <c r="P22026" s="1"/>
    </row>
    <row r="22028" spans="16:16" x14ac:dyDescent="0.35">
      <c r="P22028" s="1"/>
    </row>
    <row r="22029" spans="16:16" x14ac:dyDescent="0.35">
      <c r="P22029" s="1"/>
    </row>
    <row r="22030" spans="16:16" x14ac:dyDescent="0.35">
      <c r="P22030" s="1"/>
    </row>
    <row r="22031" spans="16:16" x14ac:dyDescent="0.35">
      <c r="P22031" s="1"/>
    </row>
    <row r="22032" spans="16:16" x14ac:dyDescent="0.35">
      <c r="P22032" s="1"/>
    </row>
    <row r="22034" spans="16:16" x14ac:dyDescent="0.35">
      <c r="P22034" s="1"/>
    </row>
    <row r="22035" spans="16:16" x14ac:dyDescent="0.35">
      <c r="P22035" s="1"/>
    </row>
    <row r="22036" spans="16:16" x14ac:dyDescent="0.35">
      <c r="P22036" s="1"/>
    </row>
    <row r="22038" spans="16:16" x14ac:dyDescent="0.35">
      <c r="P22038" s="1"/>
    </row>
    <row r="22042" spans="16:16" x14ac:dyDescent="0.35">
      <c r="P22042" s="1"/>
    </row>
    <row r="22048" spans="16:16" x14ac:dyDescent="0.35">
      <c r="P22048" s="1"/>
    </row>
    <row r="22052" spans="16:17" x14ac:dyDescent="0.35">
      <c r="P22052" s="1"/>
    </row>
    <row r="22054" spans="16:17" x14ac:dyDescent="0.35">
      <c r="Q22054" s="1"/>
    </row>
    <row r="22057" spans="16:17" x14ac:dyDescent="0.35">
      <c r="P22057" s="1"/>
    </row>
    <row r="22059" spans="16:17" x14ac:dyDescent="0.35">
      <c r="P22059" s="1"/>
    </row>
    <row r="22061" spans="16:17" x14ac:dyDescent="0.35">
      <c r="P22061" s="1"/>
    </row>
    <row r="22063" spans="16:17" x14ac:dyDescent="0.35">
      <c r="P22063" s="1"/>
    </row>
    <row r="22064" spans="16:17" x14ac:dyDescent="0.35">
      <c r="Q22064" s="1"/>
    </row>
    <row r="22065" spans="16:17" x14ac:dyDescent="0.35">
      <c r="P22065" s="1"/>
    </row>
    <row r="22066" spans="16:17" x14ac:dyDescent="0.35">
      <c r="P22066" s="1"/>
    </row>
    <row r="22067" spans="16:17" x14ac:dyDescent="0.35">
      <c r="P22067" s="1"/>
      <c r="Q22067" s="1"/>
    </row>
    <row r="22069" spans="16:17" x14ac:dyDescent="0.35">
      <c r="P22069" s="1"/>
    </row>
    <row r="22071" spans="16:17" x14ac:dyDescent="0.35">
      <c r="P22071" s="1"/>
    </row>
    <row r="22073" spans="16:17" x14ac:dyDescent="0.35">
      <c r="P22073" s="1"/>
    </row>
    <row r="22074" spans="16:17" x14ac:dyDescent="0.35">
      <c r="P22074" s="1"/>
    </row>
    <row r="22075" spans="16:17" x14ac:dyDescent="0.35">
      <c r="P22075" s="1"/>
    </row>
    <row r="22077" spans="16:17" x14ac:dyDescent="0.35">
      <c r="P22077" s="1"/>
    </row>
    <row r="22080" spans="16:17" x14ac:dyDescent="0.35">
      <c r="P22080" s="1"/>
    </row>
    <row r="22084" spans="16:16" x14ac:dyDescent="0.35">
      <c r="P22084" s="1"/>
    </row>
    <row r="22085" spans="16:16" x14ac:dyDescent="0.35">
      <c r="P22085" s="1"/>
    </row>
    <row r="22087" spans="16:16" x14ac:dyDescent="0.35">
      <c r="P22087" s="1"/>
    </row>
    <row r="22094" spans="16:16" x14ac:dyDescent="0.35">
      <c r="P22094" s="1"/>
    </row>
    <row r="22097" spans="16:17" x14ac:dyDescent="0.35">
      <c r="Q22097" s="1"/>
    </row>
    <row r="22102" spans="16:17" x14ac:dyDescent="0.35">
      <c r="P22102" s="1"/>
    </row>
    <row r="22104" spans="16:17" x14ac:dyDescent="0.35">
      <c r="P22104" s="1"/>
    </row>
    <row r="22106" spans="16:17" x14ac:dyDescent="0.35">
      <c r="P22106" s="1"/>
    </row>
    <row r="22107" spans="16:17" x14ac:dyDescent="0.35">
      <c r="P22107" s="1"/>
    </row>
    <row r="22110" spans="16:17" x14ac:dyDescent="0.35">
      <c r="Q22110" s="1"/>
    </row>
    <row r="22111" spans="16:17" x14ac:dyDescent="0.35">
      <c r="P22111" s="1"/>
    </row>
    <row r="22113" spans="16:16" x14ac:dyDescent="0.35">
      <c r="P22113" s="1"/>
    </row>
    <row r="22116" spans="16:16" x14ac:dyDescent="0.35">
      <c r="P22116" s="1"/>
    </row>
    <row r="22118" spans="16:16" x14ac:dyDescent="0.35">
      <c r="P22118" s="1"/>
    </row>
    <row r="22120" spans="16:16" x14ac:dyDescent="0.35">
      <c r="P22120" s="1"/>
    </row>
    <row r="22126" spans="16:16" x14ac:dyDescent="0.35">
      <c r="P22126" s="1"/>
    </row>
    <row r="22127" spans="16:16" x14ac:dyDescent="0.35">
      <c r="P22127" s="1"/>
    </row>
    <row r="22129" spans="16:17" x14ac:dyDescent="0.35">
      <c r="P22129" s="1"/>
    </row>
    <row r="22131" spans="16:17" x14ac:dyDescent="0.35">
      <c r="P22131" s="1"/>
    </row>
    <row r="22132" spans="16:17" x14ac:dyDescent="0.35">
      <c r="Q22132" s="1"/>
    </row>
    <row r="22134" spans="16:17" x14ac:dyDescent="0.35">
      <c r="P22134" s="1"/>
    </row>
    <row r="22135" spans="16:17" x14ac:dyDescent="0.35">
      <c r="P22135" s="1"/>
    </row>
    <row r="22136" spans="16:17" x14ac:dyDescent="0.35">
      <c r="P22136" s="1"/>
      <c r="Q22136" s="1"/>
    </row>
    <row r="22139" spans="16:17" x14ac:dyDescent="0.35">
      <c r="P22139" s="1"/>
    </row>
    <row r="22141" spans="16:17" x14ac:dyDescent="0.35">
      <c r="P22141" s="1"/>
    </row>
    <row r="22142" spans="16:17" x14ac:dyDescent="0.35">
      <c r="P22142" s="1"/>
      <c r="Q22142" s="1"/>
    </row>
    <row r="22145" spans="16:17" x14ac:dyDescent="0.35">
      <c r="P22145" s="1"/>
    </row>
    <row r="22146" spans="16:17" x14ac:dyDescent="0.35">
      <c r="Q22146" s="1"/>
    </row>
    <row r="22150" spans="16:17" x14ac:dyDescent="0.35">
      <c r="Q22150" s="1"/>
    </row>
    <row r="22153" spans="16:17" x14ac:dyDescent="0.35">
      <c r="P22153" s="1"/>
    </row>
    <row r="22155" spans="16:17" x14ac:dyDescent="0.35">
      <c r="Q22155" s="1"/>
    </row>
    <row r="22156" spans="16:17" x14ac:dyDescent="0.35">
      <c r="P22156" s="1"/>
    </row>
    <row r="22157" spans="16:17" x14ac:dyDescent="0.35">
      <c r="P22157" s="1"/>
    </row>
    <row r="22159" spans="16:17" x14ac:dyDescent="0.35">
      <c r="P22159" s="1"/>
    </row>
    <row r="22161" spans="16:17" x14ac:dyDescent="0.35">
      <c r="P22161" s="1"/>
    </row>
    <row r="22163" spans="16:17" x14ac:dyDescent="0.35">
      <c r="P22163" s="1"/>
    </row>
    <row r="22164" spans="16:17" x14ac:dyDescent="0.35">
      <c r="Q22164" s="1"/>
    </row>
    <row r="22166" spans="16:17" x14ac:dyDescent="0.35">
      <c r="P22166" s="1"/>
    </row>
    <row r="22167" spans="16:17" x14ac:dyDescent="0.35">
      <c r="P22167" s="1"/>
    </row>
    <row r="22168" spans="16:17" x14ac:dyDescent="0.35">
      <c r="P22168" s="1"/>
    </row>
    <row r="22172" spans="16:17" x14ac:dyDescent="0.35">
      <c r="P22172" s="1"/>
    </row>
    <row r="22173" spans="16:17" x14ac:dyDescent="0.35">
      <c r="P22173" s="1"/>
    </row>
    <row r="22177" spans="16:17" x14ac:dyDescent="0.35">
      <c r="P22177" s="1"/>
    </row>
    <row r="22178" spans="16:17" x14ac:dyDescent="0.35">
      <c r="P22178" s="1"/>
    </row>
    <row r="22179" spans="16:17" x14ac:dyDescent="0.35">
      <c r="P22179" s="1"/>
    </row>
    <row r="22180" spans="16:17" x14ac:dyDescent="0.35">
      <c r="Q22180" s="1"/>
    </row>
    <row r="22184" spans="16:17" x14ac:dyDescent="0.35">
      <c r="P22184" s="1"/>
    </row>
    <row r="22185" spans="16:17" x14ac:dyDescent="0.35">
      <c r="P22185" s="1"/>
    </row>
    <row r="22188" spans="16:17" x14ac:dyDescent="0.35">
      <c r="P22188" s="1"/>
    </row>
    <row r="22191" spans="16:17" x14ac:dyDescent="0.35">
      <c r="Q22191" s="1"/>
    </row>
    <row r="22192" spans="16:17" x14ac:dyDescent="0.35">
      <c r="P22192" s="1"/>
    </row>
    <row r="22194" spans="16:17" x14ac:dyDescent="0.35">
      <c r="P22194" s="1"/>
    </row>
    <row r="22198" spans="16:17" x14ac:dyDescent="0.35">
      <c r="Q22198" s="1"/>
    </row>
    <row r="22202" spans="16:17" x14ac:dyDescent="0.35">
      <c r="P22202" s="1"/>
    </row>
    <row r="22203" spans="16:17" x14ac:dyDescent="0.35">
      <c r="P22203" s="1"/>
    </row>
    <row r="22204" spans="16:17" x14ac:dyDescent="0.35">
      <c r="P22204" s="1"/>
    </row>
    <row r="22205" spans="16:17" x14ac:dyDescent="0.35">
      <c r="P22205" s="1"/>
    </row>
    <row r="22207" spans="16:17" x14ac:dyDescent="0.35">
      <c r="P22207" s="1"/>
    </row>
    <row r="22208" spans="16:17" x14ac:dyDescent="0.35">
      <c r="P22208" s="1"/>
    </row>
    <row r="22210" spans="16:17" x14ac:dyDescent="0.35">
      <c r="P22210" s="1"/>
    </row>
    <row r="22212" spans="16:17" x14ac:dyDescent="0.35">
      <c r="P22212" s="1"/>
    </row>
    <row r="22214" spans="16:17" x14ac:dyDescent="0.35">
      <c r="P22214" s="1"/>
    </row>
    <row r="22216" spans="16:17" x14ac:dyDescent="0.35">
      <c r="P22216" s="1"/>
    </row>
    <row r="22218" spans="16:17" x14ac:dyDescent="0.35">
      <c r="P22218" s="1"/>
    </row>
    <row r="22220" spans="16:17" x14ac:dyDescent="0.35">
      <c r="P22220" s="1"/>
    </row>
    <row r="22221" spans="16:17" x14ac:dyDescent="0.35">
      <c r="P22221" s="1"/>
    </row>
    <row r="22222" spans="16:17" x14ac:dyDescent="0.35">
      <c r="Q22222" s="1"/>
    </row>
    <row r="22224" spans="16:17" x14ac:dyDescent="0.35">
      <c r="P22224" s="1"/>
    </row>
    <row r="22225" spans="16:16" x14ac:dyDescent="0.35">
      <c r="P22225" s="1"/>
    </row>
    <row r="22226" spans="16:16" x14ac:dyDescent="0.35">
      <c r="P22226" s="1"/>
    </row>
    <row r="22227" spans="16:16" x14ac:dyDescent="0.35">
      <c r="P22227" s="1"/>
    </row>
    <row r="22232" spans="16:16" x14ac:dyDescent="0.35">
      <c r="P22232" s="1"/>
    </row>
    <row r="22234" spans="16:16" x14ac:dyDescent="0.35">
      <c r="P22234" s="1"/>
    </row>
    <row r="22236" spans="16:16" x14ac:dyDescent="0.35">
      <c r="P22236" s="1"/>
    </row>
    <row r="22238" spans="16:16" x14ac:dyDescent="0.35">
      <c r="P22238" s="1"/>
    </row>
    <row r="22239" spans="16:16" x14ac:dyDescent="0.35">
      <c r="P22239" s="1"/>
    </row>
    <row r="22240" spans="16:16" x14ac:dyDescent="0.35">
      <c r="P22240" s="1"/>
    </row>
    <row r="22241" spans="16:17" x14ac:dyDescent="0.35">
      <c r="Q22241" s="1"/>
    </row>
    <row r="22243" spans="16:17" x14ac:dyDescent="0.35">
      <c r="P22243" s="1"/>
    </row>
    <row r="22245" spans="16:17" x14ac:dyDescent="0.35">
      <c r="P22245" s="1"/>
    </row>
    <row r="22246" spans="16:17" x14ac:dyDescent="0.35">
      <c r="Q22246" s="1"/>
    </row>
    <row r="22249" spans="16:17" x14ac:dyDescent="0.35">
      <c r="P22249" s="1"/>
    </row>
    <row r="22251" spans="16:17" x14ac:dyDescent="0.35">
      <c r="Q22251" s="1"/>
    </row>
    <row r="22253" spans="16:17" x14ac:dyDescent="0.35">
      <c r="P22253" s="1"/>
    </row>
    <row r="22254" spans="16:17" x14ac:dyDescent="0.35">
      <c r="P22254" s="1"/>
    </row>
    <row r="22256" spans="16:17" x14ac:dyDescent="0.35">
      <c r="P22256" s="1"/>
    </row>
    <row r="22260" spans="16:16" x14ac:dyDescent="0.35">
      <c r="P22260" s="1"/>
    </row>
    <row r="22267" spans="16:16" x14ac:dyDescent="0.35">
      <c r="P22267" s="1"/>
    </row>
    <row r="22270" spans="16:16" x14ac:dyDescent="0.35">
      <c r="P22270" s="1"/>
    </row>
    <row r="22276" spans="16:17" x14ac:dyDescent="0.35">
      <c r="Q22276" s="1"/>
    </row>
    <row r="22277" spans="16:17" x14ac:dyDescent="0.35">
      <c r="P22277" s="1"/>
    </row>
    <row r="22278" spans="16:17" x14ac:dyDescent="0.35">
      <c r="P22278" s="1"/>
    </row>
    <row r="22281" spans="16:17" x14ac:dyDescent="0.35">
      <c r="P22281" s="1"/>
    </row>
    <row r="22282" spans="16:17" x14ac:dyDescent="0.35">
      <c r="P22282" s="1"/>
    </row>
    <row r="22283" spans="16:17" x14ac:dyDescent="0.35">
      <c r="P22283" s="1"/>
    </row>
    <row r="22285" spans="16:17" x14ac:dyDescent="0.35">
      <c r="P22285" s="1"/>
    </row>
    <row r="22287" spans="16:17" x14ac:dyDescent="0.35">
      <c r="P22287" s="1"/>
    </row>
    <row r="22288" spans="16:17" x14ac:dyDescent="0.35">
      <c r="P22288" s="1"/>
    </row>
    <row r="22291" spans="16:17" x14ac:dyDescent="0.35">
      <c r="P22291" s="1"/>
    </row>
    <row r="22294" spans="16:17" x14ac:dyDescent="0.35">
      <c r="P22294" s="1"/>
    </row>
    <row r="22295" spans="16:17" x14ac:dyDescent="0.35">
      <c r="P22295" s="1"/>
    </row>
    <row r="22297" spans="16:17" x14ac:dyDescent="0.35">
      <c r="Q22297" s="1"/>
    </row>
    <row r="22299" spans="16:17" x14ac:dyDescent="0.35">
      <c r="P22299" s="1"/>
    </row>
    <row r="22302" spans="16:17" x14ac:dyDescent="0.35">
      <c r="P22302" s="1"/>
      <c r="Q22302" s="1"/>
    </row>
    <row r="22303" spans="16:17" x14ac:dyDescent="0.35">
      <c r="P22303" s="1"/>
    </row>
    <row r="22304" spans="16:17" x14ac:dyDescent="0.35">
      <c r="P22304" s="1"/>
    </row>
    <row r="22306" spans="16:16" x14ac:dyDescent="0.35">
      <c r="P22306" s="1"/>
    </row>
    <row r="22308" spans="16:16" x14ac:dyDescent="0.35">
      <c r="P22308" s="1"/>
    </row>
    <row r="22309" spans="16:16" x14ac:dyDescent="0.35">
      <c r="P22309" s="1"/>
    </row>
    <row r="22313" spans="16:16" x14ac:dyDescent="0.35">
      <c r="P22313" s="1"/>
    </row>
    <row r="22314" spans="16:16" x14ac:dyDescent="0.35">
      <c r="P22314" s="1"/>
    </row>
    <row r="22316" spans="16:16" x14ac:dyDescent="0.35">
      <c r="P22316" s="1"/>
    </row>
    <row r="22317" spans="16:16" x14ac:dyDescent="0.35">
      <c r="P22317" s="1"/>
    </row>
    <row r="22318" spans="16:16" x14ac:dyDescent="0.35">
      <c r="P22318" s="1"/>
    </row>
    <row r="22319" spans="16:16" x14ac:dyDescent="0.35">
      <c r="P22319" s="1"/>
    </row>
    <row r="22320" spans="16:16" x14ac:dyDescent="0.35">
      <c r="P22320" s="1"/>
    </row>
    <row r="22324" spans="16:17" x14ac:dyDescent="0.35">
      <c r="P22324" s="1"/>
      <c r="Q22324" s="1"/>
    </row>
    <row r="22326" spans="16:17" x14ac:dyDescent="0.35">
      <c r="Q22326" s="1"/>
    </row>
    <row r="22327" spans="16:17" x14ac:dyDescent="0.35">
      <c r="P22327" s="1"/>
    </row>
    <row r="22328" spans="16:17" x14ac:dyDescent="0.35">
      <c r="P22328" s="1"/>
    </row>
    <row r="22329" spans="16:17" x14ac:dyDescent="0.35">
      <c r="P22329" s="1"/>
    </row>
    <row r="22330" spans="16:17" x14ac:dyDescent="0.35">
      <c r="P22330" s="1"/>
      <c r="Q22330" s="1"/>
    </row>
    <row r="22332" spans="16:17" x14ac:dyDescent="0.35">
      <c r="P22332" s="1"/>
    </row>
    <row r="22335" spans="16:17" x14ac:dyDescent="0.35">
      <c r="Q22335" s="1"/>
    </row>
    <row r="22337" spans="16:17" x14ac:dyDescent="0.35">
      <c r="P22337" s="1"/>
    </row>
    <row r="22341" spans="16:17" x14ac:dyDescent="0.35">
      <c r="Q22341" s="1"/>
    </row>
    <row r="22343" spans="16:17" x14ac:dyDescent="0.35">
      <c r="P22343" s="1"/>
    </row>
    <row r="22344" spans="16:17" x14ac:dyDescent="0.35">
      <c r="P22344" s="1"/>
    </row>
    <row r="22346" spans="16:17" x14ac:dyDescent="0.35">
      <c r="P22346" s="1"/>
    </row>
    <row r="22347" spans="16:17" x14ac:dyDescent="0.35">
      <c r="P22347" s="1"/>
    </row>
    <row r="22349" spans="16:17" x14ac:dyDescent="0.35">
      <c r="P22349" s="1"/>
    </row>
    <row r="22353" spans="16:17" x14ac:dyDescent="0.35">
      <c r="P22353" s="1"/>
      <c r="Q22353" s="1"/>
    </row>
    <row r="22354" spans="16:17" x14ac:dyDescent="0.35">
      <c r="P22354" s="1"/>
      <c r="Q22354" s="1"/>
    </row>
    <row r="22356" spans="16:17" x14ac:dyDescent="0.35">
      <c r="P22356" s="1"/>
    </row>
    <row r="22360" spans="16:17" x14ac:dyDescent="0.35">
      <c r="P22360" s="1"/>
    </row>
    <row r="22361" spans="16:17" x14ac:dyDescent="0.35">
      <c r="P22361" s="1"/>
    </row>
    <row r="22362" spans="16:17" x14ac:dyDescent="0.35">
      <c r="P22362" s="1"/>
    </row>
    <row r="22363" spans="16:17" x14ac:dyDescent="0.35">
      <c r="P22363" s="1"/>
    </row>
    <row r="22364" spans="16:17" x14ac:dyDescent="0.35">
      <c r="P22364" s="1"/>
    </row>
    <row r="22365" spans="16:17" x14ac:dyDescent="0.35">
      <c r="Q22365" s="1"/>
    </row>
    <row r="22368" spans="16:17" x14ac:dyDescent="0.35">
      <c r="P22368" s="1"/>
    </row>
    <row r="22369" spans="16:17" x14ac:dyDescent="0.35">
      <c r="P22369" s="1"/>
    </row>
    <row r="22370" spans="16:17" x14ac:dyDescent="0.35">
      <c r="P22370" s="1"/>
    </row>
    <row r="22372" spans="16:17" x14ac:dyDescent="0.35">
      <c r="P22372" s="1"/>
    </row>
    <row r="22373" spans="16:17" x14ac:dyDescent="0.35">
      <c r="P22373" s="1"/>
    </row>
    <row r="22374" spans="16:17" x14ac:dyDescent="0.35">
      <c r="P22374" s="1"/>
    </row>
    <row r="22377" spans="16:17" x14ac:dyDescent="0.35">
      <c r="P22377" s="1"/>
    </row>
    <row r="22378" spans="16:17" x14ac:dyDescent="0.35">
      <c r="P22378" s="1"/>
      <c r="Q22378" s="1"/>
    </row>
    <row r="22381" spans="16:17" x14ac:dyDescent="0.35">
      <c r="P22381" s="1"/>
    </row>
    <row r="22382" spans="16:17" x14ac:dyDescent="0.35">
      <c r="P22382" s="1"/>
    </row>
    <row r="22384" spans="16:17" x14ac:dyDescent="0.35">
      <c r="P22384" s="1"/>
    </row>
    <row r="22386" spans="16:17" x14ac:dyDescent="0.35">
      <c r="Q22386" s="1"/>
    </row>
    <row r="22387" spans="16:17" x14ac:dyDescent="0.35">
      <c r="Q22387" s="1"/>
    </row>
    <row r="22392" spans="16:17" x14ac:dyDescent="0.35">
      <c r="P22392" s="1"/>
    </row>
    <row r="22397" spans="16:17" x14ac:dyDescent="0.35">
      <c r="P22397" s="1"/>
    </row>
    <row r="22398" spans="16:17" x14ac:dyDescent="0.35">
      <c r="P22398" s="1"/>
    </row>
    <row r="22399" spans="16:17" x14ac:dyDescent="0.35">
      <c r="Q22399" s="1"/>
    </row>
    <row r="22402" spans="16:17" x14ac:dyDescent="0.35">
      <c r="P22402" s="1"/>
      <c r="Q22402" s="1"/>
    </row>
    <row r="22403" spans="16:17" x14ac:dyDescent="0.35">
      <c r="P22403" s="1"/>
    </row>
    <row r="22404" spans="16:17" x14ac:dyDescent="0.35">
      <c r="P22404" s="1"/>
    </row>
    <row r="22405" spans="16:17" x14ac:dyDescent="0.35">
      <c r="P22405" s="1"/>
    </row>
    <row r="22407" spans="16:17" x14ac:dyDescent="0.35">
      <c r="P22407" s="1"/>
    </row>
    <row r="22410" spans="16:17" x14ac:dyDescent="0.35">
      <c r="Q22410" s="1"/>
    </row>
    <row r="22413" spans="16:17" x14ac:dyDescent="0.35">
      <c r="P22413" s="1"/>
    </row>
    <row r="22414" spans="16:17" x14ac:dyDescent="0.35">
      <c r="P22414" s="1"/>
    </row>
    <row r="22418" spans="16:17" x14ac:dyDescent="0.35">
      <c r="Q22418" s="1"/>
    </row>
    <row r="22419" spans="16:17" x14ac:dyDescent="0.35">
      <c r="P22419" s="1"/>
    </row>
    <row r="22420" spans="16:17" x14ac:dyDescent="0.35">
      <c r="P22420" s="1"/>
    </row>
    <row r="22421" spans="16:17" x14ac:dyDescent="0.35">
      <c r="P22421" s="1"/>
      <c r="Q22421" s="1"/>
    </row>
    <row r="22424" spans="16:17" x14ac:dyDescent="0.35">
      <c r="P22424" s="1"/>
    </row>
    <row r="22425" spans="16:17" x14ac:dyDescent="0.35">
      <c r="P22425" s="1"/>
      <c r="Q22425" s="1"/>
    </row>
    <row r="22426" spans="16:17" x14ac:dyDescent="0.35">
      <c r="P22426" s="1"/>
    </row>
    <row r="22427" spans="16:17" x14ac:dyDescent="0.35">
      <c r="P22427" s="1"/>
    </row>
    <row r="22429" spans="16:17" x14ac:dyDescent="0.35">
      <c r="Q22429" s="1"/>
    </row>
    <row r="22430" spans="16:17" x14ac:dyDescent="0.35">
      <c r="P22430" s="1"/>
    </row>
    <row r="22431" spans="16:17" x14ac:dyDescent="0.35">
      <c r="P22431" s="1"/>
    </row>
    <row r="22436" spans="16:17" x14ac:dyDescent="0.35">
      <c r="P22436" s="1"/>
    </row>
    <row r="22438" spans="16:17" x14ac:dyDescent="0.35">
      <c r="P22438" s="1"/>
    </row>
    <row r="22439" spans="16:17" x14ac:dyDescent="0.35">
      <c r="P22439" s="1"/>
    </row>
    <row r="22440" spans="16:17" x14ac:dyDescent="0.35">
      <c r="P22440" s="1"/>
      <c r="Q22440" s="1"/>
    </row>
    <row r="22441" spans="16:17" x14ac:dyDescent="0.35">
      <c r="P22441" s="1"/>
    </row>
    <row r="22444" spans="16:17" x14ac:dyDescent="0.35">
      <c r="P22444" s="1"/>
    </row>
    <row r="22448" spans="16:17" x14ac:dyDescent="0.35">
      <c r="Q22448" s="1"/>
    </row>
    <row r="22450" spans="16:17" x14ac:dyDescent="0.35">
      <c r="Q22450" s="1"/>
    </row>
    <row r="22453" spans="16:17" x14ac:dyDescent="0.35">
      <c r="P22453" s="1"/>
    </row>
    <row r="22454" spans="16:17" x14ac:dyDescent="0.35">
      <c r="P22454" s="1"/>
    </row>
    <row r="22455" spans="16:17" x14ac:dyDescent="0.35">
      <c r="P22455" s="1"/>
    </row>
    <row r="22456" spans="16:17" x14ac:dyDescent="0.35">
      <c r="P22456" s="1"/>
    </row>
    <row r="22457" spans="16:17" x14ac:dyDescent="0.35">
      <c r="P22457" s="1"/>
    </row>
    <row r="22459" spans="16:17" x14ac:dyDescent="0.35">
      <c r="P22459" s="1"/>
    </row>
    <row r="22460" spans="16:17" x14ac:dyDescent="0.35">
      <c r="P22460" s="1"/>
    </row>
    <row r="22461" spans="16:17" x14ac:dyDescent="0.35">
      <c r="P22461" s="1"/>
    </row>
    <row r="22463" spans="16:17" x14ac:dyDescent="0.35">
      <c r="P22463" s="1"/>
    </row>
    <row r="22466" spans="16:17" x14ac:dyDescent="0.35">
      <c r="P22466" s="1"/>
    </row>
    <row r="22467" spans="16:17" x14ac:dyDescent="0.35">
      <c r="P22467" s="1"/>
    </row>
    <row r="22468" spans="16:17" x14ac:dyDescent="0.35">
      <c r="P22468" s="1"/>
    </row>
    <row r="22469" spans="16:17" x14ac:dyDescent="0.35">
      <c r="P22469" s="1"/>
    </row>
    <row r="22474" spans="16:17" x14ac:dyDescent="0.35">
      <c r="Q22474" s="1"/>
    </row>
    <row r="22475" spans="16:17" x14ac:dyDescent="0.35">
      <c r="Q22475" s="1"/>
    </row>
    <row r="22477" spans="16:17" x14ac:dyDescent="0.35">
      <c r="P22477" s="1"/>
    </row>
    <row r="22478" spans="16:17" x14ac:dyDescent="0.35">
      <c r="P22478" s="1"/>
    </row>
    <row r="22479" spans="16:17" x14ac:dyDescent="0.35">
      <c r="P22479" s="1"/>
    </row>
    <row r="22480" spans="16:17" x14ac:dyDescent="0.35">
      <c r="Q22480" s="1"/>
    </row>
    <row r="22482" spans="16:17" x14ac:dyDescent="0.35">
      <c r="P22482" s="1"/>
    </row>
    <row r="22483" spans="16:17" x14ac:dyDescent="0.35">
      <c r="Q22483" s="1"/>
    </row>
    <row r="22484" spans="16:17" x14ac:dyDescent="0.35">
      <c r="Q22484" s="1"/>
    </row>
    <row r="22485" spans="16:17" x14ac:dyDescent="0.35">
      <c r="P22485" s="1"/>
    </row>
    <row r="22486" spans="16:17" x14ac:dyDescent="0.35">
      <c r="P22486" s="1"/>
    </row>
    <row r="22487" spans="16:17" x14ac:dyDescent="0.35">
      <c r="P22487" s="1"/>
    </row>
    <row r="22488" spans="16:17" x14ac:dyDescent="0.35">
      <c r="P22488" s="1"/>
    </row>
    <row r="22490" spans="16:17" x14ac:dyDescent="0.35">
      <c r="P22490" s="1"/>
    </row>
    <row r="22492" spans="16:17" x14ac:dyDescent="0.35">
      <c r="P22492" s="1"/>
    </row>
    <row r="22493" spans="16:17" x14ac:dyDescent="0.35">
      <c r="P22493" s="1"/>
    </row>
    <row r="22494" spans="16:17" x14ac:dyDescent="0.35">
      <c r="P22494" s="1"/>
    </row>
    <row r="22497" spans="16:17" x14ac:dyDescent="0.35">
      <c r="P22497" s="1"/>
    </row>
    <row r="22500" spans="16:17" x14ac:dyDescent="0.35">
      <c r="P22500" s="1"/>
    </row>
    <row r="22504" spans="16:17" x14ac:dyDescent="0.35">
      <c r="P22504" s="1"/>
    </row>
    <row r="22507" spans="16:17" x14ac:dyDescent="0.35">
      <c r="P22507" s="1"/>
    </row>
    <row r="22509" spans="16:17" x14ac:dyDescent="0.35">
      <c r="P22509" s="1"/>
    </row>
    <row r="22512" spans="16:17" x14ac:dyDescent="0.35">
      <c r="P22512" s="1"/>
      <c r="Q22512" s="1"/>
    </row>
    <row r="22513" spans="16:17" x14ac:dyDescent="0.35">
      <c r="P22513" s="1"/>
    </row>
    <row r="22516" spans="16:17" x14ac:dyDescent="0.35">
      <c r="P22516" s="1"/>
    </row>
    <row r="22517" spans="16:17" x14ac:dyDescent="0.35">
      <c r="P22517" s="1"/>
    </row>
    <row r="22519" spans="16:17" x14ac:dyDescent="0.35">
      <c r="P22519" s="1"/>
    </row>
    <row r="22520" spans="16:17" x14ac:dyDescent="0.35">
      <c r="P22520" s="1"/>
    </row>
    <row r="22521" spans="16:17" x14ac:dyDescent="0.35">
      <c r="Q22521" s="1"/>
    </row>
    <row r="22522" spans="16:17" x14ac:dyDescent="0.35">
      <c r="P22522" s="1"/>
    </row>
    <row r="22525" spans="16:17" x14ac:dyDescent="0.35">
      <c r="P22525" s="1"/>
    </row>
    <row r="22526" spans="16:17" x14ac:dyDescent="0.35">
      <c r="P22526" s="1"/>
    </row>
    <row r="22528" spans="16:17" x14ac:dyDescent="0.35">
      <c r="P22528" s="1"/>
    </row>
    <row r="22529" spans="16:17" x14ac:dyDescent="0.35">
      <c r="P22529" s="1"/>
      <c r="Q22529" s="1"/>
    </row>
    <row r="22530" spans="16:17" x14ac:dyDescent="0.35">
      <c r="P22530" s="1"/>
    </row>
    <row r="22532" spans="16:17" x14ac:dyDescent="0.35">
      <c r="P22532" s="1"/>
    </row>
    <row r="22534" spans="16:17" x14ac:dyDescent="0.35">
      <c r="Q22534" s="1"/>
    </row>
    <row r="22535" spans="16:17" x14ac:dyDescent="0.35">
      <c r="P22535" s="1"/>
    </row>
    <row r="22536" spans="16:17" x14ac:dyDescent="0.35">
      <c r="P22536" s="1"/>
    </row>
    <row r="22539" spans="16:17" x14ac:dyDescent="0.35">
      <c r="P22539" s="1"/>
    </row>
    <row r="22540" spans="16:17" x14ac:dyDescent="0.35">
      <c r="P22540" s="1"/>
    </row>
    <row r="22541" spans="16:17" x14ac:dyDescent="0.35">
      <c r="Q22541" s="1"/>
    </row>
    <row r="22542" spans="16:17" x14ac:dyDescent="0.35">
      <c r="P22542" s="1"/>
    </row>
    <row r="22545" spans="16:16" x14ac:dyDescent="0.35">
      <c r="P22545" s="1"/>
    </row>
    <row r="22547" spans="16:16" x14ac:dyDescent="0.35">
      <c r="P22547" s="1"/>
    </row>
    <row r="22550" spans="16:16" x14ac:dyDescent="0.35">
      <c r="P22550" s="1"/>
    </row>
    <row r="22552" spans="16:16" x14ac:dyDescent="0.35">
      <c r="P22552" s="1"/>
    </row>
    <row r="22554" spans="16:16" x14ac:dyDescent="0.35">
      <c r="P22554" s="1"/>
    </row>
    <row r="22556" spans="16:16" x14ac:dyDescent="0.35">
      <c r="P22556" s="1"/>
    </row>
    <row r="22558" spans="16:16" x14ac:dyDescent="0.35">
      <c r="P22558" s="1"/>
    </row>
    <row r="22559" spans="16:16" x14ac:dyDescent="0.35">
      <c r="P22559" s="1"/>
    </row>
    <row r="22561" spans="16:17" x14ac:dyDescent="0.35">
      <c r="P22561" s="1"/>
    </row>
    <row r="22562" spans="16:17" x14ac:dyDescent="0.35">
      <c r="P22562" s="1"/>
    </row>
    <row r="22564" spans="16:17" x14ac:dyDescent="0.35">
      <c r="Q22564" s="1"/>
    </row>
    <row r="22565" spans="16:17" x14ac:dyDescent="0.35">
      <c r="P22565" s="1"/>
    </row>
    <row r="22566" spans="16:17" x14ac:dyDescent="0.35">
      <c r="P22566" s="1"/>
    </row>
    <row r="22567" spans="16:17" x14ac:dyDescent="0.35">
      <c r="P22567" s="1"/>
    </row>
    <row r="22568" spans="16:17" x14ac:dyDescent="0.35">
      <c r="P22568" s="1"/>
    </row>
    <row r="22573" spans="16:17" x14ac:dyDescent="0.35">
      <c r="P22573" s="1"/>
    </row>
    <row r="22575" spans="16:17" x14ac:dyDescent="0.35">
      <c r="Q22575" s="1"/>
    </row>
    <row r="22576" spans="16:17" x14ac:dyDescent="0.35">
      <c r="P22576" s="1"/>
    </row>
    <row r="22577" spans="16:17" x14ac:dyDescent="0.35">
      <c r="P22577" s="1"/>
    </row>
    <row r="22578" spans="16:17" x14ac:dyDescent="0.35">
      <c r="P22578" s="1"/>
      <c r="Q22578" s="1"/>
    </row>
    <row r="22579" spans="16:17" x14ac:dyDescent="0.35">
      <c r="P22579" s="1"/>
    </row>
    <row r="22581" spans="16:17" x14ac:dyDescent="0.35">
      <c r="P22581" s="1"/>
    </row>
    <row r="22582" spans="16:17" x14ac:dyDescent="0.35">
      <c r="P22582" s="1"/>
    </row>
    <row r="22584" spans="16:17" x14ac:dyDescent="0.35">
      <c r="P22584" s="1"/>
    </row>
    <row r="22586" spans="16:17" x14ac:dyDescent="0.35">
      <c r="P22586" s="1"/>
    </row>
    <row r="22587" spans="16:17" x14ac:dyDescent="0.35">
      <c r="P22587" s="1"/>
    </row>
    <row r="22588" spans="16:17" x14ac:dyDescent="0.35">
      <c r="P22588" s="1"/>
    </row>
    <row r="22590" spans="16:17" x14ac:dyDescent="0.35">
      <c r="P22590" s="1"/>
    </row>
    <row r="22592" spans="16:17" x14ac:dyDescent="0.35">
      <c r="P22592" s="1"/>
    </row>
    <row r="22593" spans="16:16" x14ac:dyDescent="0.35">
      <c r="P22593" s="1"/>
    </row>
    <row r="22594" spans="16:16" x14ac:dyDescent="0.35">
      <c r="P22594" s="1"/>
    </row>
    <row r="22597" spans="16:16" x14ac:dyDescent="0.35">
      <c r="P22597" s="1"/>
    </row>
    <row r="22599" spans="16:16" x14ac:dyDescent="0.35">
      <c r="P22599" s="1"/>
    </row>
    <row r="22603" spans="16:16" x14ac:dyDescent="0.35">
      <c r="P22603" s="1"/>
    </row>
    <row r="22605" spans="16:16" x14ac:dyDescent="0.35">
      <c r="P22605" s="1"/>
    </row>
    <row r="22609" spans="16:17" x14ac:dyDescent="0.35">
      <c r="P22609" s="1"/>
      <c r="Q22609" s="1"/>
    </row>
    <row r="22612" spans="16:17" x14ac:dyDescent="0.35">
      <c r="P22612" s="1"/>
    </row>
    <row r="22617" spans="16:17" x14ac:dyDescent="0.35">
      <c r="P22617" s="1"/>
    </row>
    <row r="22618" spans="16:17" x14ac:dyDescent="0.35">
      <c r="P22618" s="1"/>
    </row>
    <row r="22619" spans="16:17" x14ac:dyDescent="0.35">
      <c r="P22619" s="1"/>
    </row>
    <row r="22620" spans="16:17" x14ac:dyDescent="0.35">
      <c r="Q22620" s="1"/>
    </row>
    <row r="22622" spans="16:17" x14ac:dyDescent="0.35">
      <c r="P22622" s="1"/>
    </row>
    <row r="22623" spans="16:17" x14ac:dyDescent="0.35">
      <c r="P22623" s="1"/>
    </row>
    <row r="22624" spans="16:17" x14ac:dyDescent="0.35">
      <c r="P22624" s="1"/>
      <c r="Q22624" s="1"/>
    </row>
    <row r="22627" spans="16:16" x14ac:dyDescent="0.35">
      <c r="P22627" s="1"/>
    </row>
    <row r="22628" spans="16:16" x14ac:dyDescent="0.35">
      <c r="P22628" s="1"/>
    </row>
    <row r="22632" spans="16:16" x14ac:dyDescent="0.35">
      <c r="P22632" s="1"/>
    </row>
    <row r="22639" spans="16:16" x14ac:dyDescent="0.35">
      <c r="P22639" s="1"/>
    </row>
    <row r="22640" spans="16:16" x14ac:dyDescent="0.35">
      <c r="P22640" s="1"/>
    </row>
    <row r="22642" spans="16:16" x14ac:dyDescent="0.35">
      <c r="P22642" s="1"/>
    </row>
    <row r="22643" spans="16:16" x14ac:dyDescent="0.35">
      <c r="P22643" s="1"/>
    </row>
    <row r="22644" spans="16:16" x14ac:dyDescent="0.35">
      <c r="P22644" s="1"/>
    </row>
    <row r="22647" spans="16:16" x14ac:dyDescent="0.35">
      <c r="P22647" s="1"/>
    </row>
    <row r="22649" spans="16:16" x14ac:dyDescent="0.35">
      <c r="P22649" s="1"/>
    </row>
    <row r="22652" spans="16:16" x14ac:dyDescent="0.35">
      <c r="P22652" s="1"/>
    </row>
    <row r="22653" spans="16:16" x14ac:dyDescent="0.35">
      <c r="P22653" s="1"/>
    </row>
    <row r="22655" spans="16:16" x14ac:dyDescent="0.35">
      <c r="P22655" s="1"/>
    </row>
    <row r="22656" spans="16:16" x14ac:dyDescent="0.35">
      <c r="P22656" s="1"/>
    </row>
    <row r="22657" spans="16:16" x14ac:dyDescent="0.35">
      <c r="P22657" s="1"/>
    </row>
    <row r="22668" spans="16:16" x14ac:dyDescent="0.35">
      <c r="P22668" s="1"/>
    </row>
    <row r="22669" spans="16:16" x14ac:dyDescent="0.35">
      <c r="P22669" s="1"/>
    </row>
    <row r="22670" spans="16:16" x14ac:dyDescent="0.35">
      <c r="P22670" s="1"/>
    </row>
    <row r="22671" spans="16:16" x14ac:dyDescent="0.35">
      <c r="P22671" s="1"/>
    </row>
    <row r="22672" spans="16:16" x14ac:dyDescent="0.35">
      <c r="P22672" s="1"/>
    </row>
    <row r="22673" spans="16:17" x14ac:dyDescent="0.35">
      <c r="P22673" s="1"/>
    </row>
    <row r="22674" spans="16:17" x14ac:dyDescent="0.35">
      <c r="P22674" s="1"/>
    </row>
    <row r="22675" spans="16:17" x14ac:dyDescent="0.35">
      <c r="P22675" s="1"/>
    </row>
    <row r="22676" spans="16:17" x14ac:dyDescent="0.35">
      <c r="P22676" s="1"/>
      <c r="Q22676" s="1"/>
    </row>
    <row r="22679" spans="16:17" x14ac:dyDescent="0.35">
      <c r="P22679" s="1"/>
    </row>
    <row r="22680" spans="16:17" x14ac:dyDescent="0.35">
      <c r="P22680" s="1"/>
    </row>
    <row r="22682" spans="16:17" x14ac:dyDescent="0.35">
      <c r="P22682" s="1"/>
      <c r="Q22682" s="1"/>
    </row>
    <row r="22683" spans="16:17" x14ac:dyDescent="0.35">
      <c r="P22683" s="1"/>
    </row>
    <row r="22684" spans="16:17" x14ac:dyDescent="0.35">
      <c r="P22684" s="1"/>
    </row>
    <row r="22686" spans="16:17" x14ac:dyDescent="0.35">
      <c r="P22686" s="1"/>
    </row>
    <row r="22687" spans="16:17" x14ac:dyDescent="0.35">
      <c r="P22687" s="1"/>
    </row>
    <row r="22688" spans="16:17" x14ac:dyDescent="0.35">
      <c r="P22688" s="1"/>
    </row>
    <row r="22689" spans="16:17" x14ac:dyDescent="0.35">
      <c r="P22689" s="1"/>
    </row>
    <row r="22690" spans="16:17" x14ac:dyDescent="0.35">
      <c r="Q22690" s="1"/>
    </row>
    <row r="22692" spans="16:17" x14ac:dyDescent="0.35">
      <c r="P22692" s="1"/>
    </row>
    <row r="22693" spans="16:17" x14ac:dyDescent="0.35">
      <c r="P22693" s="1"/>
    </row>
    <row r="22696" spans="16:17" x14ac:dyDescent="0.35">
      <c r="P22696" s="1"/>
    </row>
    <row r="22697" spans="16:17" x14ac:dyDescent="0.35">
      <c r="P22697" s="1"/>
    </row>
    <row r="22699" spans="16:17" x14ac:dyDescent="0.35">
      <c r="P22699" s="1"/>
    </row>
    <row r="22701" spans="16:17" x14ac:dyDescent="0.35">
      <c r="Q22701" s="1"/>
    </row>
    <row r="22702" spans="16:17" x14ac:dyDescent="0.35">
      <c r="P22702" s="1"/>
    </row>
    <row r="22703" spans="16:17" x14ac:dyDescent="0.35">
      <c r="P22703" s="1"/>
    </row>
    <row r="22711" spans="16:17" x14ac:dyDescent="0.35">
      <c r="P22711" s="1"/>
    </row>
    <row r="22715" spans="16:17" x14ac:dyDescent="0.35">
      <c r="Q22715" s="1"/>
    </row>
    <row r="22718" spans="16:17" x14ac:dyDescent="0.35">
      <c r="P22718" s="1"/>
    </row>
    <row r="22720" spans="16:17" x14ac:dyDescent="0.35">
      <c r="P22720" s="1"/>
    </row>
    <row r="22723" spans="16:16" x14ac:dyDescent="0.35">
      <c r="P22723" s="1"/>
    </row>
    <row r="22724" spans="16:16" x14ac:dyDescent="0.35">
      <c r="P22724" s="1"/>
    </row>
    <row r="22726" spans="16:16" x14ac:dyDescent="0.35">
      <c r="P22726" s="1"/>
    </row>
    <row r="22731" spans="16:16" x14ac:dyDescent="0.35">
      <c r="P22731" s="1"/>
    </row>
    <row r="22732" spans="16:16" x14ac:dyDescent="0.35">
      <c r="P22732" s="1"/>
    </row>
    <row r="22733" spans="16:16" x14ac:dyDescent="0.35">
      <c r="P22733" s="1"/>
    </row>
    <row r="22734" spans="16:16" x14ac:dyDescent="0.35">
      <c r="P22734" s="1"/>
    </row>
    <row r="22735" spans="16:16" x14ac:dyDescent="0.35">
      <c r="P22735" s="1"/>
    </row>
    <row r="22736" spans="16:16" x14ac:dyDescent="0.35">
      <c r="P22736" s="1"/>
    </row>
    <row r="22737" spans="16:16" x14ac:dyDescent="0.35">
      <c r="P22737" s="1"/>
    </row>
    <row r="22738" spans="16:16" x14ac:dyDescent="0.35">
      <c r="P22738" s="1"/>
    </row>
    <row r="22740" spans="16:16" x14ac:dyDescent="0.35">
      <c r="P22740" s="1"/>
    </row>
    <row r="22741" spans="16:16" x14ac:dyDescent="0.35">
      <c r="P22741" s="1"/>
    </row>
    <row r="22742" spans="16:16" x14ac:dyDescent="0.35">
      <c r="P22742" s="1"/>
    </row>
    <row r="22743" spans="16:16" x14ac:dyDescent="0.35">
      <c r="P22743" s="1"/>
    </row>
    <row r="22744" spans="16:16" x14ac:dyDescent="0.35">
      <c r="P22744" s="1"/>
    </row>
    <row r="22745" spans="16:16" x14ac:dyDescent="0.35">
      <c r="P22745" s="1"/>
    </row>
    <row r="22746" spans="16:16" x14ac:dyDescent="0.35">
      <c r="P22746" s="1"/>
    </row>
    <row r="22747" spans="16:16" x14ac:dyDescent="0.35">
      <c r="P22747" s="1"/>
    </row>
    <row r="22748" spans="16:16" x14ac:dyDescent="0.35">
      <c r="P22748" s="1"/>
    </row>
    <row r="22749" spans="16:16" x14ac:dyDescent="0.35">
      <c r="P22749" s="1"/>
    </row>
    <row r="22750" spans="16:16" x14ac:dyDescent="0.35">
      <c r="P22750" s="1"/>
    </row>
    <row r="22751" spans="16:16" x14ac:dyDescent="0.35">
      <c r="P22751" s="1"/>
    </row>
    <row r="22753" spans="16:17" x14ac:dyDescent="0.35">
      <c r="Q22753" s="1"/>
    </row>
    <row r="22755" spans="16:17" x14ac:dyDescent="0.35">
      <c r="P22755" s="1"/>
    </row>
    <row r="22757" spans="16:17" x14ac:dyDescent="0.35">
      <c r="P22757" s="1"/>
    </row>
    <row r="22759" spans="16:17" x14ac:dyDescent="0.35">
      <c r="P22759" s="1"/>
    </row>
    <row r="22761" spans="16:17" x14ac:dyDescent="0.35">
      <c r="P22761" s="1"/>
    </row>
    <row r="22764" spans="16:17" x14ac:dyDescent="0.35">
      <c r="P22764" s="1"/>
    </row>
    <row r="22765" spans="16:17" x14ac:dyDescent="0.35">
      <c r="P22765" s="1"/>
    </row>
    <row r="22767" spans="16:17" x14ac:dyDescent="0.35">
      <c r="Q22767" s="1"/>
    </row>
    <row r="22771" spans="16:17" x14ac:dyDescent="0.35">
      <c r="P22771" s="1"/>
    </row>
    <row r="22772" spans="16:17" x14ac:dyDescent="0.35">
      <c r="Q22772" s="1"/>
    </row>
    <row r="22773" spans="16:17" x14ac:dyDescent="0.35">
      <c r="P22773" s="1"/>
    </row>
    <row r="22775" spans="16:17" x14ac:dyDescent="0.35">
      <c r="P22775" s="1"/>
    </row>
    <row r="22779" spans="16:17" x14ac:dyDescent="0.35">
      <c r="P22779" s="1"/>
    </row>
    <row r="22780" spans="16:17" x14ac:dyDescent="0.35">
      <c r="P22780" s="1"/>
    </row>
    <row r="22782" spans="16:17" x14ac:dyDescent="0.35">
      <c r="P22782" s="1"/>
    </row>
    <row r="22783" spans="16:17" x14ac:dyDescent="0.35">
      <c r="P22783" s="1"/>
    </row>
    <row r="22785" spans="16:17" x14ac:dyDescent="0.35">
      <c r="P22785" s="1"/>
    </row>
    <row r="22786" spans="16:17" x14ac:dyDescent="0.35">
      <c r="P22786" s="1"/>
    </row>
    <row r="22789" spans="16:17" x14ac:dyDescent="0.35">
      <c r="P22789" s="1"/>
    </row>
    <row r="22790" spans="16:17" x14ac:dyDescent="0.35">
      <c r="P22790" s="1"/>
    </row>
    <row r="22792" spans="16:17" x14ac:dyDescent="0.35">
      <c r="P22792" s="1"/>
      <c r="Q22792" s="1"/>
    </row>
    <row r="22797" spans="16:17" x14ac:dyDescent="0.35">
      <c r="P22797" s="1"/>
      <c r="Q22797" s="1"/>
    </row>
    <row r="22798" spans="16:17" x14ac:dyDescent="0.35">
      <c r="P22798" s="1"/>
    </row>
    <row r="22800" spans="16:17" x14ac:dyDescent="0.35">
      <c r="P22800" s="1"/>
    </row>
    <row r="22805" spans="16:17" x14ac:dyDescent="0.35">
      <c r="P22805" s="1"/>
    </row>
    <row r="22808" spans="16:17" x14ac:dyDescent="0.35">
      <c r="P22808" s="1"/>
    </row>
    <row r="22811" spans="16:17" x14ac:dyDescent="0.35">
      <c r="P22811" s="1"/>
    </row>
    <row r="22812" spans="16:17" x14ac:dyDescent="0.35">
      <c r="P22812" s="1"/>
    </row>
    <row r="22815" spans="16:17" x14ac:dyDescent="0.35">
      <c r="Q22815" s="1"/>
    </row>
    <row r="22816" spans="16:17" x14ac:dyDescent="0.35">
      <c r="P22816" s="1"/>
    </row>
    <row r="22817" spans="16:17" x14ac:dyDescent="0.35">
      <c r="P22817" s="1"/>
      <c r="Q22817" s="1"/>
    </row>
    <row r="22818" spans="16:17" x14ac:dyDescent="0.35">
      <c r="P22818" s="1"/>
    </row>
    <row r="22819" spans="16:17" x14ac:dyDescent="0.35">
      <c r="P22819" s="1"/>
    </row>
    <row r="22820" spans="16:17" x14ac:dyDescent="0.35">
      <c r="P22820" s="1"/>
    </row>
    <row r="22821" spans="16:17" x14ac:dyDescent="0.35">
      <c r="P22821" s="1"/>
    </row>
    <row r="22822" spans="16:17" x14ac:dyDescent="0.35">
      <c r="P22822" s="1"/>
    </row>
    <row r="22823" spans="16:17" x14ac:dyDescent="0.35">
      <c r="P22823" s="1"/>
    </row>
    <row r="22824" spans="16:17" x14ac:dyDescent="0.35">
      <c r="P22824" s="1"/>
    </row>
    <row r="22825" spans="16:17" x14ac:dyDescent="0.35">
      <c r="P22825" s="1"/>
    </row>
    <row r="22827" spans="16:17" x14ac:dyDescent="0.35">
      <c r="P22827" s="1"/>
    </row>
    <row r="22829" spans="16:17" x14ac:dyDescent="0.35">
      <c r="P22829" s="1"/>
    </row>
    <row r="22830" spans="16:17" x14ac:dyDescent="0.35">
      <c r="P22830" s="1"/>
    </row>
    <row r="22833" spans="16:17" x14ac:dyDescent="0.35">
      <c r="P22833" s="1"/>
    </row>
    <row r="22835" spans="16:17" x14ac:dyDescent="0.35">
      <c r="P22835" s="1"/>
    </row>
    <row r="22836" spans="16:17" x14ac:dyDescent="0.35">
      <c r="P22836" s="1"/>
    </row>
    <row r="22837" spans="16:17" x14ac:dyDescent="0.35">
      <c r="P22837" s="1"/>
    </row>
    <row r="22839" spans="16:17" x14ac:dyDescent="0.35">
      <c r="P22839" s="1"/>
    </row>
    <row r="22841" spans="16:17" x14ac:dyDescent="0.35">
      <c r="P22841" s="1"/>
    </row>
    <row r="22844" spans="16:17" x14ac:dyDescent="0.35">
      <c r="P22844" s="1"/>
    </row>
    <row r="22846" spans="16:17" x14ac:dyDescent="0.35">
      <c r="P22846" s="1"/>
    </row>
    <row r="22847" spans="16:17" x14ac:dyDescent="0.35">
      <c r="Q22847" s="1"/>
    </row>
    <row r="22848" spans="16:17" x14ac:dyDescent="0.35">
      <c r="P22848" s="1"/>
    </row>
    <row r="22852" spans="16:17" x14ac:dyDescent="0.35">
      <c r="Q22852" s="1"/>
    </row>
    <row r="22853" spans="16:17" x14ac:dyDescent="0.35">
      <c r="P22853" s="1"/>
    </row>
    <row r="22854" spans="16:17" x14ac:dyDescent="0.35">
      <c r="P22854" s="1"/>
    </row>
    <row r="22855" spans="16:17" x14ac:dyDescent="0.35">
      <c r="Q22855" s="1"/>
    </row>
    <row r="22857" spans="16:17" x14ac:dyDescent="0.35">
      <c r="P22857" s="1"/>
    </row>
    <row r="22858" spans="16:17" x14ac:dyDescent="0.35">
      <c r="P22858" s="1"/>
    </row>
    <row r="22860" spans="16:17" x14ac:dyDescent="0.35">
      <c r="P22860" s="1"/>
    </row>
    <row r="22861" spans="16:17" x14ac:dyDescent="0.35">
      <c r="P22861" s="1"/>
    </row>
    <row r="22862" spans="16:17" x14ac:dyDescent="0.35">
      <c r="P22862" s="1"/>
    </row>
    <row r="22863" spans="16:17" x14ac:dyDescent="0.35">
      <c r="P22863" s="1"/>
      <c r="Q22863" s="1"/>
    </row>
    <row r="22864" spans="16:17" x14ac:dyDescent="0.35">
      <c r="P22864" s="1"/>
    </row>
    <row r="22865" spans="16:17" x14ac:dyDescent="0.35">
      <c r="P22865" s="1"/>
      <c r="Q22865" s="1"/>
    </row>
    <row r="22866" spans="16:17" x14ac:dyDescent="0.35">
      <c r="P22866" s="1"/>
    </row>
    <row r="22869" spans="16:17" x14ac:dyDescent="0.35">
      <c r="P22869" s="1"/>
    </row>
    <row r="22871" spans="16:17" x14ac:dyDescent="0.35">
      <c r="P22871" s="1"/>
    </row>
    <row r="22875" spans="16:17" x14ac:dyDescent="0.35">
      <c r="P22875" s="1"/>
    </row>
    <row r="22877" spans="16:17" x14ac:dyDescent="0.35">
      <c r="P22877" s="1"/>
    </row>
    <row r="22879" spans="16:17" x14ac:dyDescent="0.35">
      <c r="P22879" s="1"/>
    </row>
    <row r="22880" spans="16:17" x14ac:dyDescent="0.35">
      <c r="P22880" s="1"/>
    </row>
    <row r="22883" spans="16:17" x14ac:dyDescent="0.35">
      <c r="P22883" s="1"/>
    </row>
    <row r="22884" spans="16:17" x14ac:dyDescent="0.35">
      <c r="P22884" s="1"/>
    </row>
    <row r="22886" spans="16:17" x14ac:dyDescent="0.35">
      <c r="P22886" s="1"/>
    </row>
    <row r="22888" spans="16:17" x14ac:dyDescent="0.35">
      <c r="P22888" s="1"/>
    </row>
    <row r="22889" spans="16:17" x14ac:dyDescent="0.35">
      <c r="P22889" s="1"/>
    </row>
    <row r="22890" spans="16:17" x14ac:dyDescent="0.35">
      <c r="P22890" s="1"/>
    </row>
    <row r="22891" spans="16:17" x14ac:dyDescent="0.35">
      <c r="P22891" s="1"/>
    </row>
    <row r="22895" spans="16:17" x14ac:dyDescent="0.35">
      <c r="P22895" s="1"/>
    </row>
    <row r="22896" spans="16:17" x14ac:dyDescent="0.35">
      <c r="Q22896" s="1"/>
    </row>
    <row r="22899" spans="16:17" x14ac:dyDescent="0.35">
      <c r="P22899" s="1"/>
    </row>
    <row r="22900" spans="16:17" x14ac:dyDescent="0.35">
      <c r="P22900" s="1"/>
    </row>
    <row r="22901" spans="16:17" x14ac:dyDescent="0.35">
      <c r="P22901" s="1"/>
    </row>
    <row r="22902" spans="16:17" x14ac:dyDescent="0.35">
      <c r="Q22902" s="1"/>
    </row>
    <row r="22904" spans="16:17" x14ac:dyDescent="0.35">
      <c r="Q22904" s="1"/>
    </row>
    <row r="22905" spans="16:17" x14ac:dyDescent="0.35">
      <c r="P22905" s="1"/>
    </row>
    <row r="22908" spans="16:17" x14ac:dyDescent="0.35">
      <c r="P22908" s="1"/>
    </row>
    <row r="22909" spans="16:17" x14ac:dyDescent="0.35">
      <c r="P22909" s="1"/>
    </row>
    <row r="22910" spans="16:17" x14ac:dyDescent="0.35">
      <c r="P22910" s="1"/>
    </row>
    <row r="22912" spans="16:17" x14ac:dyDescent="0.35">
      <c r="P22912" s="1"/>
    </row>
    <row r="22913" spans="16:17" x14ac:dyDescent="0.35">
      <c r="P22913" s="1"/>
    </row>
    <row r="22915" spans="16:17" x14ac:dyDescent="0.35">
      <c r="P22915" s="1"/>
    </row>
    <row r="22916" spans="16:17" x14ac:dyDescent="0.35">
      <c r="P22916" s="1"/>
    </row>
    <row r="22917" spans="16:17" x14ac:dyDescent="0.35">
      <c r="P22917" s="1"/>
    </row>
    <row r="22918" spans="16:17" x14ac:dyDescent="0.35">
      <c r="P22918" s="1"/>
    </row>
    <row r="22919" spans="16:17" x14ac:dyDescent="0.35">
      <c r="P22919" s="1"/>
    </row>
    <row r="22920" spans="16:17" x14ac:dyDescent="0.35">
      <c r="P22920" s="1"/>
    </row>
    <row r="22921" spans="16:17" x14ac:dyDescent="0.35">
      <c r="P22921" s="1"/>
    </row>
    <row r="22922" spans="16:17" x14ac:dyDescent="0.35">
      <c r="Q22922" s="1"/>
    </row>
    <row r="22925" spans="16:17" x14ac:dyDescent="0.35">
      <c r="P22925" s="1"/>
    </row>
    <row r="22926" spans="16:17" x14ac:dyDescent="0.35">
      <c r="Q22926" s="1"/>
    </row>
    <row r="22930" spans="16:16" x14ac:dyDescent="0.35">
      <c r="P22930" s="1"/>
    </row>
    <row r="22931" spans="16:16" x14ac:dyDescent="0.35">
      <c r="P22931" s="1"/>
    </row>
    <row r="22933" spans="16:16" x14ac:dyDescent="0.35">
      <c r="P22933" s="1"/>
    </row>
    <row r="22934" spans="16:16" x14ac:dyDescent="0.35">
      <c r="P22934" s="1"/>
    </row>
    <row r="22938" spans="16:16" x14ac:dyDescent="0.35">
      <c r="P22938" s="1"/>
    </row>
    <row r="22939" spans="16:16" x14ac:dyDescent="0.35">
      <c r="P22939" s="1"/>
    </row>
    <row r="22942" spans="16:16" x14ac:dyDescent="0.35">
      <c r="P22942" s="1"/>
    </row>
    <row r="22943" spans="16:16" x14ac:dyDescent="0.35">
      <c r="P22943" s="1"/>
    </row>
    <row r="22944" spans="16:16" x14ac:dyDescent="0.35">
      <c r="P22944" s="1"/>
    </row>
    <row r="22947" spans="16:16" x14ac:dyDescent="0.35">
      <c r="P22947" s="1"/>
    </row>
    <row r="22952" spans="16:16" x14ac:dyDescent="0.35">
      <c r="P22952" s="1"/>
    </row>
    <row r="22953" spans="16:16" x14ac:dyDescent="0.35">
      <c r="P22953" s="1"/>
    </row>
    <row r="22954" spans="16:16" x14ac:dyDescent="0.35">
      <c r="P22954" s="1"/>
    </row>
    <row r="22958" spans="16:16" x14ac:dyDescent="0.35">
      <c r="P22958" s="1"/>
    </row>
    <row r="22959" spans="16:16" x14ac:dyDescent="0.35">
      <c r="P22959" s="1"/>
    </row>
    <row r="22960" spans="16:16" x14ac:dyDescent="0.35">
      <c r="P22960" s="1"/>
    </row>
    <row r="22961" spans="16:17" x14ac:dyDescent="0.35">
      <c r="P22961" s="1"/>
    </row>
    <row r="22962" spans="16:17" x14ac:dyDescent="0.35">
      <c r="P22962" s="1"/>
    </row>
    <row r="22964" spans="16:17" x14ac:dyDescent="0.35">
      <c r="P22964" s="1"/>
    </row>
    <row r="22965" spans="16:17" x14ac:dyDescent="0.35">
      <c r="P22965" s="1"/>
    </row>
    <row r="22968" spans="16:17" x14ac:dyDescent="0.35">
      <c r="P22968" s="1"/>
    </row>
    <row r="22969" spans="16:17" x14ac:dyDescent="0.35">
      <c r="Q22969" s="1"/>
    </row>
    <row r="22970" spans="16:17" x14ac:dyDescent="0.35">
      <c r="P22970" s="1"/>
    </row>
    <row r="22973" spans="16:17" x14ac:dyDescent="0.35">
      <c r="P22973" s="1"/>
    </row>
    <row r="22975" spans="16:17" x14ac:dyDescent="0.35">
      <c r="Q22975" s="1"/>
    </row>
    <row r="22980" spans="16:16" x14ac:dyDescent="0.35">
      <c r="P22980" s="1"/>
    </row>
    <row r="22983" spans="16:16" x14ac:dyDescent="0.35">
      <c r="P22983" s="1"/>
    </row>
    <row r="22986" spans="16:16" x14ac:dyDescent="0.35">
      <c r="P22986" s="1"/>
    </row>
    <row r="22988" spans="16:16" x14ac:dyDescent="0.35">
      <c r="P22988" s="1"/>
    </row>
    <row r="22989" spans="16:16" x14ac:dyDescent="0.35">
      <c r="P22989" s="1"/>
    </row>
    <row r="22990" spans="16:16" x14ac:dyDescent="0.35">
      <c r="P22990" s="1"/>
    </row>
    <row r="22993" spans="16:17" x14ac:dyDescent="0.35">
      <c r="P22993" s="1"/>
    </row>
    <row r="22996" spans="16:17" x14ac:dyDescent="0.35">
      <c r="P22996" s="1"/>
    </row>
    <row r="22998" spans="16:17" x14ac:dyDescent="0.35">
      <c r="P22998" s="1"/>
    </row>
    <row r="22999" spans="16:17" x14ac:dyDescent="0.35">
      <c r="P22999" s="1"/>
    </row>
    <row r="23001" spans="16:17" x14ac:dyDescent="0.35">
      <c r="P23001" s="1"/>
    </row>
    <row r="23003" spans="16:17" x14ac:dyDescent="0.35">
      <c r="Q23003" s="1"/>
    </row>
    <row r="23004" spans="16:17" x14ac:dyDescent="0.35">
      <c r="Q23004" s="1"/>
    </row>
    <row r="23009" spans="17:17" x14ac:dyDescent="0.35">
      <c r="Q23009" s="1"/>
    </row>
    <row r="23013" spans="17:17" x14ac:dyDescent="0.35">
      <c r="Q23013" s="1"/>
    </row>
    <row r="23014" spans="17:17" x14ac:dyDescent="0.35">
      <c r="Q23014" s="1"/>
    </row>
    <row r="23015" spans="17:17" x14ac:dyDescent="0.35">
      <c r="Q23015" s="1"/>
    </row>
    <row r="23016" spans="17:17" x14ac:dyDescent="0.35">
      <c r="Q23016" s="1"/>
    </row>
    <row r="23018" spans="17:17" x14ac:dyDescent="0.35">
      <c r="Q23018" s="1"/>
    </row>
    <row r="23020" spans="17:17" x14ac:dyDescent="0.35">
      <c r="Q23020" s="1"/>
    </row>
    <row r="23021" spans="17:17" x14ac:dyDescent="0.35">
      <c r="Q23021" s="1"/>
    </row>
    <row r="23022" spans="17:17" x14ac:dyDescent="0.35">
      <c r="Q23022" s="1"/>
    </row>
    <row r="23023" spans="17:17" x14ac:dyDescent="0.35">
      <c r="Q23023" s="1"/>
    </row>
    <row r="23027" spans="17:17" x14ac:dyDescent="0.35">
      <c r="Q23027" s="1"/>
    </row>
    <row r="23028" spans="17:17" x14ac:dyDescent="0.35">
      <c r="Q23028" s="1"/>
    </row>
    <row r="23054" spans="17:17" x14ac:dyDescent="0.35">
      <c r="Q23054" s="1"/>
    </row>
    <row r="23071" spans="17:17" x14ac:dyDescent="0.35">
      <c r="Q23071" s="1"/>
    </row>
    <row r="23074" spans="16:17" x14ac:dyDescent="0.35">
      <c r="Q23074" s="1"/>
    </row>
    <row r="23076" spans="16:17" x14ac:dyDescent="0.35">
      <c r="Q23076" s="1"/>
    </row>
    <row r="23079" spans="16:17" x14ac:dyDescent="0.35">
      <c r="Q23079" s="1"/>
    </row>
    <row r="23081" spans="16:17" x14ac:dyDescent="0.35">
      <c r="Q23081" s="1"/>
    </row>
    <row r="23085" spans="16:17" x14ac:dyDescent="0.35">
      <c r="Q23085" s="1"/>
    </row>
    <row r="23087" spans="16:17" x14ac:dyDescent="0.35">
      <c r="P23087" s="1"/>
    </row>
    <row r="23093" spans="17:17" x14ac:dyDescent="0.35">
      <c r="Q23093" s="1"/>
    </row>
    <row r="23095" spans="17:17" x14ac:dyDescent="0.35">
      <c r="Q23095" s="1"/>
    </row>
    <row r="23096" spans="17:17" x14ac:dyDescent="0.35">
      <c r="Q23096" s="1"/>
    </row>
    <row r="23106" spans="17:17" x14ac:dyDescent="0.35">
      <c r="Q23106" s="1"/>
    </row>
    <row r="23112" spans="17:17" x14ac:dyDescent="0.35">
      <c r="Q23112" s="1"/>
    </row>
    <row r="23116" spans="17:17" x14ac:dyDescent="0.35">
      <c r="Q23116" s="1"/>
    </row>
    <row r="23120" spans="17:17" x14ac:dyDescent="0.35">
      <c r="Q23120" s="1"/>
    </row>
    <row r="23129" spans="17:17" x14ac:dyDescent="0.35">
      <c r="Q23129" s="1"/>
    </row>
    <row r="23135" spans="17:17" x14ac:dyDescent="0.35">
      <c r="Q23135" s="1"/>
    </row>
    <row r="23156" spans="17:17" x14ac:dyDescent="0.35">
      <c r="Q23156" s="1"/>
    </row>
    <row r="23160" spans="17:17" x14ac:dyDescent="0.35">
      <c r="Q23160" s="1"/>
    </row>
    <row r="23169" spans="16:17" x14ac:dyDescent="0.35">
      <c r="Q23169" s="1"/>
    </row>
    <row r="23171" spans="16:17" x14ac:dyDescent="0.35">
      <c r="Q23171" s="1"/>
    </row>
    <row r="23175" spans="16:17" x14ac:dyDescent="0.35">
      <c r="Q23175" s="1"/>
    </row>
    <row r="23176" spans="16:17" x14ac:dyDescent="0.35">
      <c r="P23176" s="1"/>
    </row>
    <row r="23177" spans="16:17" x14ac:dyDescent="0.35">
      <c r="Q23177" s="1"/>
    </row>
    <row r="23182" spans="16:17" x14ac:dyDescent="0.35">
      <c r="Q23182" s="1"/>
    </row>
    <row r="23184" spans="16:17" x14ac:dyDescent="0.35">
      <c r="Q23184" s="1"/>
    </row>
    <row r="23186" spans="17:17" x14ac:dyDescent="0.35">
      <c r="Q23186" s="1"/>
    </row>
    <row r="23189" spans="17:17" x14ac:dyDescent="0.35">
      <c r="Q23189" s="1"/>
    </row>
    <row r="23190" spans="17:17" x14ac:dyDescent="0.35">
      <c r="Q23190" s="1"/>
    </row>
    <row r="23192" spans="17:17" x14ac:dyDescent="0.35">
      <c r="Q23192" s="1"/>
    </row>
    <row r="23194" spans="17:17" x14ac:dyDescent="0.35">
      <c r="Q23194" s="1"/>
    </row>
    <row r="23200" spans="17:17" x14ac:dyDescent="0.35">
      <c r="Q23200" s="1"/>
    </row>
    <row r="23203" spans="17:17" x14ac:dyDescent="0.35">
      <c r="Q23203" s="1"/>
    </row>
    <row r="23204" spans="17:17" x14ac:dyDescent="0.35">
      <c r="Q23204" s="1"/>
    </row>
    <row r="23210" spans="17:17" x14ac:dyDescent="0.35">
      <c r="Q23210" s="1"/>
    </row>
    <row r="23212" spans="17:17" x14ac:dyDescent="0.35">
      <c r="Q23212" s="1"/>
    </row>
    <row r="23214" spans="17:17" x14ac:dyDescent="0.35">
      <c r="Q23214" s="1"/>
    </row>
    <row r="23216" spans="17:17" x14ac:dyDescent="0.35">
      <c r="Q23216" s="1"/>
    </row>
    <row r="23224" spans="17:17" x14ac:dyDescent="0.35">
      <c r="Q23224" s="1"/>
    </row>
    <row r="23228" spans="17:17" x14ac:dyDescent="0.35">
      <c r="Q23228" s="1"/>
    </row>
    <row r="23244" spans="16:17" x14ac:dyDescent="0.35">
      <c r="Q23244" s="1"/>
    </row>
    <row r="23248" spans="16:17" x14ac:dyDescent="0.35">
      <c r="P23248" s="1"/>
    </row>
    <row r="23255" spans="17:17" x14ac:dyDescent="0.35">
      <c r="Q23255" s="1"/>
    </row>
    <row r="23257" spans="17:17" x14ac:dyDescent="0.35">
      <c r="Q23257" s="1"/>
    </row>
    <row r="23258" spans="17:17" x14ac:dyDescent="0.35">
      <c r="Q23258" s="1"/>
    </row>
    <row r="23267" spans="17:17" x14ac:dyDescent="0.35">
      <c r="Q23267" s="1"/>
    </row>
    <row r="23272" spans="17:17" x14ac:dyDescent="0.35">
      <c r="Q23272" s="1"/>
    </row>
    <row r="23273" spans="17:17" x14ac:dyDescent="0.35">
      <c r="Q23273" s="1"/>
    </row>
    <row r="23287" spans="17:17" x14ac:dyDescent="0.35">
      <c r="Q23287" s="1"/>
    </row>
    <row r="23291" spans="17:17" x14ac:dyDescent="0.35">
      <c r="Q23291" s="1"/>
    </row>
    <row r="23295" spans="17:17" x14ac:dyDescent="0.35">
      <c r="Q23295" s="1"/>
    </row>
    <row r="23299" spans="16:17" x14ac:dyDescent="0.35">
      <c r="P23299" s="1"/>
    </row>
    <row r="23302" spans="16:17" x14ac:dyDescent="0.35">
      <c r="P23302" s="1"/>
    </row>
    <row r="23307" spans="16:17" x14ac:dyDescent="0.35">
      <c r="Q23307" s="1"/>
    </row>
    <row r="23308" spans="16:17" x14ac:dyDescent="0.35">
      <c r="Q23308" s="1"/>
    </row>
    <row r="23320" spans="17:17" x14ac:dyDescent="0.35">
      <c r="Q23320" s="1"/>
    </row>
    <row r="23325" spans="17:17" x14ac:dyDescent="0.35">
      <c r="Q23325" s="1"/>
    </row>
    <row r="23326" spans="17:17" x14ac:dyDescent="0.35">
      <c r="Q23326" s="1"/>
    </row>
    <row r="23333" spans="17:17" x14ac:dyDescent="0.35">
      <c r="Q23333" s="1"/>
    </row>
    <row r="23334" spans="17:17" x14ac:dyDescent="0.35">
      <c r="Q23334" s="1"/>
    </row>
    <row r="23335" spans="17:17" x14ac:dyDescent="0.35">
      <c r="Q23335" s="1"/>
    </row>
    <row r="23340" spans="17:17" x14ac:dyDescent="0.35">
      <c r="Q23340" s="1"/>
    </row>
    <row r="23342" spans="17:17" x14ac:dyDescent="0.35">
      <c r="Q23342" s="1"/>
    </row>
    <row r="23351" spans="17:17" x14ac:dyDescent="0.35">
      <c r="Q23351" s="1"/>
    </row>
    <row r="23355" spans="17:17" x14ac:dyDescent="0.35">
      <c r="Q23355" s="1"/>
    </row>
    <row r="23357" spans="17:17" x14ac:dyDescent="0.35">
      <c r="Q23357" s="1"/>
    </row>
    <row r="23366" spans="17:17" x14ac:dyDescent="0.35">
      <c r="Q23366" s="1"/>
    </row>
    <row r="23367" spans="17:17" x14ac:dyDescent="0.35">
      <c r="Q23367" s="1"/>
    </row>
    <row r="23368" spans="17:17" x14ac:dyDescent="0.35">
      <c r="Q23368" s="1"/>
    </row>
    <row r="23370" spans="17:17" x14ac:dyDescent="0.35">
      <c r="Q23370" s="1"/>
    </row>
    <row r="23388" spans="17:17" x14ac:dyDescent="0.35">
      <c r="Q23388" s="1"/>
    </row>
    <row r="23405" spans="17:17" x14ac:dyDescent="0.35">
      <c r="Q23405" s="1"/>
    </row>
    <row r="23407" spans="17:17" x14ac:dyDescent="0.35">
      <c r="Q23407" s="1"/>
    </row>
    <row r="23414" spans="17:17" x14ac:dyDescent="0.35">
      <c r="Q23414" s="1"/>
    </row>
    <row r="23420" spans="17:17" x14ac:dyDescent="0.35">
      <c r="Q23420" s="1"/>
    </row>
    <row r="23432" spans="17:17" x14ac:dyDescent="0.35">
      <c r="Q23432" s="1"/>
    </row>
    <row r="23447" spans="17:17" x14ac:dyDescent="0.35">
      <c r="Q23447" s="1"/>
    </row>
    <row r="23462" spans="17:17" x14ac:dyDescent="0.35">
      <c r="Q23462" s="1"/>
    </row>
    <row r="23476" spans="17:17" x14ac:dyDescent="0.35">
      <c r="Q23476" s="1"/>
    </row>
    <row r="23478" spans="17:17" x14ac:dyDescent="0.35">
      <c r="Q23478" s="1"/>
    </row>
    <row r="23479" spans="17:17" x14ac:dyDescent="0.35">
      <c r="Q23479" s="1"/>
    </row>
    <row r="23493" spans="16:17" x14ac:dyDescent="0.35">
      <c r="Q23493" s="1"/>
    </row>
    <row r="23494" spans="16:17" x14ac:dyDescent="0.35">
      <c r="Q23494" s="1"/>
    </row>
    <row r="23501" spans="16:17" x14ac:dyDescent="0.35">
      <c r="P23501" s="1"/>
    </row>
    <row r="23507" spans="17:17" x14ac:dyDescent="0.35">
      <c r="Q23507" s="1"/>
    </row>
    <row r="23514" spans="17:17" x14ac:dyDescent="0.35">
      <c r="Q23514" s="1"/>
    </row>
    <row r="23521" spans="17:17" x14ac:dyDescent="0.35">
      <c r="Q23521" s="1"/>
    </row>
    <row r="23554" spans="16:17" x14ac:dyDescent="0.35">
      <c r="Q23554" s="1"/>
    </row>
    <row r="23558" spans="16:17" x14ac:dyDescent="0.35">
      <c r="Q23558" s="1"/>
    </row>
    <row r="23561" spans="16:17" x14ac:dyDescent="0.35">
      <c r="P23561" s="1"/>
    </row>
    <row r="23562" spans="16:17" x14ac:dyDescent="0.35">
      <c r="Q23562" s="1"/>
    </row>
    <row r="23563" spans="16:17" x14ac:dyDescent="0.35">
      <c r="Q23563" s="1"/>
    </row>
    <row r="23564" spans="16:17" x14ac:dyDescent="0.35">
      <c r="Q23564" s="1"/>
    </row>
    <row r="23568" spans="16:17" x14ac:dyDescent="0.35">
      <c r="Q23568" s="1"/>
    </row>
    <row r="23593" spans="17:17" x14ac:dyDescent="0.35">
      <c r="Q23593" s="1"/>
    </row>
    <row r="23594" spans="17:17" x14ac:dyDescent="0.35">
      <c r="Q23594" s="1"/>
    </row>
    <row r="23602" spans="17:17" x14ac:dyDescent="0.35">
      <c r="Q23602" s="1"/>
    </row>
    <row r="23622" spans="17:17" x14ac:dyDescent="0.35">
      <c r="Q23622" s="1"/>
    </row>
    <row r="23625" spans="17:17" x14ac:dyDescent="0.35">
      <c r="Q23625" s="1"/>
    </row>
    <row r="23629" spans="17:17" x14ac:dyDescent="0.35">
      <c r="Q23629" s="1"/>
    </row>
    <row r="23638" spans="17:17" x14ac:dyDescent="0.35">
      <c r="Q23638" s="1"/>
    </row>
    <row r="23645" spans="17:17" x14ac:dyDescent="0.35">
      <c r="Q23645" s="1"/>
    </row>
    <row r="23649" spans="16:17" x14ac:dyDescent="0.35">
      <c r="P23649" s="1"/>
    </row>
    <row r="23650" spans="16:17" x14ac:dyDescent="0.35">
      <c r="Q23650" s="1"/>
    </row>
    <row r="23652" spans="16:17" x14ac:dyDescent="0.35">
      <c r="Q23652" s="1"/>
    </row>
    <row r="23653" spans="16:17" x14ac:dyDescent="0.35">
      <c r="Q23653" s="1"/>
    </row>
    <row r="23658" spans="16:17" x14ac:dyDescent="0.35">
      <c r="Q23658" s="1"/>
    </row>
    <row r="23674" spans="17:17" x14ac:dyDescent="0.35">
      <c r="Q23674" s="1"/>
    </row>
    <row r="23675" spans="17:17" x14ac:dyDescent="0.35">
      <c r="Q23675" s="1"/>
    </row>
    <row r="23680" spans="17:17" x14ac:dyDescent="0.35">
      <c r="Q23680" s="1"/>
    </row>
    <row r="23681" spans="17:17" x14ac:dyDescent="0.35">
      <c r="Q23681" s="1"/>
    </row>
    <row r="23683" spans="17:17" x14ac:dyDescent="0.35">
      <c r="Q23683" s="1"/>
    </row>
    <row r="23686" spans="17:17" x14ac:dyDescent="0.35">
      <c r="Q23686" s="1"/>
    </row>
    <row r="23695" spans="17:17" x14ac:dyDescent="0.35">
      <c r="Q23695" s="1"/>
    </row>
    <row r="23704" spans="17:17" x14ac:dyDescent="0.35">
      <c r="Q23704" s="1"/>
    </row>
    <row r="23729" spans="17:17" x14ac:dyDescent="0.35">
      <c r="Q23729" s="1"/>
    </row>
    <row r="23745" spans="17:17" x14ac:dyDescent="0.35">
      <c r="Q23745" s="1"/>
    </row>
    <row r="23768" spans="17:17" x14ac:dyDescent="0.35">
      <c r="Q23768" s="1"/>
    </row>
    <row r="23775" spans="17:17" x14ac:dyDescent="0.35">
      <c r="Q23775" s="1"/>
    </row>
    <row r="23776" spans="17:17" x14ac:dyDescent="0.35">
      <c r="Q23776" s="1"/>
    </row>
    <row r="23788" spans="17:17" x14ac:dyDescent="0.35">
      <c r="Q23788" s="1"/>
    </row>
    <row r="23795" spans="16:17" x14ac:dyDescent="0.35">
      <c r="Q23795" s="1"/>
    </row>
    <row r="23799" spans="16:17" x14ac:dyDescent="0.35">
      <c r="P23799" s="1"/>
    </row>
    <row r="23807" spans="16:17" x14ac:dyDescent="0.35">
      <c r="Q23807" s="1"/>
    </row>
    <row r="23821" spans="16:17" x14ac:dyDescent="0.35">
      <c r="Q23821" s="1"/>
    </row>
    <row r="23823" spans="16:17" x14ac:dyDescent="0.35">
      <c r="P23823" s="1"/>
    </row>
    <row r="23826" spans="17:17" x14ac:dyDescent="0.35">
      <c r="Q23826" s="1"/>
    </row>
    <row r="23829" spans="17:17" x14ac:dyDescent="0.35">
      <c r="Q23829" s="1"/>
    </row>
    <row r="23830" spans="17:17" x14ac:dyDescent="0.35">
      <c r="Q23830" s="1"/>
    </row>
    <row r="23849" spans="16:17" x14ac:dyDescent="0.35">
      <c r="Q23849" s="1"/>
    </row>
    <row r="23850" spans="16:17" x14ac:dyDescent="0.35">
      <c r="P23850" s="1"/>
    </row>
    <row r="23853" spans="16:17" x14ac:dyDescent="0.35">
      <c r="Q23853" s="1"/>
    </row>
    <row r="23858" spans="17:17" x14ac:dyDescent="0.35">
      <c r="Q23858" s="1"/>
    </row>
    <row r="23866" spans="17:17" x14ac:dyDescent="0.35">
      <c r="Q23866" s="1"/>
    </row>
    <row r="23869" spans="17:17" x14ac:dyDescent="0.35">
      <c r="Q23869" s="1"/>
    </row>
    <row r="23876" spans="17:17" x14ac:dyDescent="0.35">
      <c r="Q23876" s="1"/>
    </row>
    <row r="23882" spans="17:17" x14ac:dyDescent="0.35">
      <c r="Q23882" s="1"/>
    </row>
    <row r="23884" spans="17:17" x14ac:dyDescent="0.35">
      <c r="Q23884" s="1"/>
    </row>
    <row r="23888" spans="17:17" x14ac:dyDescent="0.35">
      <c r="Q23888" s="1"/>
    </row>
    <row r="23897" spans="16:17" x14ac:dyDescent="0.35">
      <c r="Q23897" s="1"/>
    </row>
    <row r="23899" spans="16:17" x14ac:dyDescent="0.35">
      <c r="P23899" s="1"/>
    </row>
    <row r="23921" spans="17:17" x14ac:dyDescent="0.35">
      <c r="Q23921" s="1"/>
    </row>
    <row r="23935" spans="17:17" x14ac:dyDescent="0.35">
      <c r="Q23935" s="1"/>
    </row>
    <row r="23938" spans="17:17" x14ac:dyDescent="0.35">
      <c r="Q23938" s="1"/>
    </row>
    <row r="23952" spans="17:17" x14ac:dyDescent="0.35">
      <c r="Q23952" s="1"/>
    </row>
    <row r="23958" spans="17:17" x14ac:dyDescent="0.35">
      <c r="Q23958" s="1"/>
    </row>
    <row r="23969" spans="17:17" x14ac:dyDescent="0.35">
      <c r="Q23969" s="1"/>
    </row>
    <row r="23982" spans="17:17" x14ac:dyDescent="0.35">
      <c r="Q23982" s="1"/>
    </row>
    <row r="23984" spans="17:17" x14ac:dyDescent="0.35">
      <c r="Q23984" s="1"/>
    </row>
    <row r="23985" spans="16:17" x14ac:dyDescent="0.35">
      <c r="Q23985" s="1"/>
    </row>
    <row r="23986" spans="16:17" x14ac:dyDescent="0.35">
      <c r="Q23986" s="1"/>
    </row>
    <row r="23990" spans="16:17" x14ac:dyDescent="0.35">
      <c r="Q23990" s="1"/>
    </row>
    <row r="23993" spans="16:17" x14ac:dyDescent="0.35">
      <c r="P23993" s="1"/>
    </row>
    <row r="24000" spans="16:17" x14ac:dyDescent="0.35">
      <c r="P24000" s="1"/>
    </row>
    <row r="24017" spans="16:16" x14ac:dyDescent="0.35">
      <c r="P24017" s="1"/>
    </row>
    <row r="24056" spans="16:16" x14ac:dyDescent="0.35">
      <c r="P24056" s="1"/>
    </row>
    <row r="24058" spans="16:16" x14ac:dyDescent="0.35">
      <c r="P24058" s="1"/>
    </row>
    <row r="24070" spans="16:16" x14ac:dyDescent="0.35">
      <c r="P24070" s="1"/>
    </row>
    <row r="24087" spans="16:16" x14ac:dyDescent="0.35">
      <c r="P24087" s="1"/>
    </row>
    <row r="24100" spans="16:17" x14ac:dyDescent="0.35">
      <c r="P24100" s="1"/>
    </row>
    <row r="24101" spans="16:17" x14ac:dyDescent="0.35">
      <c r="P24101" s="1"/>
    </row>
    <row r="24104" spans="16:17" x14ac:dyDescent="0.35">
      <c r="Q24104" s="1"/>
    </row>
    <row r="24111" spans="16:17" x14ac:dyDescent="0.35">
      <c r="P24111" s="1"/>
    </row>
    <row r="24115" spans="16:16" x14ac:dyDescent="0.35">
      <c r="P24115" s="1"/>
    </row>
    <row r="24120" spans="16:16" x14ac:dyDescent="0.35">
      <c r="P24120" s="1"/>
    </row>
    <row r="24124" spans="16:16" x14ac:dyDescent="0.35">
      <c r="P24124" s="1"/>
    </row>
    <row r="24132" spans="16:16" x14ac:dyDescent="0.35">
      <c r="P24132" s="1"/>
    </row>
    <row r="24140" spans="16:16" x14ac:dyDescent="0.35">
      <c r="P24140" s="1"/>
    </row>
    <row r="24156" spans="16:16" x14ac:dyDescent="0.35">
      <c r="P24156" s="1"/>
    </row>
    <row r="24169" spans="16:16" x14ac:dyDescent="0.35">
      <c r="P24169" s="1"/>
    </row>
    <row r="24196" spans="16:16" x14ac:dyDescent="0.35">
      <c r="P24196" s="1"/>
    </row>
    <row r="24198" spans="16:16" x14ac:dyDescent="0.35">
      <c r="P24198" s="1"/>
    </row>
    <row r="24207" spans="16:16" x14ac:dyDescent="0.35">
      <c r="P24207" s="1"/>
    </row>
    <row r="24210" spans="17:17" x14ac:dyDescent="0.35">
      <c r="Q24210" s="1"/>
    </row>
    <row r="24238" spans="16:16" x14ac:dyDescent="0.35">
      <c r="P24238" s="1"/>
    </row>
    <row r="24250" spans="16:17" x14ac:dyDescent="0.35">
      <c r="P24250" s="1"/>
    </row>
    <row r="24252" spans="16:17" x14ac:dyDescent="0.35">
      <c r="Q24252" s="1"/>
    </row>
    <row r="24258" spans="16:16" x14ac:dyDescent="0.35">
      <c r="P24258" s="1"/>
    </row>
    <row r="24266" spans="16:16" x14ac:dyDescent="0.35">
      <c r="P24266" s="1"/>
    </row>
    <row r="24285" spans="16:16" x14ac:dyDescent="0.35">
      <c r="P24285" s="1"/>
    </row>
    <row r="24303" spans="16:16" x14ac:dyDescent="0.35">
      <c r="P24303" s="1"/>
    </row>
    <row r="24306" spans="16:16" x14ac:dyDescent="0.35">
      <c r="P24306" s="1"/>
    </row>
    <row r="24307" spans="16:16" x14ac:dyDescent="0.35">
      <c r="P24307" s="1"/>
    </row>
    <row r="24308" spans="16:16" x14ac:dyDescent="0.35">
      <c r="P24308" s="1"/>
    </row>
    <row r="24309" spans="16:16" x14ac:dyDescent="0.35">
      <c r="P24309" s="1"/>
    </row>
    <row r="24312" spans="16:16" x14ac:dyDescent="0.35">
      <c r="P24312" s="1"/>
    </row>
    <row r="24339" spans="17:17" x14ac:dyDescent="0.35">
      <c r="Q24339" s="1"/>
    </row>
    <row r="24363" spans="5:16" x14ac:dyDescent="0.35">
      <c r="P24363" s="1"/>
    </row>
    <row r="24366" spans="5:16" x14ac:dyDescent="0.35">
      <c r="P24366" s="1"/>
    </row>
    <row r="24368" spans="5:16" x14ac:dyDescent="0.35">
      <c r="E24368" s="1"/>
    </row>
    <row r="24371" spans="16:16" x14ac:dyDescent="0.35">
      <c r="P24371" s="1"/>
    </row>
    <row r="24374" spans="16:16" x14ac:dyDescent="0.35">
      <c r="P24374" s="1"/>
    </row>
    <row r="24377" spans="16:16" x14ac:dyDescent="0.35">
      <c r="P24377" s="1"/>
    </row>
    <row r="24384" spans="16:16" x14ac:dyDescent="0.35">
      <c r="P24384" s="1"/>
    </row>
    <row r="24396" spans="16:16" x14ac:dyDescent="0.35">
      <c r="P24396" s="1"/>
    </row>
    <row r="24411" spans="16:16" x14ac:dyDescent="0.35">
      <c r="P24411" s="1"/>
    </row>
    <row r="24431" spans="16:16" x14ac:dyDescent="0.35">
      <c r="P24431" s="1"/>
    </row>
    <row r="24435" spans="16:16" x14ac:dyDescent="0.35">
      <c r="P24435" s="1"/>
    </row>
    <row r="24464" spans="17:17" x14ac:dyDescent="0.35">
      <c r="Q24464" s="1"/>
    </row>
    <row r="24490" spans="16:16" x14ac:dyDescent="0.35">
      <c r="P24490" s="1"/>
    </row>
    <row r="24518" spans="16:17" x14ac:dyDescent="0.35">
      <c r="P24518" s="1"/>
    </row>
    <row r="24520" spans="16:17" x14ac:dyDescent="0.35">
      <c r="Q24520" s="1"/>
    </row>
    <row r="24530" spans="16:16" x14ac:dyDescent="0.35">
      <c r="P24530" s="1"/>
    </row>
    <row r="24573" spans="16:16" x14ac:dyDescent="0.35">
      <c r="P24573" s="1"/>
    </row>
    <row r="24575" spans="16:16" x14ac:dyDescent="0.35">
      <c r="P24575" s="1"/>
    </row>
    <row r="24580" spans="16:17" x14ac:dyDescent="0.35">
      <c r="Q24580" s="1"/>
    </row>
    <row r="24581" spans="16:17" x14ac:dyDescent="0.35">
      <c r="P24581" s="1"/>
    </row>
    <row r="24598" spans="16:16" x14ac:dyDescent="0.35">
      <c r="P24598" s="1"/>
    </row>
    <row r="24617" spans="5:16" x14ac:dyDescent="0.35">
      <c r="P24617" s="1"/>
    </row>
    <row r="24624" spans="5:16" x14ac:dyDescent="0.35">
      <c r="E24624" s="1"/>
    </row>
    <row r="24625" spans="16:16" x14ac:dyDescent="0.35">
      <c r="P24625" s="1"/>
    </row>
    <row r="24633" spans="16:16" x14ac:dyDescent="0.35">
      <c r="P24633" s="1"/>
    </row>
    <row r="24634" spans="16:16" x14ac:dyDescent="0.35">
      <c r="P24634" s="1"/>
    </row>
    <row r="24639" spans="16:16" x14ac:dyDescent="0.35">
      <c r="P24639" s="1"/>
    </row>
    <row r="24652" spans="16:16" x14ac:dyDescent="0.35">
      <c r="P24652" s="1"/>
    </row>
    <row r="24653" spans="16:16" x14ac:dyDescent="0.35">
      <c r="P24653" s="1"/>
    </row>
    <row r="24662" spans="16:17" x14ac:dyDescent="0.35">
      <c r="Q24662" s="1"/>
    </row>
    <row r="24667" spans="16:17" x14ac:dyDescent="0.35">
      <c r="P24667" s="1"/>
    </row>
    <row r="24677" spans="16:16" x14ac:dyDescent="0.35">
      <c r="P24677" s="1"/>
    </row>
    <row r="24678" spans="16:16" x14ac:dyDescent="0.35">
      <c r="P24678" s="1"/>
    </row>
    <row r="24684" spans="16:16" x14ac:dyDescent="0.35">
      <c r="P24684" s="1"/>
    </row>
    <row r="24687" spans="16:16" x14ac:dyDescent="0.35">
      <c r="P24687" s="1"/>
    </row>
    <row r="24689" spans="16:16" x14ac:dyDescent="0.35">
      <c r="P24689" s="1"/>
    </row>
    <row r="24708" spans="16:16" x14ac:dyDescent="0.35">
      <c r="P24708" s="1"/>
    </row>
    <row r="24711" spans="16:16" x14ac:dyDescent="0.35">
      <c r="P24711" s="1"/>
    </row>
    <row r="24715" spans="16:16" x14ac:dyDescent="0.35">
      <c r="P24715" s="1"/>
    </row>
    <row r="24716" spans="16:16" x14ac:dyDescent="0.35">
      <c r="P24716" s="1"/>
    </row>
    <row r="24720" spans="16:16" x14ac:dyDescent="0.35">
      <c r="P24720" s="1"/>
    </row>
    <row r="24731" spans="5:5" x14ac:dyDescent="0.35">
      <c r="E24731" s="1"/>
    </row>
    <row r="24748" spans="16:16" x14ac:dyDescent="0.35">
      <c r="P24748" s="1"/>
    </row>
    <row r="24779" spans="16:16" x14ac:dyDescent="0.35">
      <c r="P24779" s="1"/>
    </row>
    <row r="24782" spans="16:16" x14ac:dyDescent="0.35">
      <c r="P24782" s="1"/>
    </row>
    <row r="24793" spans="16:16" x14ac:dyDescent="0.35">
      <c r="P24793" s="1"/>
    </row>
    <row r="24802" spans="17:17" x14ac:dyDescent="0.35">
      <c r="Q24802" s="1"/>
    </row>
    <row r="24823" spans="16:16" x14ac:dyDescent="0.35">
      <c r="P24823" s="1"/>
    </row>
    <row r="24835" spans="16:16" x14ac:dyDescent="0.35">
      <c r="P24835" s="1"/>
    </row>
    <row r="24868" spans="16:16" x14ac:dyDescent="0.35">
      <c r="P24868" s="1"/>
    </row>
    <row r="24910" spans="16:16" x14ac:dyDescent="0.35">
      <c r="P24910" s="1"/>
    </row>
    <row r="24931" spans="16:16" x14ac:dyDescent="0.35">
      <c r="P24931" s="1"/>
    </row>
    <row r="24934" spans="16:16" x14ac:dyDescent="0.35">
      <c r="P24934" s="1"/>
    </row>
    <row r="24936" spans="16:16" x14ac:dyDescent="0.35">
      <c r="P24936" s="1"/>
    </row>
    <row r="24937" spans="16:16" x14ac:dyDescent="0.35">
      <c r="P24937" s="1"/>
    </row>
    <row r="24940" spans="16:16" x14ac:dyDescent="0.35">
      <c r="P24940" s="1"/>
    </row>
    <row r="24954" spans="17:17" x14ac:dyDescent="0.35">
      <c r="Q24954" s="1"/>
    </row>
    <row r="24957" spans="17:17" x14ac:dyDescent="0.35">
      <c r="Q24957" s="1"/>
    </row>
    <row r="24962" spans="16:17" x14ac:dyDescent="0.35">
      <c r="Q24962" s="1"/>
    </row>
    <row r="24966" spans="16:17" x14ac:dyDescent="0.35">
      <c r="P24966" s="1"/>
    </row>
    <row r="24969" spans="16:17" x14ac:dyDescent="0.35">
      <c r="P24969" s="1"/>
    </row>
    <row r="24998" spans="16:16" x14ac:dyDescent="0.35">
      <c r="P24998" s="1"/>
    </row>
    <row r="25000" spans="16:16" x14ac:dyDescent="0.35">
      <c r="P25000" s="1"/>
    </row>
    <row r="25001" spans="16:16" x14ac:dyDescent="0.35">
      <c r="P25001" s="1"/>
    </row>
    <row r="25010" spans="17:17" x14ac:dyDescent="0.35">
      <c r="Q25010" s="1"/>
    </row>
    <row r="25012" spans="17:17" x14ac:dyDescent="0.35">
      <c r="Q25012" s="1"/>
    </row>
    <row r="25014" spans="17:17" x14ac:dyDescent="0.35">
      <c r="Q25014" s="1"/>
    </row>
    <row r="25015" spans="17:17" x14ac:dyDescent="0.35">
      <c r="Q25015" s="1"/>
    </row>
    <row r="25017" spans="17:17" x14ac:dyDescent="0.35">
      <c r="Q25017" s="1"/>
    </row>
    <row r="25020" spans="17:17" x14ac:dyDescent="0.35">
      <c r="Q25020" s="1"/>
    </row>
    <row r="25022" spans="17:17" x14ac:dyDescent="0.35">
      <c r="Q25022" s="1"/>
    </row>
    <row r="25033" spans="17:17" x14ac:dyDescent="0.35">
      <c r="Q25033" s="1"/>
    </row>
    <row r="25036" spans="17:17" x14ac:dyDescent="0.35">
      <c r="Q25036" s="1"/>
    </row>
    <row r="25042" spans="17:17" x14ac:dyDescent="0.35">
      <c r="Q25042" s="1"/>
    </row>
    <row r="25045" spans="17:17" x14ac:dyDescent="0.35">
      <c r="Q25045" s="1"/>
    </row>
    <row r="25052" spans="17:17" x14ac:dyDescent="0.35">
      <c r="Q25052" s="1"/>
    </row>
    <row r="25053" spans="17:17" x14ac:dyDescent="0.35">
      <c r="Q25053" s="1"/>
    </row>
    <row r="25060" spans="17:17" x14ac:dyDescent="0.35">
      <c r="Q25060" s="1"/>
    </row>
    <row r="25070" spans="17:17" x14ac:dyDescent="0.35">
      <c r="Q25070" s="1"/>
    </row>
    <row r="25083" spans="17:17" x14ac:dyDescent="0.35">
      <c r="Q25083" s="1"/>
    </row>
    <row r="25088" spans="17:17" x14ac:dyDescent="0.35">
      <c r="Q25088" s="1"/>
    </row>
    <row r="25089" spans="17:17" x14ac:dyDescent="0.35">
      <c r="Q25089" s="1"/>
    </row>
    <row r="25091" spans="17:17" x14ac:dyDescent="0.35">
      <c r="Q25091" s="1"/>
    </row>
    <row r="25093" spans="17:17" x14ac:dyDescent="0.35">
      <c r="Q25093" s="1"/>
    </row>
    <row r="25102" spans="17:17" x14ac:dyDescent="0.35">
      <c r="Q25102" s="1"/>
    </row>
    <row r="25108" spans="17:17" x14ac:dyDescent="0.35">
      <c r="Q25108" s="1"/>
    </row>
    <row r="25111" spans="17:17" x14ac:dyDescent="0.35">
      <c r="Q25111" s="1"/>
    </row>
    <row r="25112" spans="17:17" x14ac:dyDescent="0.35">
      <c r="Q25112" s="1"/>
    </row>
    <row r="25114" spans="17:17" x14ac:dyDescent="0.35">
      <c r="Q25114" s="1"/>
    </row>
    <row r="25115" spans="17:17" x14ac:dyDescent="0.35">
      <c r="Q25115" s="1"/>
    </row>
    <row r="25116" spans="17:17" x14ac:dyDescent="0.35">
      <c r="Q25116" s="1"/>
    </row>
    <row r="25117" spans="17:17" x14ac:dyDescent="0.35">
      <c r="Q25117" s="1"/>
    </row>
    <row r="25124" spans="17:17" x14ac:dyDescent="0.35">
      <c r="Q25124" s="1"/>
    </row>
    <row r="25127" spans="17:17" x14ac:dyDescent="0.35">
      <c r="Q25127" s="1"/>
    </row>
    <row r="25131" spans="17:17" x14ac:dyDescent="0.35">
      <c r="Q25131" s="1"/>
    </row>
    <row r="25132" spans="17:17" x14ac:dyDescent="0.35">
      <c r="Q25132" s="1"/>
    </row>
    <row r="25136" spans="17:17" x14ac:dyDescent="0.35">
      <c r="Q25136" s="1"/>
    </row>
    <row r="25148" spans="17:17" x14ac:dyDescent="0.35">
      <c r="Q25148" s="1"/>
    </row>
    <row r="25150" spans="17:17" x14ac:dyDescent="0.35">
      <c r="Q25150" s="1"/>
    </row>
    <row r="25151" spans="17:17" x14ac:dyDescent="0.35">
      <c r="Q25151" s="1"/>
    </row>
    <row r="25157" spans="17:17" x14ac:dyDescent="0.35">
      <c r="Q25157" s="1"/>
    </row>
    <row r="25158" spans="17:17" x14ac:dyDescent="0.35">
      <c r="Q25158" s="1"/>
    </row>
    <row r="25161" spans="17:17" x14ac:dyDescent="0.35">
      <c r="Q25161" s="1"/>
    </row>
    <row r="25163" spans="17:17" x14ac:dyDescent="0.35">
      <c r="Q25163" s="1"/>
    </row>
    <row r="25165" spans="17:17" x14ac:dyDescent="0.35">
      <c r="Q25165" s="1"/>
    </row>
    <row r="25166" spans="17:17" x14ac:dyDescent="0.35">
      <c r="Q25166" s="1"/>
    </row>
    <row r="25169" spans="17:17" x14ac:dyDescent="0.35">
      <c r="Q25169" s="1"/>
    </row>
    <row r="25172" spans="17:17" x14ac:dyDescent="0.35">
      <c r="Q25172" s="1"/>
    </row>
    <row r="25178" spans="17:17" x14ac:dyDescent="0.35">
      <c r="Q25178" s="1"/>
    </row>
    <row r="25195" spans="17:17" x14ac:dyDescent="0.35">
      <c r="Q25195" s="1"/>
    </row>
    <row r="25196" spans="17:17" x14ac:dyDescent="0.35">
      <c r="Q25196" s="1"/>
    </row>
    <row r="25197" spans="17:17" x14ac:dyDescent="0.35">
      <c r="Q25197" s="1"/>
    </row>
    <row r="25198" spans="17:17" x14ac:dyDescent="0.35">
      <c r="Q25198" s="1"/>
    </row>
    <row r="25200" spans="17:17" x14ac:dyDescent="0.35">
      <c r="Q25200" s="1"/>
    </row>
    <row r="25202" spans="17:17" x14ac:dyDescent="0.35">
      <c r="Q25202" s="1"/>
    </row>
    <row r="25206" spans="17:17" x14ac:dyDescent="0.35">
      <c r="Q25206" s="1"/>
    </row>
    <row r="25211" spans="17:17" x14ac:dyDescent="0.35">
      <c r="Q25211" s="1"/>
    </row>
    <row r="25217" spans="16:17" x14ac:dyDescent="0.35">
      <c r="Q25217" s="1"/>
    </row>
    <row r="25220" spans="16:17" x14ac:dyDescent="0.35">
      <c r="Q25220" s="1"/>
    </row>
    <row r="25222" spans="16:17" x14ac:dyDescent="0.35">
      <c r="Q25222" s="1"/>
    </row>
    <row r="25226" spans="16:17" x14ac:dyDescent="0.35">
      <c r="P25226" s="1"/>
    </row>
    <row r="25228" spans="16:17" x14ac:dyDescent="0.35">
      <c r="Q25228" s="1"/>
    </row>
    <row r="25229" spans="16:17" x14ac:dyDescent="0.35">
      <c r="Q25229" s="1"/>
    </row>
    <row r="25232" spans="16:17" x14ac:dyDescent="0.35">
      <c r="Q25232" s="1"/>
    </row>
    <row r="25235" spans="17:17" x14ac:dyDescent="0.35">
      <c r="Q25235" s="1"/>
    </row>
    <row r="25238" spans="17:17" x14ac:dyDescent="0.35">
      <c r="Q25238" s="1"/>
    </row>
    <row r="25240" spans="17:17" x14ac:dyDescent="0.35">
      <c r="Q25240" s="1"/>
    </row>
    <row r="25243" spans="17:17" x14ac:dyDescent="0.35">
      <c r="Q25243" s="1"/>
    </row>
    <row r="25262" spans="17:17" x14ac:dyDescent="0.35">
      <c r="Q25262" s="1"/>
    </row>
    <row r="25264" spans="17:17" x14ac:dyDescent="0.35">
      <c r="Q25264" s="1"/>
    </row>
    <row r="25265" spans="17:17" x14ac:dyDescent="0.35">
      <c r="Q25265" s="1"/>
    </row>
    <row r="25271" spans="17:17" x14ac:dyDescent="0.35">
      <c r="Q25271" s="1"/>
    </row>
    <row r="25272" spans="17:17" x14ac:dyDescent="0.35">
      <c r="Q25272" s="1"/>
    </row>
    <row r="25278" spans="17:17" x14ac:dyDescent="0.35">
      <c r="Q25278" s="1"/>
    </row>
    <row r="25282" spans="17:17" x14ac:dyDescent="0.35">
      <c r="Q25282" s="1"/>
    </row>
    <row r="25285" spans="17:17" x14ac:dyDescent="0.35">
      <c r="Q25285" s="1"/>
    </row>
    <row r="25287" spans="17:17" x14ac:dyDescent="0.35">
      <c r="Q25287" s="1"/>
    </row>
    <row r="25288" spans="17:17" x14ac:dyDescent="0.35">
      <c r="Q25288" s="1"/>
    </row>
    <row r="25297" spans="17:17" x14ac:dyDescent="0.35">
      <c r="Q25297" s="1"/>
    </row>
    <row r="25298" spans="17:17" x14ac:dyDescent="0.35">
      <c r="Q25298" s="1"/>
    </row>
    <row r="25299" spans="17:17" x14ac:dyDescent="0.35">
      <c r="Q25299" s="1"/>
    </row>
    <row r="25307" spans="17:17" x14ac:dyDescent="0.35">
      <c r="Q25307" s="1"/>
    </row>
    <row r="25311" spans="17:17" x14ac:dyDescent="0.35">
      <c r="Q25311" s="1"/>
    </row>
    <row r="25315" spans="17:17" x14ac:dyDescent="0.35">
      <c r="Q25315" s="1"/>
    </row>
    <row r="25322" spans="17:17" x14ac:dyDescent="0.35">
      <c r="Q25322" s="1"/>
    </row>
    <row r="25324" spans="17:17" x14ac:dyDescent="0.35">
      <c r="Q25324" s="1"/>
    </row>
    <row r="25325" spans="17:17" x14ac:dyDescent="0.35">
      <c r="Q25325" s="1"/>
    </row>
    <row r="25327" spans="17:17" x14ac:dyDescent="0.35">
      <c r="Q25327" s="1"/>
    </row>
    <row r="25330" spans="17:17" x14ac:dyDescent="0.35">
      <c r="Q25330" s="1"/>
    </row>
    <row r="25333" spans="17:17" x14ac:dyDescent="0.35">
      <c r="Q25333" s="1"/>
    </row>
    <row r="25334" spans="17:17" x14ac:dyDescent="0.35">
      <c r="Q25334" s="1"/>
    </row>
    <row r="25335" spans="17:17" x14ac:dyDescent="0.35">
      <c r="Q25335" s="1"/>
    </row>
    <row r="25338" spans="17:17" x14ac:dyDescent="0.35">
      <c r="Q25338" s="1"/>
    </row>
    <row r="25340" spans="17:17" x14ac:dyDescent="0.35">
      <c r="Q25340" s="1"/>
    </row>
    <row r="25341" spans="17:17" x14ac:dyDescent="0.35">
      <c r="Q25341" s="1"/>
    </row>
    <row r="25342" spans="17:17" x14ac:dyDescent="0.35">
      <c r="Q25342" s="1"/>
    </row>
    <row r="25355" spans="17:17" x14ac:dyDescent="0.35">
      <c r="Q25355" s="1"/>
    </row>
    <row r="25365" spans="17:17" x14ac:dyDescent="0.35">
      <c r="Q25365" s="1"/>
    </row>
    <row r="25367" spans="17:17" x14ac:dyDescent="0.35">
      <c r="Q25367" s="1"/>
    </row>
    <row r="25368" spans="17:17" x14ac:dyDescent="0.35">
      <c r="Q25368" s="1"/>
    </row>
    <row r="25370" spans="17:17" x14ac:dyDescent="0.35">
      <c r="Q25370" s="1"/>
    </row>
    <row r="25373" spans="17:17" x14ac:dyDescent="0.35">
      <c r="Q25373" s="1"/>
    </row>
    <row r="25380" spans="17:17" x14ac:dyDescent="0.35">
      <c r="Q25380" s="1"/>
    </row>
    <row r="25394" spans="17:17" x14ac:dyDescent="0.35">
      <c r="Q25394" s="1"/>
    </row>
    <row r="25402" spans="17:17" x14ac:dyDescent="0.35">
      <c r="Q25402" s="1"/>
    </row>
    <row r="25408" spans="17:17" x14ac:dyDescent="0.35">
      <c r="Q25408" s="1"/>
    </row>
    <row r="25410" spans="17:17" x14ac:dyDescent="0.35">
      <c r="Q25410" s="1"/>
    </row>
    <row r="25414" spans="17:17" x14ac:dyDescent="0.35">
      <c r="Q25414" s="1"/>
    </row>
    <row r="25433" spans="17:17" x14ac:dyDescent="0.35">
      <c r="Q25433" s="1"/>
    </row>
    <row r="25451" spans="17:17" x14ac:dyDescent="0.35">
      <c r="Q25451" s="1"/>
    </row>
    <row r="25458" spans="17:17" x14ac:dyDescent="0.35">
      <c r="Q25458" s="1"/>
    </row>
    <row r="25468" spans="17:17" x14ac:dyDescent="0.35">
      <c r="Q25468" s="1"/>
    </row>
    <row r="25477" spans="17:17" x14ac:dyDescent="0.35">
      <c r="Q25477" s="1"/>
    </row>
    <row r="25479" spans="17:17" x14ac:dyDescent="0.35">
      <c r="Q25479" s="1"/>
    </row>
    <row r="25482" spans="17:17" x14ac:dyDescent="0.35">
      <c r="Q25482" s="1"/>
    </row>
    <row r="25493" spans="17:17" x14ac:dyDescent="0.35">
      <c r="Q25493" s="1"/>
    </row>
    <row r="25497" spans="17:17" x14ac:dyDescent="0.35">
      <c r="Q25497" s="1"/>
    </row>
    <row r="25510" spans="17:17" x14ac:dyDescent="0.35">
      <c r="Q25510" s="1"/>
    </row>
    <row r="25511" spans="17:17" x14ac:dyDescent="0.35">
      <c r="Q25511" s="1"/>
    </row>
    <row r="25512" spans="17:17" x14ac:dyDescent="0.35">
      <c r="Q25512" s="1"/>
    </row>
    <row r="25516" spans="17:17" x14ac:dyDescent="0.35">
      <c r="Q25516" s="1"/>
    </row>
    <row r="25518" spans="17:17" x14ac:dyDescent="0.35">
      <c r="Q25518" s="1"/>
    </row>
    <row r="25527" spans="16:17" x14ac:dyDescent="0.35">
      <c r="P25527" s="1"/>
      <c r="Q25527" s="1"/>
    </row>
    <row r="25531" spans="16:17" x14ac:dyDescent="0.35">
      <c r="Q25531" s="1"/>
    </row>
    <row r="25533" spans="16:17" x14ac:dyDescent="0.35">
      <c r="Q25533" s="1"/>
    </row>
    <row r="25536" spans="16:17" x14ac:dyDescent="0.35">
      <c r="Q25536" s="1"/>
    </row>
    <row r="25545" spans="17:17" x14ac:dyDescent="0.35">
      <c r="Q25545" s="1"/>
    </row>
    <row r="25547" spans="17:17" x14ac:dyDescent="0.35">
      <c r="Q25547" s="1"/>
    </row>
    <row r="25549" spans="17:17" x14ac:dyDescent="0.35">
      <c r="Q25549" s="1"/>
    </row>
    <row r="25550" spans="17:17" x14ac:dyDescent="0.35">
      <c r="Q25550" s="1"/>
    </row>
    <row r="25551" spans="17:17" x14ac:dyDescent="0.35">
      <c r="Q25551" s="1"/>
    </row>
    <row r="25555" spans="17:17" x14ac:dyDescent="0.35">
      <c r="Q25555" s="1"/>
    </row>
    <row r="25565" spans="17:17" x14ac:dyDescent="0.35">
      <c r="Q25565" s="1"/>
    </row>
    <row r="25566" spans="17:17" x14ac:dyDescent="0.35">
      <c r="Q25566" s="1"/>
    </row>
    <row r="25568" spans="17:17" x14ac:dyDescent="0.35">
      <c r="Q25568" s="1"/>
    </row>
    <row r="25569" spans="17:17" x14ac:dyDescent="0.35">
      <c r="Q25569" s="1"/>
    </row>
    <row r="25572" spans="17:17" x14ac:dyDescent="0.35">
      <c r="Q25572" s="1"/>
    </row>
    <row r="25583" spans="17:17" x14ac:dyDescent="0.35">
      <c r="Q25583" s="1"/>
    </row>
    <row r="25591" spans="17:17" x14ac:dyDescent="0.35">
      <c r="Q25591" s="1"/>
    </row>
    <row r="25600" spans="17:17" x14ac:dyDescent="0.35">
      <c r="Q25600" s="1"/>
    </row>
    <row r="25602" spans="17:17" x14ac:dyDescent="0.35">
      <c r="Q25602" s="1"/>
    </row>
    <row r="25604" spans="17:17" x14ac:dyDescent="0.35">
      <c r="Q25604" s="1"/>
    </row>
    <row r="25609" spans="17:17" x14ac:dyDescent="0.35">
      <c r="Q25609" s="1"/>
    </row>
    <row r="25638" spans="17:17" x14ac:dyDescent="0.35">
      <c r="Q25638" s="1"/>
    </row>
    <row r="25648" spans="17:17" x14ac:dyDescent="0.35">
      <c r="Q25648" s="1"/>
    </row>
    <row r="25652" spans="17:17" x14ac:dyDescent="0.35">
      <c r="Q25652" s="1"/>
    </row>
    <row r="25657" spans="17:17" x14ac:dyDescent="0.35">
      <c r="Q25657" s="1"/>
    </row>
    <row r="25662" spans="17:17" x14ac:dyDescent="0.35">
      <c r="Q25662" s="1"/>
    </row>
    <row r="25666" spans="17:17" x14ac:dyDescent="0.35">
      <c r="Q25666" s="1"/>
    </row>
    <row r="25670" spans="17:17" x14ac:dyDescent="0.35">
      <c r="Q25670" s="1"/>
    </row>
    <row r="25677" spans="17:17" x14ac:dyDescent="0.35">
      <c r="Q25677" s="1"/>
    </row>
    <row r="25680" spans="17:17" x14ac:dyDescent="0.35">
      <c r="Q25680" s="1"/>
    </row>
    <row r="25688" spans="17:17" x14ac:dyDescent="0.35">
      <c r="Q25688" s="1"/>
    </row>
    <row r="25692" spans="17:17" x14ac:dyDescent="0.35">
      <c r="Q25692" s="1"/>
    </row>
    <row r="25698" spans="17:17" x14ac:dyDescent="0.35">
      <c r="Q25698" s="1"/>
    </row>
    <row r="25703" spans="17:17" x14ac:dyDescent="0.35">
      <c r="Q25703" s="1"/>
    </row>
    <row r="25705" spans="17:17" x14ac:dyDescent="0.35">
      <c r="Q25705" s="1"/>
    </row>
    <row r="25709" spans="17:17" x14ac:dyDescent="0.35">
      <c r="Q25709" s="1"/>
    </row>
    <row r="25710" spans="17:17" x14ac:dyDescent="0.35">
      <c r="Q25710" s="1"/>
    </row>
    <row r="25714" spans="17:17" x14ac:dyDescent="0.35">
      <c r="Q25714" s="1"/>
    </row>
    <row r="25718" spans="17:17" x14ac:dyDescent="0.35">
      <c r="Q25718" s="1"/>
    </row>
    <row r="25720" spans="17:17" x14ac:dyDescent="0.35">
      <c r="Q25720" s="1"/>
    </row>
    <row r="25721" spans="17:17" x14ac:dyDescent="0.35">
      <c r="Q25721" s="1"/>
    </row>
    <row r="25725" spans="17:17" x14ac:dyDescent="0.35">
      <c r="Q25725" s="1"/>
    </row>
    <row r="25727" spans="17:17" x14ac:dyDescent="0.35">
      <c r="Q25727" s="1"/>
    </row>
    <row r="25728" spans="17:17" x14ac:dyDescent="0.35">
      <c r="Q25728" s="1"/>
    </row>
    <row r="25729" spans="17:17" x14ac:dyDescent="0.35">
      <c r="Q25729" s="1"/>
    </row>
    <row r="25735" spans="17:17" x14ac:dyDescent="0.35">
      <c r="Q25735" s="1"/>
    </row>
    <row r="25738" spans="17:17" x14ac:dyDescent="0.35">
      <c r="Q25738" s="1"/>
    </row>
    <row r="25742" spans="17:17" x14ac:dyDescent="0.35">
      <c r="Q25742" s="1"/>
    </row>
    <row r="25744" spans="17:17" x14ac:dyDescent="0.35">
      <c r="Q25744" s="1"/>
    </row>
    <row r="25750" spans="17:17" x14ac:dyDescent="0.35">
      <c r="Q25750" s="1"/>
    </row>
    <row r="25765" spans="17:17" x14ac:dyDescent="0.35">
      <c r="Q25765" s="1"/>
    </row>
    <row r="25777" spans="17:17" x14ac:dyDescent="0.35">
      <c r="Q25777" s="1"/>
    </row>
    <row r="25779" spans="17:17" x14ac:dyDescent="0.35">
      <c r="Q25779" s="1"/>
    </row>
    <row r="25791" spans="17:17" x14ac:dyDescent="0.35">
      <c r="Q25791" s="1"/>
    </row>
    <row r="25800" spans="16:17" x14ac:dyDescent="0.35">
      <c r="Q25800" s="1"/>
    </row>
    <row r="25804" spans="16:17" x14ac:dyDescent="0.35">
      <c r="P25804" s="1"/>
    </row>
    <row r="25810" spans="17:17" x14ac:dyDescent="0.35">
      <c r="Q25810" s="1"/>
    </row>
    <row r="25816" spans="17:17" x14ac:dyDescent="0.35">
      <c r="Q25816" s="1"/>
    </row>
    <row r="25827" spans="17:17" x14ac:dyDescent="0.35">
      <c r="Q25827" s="1"/>
    </row>
    <row r="25828" spans="17:17" x14ac:dyDescent="0.35">
      <c r="Q25828" s="1"/>
    </row>
    <row r="25830" spans="17:17" x14ac:dyDescent="0.35">
      <c r="Q25830" s="1"/>
    </row>
    <row r="25834" spans="17:17" x14ac:dyDescent="0.35">
      <c r="Q25834" s="1"/>
    </row>
    <row r="25838" spans="17:17" x14ac:dyDescent="0.35">
      <c r="Q25838" s="1"/>
    </row>
    <row r="25844" spans="17:17" x14ac:dyDescent="0.35">
      <c r="Q25844" s="1"/>
    </row>
    <row r="25845" spans="17:17" x14ac:dyDescent="0.35">
      <c r="Q25845" s="1"/>
    </row>
    <row r="25860" spans="17:17" x14ac:dyDescent="0.35">
      <c r="Q25860" s="1"/>
    </row>
    <row r="25865" spans="17:17" x14ac:dyDescent="0.35">
      <c r="Q25865" s="1"/>
    </row>
    <row r="25867" spans="17:17" x14ac:dyDescent="0.35">
      <c r="Q25867" s="1"/>
    </row>
    <row r="25875" spans="17:17" x14ac:dyDescent="0.35">
      <c r="Q25875" s="1"/>
    </row>
    <row r="25880" spans="17:17" x14ac:dyDescent="0.35">
      <c r="Q25880" s="1"/>
    </row>
    <row r="25882" spans="17:17" x14ac:dyDescent="0.35">
      <c r="Q25882" s="1"/>
    </row>
    <row r="25886" spans="17:17" x14ac:dyDescent="0.35">
      <c r="Q25886" s="1"/>
    </row>
    <row r="25888" spans="17:17" x14ac:dyDescent="0.35">
      <c r="Q25888" s="1"/>
    </row>
    <row r="25908" spans="16:17" x14ac:dyDescent="0.35">
      <c r="P25908" s="1"/>
    </row>
    <row r="25914" spans="16:17" x14ac:dyDescent="0.35">
      <c r="Q25914" s="1"/>
    </row>
    <row r="25924" spans="17:17" x14ac:dyDescent="0.35">
      <c r="Q25924" s="1"/>
    </row>
    <row r="25927" spans="17:17" x14ac:dyDescent="0.35">
      <c r="Q25927" s="1"/>
    </row>
    <row r="25928" spans="17:17" x14ac:dyDescent="0.35">
      <c r="Q25928" s="1"/>
    </row>
    <row r="25929" spans="17:17" x14ac:dyDescent="0.35">
      <c r="Q25929" s="1"/>
    </row>
    <row r="25934" spans="17:17" x14ac:dyDescent="0.35">
      <c r="Q25934" s="1"/>
    </row>
    <row r="25935" spans="17:17" x14ac:dyDescent="0.35">
      <c r="Q25935" s="1"/>
    </row>
    <row r="25939" spans="17:17" x14ac:dyDescent="0.35">
      <c r="Q25939" s="1"/>
    </row>
    <row r="25940" spans="17:17" x14ac:dyDescent="0.35">
      <c r="Q25940" s="1"/>
    </row>
    <row r="25944" spans="17:17" x14ac:dyDescent="0.35">
      <c r="Q25944" s="1"/>
    </row>
    <row r="25948" spans="17:17" x14ac:dyDescent="0.35">
      <c r="Q25948" s="1"/>
    </row>
    <row r="25950" spans="17:17" x14ac:dyDescent="0.35">
      <c r="Q25950" s="1"/>
    </row>
    <row r="25951" spans="17:17" x14ac:dyDescent="0.35">
      <c r="Q25951" s="1"/>
    </row>
    <row r="25952" spans="17:17" x14ac:dyDescent="0.35">
      <c r="Q25952" s="1"/>
    </row>
    <row r="25954" spans="17:17" x14ac:dyDescent="0.35">
      <c r="Q25954" s="1"/>
    </row>
    <row r="25962" spans="17:17" x14ac:dyDescent="0.35">
      <c r="Q25962" s="1"/>
    </row>
    <row r="25964" spans="17:17" x14ac:dyDescent="0.35">
      <c r="Q25964" s="1"/>
    </row>
    <row r="25967" spans="17:17" x14ac:dyDescent="0.35">
      <c r="Q25967" s="1"/>
    </row>
    <row r="25969" spans="17:17" x14ac:dyDescent="0.35">
      <c r="Q25969" s="1"/>
    </row>
    <row r="25977" spans="17:17" x14ac:dyDescent="0.35">
      <c r="Q25977" s="1"/>
    </row>
    <row r="25981" spans="17:17" x14ac:dyDescent="0.35">
      <c r="Q25981" s="1"/>
    </row>
    <row r="25982" spans="17:17" x14ac:dyDescent="0.35">
      <c r="Q25982" s="1"/>
    </row>
    <row r="25987" spans="17:17" x14ac:dyDescent="0.35">
      <c r="Q25987" s="1"/>
    </row>
    <row r="25988" spans="17:17" x14ac:dyDescent="0.35">
      <c r="Q25988" s="1"/>
    </row>
    <row r="25989" spans="17:17" x14ac:dyDescent="0.35">
      <c r="Q25989" s="1"/>
    </row>
    <row r="25992" spans="17:17" x14ac:dyDescent="0.35">
      <c r="Q25992" s="1"/>
    </row>
    <row r="25993" spans="17:17" x14ac:dyDescent="0.35">
      <c r="Q25993" s="1"/>
    </row>
    <row r="25995" spans="17:17" x14ac:dyDescent="0.35">
      <c r="Q25995" s="1"/>
    </row>
    <row r="26000" spans="17:17" x14ac:dyDescent="0.35">
      <c r="Q26000" s="1"/>
    </row>
    <row r="26001" spans="17:17" x14ac:dyDescent="0.35">
      <c r="Q26001" s="1"/>
    </row>
    <row r="26003" spans="17:17" x14ac:dyDescent="0.35">
      <c r="Q26003" s="1"/>
    </row>
    <row r="26009" spans="17:17" x14ac:dyDescent="0.35">
      <c r="Q26009" s="1"/>
    </row>
    <row r="26012" spans="17:17" x14ac:dyDescent="0.35">
      <c r="Q26012" s="1"/>
    </row>
    <row r="26015" spans="17:17" x14ac:dyDescent="0.35">
      <c r="Q26015" s="1"/>
    </row>
    <row r="26018" spans="17:17" x14ac:dyDescent="0.35">
      <c r="Q26018" s="1"/>
    </row>
    <row r="26019" spans="17:17" x14ac:dyDescent="0.35">
      <c r="Q26019" s="1"/>
    </row>
    <row r="26021" spans="17:17" x14ac:dyDescent="0.35">
      <c r="Q26021" s="1"/>
    </row>
    <row r="26025" spans="17:17" x14ac:dyDescent="0.35">
      <c r="Q26025" s="1"/>
    </row>
    <row r="26027" spans="17:17" x14ac:dyDescent="0.35">
      <c r="Q26027" s="1"/>
    </row>
    <row r="26038" spans="17:17" x14ac:dyDescent="0.35">
      <c r="Q26038" s="1"/>
    </row>
    <row r="26044" spans="17:17" x14ac:dyDescent="0.35">
      <c r="Q26044" s="1"/>
    </row>
    <row r="26045" spans="17:17" x14ac:dyDescent="0.35">
      <c r="Q26045" s="1"/>
    </row>
    <row r="26051" spans="17:17" x14ac:dyDescent="0.35">
      <c r="Q26051" s="1"/>
    </row>
    <row r="26052" spans="17:17" x14ac:dyDescent="0.35">
      <c r="Q26052" s="1"/>
    </row>
    <row r="26053" spans="17:17" x14ac:dyDescent="0.35">
      <c r="Q26053" s="1"/>
    </row>
    <row r="26062" spans="17:17" x14ac:dyDescent="0.35">
      <c r="Q26062" s="1"/>
    </row>
    <row r="26063" spans="17:17" x14ac:dyDescent="0.35">
      <c r="Q26063" s="1"/>
    </row>
    <row r="26066" spans="17:17" x14ac:dyDescent="0.35">
      <c r="Q26066" s="1"/>
    </row>
    <row r="26068" spans="17:17" x14ac:dyDescent="0.35">
      <c r="Q26068" s="1"/>
    </row>
    <row r="26082" spans="17:17" x14ac:dyDescent="0.35">
      <c r="Q26082" s="1"/>
    </row>
    <row r="26086" spans="17:17" x14ac:dyDescent="0.35">
      <c r="Q26086" s="1"/>
    </row>
    <row r="26097" spans="17:17" x14ac:dyDescent="0.35">
      <c r="Q26097" s="1"/>
    </row>
    <row r="26101" spans="17:17" x14ac:dyDescent="0.35">
      <c r="Q26101" s="1"/>
    </row>
    <row r="26105" spans="17:17" x14ac:dyDescent="0.35">
      <c r="Q26105" s="1"/>
    </row>
    <row r="26108" spans="17:17" x14ac:dyDescent="0.35">
      <c r="Q26108" s="1"/>
    </row>
    <row r="26110" spans="17:17" x14ac:dyDescent="0.35">
      <c r="Q26110" s="1"/>
    </row>
    <row r="26114" spans="17:17" x14ac:dyDescent="0.35">
      <c r="Q26114" s="1"/>
    </row>
    <row r="26115" spans="17:17" x14ac:dyDescent="0.35">
      <c r="Q26115" s="1"/>
    </row>
    <row r="26128" spans="17:17" x14ac:dyDescent="0.35">
      <c r="Q26128" s="1"/>
    </row>
    <row r="26130" spans="17:17" x14ac:dyDescent="0.35">
      <c r="Q26130" s="1"/>
    </row>
    <row r="26131" spans="17:17" x14ac:dyDescent="0.35">
      <c r="Q26131" s="1"/>
    </row>
    <row r="26138" spans="17:17" x14ac:dyDescent="0.35">
      <c r="Q26138" s="1"/>
    </row>
    <row r="26139" spans="17:17" x14ac:dyDescent="0.35">
      <c r="Q26139" s="1"/>
    </row>
    <row r="26145" spans="17:17" x14ac:dyDescent="0.35">
      <c r="Q26145" s="1"/>
    </row>
    <row r="26152" spans="17:17" x14ac:dyDescent="0.35">
      <c r="Q26152" s="1"/>
    </row>
    <row r="26153" spans="17:17" x14ac:dyDescent="0.35">
      <c r="Q26153" s="1"/>
    </row>
    <row r="26155" spans="17:17" x14ac:dyDescent="0.35">
      <c r="Q26155" s="1"/>
    </row>
    <row r="26168" spans="17:17" x14ac:dyDescent="0.35">
      <c r="Q26168" s="1"/>
    </row>
    <row r="26169" spans="17:17" x14ac:dyDescent="0.35">
      <c r="Q26169" s="1"/>
    </row>
    <row r="26173" spans="17:17" x14ac:dyDescent="0.35">
      <c r="Q26173" s="1"/>
    </row>
    <row r="26179" spans="17:17" x14ac:dyDescent="0.35">
      <c r="Q26179" s="1"/>
    </row>
    <row r="26182" spans="17:17" x14ac:dyDescent="0.35">
      <c r="Q26182" s="1"/>
    </row>
    <row r="26186" spans="17:17" x14ac:dyDescent="0.35">
      <c r="Q26186" s="1"/>
    </row>
    <row r="26202" spans="17:17" x14ac:dyDescent="0.35">
      <c r="Q26202" s="1"/>
    </row>
    <row r="26205" spans="17:17" x14ac:dyDescent="0.35">
      <c r="Q26205" s="1"/>
    </row>
    <row r="26208" spans="17:17" x14ac:dyDescent="0.35">
      <c r="Q26208" s="1"/>
    </row>
    <row r="26210" spans="17:17" x14ac:dyDescent="0.35">
      <c r="Q26210" s="1"/>
    </row>
    <row r="26220" spans="17:17" x14ac:dyDescent="0.35">
      <c r="Q26220" s="1"/>
    </row>
    <row r="26223" spans="17:17" x14ac:dyDescent="0.35">
      <c r="Q26223" s="1"/>
    </row>
    <row r="26227" spans="17:17" x14ac:dyDescent="0.35">
      <c r="Q26227" s="1"/>
    </row>
    <row r="26228" spans="17:17" x14ac:dyDescent="0.35">
      <c r="Q26228" s="1"/>
    </row>
    <row r="26233" spans="17:17" x14ac:dyDescent="0.35">
      <c r="Q26233" s="1"/>
    </row>
    <row r="26235" spans="17:17" x14ac:dyDescent="0.35">
      <c r="Q26235" s="1"/>
    </row>
    <row r="26249" spans="16:17" x14ac:dyDescent="0.35">
      <c r="Q26249" s="1"/>
    </row>
    <row r="26251" spans="16:17" x14ac:dyDescent="0.35">
      <c r="P26251" s="1"/>
    </row>
    <row r="26258" spans="17:17" x14ac:dyDescent="0.35">
      <c r="Q26258" s="1"/>
    </row>
    <row r="26264" spans="17:17" x14ac:dyDescent="0.35">
      <c r="Q26264" s="1"/>
    </row>
    <row r="26266" spans="17:17" x14ac:dyDescent="0.35">
      <c r="Q26266" s="1"/>
    </row>
    <row r="26276" spans="17:17" x14ac:dyDescent="0.35">
      <c r="Q26276" s="1"/>
    </row>
    <row r="26277" spans="17:17" x14ac:dyDescent="0.35">
      <c r="Q26277" s="1"/>
    </row>
    <row r="26281" spans="17:17" x14ac:dyDescent="0.35">
      <c r="Q26281" s="1"/>
    </row>
    <row r="26286" spans="17:17" x14ac:dyDescent="0.35">
      <c r="Q26286" s="1"/>
    </row>
    <row r="26298" spans="17:17" x14ac:dyDescent="0.35">
      <c r="Q26298" s="1"/>
    </row>
    <row r="26303" spans="17:17" x14ac:dyDescent="0.35">
      <c r="Q26303" s="1"/>
    </row>
    <row r="26306" spans="17:17" x14ac:dyDescent="0.35">
      <c r="Q26306" s="1"/>
    </row>
    <row r="26313" spans="17:17" x14ac:dyDescent="0.35">
      <c r="Q26313" s="1"/>
    </row>
    <row r="26327" spans="17:17" x14ac:dyDescent="0.35">
      <c r="Q26327" s="1"/>
    </row>
    <row r="26341" spans="17:17" x14ac:dyDescent="0.35">
      <c r="Q26341" s="1"/>
    </row>
    <row r="26345" spans="17:17" x14ac:dyDescent="0.35">
      <c r="Q26345" s="1"/>
    </row>
    <row r="26350" spans="17:17" x14ac:dyDescent="0.35">
      <c r="Q26350" s="1"/>
    </row>
    <row r="26356" spans="17:17" x14ac:dyDescent="0.35">
      <c r="Q26356" s="1"/>
    </row>
    <row r="26362" spans="17:17" x14ac:dyDescent="0.35">
      <c r="Q26362" s="1"/>
    </row>
    <row r="26370" spans="17:17" x14ac:dyDescent="0.35">
      <c r="Q26370" s="1"/>
    </row>
    <row r="26372" spans="17:17" x14ac:dyDescent="0.35">
      <c r="Q26372" s="1"/>
    </row>
    <row r="26396" spans="17:17" x14ac:dyDescent="0.35">
      <c r="Q26396" s="1"/>
    </row>
    <row r="26403" spans="17:17" x14ac:dyDescent="0.35">
      <c r="Q26403" s="1"/>
    </row>
    <row r="26420" spans="17:17" x14ac:dyDescent="0.35">
      <c r="Q26420" s="1"/>
    </row>
    <row r="26428" spans="17:17" x14ac:dyDescent="0.35">
      <c r="Q26428" s="1"/>
    </row>
    <row r="26433" spans="17:17" x14ac:dyDescent="0.35">
      <c r="Q26433" s="1"/>
    </row>
    <row r="26447" spans="17:17" x14ac:dyDescent="0.35">
      <c r="Q26447" s="1"/>
    </row>
    <row r="26454" spans="17:17" x14ac:dyDescent="0.35">
      <c r="Q26454" s="1"/>
    </row>
    <row r="26456" spans="17:17" x14ac:dyDescent="0.35">
      <c r="Q26456" s="1"/>
    </row>
    <row r="26469" spans="17:17" x14ac:dyDescent="0.35">
      <c r="Q26469" s="1"/>
    </row>
    <row r="26473" spans="17:17" x14ac:dyDescent="0.35">
      <c r="Q26473" s="1"/>
    </row>
    <row r="26476" spans="17:17" x14ac:dyDescent="0.35">
      <c r="Q26476" s="1"/>
    </row>
    <row r="26480" spans="17:17" x14ac:dyDescent="0.35">
      <c r="Q26480" s="1"/>
    </row>
    <row r="26488" spans="17:17" x14ac:dyDescent="0.35">
      <c r="Q26488" s="1"/>
    </row>
    <row r="26501" spans="17:17" x14ac:dyDescent="0.35">
      <c r="Q26501" s="1"/>
    </row>
    <row r="26522" spans="17:17" x14ac:dyDescent="0.35">
      <c r="Q26522" s="1"/>
    </row>
    <row r="26523" spans="17:17" x14ac:dyDescent="0.35">
      <c r="Q26523" s="1"/>
    </row>
    <row r="26529" spans="17:17" x14ac:dyDescent="0.35">
      <c r="Q26529" s="1"/>
    </row>
    <row r="26530" spans="17:17" x14ac:dyDescent="0.35">
      <c r="Q26530" s="1"/>
    </row>
    <row r="26533" spans="17:17" x14ac:dyDescent="0.35">
      <c r="Q26533" s="1"/>
    </row>
    <row r="26534" spans="17:17" x14ac:dyDescent="0.35">
      <c r="Q26534" s="1"/>
    </row>
    <row r="26535" spans="17:17" x14ac:dyDescent="0.35">
      <c r="Q26535" s="1"/>
    </row>
    <row r="26543" spans="17:17" x14ac:dyDescent="0.35">
      <c r="Q26543" s="1"/>
    </row>
    <row r="26571" spans="17:17" x14ac:dyDescent="0.35">
      <c r="Q26571" s="1"/>
    </row>
    <row r="26577" spans="17:17" x14ac:dyDescent="0.35">
      <c r="Q26577" s="1"/>
    </row>
    <row r="26584" spans="17:17" x14ac:dyDescent="0.35">
      <c r="Q26584" s="1"/>
    </row>
    <row r="26591" spans="17:17" x14ac:dyDescent="0.35">
      <c r="Q26591" s="1"/>
    </row>
    <row r="26602" spans="17:17" x14ac:dyDescent="0.35">
      <c r="Q26602" s="1"/>
    </row>
    <row r="26614" spans="17:17" x14ac:dyDescent="0.35">
      <c r="Q26614" s="1"/>
    </row>
    <row r="26620" spans="17:17" x14ac:dyDescent="0.35">
      <c r="Q26620" s="1"/>
    </row>
    <row r="26664" spans="17:17" x14ac:dyDescent="0.35">
      <c r="Q26664" s="1"/>
    </row>
    <row r="26680" spans="17:17" x14ac:dyDescent="0.35">
      <c r="Q26680" s="1"/>
    </row>
    <row r="26686" spans="17:17" x14ac:dyDescent="0.35">
      <c r="Q26686" s="1"/>
    </row>
    <row r="26704" spans="17:17" x14ac:dyDescent="0.35">
      <c r="Q26704" s="1"/>
    </row>
    <row r="26712" spans="17:17" x14ac:dyDescent="0.35">
      <c r="Q26712" s="1"/>
    </row>
    <row r="26725" spans="17:17" x14ac:dyDescent="0.35">
      <c r="Q26725" s="1"/>
    </row>
    <row r="26742" spans="17:17" x14ac:dyDescent="0.35">
      <c r="Q26742" s="1"/>
    </row>
    <row r="26743" spans="17:17" x14ac:dyDescent="0.35">
      <c r="Q26743" s="1"/>
    </row>
    <row r="26780" spans="17:17" x14ac:dyDescent="0.35">
      <c r="Q26780" s="1"/>
    </row>
    <row r="26782" spans="17:17" x14ac:dyDescent="0.35">
      <c r="Q26782" s="1"/>
    </row>
    <row r="26784" spans="17:17" x14ac:dyDescent="0.35">
      <c r="Q26784" s="1"/>
    </row>
    <row r="26794" spans="17:17" x14ac:dyDescent="0.35">
      <c r="Q26794" s="1"/>
    </row>
    <row r="26806" spans="17:17" x14ac:dyDescent="0.35">
      <c r="Q26806" s="1"/>
    </row>
    <row r="26825" spans="17:17" x14ac:dyDescent="0.35">
      <c r="Q26825" s="1"/>
    </row>
    <row r="26828" spans="17:17" x14ac:dyDescent="0.35">
      <c r="Q26828" s="1"/>
    </row>
    <row r="26831" spans="17:17" x14ac:dyDescent="0.35">
      <c r="Q26831" s="1"/>
    </row>
    <row r="26849" spans="17:17" x14ac:dyDescent="0.35">
      <c r="Q26849" s="1"/>
    </row>
    <row r="26855" spans="17:17" x14ac:dyDescent="0.35">
      <c r="Q26855" s="1"/>
    </row>
    <row r="26860" spans="17:17" x14ac:dyDescent="0.35">
      <c r="Q26860" s="1"/>
    </row>
    <row r="26861" spans="17:17" x14ac:dyDescent="0.35">
      <c r="Q26861" s="1"/>
    </row>
    <row r="26870" spans="17:17" x14ac:dyDescent="0.35">
      <c r="Q26870" s="1"/>
    </row>
    <row r="26877" spans="17:17" x14ac:dyDescent="0.35">
      <c r="Q26877" s="1"/>
    </row>
    <row r="26890" spans="17:17" x14ac:dyDescent="0.35">
      <c r="Q26890" s="1"/>
    </row>
    <row r="26922" spans="17:17" x14ac:dyDescent="0.35">
      <c r="Q26922" s="1"/>
    </row>
    <row r="26938" spans="17:17" x14ac:dyDescent="0.35">
      <c r="Q26938" s="1"/>
    </row>
    <row r="26940" spans="17:17" x14ac:dyDescent="0.35">
      <c r="Q26940" s="1"/>
    </row>
    <row r="26945" spans="17:17" x14ac:dyDescent="0.35">
      <c r="Q26945" s="1"/>
    </row>
    <row r="26961" spans="17:17" x14ac:dyDescent="0.35">
      <c r="Q26961" s="1"/>
    </row>
    <row r="26985" spans="17:17" x14ac:dyDescent="0.35">
      <c r="Q26985" s="1"/>
    </row>
    <row r="26989" spans="17:17" x14ac:dyDescent="0.35">
      <c r="Q26989" s="1"/>
    </row>
    <row r="26992" spans="17:17" x14ac:dyDescent="0.35">
      <c r="Q26992" s="1"/>
    </row>
    <row r="26995" spans="17:17" x14ac:dyDescent="0.35">
      <c r="Q26995" s="1"/>
    </row>
    <row r="26996" spans="17:17" x14ac:dyDescent="0.35">
      <c r="Q26996" s="1"/>
    </row>
    <row r="27013" spans="16:17" x14ac:dyDescent="0.35">
      <c r="P27013" s="1"/>
    </row>
    <row r="27023" spans="16:17" x14ac:dyDescent="0.35">
      <c r="Q27023" s="1"/>
    </row>
    <row r="27028" spans="16:16" x14ac:dyDescent="0.35">
      <c r="P27028" s="1"/>
    </row>
    <row r="27029" spans="16:16" x14ac:dyDescent="0.35">
      <c r="P27029" s="1"/>
    </row>
    <row r="27032" spans="16:16" x14ac:dyDescent="0.35">
      <c r="P27032" s="1"/>
    </row>
    <row r="27048" spans="16:17" x14ac:dyDescent="0.35">
      <c r="Q27048" s="1"/>
    </row>
    <row r="27049" spans="16:17" x14ac:dyDescent="0.35">
      <c r="Q27049" s="1"/>
    </row>
    <row r="27050" spans="16:17" x14ac:dyDescent="0.35">
      <c r="Q27050" s="1"/>
    </row>
    <row r="27056" spans="16:17" x14ac:dyDescent="0.35">
      <c r="P27056" s="1"/>
    </row>
    <row r="27057" spans="16:17" x14ac:dyDescent="0.35">
      <c r="P27057" s="1"/>
    </row>
    <row r="27066" spans="16:17" x14ac:dyDescent="0.35">
      <c r="Q27066" s="1"/>
    </row>
    <row r="27068" spans="16:17" x14ac:dyDescent="0.35">
      <c r="Q27068" s="1"/>
    </row>
    <row r="27070" spans="16:17" x14ac:dyDescent="0.35">
      <c r="P27070" s="1"/>
    </row>
    <row r="27072" spans="16:17" x14ac:dyDescent="0.35">
      <c r="Q27072" s="1"/>
    </row>
    <row r="27074" spans="16:17" x14ac:dyDescent="0.35">
      <c r="P27074" s="1"/>
    </row>
    <row r="27082" spans="16:17" x14ac:dyDescent="0.35">
      <c r="P27082" s="1"/>
    </row>
    <row r="27087" spans="16:17" x14ac:dyDescent="0.35">
      <c r="Q27087" s="1"/>
    </row>
    <row r="27096" spans="16:17" x14ac:dyDescent="0.35">
      <c r="Q27096" s="1"/>
    </row>
    <row r="27098" spans="16:17" x14ac:dyDescent="0.35">
      <c r="Q27098" s="1"/>
    </row>
    <row r="27099" spans="16:17" x14ac:dyDescent="0.35">
      <c r="Q27099" s="1"/>
    </row>
    <row r="27103" spans="16:17" x14ac:dyDescent="0.35">
      <c r="P27103" s="1"/>
    </row>
    <row r="27110" spans="17:17" x14ac:dyDescent="0.35">
      <c r="Q27110" s="1"/>
    </row>
    <row r="27128" spans="17:17" x14ac:dyDescent="0.35">
      <c r="Q27128" s="1"/>
    </row>
    <row r="27135" spans="17:17" x14ac:dyDescent="0.35">
      <c r="Q27135" s="1"/>
    </row>
    <row r="27162" spans="17:17" x14ac:dyDescent="0.35">
      <c r="Q27162" s="1"/>
    </row>
    <row r="27163" spans="17:17" x14ac:dyDescent="0.35">
      <c r="Q27163" s="1"/>
    </row>
    <row r="27174" spans="16:17" x14ac:dyDescent="0.35">
      <c r="Q27174" s="1"/>
    </row>
    <row r="27180" spans="16:17" x14ac:dyDescent="0.35">
      <c r="P27180" s="1"/>
    </row>
    <row r="27206" spans="16:17" x14ac:dyDescent="0.35">
      <c r="P27206" s="1"/>
    </row>
    <row r="27209" spans="16:17" x14ac:dyDescent="0.35">
      <c r="Q27209" s="1"/>
    </row>
    <row r="27211" spans="16:17" x14ac:dyDescent="0.35">
      <c r="Q27211" s="1"/>
    </row>
    <row r="27214" spans="16:17" x14ac:dyDescent="0.35">
      <c r="P27214" s="1"/>
    </row>
    <row r="27218" spans="16:17" x14ac:dyDescent="0.35">
      <c r="Q27218" s="1"/>
    </row>
    <row r="27219" spans="16:17" x14ac:dyDescent="0.35">
      <c r="Q27219" s="1"/>
    </row>
    <row r="27225" spans="16:17" x14ac:dyDescent="0.35">
      <c r="Q27225" s="1"/>
    </row>
    <row r="27226" spans="16:17" x14ac:dyDescent="0.35">
      <c r="P27226" s="1"/>
    </row>
    <row r="27228" spans="16:17" x14ac:dyDescent="0.35">
      <c r="Q27228" s="1"/>
    </row>
    <row r="27230" spans="16:17" x14ac:dyDescent="0.35">
      <c r="P27230" s="1"/>
    </row>
    <row r="27234" spans="16:17" x14ac:dyDescent="0.35">
      <c r="Q27234" s="1"/>
    </row>
    <row r="27244" spans="16:17" x14ac:dyDescent="0.35">
      <c r="P27244" s="1"/>
    </row>
    <row r="27255" spans="16:17" x14ac:dyDescent="0.35">
      <c r="P27255" s="1"/>
    </row>
    <row r="27257" spans="16:17" x14ac:dyDescent="0.35">
      <c r="Q27257" s="1"/>
    </row>
    <row r="27262" spans="16:17" x14ac:dyDescent="0.35">
      <c r="P27262" s="1"/>
    </row>
    <row r="27274" spans="16:16" x14ac:dyDescent="0.35">
      <c r="P27274" s="1"/>
    </row>
    <row r="27279" spans="16:16" x14ac:dyDescent="0.35">
      <c r="P27279" s="1"/>
    </row>
    <row r="27284" spans="16:17" x14ac:dyDescent="0.35">
      <c r="P27284" s="1"/>
    </row>
    <row r="27292" spans="16:17" x14ac:dyDescent="0.35">
      <c r="Q27292" s="1"/>
    </row>
    <row r="27307" spans="17:17" x14ac:dyDescent="0.35">
      <c r="Q27307" s="1"/>
    </row>
    <row r="27313" spans="16:17" x14ac:dyDescent="0.35">
      <c r="Q27313" s="1"/>
    </row>
    <row r="27324" spans="16:17" x14ac:dyDescent="0.35">
      <c r="P27324" s="1"/>
    </row>
    <row r="27339" spans="17:17" x14ac:dyDescent="0.35">
      <c r="Q27339" s="1"/>
    </row>
    <row r="27345" spans="16:17" x14ac:dyDescent="0.35">
      <c r="Q27345" s="1"/>
    </row>
    <row r="27348" spans="16:17" x14ac:dyDescent="0.35">
      <c r="P27348" s="1"/>
    </row>
    <row r="27352" spans="16:17" x14ac:dyDescent="0.35">
      <c r="Q27352" s="1"/>
    </row>
    <row r="27357" spans="16:17" x14ac:dyDescent="0.35">
      <c r="P27357" s="1"/>
    </row>
    <row r="27365" spans="16:17" x14ac:dyDescent="0.35">
      <c r="P27365" s="1"/>
    </row>
    <row r="27368" spans="16:17" x14ac:dyDescent="0.35">
      <c r="Q27368" s="1"/>
    </row>
    <row r="27369" spans="16:17" x14ac:dyDescent="0.35">
      <c r="P27369" s="1"/>
    </row>
    <row r="27371" spans="16:17" x14ac:dyDescent="0.35">
      <c r="P27371" s="1"/>
    </row>
    <row r="27372" spans="16:17" x14ac:dyDescent="0.35">
      <c r="P27372" s="1"/>
    </row>
    <row r="27378" spans="16:16" x14ac:dyDescent="0.35">
      <c r="P27378" s="1"/>
    </row>
    <row r="27385" spans="16:16" x14ac:dyDescent="0.35">
      <c r="P27385" s="1"/>
    </row>
    <row r="27387" spans="16:16" x14ac:dyDescent="0.35">
      <c r="P27387" s="1"/>
    </row>
    <row r="27395" spans="16:17" x14ac:dyDescent="0.35">
      <c r="Q27395" s="1"/>
    </row>
    <row r="27396" spans="16:17" x14ac:dyDescent="0.35">
      <c r="Q27396" s="1"/>
    </row>
    <row r="27397" spans="16:17" x14ac:dyDescent="0.35">
      <c r="Q27397" s="1"/>
    </row>
    <row r="27399" spans="16:17" x14ac:dyDescent="0.35">
      <c r="P27399" s="1"/>
    </row>
    <row r="27402" spans="16:17" x14ac:dyDescent="0.35">
      <c r="Q27402" s="1"/>
    </row>
    <row r="27418" spans="16:16" x14ac:dyDescent="0.35">
      <c r="P27418" s="1"/>
    </row>
    <row r="27428" spans="16:17" x14ac:dyDescent="0.35">
      <c r="P27428" s="1"/>
    </row>
    <row r="27429" spans="16:17" x14ac:dyDescent="0.35">
      <c r="Q27429" s="1"/>
    </row>
    <row r="27433" spans="16:17" x14ac:dyDescent="0.35">
      <c r="Q27433" s="1"/>
    </row>
    <row r="27434" spans="16:17" x14ac:dyDescent="0.35">
      <c r="P27434" s="1"/>
    </row>
    <row r="27436" spans="16:17" x14ac:dyDescent="0.35">
      <c r="P27436" s="1"/>
    </row>
    <row r="27439" spans="16:17" x14ac:dyDescent="0.35">
      <c r="Q27439" s="1"/>
    </row>
    <row r="27447" spans="16:17" x14ac:dyDescent="0.35">
      <c r="P27447" s="1"/>
    </row>
    <row r="27449" spans="16:17" x14ac:dyDescent="0.35">
      <c r="P27449" s="1"/>
    </row>
    <row r="27454" spans="16:17" x14ac:dyDescent="0.35">
      <c r="Q27454" s="1"/>
    </row>
    <row r="27488" spans="16:16" x14ac:dyDescent="0.35">
      <c r="P27488" s="1"/>
    </row>
    <row r="27492" spans="16:17" x14ac:dyDescent="0.35">
      <c r="Q27492" s="1"/>
    </row>
    <row r="27494" spans="16:17" x14ac:dyDescent="0.35">
      <c r="P27494" s="1"/>
    </row>
    <row r="27497" spans="16:17" x14ac:dyDescent="0.35">
      <c r="P27497" s="1"/>
    </row>
    <row r="27499" spans="16:17" x14ac:dyDescent="0.35">
      <c r="Q27499" s="1"/>
    </row>
    <row r="27502" spans="16:17" x14ac:dyDescent="0.35">
      <c r="P27502" s="1"/>
    </row>
    <row r="27526" spans="17:17" x14ac:dyDescent="0.35">
      <c r="Q27526" s="1"/>
    </row>
    <row r="27540" spans="16:16" x14ac:dyDescent="0.35">
      <c r="P27540" s="1"/>
    </row>
    <row r="27547" spans="16:16" x14ac:dyDescent="0.35">
      <c r="P27547" s="1"/>
    </row>
    <row r="27549" spans="16:16" x14ac:dyDescent="0.35">
      <c r="P27549" s="1"/>
    </row>
    <row r="27557" spans="16:16" x14ac:dyDescent="0.35">
      <c r="P27557" s="1"/>
    </row>
    <row r="27566" spans="16:16" x14ac:dyDescent="0.35">
      <c r="P27566" s="1"/>
    </row>
    <row r="27574" spans="16:16" x14ac:dyDescent="0.35">
      <c r="P27574" s="1"/>
    </row>
    <row r="27580" spans="16:16" x14ac:dyDescent="0.35">
      <c r="P27580" s="1"/>
    </row>
    <row r="27582" spans="16:16" x14ac:dyDescent="0.35">
      <c r="P27582" s="1"/>
    </row>
    <row r="27595" spans="16:16" x14ac:dyDescent="0.35">
      <c r="P27595" s="1"/>
    </row>
    <row r="27596" spans="16:16" x14ac:dyDescent="0.35">
      <c r="P27596" s="1"/>
    </row>
    <row r="27602" spans="16:17" x14ac:dyDescent="0.35">
      <c r="P27602" s="1"/>
    </row>
    <row r="27605" spans="16:17" x14ac:dyDescent="0.35">
      <c r="Q27605" s="1"/>
    </row>
    <row r="27611" spans="16:17" x14ac:dyDescent="0.35">
      <c r="P27611" s="1"/>
    </row>
    <row r="27613" spans="16:17" x14ac:dyDescent="0.35">
      <c r="P27613" s="1"/>
    </row>
    <row r="27616" spans="16:17" x14ac:dyDescent="0.35">
      <c r="Q27616" s="1"/>
    </row>
    <row r="27625" spans="17:17" x14ac:dyDescent="0.35">
      <c r="Q27625" s="1"/>
    </row>
    <row r="27638" spans="16:17" x14ac:dyDescent="0.35">
      <c r="Q27638" s="1"/>
    </row>
    <row r="27641" spans="16:17" x14ac:dyDescent="0.35">
      <c r="P27641" s="1"/>
    </row>
    <row r="27645" spans="16:17" x14ac:dyDescent="0.35">
      <c r="Q27645" s="1"/>
    </row>
    <row r="27661" spans="16:16" x14ac:dyDescent="0.35">
      <c r="P27661" s="1"/>
    </row>
    <row r="27695" spans="16:16" x14ac:dyDescent="0.35">
      <c r="P27695" s="1"/>
    </row>
    <row r="27698" spans="16:17" x14ac:dyDescent="0.35">
      <c r="P27698" s="1"/>
    </row>
    <row r="27699" spans="16:17" x14ac:dyDescent="0.35">
      <c r="P27699" s="1"/>
    </row>
    <row r="27701" spans="16:17" x14ac:dyDescent="0.35">
      <c r="Q27701" s="1"/>
    </row>
    <row r="27707" spans="16:17" x14ac:dyDescent="0.35">
      <c r="Q27707" s="1"/>
    </row>
    <row r="27710" spans="16:17" x14ac:dyDescent="0.35">
      <c r="Q27710" s="1"/>
    </row>
    <row r="27712" spans="16:17" x14ac:dyDescent="0.35">
      <c r="P27712" s="1"/>
    </row>
    <row r="27729" spans="16:17" x14ac:dyDescent="0.35">
      <c r="P27729" s="1"/>
    </row>
    <row r="27732" spans="16:17" x14ac:dyDescent="0.35">
      <c r="Q27732" s="1"/>
    </row>
    <row r="27735" spans="16:17" x14ac:dyDescent="0.35">
      <c r="P27735" s="1"/>
    </row>
    <row r="27742" spans="16:17" x14ac:dyDescent="0.35">
      <c r="Q27742" s="1"/>
    </row>
    <row r="27745" spans="16:17" x14ac:dyDescent="0.35">
      <c r="P27745" s="1"/>
    </row>
    <row r="27746" spans="16:17" x14ac:dyDescent="0.35">
      <c r="P27746" s="1"/>
    </row>
    <row r="27749" spans="16:17" x14ac:dyDescent="0.35">
      <c r="Q27749" s="1"/>
    </row>
    <row r="27753" spans="16:17" x14ac:dyDescent="0.35">
      <c r="Q27753" s="1"/>
    </row>
    <row r="27763" spans="16:16" x14ac:dyDescent="0.35">
      <c r="P27763" s="1"/>
    </row>
    <row r="27769" spans="16:16" x14ac:dyDescent="0.35">
      <c r="P27769" s="1"/>
    </row>
    <row r="27786" spans="16:17" x14ac:dyDescent="0.35">
      <c r="Q27786" s="1"/>
    </row>
    <row r="27787" spans="16:17" x14ac:dyDescent="0.35">
      <c r="P27787" s="1"/>
    </row>
    <row r="27791" spans="16:17" x14ac:dyDescent="0.35">
      <c r="Q27791" s="1"/>
    </row>
    <row r="27799" spans="16:17" x14ac:dyDescent="0.35">
      <c r="Q27799" s="1"/>
    </row>
    <row r="27800" spans="16:17" x14ac:dyDescent="0.35">
      <c r="P27800" s="1"/>
    </row>
    <row r="27823" spans="16:16" x14ac:dyDescent="0.35">
      <c r="P27823" s="1"/>
    </row>
    <row r="27837" spans="16:16" x14ac:dyDescent="0.35">
      <c r="P27837" s="1"/>
    </row>
    <row r="27848" spans="16:17" x14ac:dyDescent="0.35">
      <c r="Q27848" s="1"/>
    </row>
    <row r="27850" spans="16:17" x14ac:dyDescent="0.35">
      <c r="Q27850" s="1"/>
    </row>
    <row r="27854" spans="16:17" x14ac:dyDescent="0.35">
      <c r="P27854" s="1"/>
    </row>
    <row r="27855" spans="16:17" x14ac:dyDescent="0.35">
      <c r="Q27855" s="1"/>
    </row>
    <row r="27857" spans="16:17" x14ac:dyDescent="0.35">
      <c r="Q27857" s="1"/>
    </row>
    <row r="27865" spans="16:17" x14ac:dyDescent="0.35">
      <c r="Q27865" s="1"/>
    </row>
    <row r="27867" spans="16:17" x14ac:dyDescent="0.35">
      <c r="P27867" s="1"/>
    </row>
    <row r="27876" spans="16:16" x14ac:dyDescent="0.35">
      <c r="P27876" s="1"/>
    </row>
    <row r="27877" spans="16:16" x14ac:dyDescent="0.35">
      <c r="P27877" s="1"/>
    </row>
    <row r="27889" spans="16:16" x14ac:dyDescent="0.35">
      <c r="P27889" s="1"/>
    </row>
    <row r="27936" spans="17:17" x14ac:dyDescent="0.35">
      <c r="Q27936" s="1"/>
    </row>
    <row r="27942" spans="16:17" x14ac:dyDescent="0.35">
      <c r="P27942" s="1"/>
    </row>
    <row r="27945" spans="16:17" x14ac:dyDescent="0.35">
      <c r="P27945" s="1"/>
    </row>
    <row r="27948" spans="16:17" x14ac:dyDescent="0.35">
      <c r="Q27948" s="1"/>
    </row>
    <row r="27957" spans="17:17" x14ac:dyDescent="0.35">
      <c r="Q27957" s="1"/>
    </row>
    <row r="27969" spans="16:16" x14ac:dyDescent="0.35">
      <c r="P27969" s="1"/>
    </row>
    <row r="27976" spans="16:16" x14ac:dyDescent="0.35">
      <c r="P27976" s="1"/>
    </row>
    <row r="27978" spans="16:16" x14ac:dyDescent="0.35">
      <c r="P27978" s="1"/>
    </row>
    <row r="27979" spans="16:16" x14ac:dyDescent="0.35">
      <c r="P27979" s="1"/>
    </row>
    <row r="27990" spans="17:17" x14ac:dyDescent="0.35">
      <c r="Q27990" s="1"/>
    </row>
    <row r="28002" spans="16:17" x14ac:dyDescent="0.35">
      <c r="Q28002" s="1"/>
    </row>
    <row r="28008" spans="16:17" x14ac:dyDescent="0.35">
      <c r="Q28008" s="1"/>
    </row>
    <row r="28010" spans="16:17" x14ac:dyDescent="0.35">
      <c r="Q28010" s="1"/>
    </row>
    <row r="28013" spans="16:17" x14ac:dyDescent="0.35">
      <c r="P28013" s="1"/>
    </row>
    <row r="28014" spans="16:17" x14ac:dyDescent="0.35">
      <c r="Q28014" s="1"/>
    </row>
    <row r="28025" spans="17:17" x14ac:dyDescent="0.35">
      <c r="Q28025" s="1"/>
    </row>
    <row r="28026" spans="17:17" x14ac:dyDescent="0.35">
      <c r="Q28026" s="1"/>
    </row>
    <row r="28028" spans="17:17" x14ac:dyDescent="0.35">
      <c r="Q28028" s="1"/>
    </row>
    <row r="28033" spans="17:17" x14ac:dyDescent="0.35">
      <c r="Q28033" s="1"/>
    </row>
    <row r="28036" spans="17:17" x14ac:dyDescent="0.35">
      <c r="Q28036" s="1"/>
    </row>
    <row r="28037" spans="17:17" x14ac:dyDescent="0.35">
      <c r="Q28037" s="1"/>
    </row>
    <row r="28042" spans="17:17" x14ac:dyDescent="0.35">
      <c r="Q28042" s="1"/>
    </row>
    <row r="28043" spans="17:17" x14ac:dyDescent="0.35">
      <c r="Q28043" s="1"/>
    </row>
    <row r="28044" spans="17:17" x14ac:dyDescent="0.35">
      <c r="Q28044" s="1"/>
    </row>
    <row r="28045" spans="17:17" x14ac:dyDescent="0.35">
      <c r="Q28045" s="1"/>
    </row>
    <row r="28046" spans="17:17" x14ac:dyDescent="0.35">
      <c r="Q28046" s="1"/>
    </row>
    <row r="28048" spans="17:17" x14ac:dyDescent="0.35">
      <c r="Q28048" s="1"/>
    </row>
    <row r="28050" spans="16:17" x14ac:dyDescent="0.35">
      <c r="Q28050" s="1"/>
    </row>
    <row r="28051" spans="16:17" x14ac:dyDescent="0.35">
      <c r="Q28051" s="1"/>
    </row>
    <row r="28052" spans="16:17" x14ac:dyDescent="0.35">
      <c r="P28052" s="1"/>
    </row>
    <row r="28060" spans="16:17" x14ac:dyDescent="0.35">
      <c r="Q28060" s="1"/>
    </row>
    <row r="28063" spans="16:17" x14ac:dyDescent="0.35">
      <c r="Q28063" s="1"/>
    </row>
    <row r="28065" spans="16:17" x14ac:dyDescent="0.35">
      <c r="Q28065" s="1"/>
    </row>
    <row r="28074" spans="16:17" x14ac:dyDescent="0.35">
      <c r="P28074" s="1"/>
    </row>
    <row r="28079" spans="16:17" x14ac:dyDescent="0.35">
      <c r="Q28079" s="1"/>
    </row>
    <row r="28083" spans="17:17" x14ac:dyDescent="0.35">
      <c r="Q28083" s="1"/>
    </row>
    <row r="28084" spans="17:17" x14ac:dyDescent="0.35">
      <c r="Q28084" s="1"/>
    </row>
    <row r="28087" spans="17:17" x14ac:dyDescent="0.35">
      <c r="Q28087" s="1"/>
    </row>
    <row r="28089" spans="17:17" x14ac:dyDescent="0.35">
      <c r="Q28089" s="1"/>
    </row>
    <row r="28090" spans="17:17" x14ac:dyDescent="0.35">
      <c r="Q28090" s="1"/>
    </row>
    <row r="28095" spans="17:17" x14ac:dyDescent="0.35">
      <c r="Q28095" s="1"/>
    </row>
    <row r="28097" spans="17:17" x14ac:dyDescent="0.35">
      <c r="Q28097" s="1"/>
    </row>
    <row r="28102" spans="17:17" x14ac:dyDescent="0.35">
      <c r="Q28102" s="1"/>
    </row>
    <row r="28103" spans="17:17" x14ac:dyDescent="0.35">
      <c r="Q28103" s="1"/>
    </row>
    <row r="28104" spans="17:17" x14ac:dyDescent="0.35">
      <c r="Q28104" s="1"/>
    </row>
    <row r="28105" spans="17:17" x14ac:dyDescent="0.35">
      <c r="Q28105" s="1"/>
    </row>
    <row r="28111" spans="17:17" x14ac:dyDescent="0.35">
      <c r="Q28111" s="1"/>
    </row>
    <row r="28114" spans="17:17" x14ac:dyDescent="0.35">
      <c r="Q28114" s="1"/>
    </row>
    <row r="28115" spans="17:17" x14ac:dyDescent="0.35">
      <c r="Q28115" s="1"/>
    </row>
    <row r="28118" spans="17:17" x14ac:dyDescent="0.35">
      <c r="Q28118" s="1"/>
    </row>
    <row r="28121" spans="17:17" x14ac:dyDescent="0.35">
      <c r="Q28121" s="1"/>
    </row>
    <row r="28127" spans="17:17" x14ac:dyDescent="0.35">
      <c r="Q28127" s="1"/>
    </row>
    <row r="28129" spans="17:17" x14ac:dyDescent="0.35">
      <c r="Q28129" s="1"/>
    </row>
    <row r="28132" spans="17:17" x14ac:dyDescent="0.35">
      <c r="Q28132" s="1"/>
    </row>
    <row r="28137" spans="17:17" x14ac:dyDescent="0.35">
      <c r="Q28137" s="1"/>
    </row>
    <row r="28138" spans="17:17" x14ac:dyDescent="0.35">
      <c r="Q28138" s="1"/>
    </row>
    <row r="28141" spans="17:17" x14ac:dyDescent="0.35">
      <c r="Q28141" s="1"/>
    </row>
    <row r="28144" spans="17:17" x14ac:dyDescent="0.35">
      <c r="Q28144" s="1"/>
    </row>
    <row r="28152" spans="17:17" x14ac:dyDescent="0.35">
      <c r="Q28152" s="1"/>
    </row>
    <row r="28156" spans="17:17" x14ac:dyDescent="0.35">
      <c r="Q28156" s="1"/>
    </row>
    <row r="28158" spans="17:17" x14ac:dyDescent="0.35">
      <c r="Q28158" s="1"/>
    </row>
    <row r="28159" spans="17:17" x14ac:dyDescent="0.35">
      <c r="Q28159" s="1"/>
    </row>
    <row r="28164" spans="17:17" x14ac:dyDescent="0.35">
      <c r="Q28164" s="1"/>
    </row>
    <row r="28168" spans="17:17" x14ac:dyDescent="0.35">
      <c r="Q28168" s="1"/>
    </row>
    <row r="28170" spans="17:17" x14ac:dyDescent="0.35">
      <c r="Q28170" s="1"/>
    </row>
    <row r="28172" spans="17:17" x14ac:dyDescent="0.35">
      <c r="Q28172" s="1"/>
    </row>
    <row r="28175" spans="17:17" x14ac:dyDescent="0.35">
      <c r="Q28175" s="1"/>
    </row>
    <row r="28176" spans="17:17" x14ac:dyDescent="0.35">
      <c r="Q28176" s="1"/>
    </row>
    <row r="28178" spans="17:17" x14ac:dyDescent="0.35">
      <c r="Q28178" s="1"/>
    </row>
    <row r="28183" spans="17:17" x14ac:dyDescent="0.35">
      <c r="Q28183" s="1"/>
    </row>
    <row r="28184" spans="17:17" x14ac:dyDescent="0.35">
      <c r="Q28184" s="1"/>
    </row>
    <row r="28190" spans="17:17" x14ac:dyDescent="0.35">
      <c r="Q28190" s="1"/>
    </row>
    <row r="28215" spans="5:17" x14ac:dyDescent="0.35">
      <c r="Q28215" s="1"/>
    </row>
    <row r="28216" spans="5:17" x14ac:dyDescent="0.35">
      <c r="Q28216" s="1"/>
    </row>
    <row r="28217" spans="5:17" x14ac:dyDescent="0.35">
      <c r="Q28217" s="1"/>
    </row>
    <row r="28220" spans="5:17" x14ac:dyDescent="0.35">
      <c r="E28220" s="1"/>
    </row>
    <row r="28221" spans="5:17" x14ac:dyDescent="0.35">
      <c r="Q28221" s="1"/>
    </row>
    <row r="28222" spans="5:17" x14ac:dyDescent="0.35">
      <c r="Q28222" s="1"/>
    </row>
    <row r="28226" spans="17:17" x14ac:dyDescent="0.35">
      <c r="Q28226" s="1"/>
    </row>
    <row r="28227" spans="17:17" x14ac:dyDescent="0.35">
      <c r="Q28227" s="1"/>
    </row>
    <row r="28234" spans="17:17" x14ac:dyDescent="0.35">
      <c r="Q28234" s="1"/>
    </row>
    <row r="28238" spans="17:17" x14ac:dyDescent="0.35">
      <c r="Q28238" s="1"/>
    </row>
    <row r="28250" spans="17:17" x14ac:dyDescent="0.35">
      <c r="Q28250" s="1"/>
    </row>
    <row r="28253" spans="17:17" x14ac:dyDescent="0.35">
      <c r="Q28253" s="1"/>
    </row>
    <row r="28255" spans="17:17" x14ac:dyDescent="0.35">
      <c r="Q28255" s="1"/>
    </row>
    <row r="28256" spans="17:17" x14ac:dyDescent="0.35">
      <c r="Q28256" s="1"/>
    </row>
    <row r="28262" spans="17:17" x14ac:dyDescent="0.35">
      <c r="Q28262" s="1"/>
    </row>
    <row r="28263" spans="17:17" x14ac:dyDescent="0.35">
      <c r="Q28263" s="1"/>
    </row>
    <row r="28265" spans="17:17" x14ac:dyDescent="0.35">
      <c r="Q28265" s="1"/>
    </row>
    <row r="28266" spans="17:17" x14ac:dyDescent="0.35">
      <c r="Q28266" s="1"/>
    </row>
    <row r="28270" spans="17:17" x14ac:dyDescent="0.35">
      <c r="Q28270" s="1"/>
    </row>
    <row r="28272" spans="17:17" x14ac:dyDescent="0.35">
      <c r="Q28272" s="1"/>
    </row>
    <row r="28277" spans="17:17" x14ac:dyDescent="0.35">
      <c r="Q28277" s="1"/>
    </row>
    <row r="28278" spans="17:17" x14ac:dyDescent="0.35">
      <c r="Q28278" s="1"/>
    </row>
    <row r="28280" spans="17:17" x14ac:dyDescent="0.35">
      <c r="Q28280" s="1"/>
    </row>
    <row r="28283" spans="17:17" x14ac:dyDescent="0.35">
      <c r="Q28283" s="1"/>
    </row>
    <row r="28284" spans="17:17" x14ac:dyDescent="0.35">
      <c r="Q28284" s="1"/>
    </row>
    <row r="28288" spans="17:17" x14ac:dyDescent="0.35">
      <c r="Q28288" s="1"/>
    </row>
    <row r="28293" spans="17:17" x14ac:dyDescent="0.35">
      <c r="Q28293" s="1"/>
    </row>
    <row r="28301" spans="17:17" x14ac:dyDescent="0.35">
      <c r="Q28301" s="1"/>
    </row>
    <row r="28305" spans="17:17" x14ac:dyDescent="0.35">
      <c r="Q28305" s="1"/>
    </row>
    <row r="28308" spans="17:17" x14ac:dyDescent="0.35">
      <c r="Q28308" s="1"/>
    </row>
    <row r="28313" spans="17:17" x14ac:dyDescent="0.35">
      <c r="Q28313" s="1"/>
    </row>
    <row r="28314" spans="17:17" x14ac:dyDescent="0.35">
      <c r="Q28314" s="1"/>
    </row>
    <row r="28317" spans="17:17" x14ac:dyDescent="0.35">
      <c r="Q28317" s="1"/>
    </row>
    <row r="28320" spans="17:17" x14ac:dyDescent="0.35">
      <c r="Q28320" s="1"/>
    </row>
    <row r="28321" spans="17:17" x14ac:dyDescent="0.35">
      <c r="Q28321" s="1"/>
    </row>
    <row r="28331" spans="17:17" x14ac:dyDescent="0.35">
      <c r="Q28331" s="1"/>
    </row>
    <row r="28334" spans="17:17" x14ac:dyDescent="0.35">
      <c r="Q28334" s="1"/>
    </row>
    <row r="28338" spans="17:17" x14ac:dyDescent="0.35">
      <c r="Q28338" s="1"/>
    </row>
    <row r="28344" spans="17:17" x14ac:dyDescent="0.35">
      <c r="Q28344" s="1"/>
    </row>
    <row r="28352" spans="17:17" x14ac:dyDescent="0.35">
      <c r="Q28352" s="1"/>
    </row>
    <row r="28361" spans="17:17" x14ac:dyDescent="0.35">
      <c r="Q28361" s="1"/>
    </row>
    <row r="28377" spans="17:17" x14ac:dyDescent="0.35">
      <c r="Q28377" s="1"/>
    </row>
    <row r="28382" spans="17:17" x14ac:dyDescent="0.35">
      <c r="Q28382" s="1"/>
    </row>
    <row r="28384" spans="17:17" x14ac:dyDescent="0.35">
      <c r="Q28384" s="1"/>
    </row>
    <row r="28385" spans="17:17" x14ac:dyDescent="0.35">
      <c r="Q28385" s="1"/>
    </row>
    <row r="28387" spans="17:17" x14ac:dyDescent="0.35">
      <c r="Q28387" s="1"/>
    </row>
    <row r="28393" spans="17:17" x14ac:dyDescent="0.35">
      <c r="Q28393" s="1"/>
    </row>
    <row r="28396" spans="17:17" x14ac:dyDescent="0.35">
      <c r="Q28396" s="1"/>
    </row>
    <row r="28398" spans="17:17" x14ac:dyDescent="0.35">
      <c r="Q28398" s="1"/>
    </row>
    <row r="28399" spans="17:17" x14ac:dyDescent="0.35">
      <c r="Q28399" s="1"/>
    </row>
    <row r="28404" spans="17:17" x14ac:dyDescent="0.35">
      <c r="Q28404" s="1"/>
    </row>
    <row r="28414" spans="17:17" x14ac:dyDescent="0.35">
      <c r="Q28414" s="1"/>
    </row>
    <row r="28417" spans="17:17" x14ac:dyDescent="0.35">
      <c r="Q28417" s="1"/>
    </row>
    <row r="28423" spans="17:17" x14ac:dyDescent="0.35">
      <c r="Q28423" s="1"/>
    </row>
    <row r="28426" spans="17:17" x14ac:dyDescent="0.35">
      <c r="Q28426" s="1"/>
    </row>
    <row r="28429" spans="17:17" x14ac:dyDescent="0.35">
      <c r="Q28429" s="1"/>
    </row>
    <row r="28440" spans="17:17" x14ac:dyDescent="0.35">
      <c r="Q28440" s="1"/>
    </row>
    <row r="28443" spans="17:17" x14ac:dyDescent="0.35">
      <c r="Q28443" s="1"/>
    </row>
    <row r="28445" spans="17:17" x14ac:dyDescent="0.35">
      <c r="Q28445" s="1"/>
    </row>
    <row r="28453" spans="17:17" x14ac:dyDescent="0.35">
      <c r="Q28453" s="1"/>
    </row>
    <row r="28457" spans="17:17" x14ac:dyDescent="0.35">
      <c r="Q28457" s="1"/>
    </row>
    <row r="28459" spans="17:17" x14ac:dyDescent="0.35">
      <c r="Q28459" s="1"/>
    </row>
    <row r="28461" spans="17:17" x14ac:dyDescent="0.35">
      <c r="Q28461" s="1"/>
    </row>
    <row r="28470" spans="17:17" x14ac:dyDescent="0.35">
      <c r="Q28470" s="1"/>
    </row>
    <row r="28481" spans="17:17" x14ac:dyDescent="0.35">
      <c r="Q28481" s="1"/>
    </row>
    <row r="28483" spans="17:17" x14ac:dyDescent="0.35">
      <c r="Q28483" s="1"/>
    </row>
    <row r="28487" spans="17:17" x14ac:dyDescent="0.35">
      <c r="Q28487" s="1"/>
    </row>
    <row r="28496" spans="17:17" x14ac:dyDescent="0.35">
      <c r="Q28496" s="1"/>
    </row>
    <row r="28509" spans="17:17" x14ac:dyDescent="0.35">
      <c r="Q28509" s="1"/>
    </row>
    <row r="28511" spans="17:17" x14ac:dyDescent="0.35">
      <c r="Q28511" s="1"/>
    </row>
    <row r="28512" spans="17:17" x14ac:dyDescent="0.35">
      <c r="Q28512" s="1"/>
    </row>
    <row r="28523" spans="17:17" x14ac:dyDescent="0.35">
      <c r="Q28523" s="1"/>
    </row>
    <row r="28524" spans="17:17" x14ac:dyDescent="0.35">
      <c r="Q28524" s="1"/>
    </row>
    <row r="28527" spans="17:17" x14ac:dyDescent="0.35">
      <c r="Q28527" s="1"/>
    </row>
    <row r="28528" spans="17:17" x14ac:dyDescent="0.35">
      <c r="Q28528" s="1"/>
    </row>
    <row r="28530" spans="17:17" x14ac:dyDescent="0.35">
      <c r="Q28530" s="1"/>
    </row>
    <row r="28533" spans="17:17" x14ac:dyDescent="0.35">
      <c r="Q28533" s="1"/>
    </row>
    <row r="28534" spans="17:17" x14ac:dyDescent="0.35">
      <c r="Q28534" s="1"/>
    </row>
    <row r="28537" spans="17:17" x14ac:dyDescent="0.35">
      <c r="Q28537" s="1"/>
    </row>
    <row r="28538" spans="17:17" x14ac:dyDescent="0.35">
      <c r="Q28538" s="1"/>
    </row>
    <row r="28549" spans="17:17" x14ac:dyDescent="0.35">
      <c r="Q28549" s="1"/>
    </row>
    <row r="28550" spans="17:17" x14ac:dyDescent="0.35">
      <c r="Q28550" s="1"/>
    </row>
    <row r="28554" spans="17:17" x14ac:dyDescent="0.35">
      <c r="Q28554" s="1"/>
    </row>
    <row r="28555" spans="17:17" x14ac:dyDescent="0.35">
      <c r="Q28555" s="1"/>
    </row>
    <row r="28566" spans="16:17" x14ac:dyDescent="0.35">
      <c r="Q28566" s="1"/>
    </row>
    <row r="28570" spans="16:17" x14ac:dyDescent="0.35">
      <c r="Q28570" s="1"/>
    </row>
    <row r="28574" spans="16:17" x14ac:dyDescent="0.35">
      <c r="P28574" s="1"/>
    </row>
    <row r="28576" spans="16:17" x14ac:dyDescent="0.35">
      <c r="Q28576" s="1"/>
    </row>
    <row r="28577" spans="17:17" x14ac:dyDescent="0.35">
      <c r="Q28577" s="1"/>
    </row>
    <row r="28582" spans="17:17" x14ac:dyDescent="0.35">
      <c r="Q28582" s="1"/>
    </row>
    <row r="28587" spans="17:17" x14ac:dyDescent="0.35">
      <c r="Q28587" s="1"/>
    </row>
    <row r="28589" spans="17:17" x14ac:dyDescent="0.35">
      <c r="Q28589" s="1"/>
    </row>
    <row r="28596" spans="17:17" x14ac:dyDescent="0.35">
      <c r="Q28596" s="1"/>
    </row>
    <row r="28599" spans="17:17" x14ac:dyDescent="0.35">
      <c r="Q28599" s="1"/>
    </row>
    <row r="28600" spans="17:17" x14ac:dyDescent="0.35">
      <c r="Q28600" s="1"/>
    </row>
    <row r="28601" spans="17:17" x14ac:dyDescent="0.35">
      <c r="Q28601" s="1"/>
    </row>
    <row r="28602" spans="17:17" x14ac:dyDescent="0.35">
      <c r="Q28602" s="1"/>
    </row>
    <row r="28604" spans="17:17" x14ac:dyDescent="0.35">
      <c r="Q28604" s="1"/>
    </row>
    <row r="28605" spans="17:17" x14ac:dyDescent="0.35">
      <c r="Q28605" s="1"/>
    </row>
    <row r="28622" spans="17:17" x14ac:dyDescent="0.35">
      <c r="Q28622" s="1"/>
    </row>
    <row r="28634" spans="17:17" x14ac:dyDescent="0.35">
      <c r="Q28634" s="1"/>
    </row>
    <row r="28639" spans="17:17" x14ac:dyDescent="0.35">
      <c r="Q28639" s="1"/>
    </row>
    <row r="28640" spans="17:17" x14ac:dyDescent="0.35">
      <c r="Q28640" s="1"/>
    </row>
    <row r="28649" spans="17:17" x14ac:dyDescent="0.35">
      <c r="Q28649" s="1"/>
    </row>
    <row r="28653" spans="17:17" x14ac:dyDescent="0.35">
      <c r="Q28653" s="1"/>
    </row>
    <row r="28658" spans="17:17" x14ac:dyDescent="0.35">
      <c r="Q28658" s="1"/>
    </row>
    <row r="28665" spans="17:17" x14ac:dyDescent="0.35">
      <c r="Q28665" s="1"/>
    </row>
    <row r="28670" spans="17:17" x14ac:dyDescent="0.35">
      <c r="Q28670" s="1"/>
    </row>
    <row r="28675" spans="16:17" x14ac:dyDescent="0.35">
      <c r="Q28675" s="1"/>
    </row>
    <row r="28685" spans="16:17" x14ac:dyDescent="0.35">
      <c r="Q28685" s="1"/>
    </row>
    <row r="28688" spans="16:17" x14ac:dyDescent="0.35">
      <c r="P28688" s="1"/>
    </row>
    <row r="28692" spans="17:17" x14ac:dyDescent="0.35">
      <c r="Q28692" s="1"/>
    </row>
    <row r="28697" spans="17:17" x14ac:dyDescent="0.35">
      <c r="Q28697" s="1"/>
    </row>
    <row r="28700" spans="17:17" x14ac:dyDescent="0.35">
      <c r="Q28700" s="1"/>
    </row>
    <row r="28708" spans="17:17" x14ac:dyDescent="0.35">
      <c r="Q28708" s="1"/>
    </row>
    <row r="28709" spans="17:17" x14ac:dyDescent="0.35">
      <c r="Q28709" s="1"/>
    </row>
    <row r="28711" spans="17:17" x14ac:dyDescent="0.35">
      <c r="Q28711" s="1"/>
    </row>
    <row r="28715" spans="17:17" x14ac:dyDescent="0.35">
      <c r="Q28715" s="1"/>
    </row>
    <row r="28716" spans="17:17" x14ac:dyDescent="0.35">
      <c r="Q28716" s="1"/>
    </row>
    <row r="28717" spans="17:17" x14ac:dyDescent="0.35">
      <c r="Q28717" s="1"/>
    </row>
    <row r="28718" spans="17:17" x14ac:dyDescent="0.35">
      <c r="Q28718" s="1"/>
    </row>
    <row r="28736" spans="17:17" x14ac:dyDescent="0.35">
      <c r="Q28736" s="1"/>
    </row>
    <row r="28745" spans="17:17" x14ac:dyDescent="0.35">
      <c r="Q28745" s="1"/>
    </row>
    <row r="28747" spans="17:17" x14ac:dyDescent="0.35">
      <c r="Q28747" s="1"/>
    </row>
    <row r="28752" spans="17:17" x14ac:dyDescent="0.35">
      <c r="Q28752" s="1"/>
    </row>
    <row r="28757" spans="5:17" x14ac:dyDescent="0.35">
      <c r="E28757" s="1"/>
    </row>
    <row r="28760" spans="5:17" x14ac:dyDescent="0.35">
      <c r="Q28760" s="1"/>
    </row>
    <row r="28761" spans="5:17" x14ac:dyDescent="0.35">
      <c r="Q28761" s="1"/>
    </row>
    <row r="28766" spans="5:17" x14ac:dyDescent="0.35">
      <c r="Q28766" s="1"/>
    </row>
    <row r="28769" spans="17:17" x14ac:dyDescent="0.35">
      <c r="Q28769" s="1"/>
    </row>
    <row r="28776" spans="17:17" x14ac:dyDescent="0.35">
      <c r="Q28776" s="1"/>
    </row>
    <row r="28779" spans="17:17" x14ac:dyDescent="0.35">
      <c r="Q28779" s="1"/>
    </row>
    <row r="28782" spans="17:17" x14ac:dyDescent="0.35">
      <c r="Q28782" s="1"/>
    </row>
    <row r="28787" spans="17:17" x14ac:dyDescent="0.35">
      <c r="Q28787" s="1"/>
    </row>
    <row r="28794" spans="17:17" x14ac:dyDescent="0.35">
      <c r="Q28794" s="1"/>
    </row>
    <row r="28795" spans="17:17" x14ac:dyDescent="0.35">
      <c r="Q28795" s="1"/>
    </row>
    <row r="28805" spans="17:17" x14ac:dyDescent="0.35">
      <c r="Q28805" s="1"/>
    </row>
    <row r="28809" spans="17:17" x14ac:dyDescent="0.35">
      <c r="Q28809" s="1"/>
    </row>
    <row r="28815" spans="17:17" x14ac:dyDescent="0.35">
      <c r="Q28815" s="1"/>
    </row>
    <row r="28816" spans="17:17" x14ac:dyDescent="0.35">
      <c r="Q28816" s="1"/>
    </row>
    <row r="28821" spans="17:17" x14ac:dyDescent="0.35">
      <c r="Q28821" s="1"/>
    </row>
    <row r="28822" spans="17:17" x14ac:dyDescent="0.35">
      <c r="Q28822" s="1"/>
    </row>
    <row r="28829" spans="17:17" x14ac:dyDescent="0.35">
      <c r="Q28829" s="1"/>
    </row>
    <row r="28831" spans="17:17" x14ac:dyDescent="0.35">
      <c r="Q28831" s="1"/>
    </row>
    <row r="28839" spans="17:17" x14ac:dyDescent="0.35">
      <c r="Q28839" s="1"/>
    </row>
    <row r="28847" spans="17:17" x14ac:dyDescent="0.35">
      <c r="Q28847" s="1"/>
    </row>
    <row r="28857" spans="17:17" x14ac:dyDescent="0.35">
      <c r="Q28857" s="1"/>
    </row>
    <row r="28858" spans="17:17" x14ac:dyDescent="0.35">
      <c r="Q28858" s="1"/>
    </row>
    <row r="28859" spans="17:17" x14ac:dyDescent="0.35">
      <c r="Q28859" s="1"/>
    </row>
    <row r="28860" spans="17:17" x14ac:dyDescent="0.35">
      <c r="Q28860" s="1"/>
    </row>
    <row r="28871" spans="17:17" x14ac:dyDescent="0.35">
      <c r="Q28871" s="1"/>
    </row>
    <row r="28873" spans="17:17" x14ac:dyDescent="0.35">
      <c r="Q28873" s="1"/>
    </row>
    <row r="28875" spans="17:17" x14ac:dyDescent="0.35">
      <c r="Q28875" s="1"/>
    </row>
    <row r="28885" spans="17:17" x14ac:dyDescent="0.35">
      <c r="Q28885" s="1"/>
    </row>
    <row r="28896" spans="17:17" x14ac:dyDescent="0.35">
      <c r="Q28896" s="1"/>
    </row>
    <row r="28897" spans="17:17" x14ac:dyDescent="0.35">
      <c r="Q28897" s="1"/>
    </row>
    <row r="28904" spans="17:17" x14ac:dyDescent="0.35">
      <c r="Q28904" s="1"/>
    </row>
    <row r="28905" spans="17:17" x14ac:dyDescent="0.35">
      <c r="Q28905" s="1"/>
    </row>
    <row r="28907" spans="17:17" x14ac:dyDescent="0.35">
      <c r="Q28907" s="1"/>
    </row>
    <row r="28909" spans="17:17" x14ac:dyDescent="0.35">
      <c r="Q28909" s="1"/>
    </row>
    <row r="28915" spans="16:17" x14ac:dyDescent="0.35">
      <c r="P28915" s="1"/>
    </row>
    <row r="28916" spans="16:17" x14ac:dyDescent="0.35">
      <c r="Q28916" s="1"/>
    </row>
    <row r="28918" spans="16:17" x14ac:dyDescent="0.35">
      <c r="Q28918" s="1"/>
    </row>
    <row r="28921" spans="16:17" x14ac:dyDescent="0.35">
      <c r="Q28921" s="1"/>
    </row>
    <row r="28923" spans="16:17" x14ac:dyDescent="0.35">
      <c r="Q28923" s="1"/>
    </row>
    <row r="28924" spans="16:17" x14ac:dyDescent="0.35">
      <c r="Q28924" s="1"/>
    </row>
    <row r="28928" spans="16:17" x14ac:dyDescent="0.35">
      <c r="Q28928" s="1"/>
    </row>
    <row r="28930" spans="17:17" x14ac:dyDescent="0.35">
      <c r="Q28930" s="1"/>
    </row>
    <row r="28935" spans="17:17" x14ac:dyDescent="0.35">
      <c r="Q28935" s="1"/>
    </row>
    <row r="28939" spans="17:17" x14ac:dyDescent="0.35">
      <c r="Q28939" s="1"/>
    </row>
    <row r="28943" spans="17:17" x14ac:dyDescent="0.35">
      <c r="Q28943" s="1"/>
    </row>
    <row r="28945" spans="17:17" x14ac:dyDescent="0.35">
      <c r="Q28945" s="1"/>
    </row>
    <row r="28946" spans="17:17" x14ac:dyDescent="0.35">
      <c r="Q28946" s="1"/>
    </row>
    <row r="28949" spans="17:17" x14ac:dyDescent="0.35">
      <c r="Q28949" s="1"/>
    </row>
    <row r="28956" spans="17:17" x14ac:dyDescent="0.35">
      <c r="Q28956" s="1"/>
    </row>
    <row r="28963" spans="16:17" x14ac:dyDescent="0.35">
      <c r="Q28963" s="1"/>
    </row>
    <row r="28964" spans="16:17" x14ac:dyDescent="0.35">
      <c r="Q28964" s="1"/>
    </row>
    <row r="28965" spans="16:17" x14ac:dyDescent="0.35">
      <c r="P28965" s="1"/>
    </row>
    <row r="28971" spans="16:17" x14ac:dyDescent="0.35">
      <c r="Q28971" s="1"/>
    </row>
    <row r="28977" spans="17:17" x14ac:dyDescent="0.35">
      <c r="Q28977" s="1"/>
    </row>
    <row r="28979" spans="17:17" x14ac:dyDescent="0.35">
      <c r="Q28979" s="1"/>
    </row>
    <row r="28986" spans="17:17" x14ac:dyDescent="0.35">
      <c r="Q28986" s="1"/>
    </row>
    <row r="28988" spans="17:17" x14ac:dyDescent="0.35">
      <c r="Q28988" s="1"/>
    </row>
    <row r="28991" spans="17:17" x14ac:dyDescent="0.35">
      <c r="Q28991" s="1"/>
    </row>
    <row r="28992" spans="17:17" x14ac:dyDescent="0.35">
      <c r="Q28992" s="1"/>
    </row>
    <row r="29000" spans="17:17" x14ac:dyDescent="0.35">
      <c r="Q29000" s="1"/>
    </row>
    <row r="29002" spans="17:17" x14ac:dyDescent="0.35">
      <c r="Q29002" s="1"/>
    </row>
    <row r="29008" spans="17:17" x14ac:dyDescent="0.35">
      <c r="Q29008" s="1"/>
    </row>
    <row r="29010" spans="16:17" x14ac:dyDescent="0.35">
      <c r="Q29010" s="1"/>
    </row>
    <row r="29012" spans="16:17" x14ac:dyDescent="0.35">
      <c r="P29012" s="1"/>
    </row>
    <row r="29025" spans="17:17" x14ac:dyDescent="0.35">
      <c r="Q29025" s="1"/>
    </row>
    <row r="29027" spans="17:17" x14ac:dyDescent="0.35">
      <c r="Q29027" s="1"/>
    </row>
    <row r="29030" spans="17:17" x14ac:dyDescent="0.35">
      <c r="Q29030" s="1"/>
    </row>
    <row r="29032" spans="17:17" x14ac:dyDescent="0.35">
      <c r="Q29032" s="1"/>
    </row>
    <row r="29037" spans="17:17" x14ac:dyDescent="0.35">
      <c r="Q29037" s="1"/>
    </row>
    <row r="29038" spans="17:17" x14ac:dyDescent="0.35">
      <c r="Q29038" s="1"/>
    </row>
    <row r="29042" spans="16:17" x14ac:dyDescent="0.35">
      <c r="Q29042" s="1"/>
    </row>
    <row r="29043" spans="16:17" x14ac:dyDescent="0.35">
      <c r="Q29043" s="1"/>
    </row>
    <row r="29044" spans="16:17" x14ac:dyDescent="0.35">
      <c r="Q29044" s="1"/>
    </row>
    <row r="29046" spans="16:17" x14ac:dyDescent="0.35">
      <c r="Q29046" s="1"/>
    </row>
    <row r="29047" spans="16:17" x14ac:dyDescent="0.35">
      <c r="Q29047" s="1"/>
    </row>
    <row r="29048" spans="16:17" x14ac:dyDescent="0.35">
      <c r="Q29048" s="1"/>
    </row>
    <row r="29049" spans="16:17" x14ac:dyDescent="0.35">
      <c r="Q29049" s="1"/>
    </row>
    <row r="29051" spans="16:17" x14ac:dyDescent="0.35">
      <c r="Q29051" s="1"/>
    </row>
    <row r="29053" spans="16:17" x14ac:dyDescent="0.35">
      <c r="P29053" s="1"/>
    </row>
    <row r="29054" spans="16:17" x14ac:dyDescent="0.35">
      <c r="Q29054" s="1"/>
    </row>
    <row r="29059" spans="17:17" x14ac:dyDescent="0.35">
      <c r="Q29059" s="1"/>
    </row>
    <row r="29064" spans="17:17" x14ac:dyDescent="0.35">
      <c r="Q29064" s="1"/>
    </row>
    <row r="29068" spans="17:17" x14ac:dyDescent="0.35">
      <c r="Q29068" s="1"/>
    </row>
    <row r="29076" spans="16:17" x14ac:dyDescent="0.35">
      <c r="Q29076" s="1"/>
    </row>
    <row r="29077" spans="16:17" x14ac:dyDescent="0.35">
      <c r="P29077" s="1"/>
    </row>
    <row r="29079" spans="16:17" x14ac:dyDescent="0.35">
      <c r="Q29079" s="1"/>
    </row>
    <row r="29082" spans="16:17" x14ac:dyDescent="0.35">
      <c r="Q29082" s="1"/>
    </row>
    <row r="29086" spans="16:17" x14ac:dyDescent="0.35">
      <c r="Q29086" s="1"/>
    </row>
    <row r="29088" spans="16:17" x14ac:dyDescent="0.35">
      <c r="Q29088" s="1"/>
    </row>
    <row r="29091" spans="17:17" x14ac:dyDescent="0.35">
      <c r="Q29091" s="1"/>
    </row>
    <row r="29092" spans="17:17" x14ac:dyDescent="0.35">
      <c r="Q29092" s="1"/>
    </row>
    <row r="29095" spans="17:17" x14ac:dyDescent="0.35">
      <c r="Q29095" s="1"/>
    </row>
    <row r="29098" spans="17:17" x14ac:dyDescent="0.35">
      <c r="Q29098" s="1"/>
    </row>
    <row r="29100" spans="17:17" x14ac:dyDescent="0.35">
      <c r="Q29100" s="1"/>
    </row>
    <row r="29102" spans="17:17" x14ac:dyDescent="0.35">
      <c r="Q29102" s="1"/>
    </row>
    <row r="29103" spans="17:17" x14ac:dyDescent="0.35">
      <c r="Q29103" s="1"/>
    </row>
    <row r="29106" spans="17:17" x14ac:dyDescent="0.35">
      <c r="Q29106" s="1"/>
    </row>
    <row r="29107" spans="17:17" x14ac:dyDescent="0.35">
      <c r="Q29107" s="1"/>
    </row>
    <row r="29115" spans="17:17" x14ac:dyDescent="0.35">
      <c r="Q29115" s="1"/>
    </row>
    <row r="29117" spans="17:17" x14ac:dyDescent="0.35">
      <c r="Q29117" s="1"/>
    </row>
    <row r="29118" spans="17:17" x14ac:dyDescent="0.35">
      <c r="Q29118" s="1"/>
    </row>
    <row r="29119" spans="17:17" x14ac:dyDescent="0.35">
      <c r="Q29119" s="1"/>
    </row>
    <row r="29120" spans="17:17" x14ac:dyDescent="0.35">
      <c r="Q29120" s="1"/>
    </row>
    <row r="29129" spans="17:17" x14ac:dyDescent="0.35">
      <c r="Q29129" s="1"/>
    </row>
    <row r="29136" spans="17:17" x14ac:dyDescent="0.35">
      <c r="Q29136" s="1"/>
    </row>
    <row r="29137" spans="17:17" x14ac:dyDescent="0.35">
      <c r="Q29137" s="1"/>
    </row>
    <row r="29141" spans="17:17" x14ac:dyDescent="0.35">
      <c r="Q29141" s="1"/>
    </row>
    <row r="29142" spans="17:17" x14ac:dyDescent="0.35">
      <c r="Q29142" s="1"/>
    </row>
    <row r="29149" spans="17:17" x14ac:dyDescent="0.35">
      <c r="Q29149" s="1"/>
    </row>
    <row r="29161" spans="17:17" x14ac:dyDescent="0.35">
      <c r="Q29161" s="1"/>
    </row>
    <row r="29162" spans="17:17" x14ac:dyDescent="0.35">
      <c r="Q29162" s="1"/>
    </row>
    <row r="29163" spans="17:17" x14ac:dyDescent="0.35">
      <c r="Q29163" s="1"/>
    </row>
    <row r="29166" spans="17:17" x14ac:dyDescent="0.35">
      <c r="Q29166" s="1"/>
    </row>
    <row r="29168" spans="17:17" x14ac:dyDescent="0.35">
      <c r="Q29168" s="1"/>
    </row>
    <row r="29169" spans="17:17" x14ac:dyDescent="0.35">
      <c r="Q29169" s="1"/>
    </row>
    <row r="29171" spans="17:17" x14ac:dyDescent="0.35">
      <c r="Q29171" s="1"/>
    </row>
    <row r="29178" spans="17:17" x14ac:dyDescent="0.35">
      <c r="Q29178" s="1"/>
    </row>
    <row r="29180" spans="17:17" x14ac:dyDescent="0.35">
      <c r="Q29180" s="1"/>
    </row>
    <row r="29183" spans="17:17" x14ac:dyDescent="0.35">
      <c r="Q29183" s="1"/>
    </row>
    <row r="29186" spans="17:17" x14ac:dyDescent="0.35">
      <c r="Q29186" s="1"/>
    </row>
    <row r="29188" spans="17:17" x14ac:dyDescent="0.35">
      <c r="Q29188" s="1"/>
    </row>
    <row r="29190" spans="17:17" x14ac:dyDescent="0.35">
      <c r="Q29190" s="1"/>
    </row>
    <row r="29192" spans="17:17" x14ac:dyDescent="0.35">
      <c r="Q29192" s="1"/>
    </row>
    <row r="29197" spans="17:17" x14ac:dyDescent="0.35">
      <c r="Q29197" s="1"/>
    </row>
    <row r="29198" spans="17:17" x14ac:dyDescent="0.35">
      <c r="Q29198" s="1"/>
    </row>
    <row r="29200" spans="17:17" x14ac:dyDescent="0.35">
      <c r="Q29200" s="1"/>
    </row>
    <row r="29203" spans="17:17" x14ac:dyDescent="0.35">
      <c r="Q29203" s="1"/>
    </row>
    <row r="29207" spans="17:17" x14ac:dyDescent="0.35">
      <c r="Q29207" s="1"/>
    </row>
    <row r="29208" spans="17:17" x14ac:dyDescent="0.35">
      <c r="Q29208" s="1"/>
    </row>
    <row r="29214" spans="17:17" x14ac:dyDescent="0.35">
      <c r="Q29214" s="1"/>
    </row>
    <row r="29216" spans="17:17" x14ac:dyDescent="0.35">
      <c r="Q29216" s="1"/>
    </row>
    <row r="29219" spans="5:17" x14ac:dyDescent="0.35">
      <c r="Q29219" s="1"/>
    </row>
    <row r="29220" spans="5:17" x14ac:dyDescent="0.35">
      <c r="Q29220" s="1"/>
    </row>
    <row r="29224" spans="5:17" x14ac:dyDescent="0.35">
      <c r="Q29224" s="1"/>
    </row>
    <row r="29226" spans="5:17" x14ac:dyDescent="0.35">
      <c r="Q29226" s="1"/>
    </row>
    <row r="29228" spans="5:17" x14ac:dyDescent="0.35">
      <c r="E29228" s="1"/>
    </row>
    <row r="29230" spans="5:17" x14ac:dyDescent="0.35">
      <c r="Q29230" s="1"/>
    </row>
    <row r="29232" spans="5:17" x14ac:dyDescent="0.35">
      <c r="Q29232" s="1"/>
    </row>
    <row r="29237" spans="17:17" x14ac:dyDescent="0.35">
      <c r="Q29237" s="1"/>
    </row>
    <row r="29238" spans="17:17" x14ac:dyDescent="0.35">
      <c r="Q29238" s="1"/>
    </row>
    <row r="29239" spans="17:17" x14ac:dyDescent="0.35">
      <c r="Q29239" s="1"/>
    </row>
    <row r="29242" spans="17:17" x14ac:dyDescent="0.35">
      <c r="Q29242" s="1"/>
    </row>
    <row r="29244" spans="17:17" x14ac:dyDescent="0.35">
      <c r="Q29244" s="1"/>
    </row>
    <row r="29245" spans="17:17" x14ac:dyDescent="0.35">
      <c r="Q29245" s="1"/>
    </row>
    <row r="29247" spans="17:17" x14ac:dyDescent="0.35">
      <c r="Q29247" s="1"/>
    </row>
    <row r="29255" spans="17:17" x14ac:dyDescent="0.35">
      <c r="Q29255" s="1"/>
    </row>
    <row r="29262" spans="17:17" x14ac:dyDescent="0.35">
      <c r="Q29262" s="1"/>
    </row>
    <row r="29265" spans="17:17" x14ac:dyDescent="0.35">
      <c r="Q29265" s="1"/>
    </row>
    <row r="29267" spans="17:17" x14ac:dyDescent="0.35">
      <c r="Q29267" s="1"/>
    </row>
    <row r="29270" spans="17:17" x14ac:dyDescent="0.35">
      <c r="Q29270" s="1"/>
    </row>
    <row r="29272" spans="17:17" x14ac:dyDescent="0.35">
      <c r="Q29272" s="1"/>
    </row>
    <row r="29284" spans="17:17" x14ac:dyDescent="0.35">
      <c r="Q29284" s="1"/>
    </row>
    <row r="29285" spans="17:17" x14ac:dyDescent="0.35">
      <c r="Q29285" s="1"/>
    </row>
    <row r="29292" spans="17:17" x14ac:dyDescent="0.35">
      <c r="Q29292" s="1"/>
    </row>
    <row r="29293" spans="17:17" x14ac:dyDescent="0.35">
      <c r="Q29293" s="1"/>
    </row>
    <row r="29301" spans="17:17" x14ac:dyDescent="0.35">
      <c r="Q29301" s="1"/>
    </row>
    <row r="29303" spans="17:17" x14ac:dyDescent="0.35">
      <c r="Q29303" s="1"/>
    </row>
    <row r="29308" spans="17:17" x14ac:dyDescent="0.35">
      <c r="Q29308" s="1"/>
    </row>
    <row r="29321" spans="17:17" x14ac:dyDescent="0.35">
      <c r="Q29321" s="1"/>
    </row>
    <row r="29327" spans="17:17" x14ac:dyDescent="0.35">
      <c r="Q29327" s="1"/>
    </row>
    <row r="29334" spans="17:17" x14ac:dyDescent="0.35">
      <c r="Q29334" s="1"/>
    </row>
    <row r="29336" spans="17:17" x14ac:dyDescent="0.35">
      <c r="Q29336" s="1"/>
    </row>
    <row r="29338" spans="17:17" x14ac:dyDescent="0.35">
      <c r="Q29338" s="1"/>
    </row>
    <row r="29342" spans="17:17" x14ac:dyDescent="0.35">
      <c r="Q29342" s="1"/>
    </row>
    <row r="29348" spans="17:17" x14ac:dyDescent="0.35">
      <c r="Q29348" s="1"/>
    </row>
    <row r="29353" spans="17:17" x14ac:dyDescent="0.35">
      <c r="Q29353" s="1"/>
    </row>
    <row r="29355" spans="17:17" x14ac:dyDescent="0.35">
      <c r="Q29355" s="1"/>
    </row>
    <row r="29365" spans="17:17" x14ac:dyDescent="0.35">
      <c r="Q29365" s="1"/>
    </row>
    <row r="29366" spans="17:17" x14ac:dyDescent="0.35">
      <c r="Q29366" s="1"/>
    </row>
    <row r="29367" spans="17:17" x14ac:dyDescent="0.35">
      <c r="Q29367" s="1"/>
    </row>
    <row r="29371" spans="17:17" x14ac:dyDescent="0.35">
      <c r="Q29371" s="1"/>
    </row>
    <row r="29381" spans="17:17" x14ac:dyDescent="0.35">
      <c r="Q29381" s="1"/>
    </row>
    <row r="29382" spans="17:17" x14ac:dyDescent="0.35">
      <c r="Q29382" s="1"/>
    </row>
    <row r="29386" spans="17:17" x14ac:dyDescent="0.35">
      <c r="Q29386" s="1"/>
    </row>
    <row r="29389" spans="17:17" x14ac:dyDescent="0.35">
      <c r="Q29389" s="1"/>
    </row>
    <row r="29396" spans="17:17" x14ac:dyDescent="0.35">
      <c r="Q29396" s="1"/>
    </row>
    <row r="29398" spans="17:17" x14ac:dyDescent="0.35">
      <c r="Q29398" s="1"/>
    </row>
    <row r="29411" spans="17:17" x14ac:dyDescent="0.35">
      <c r="Q29411" s="1"/>
    </row>
    <row r="29412" spans="17:17" x14ac:dyDescent="0.35">
      <c r="Q29412" s="1"/>
    </row>
    <row r="29413" spans="17:17" x14ac:dyDescent="0.35">
      <c r="Q29413" s="1"/>
    </row>
    <row r="29430" spans="17:17" x14ac:dyDescent="0.35">
      <c r="Q29430" s="1"/>
    </row>
    <row r="29433" spans="17:17" x14ac:dyDescent="0.35">
      <c r="Q29433" s="1"/>
    </row>
    <row r="29434" spans="17:17" x14ac:dyDescent="0.35">
      <c r="Q29434" s="1"/>
    </row>
    <row r="29436" spans="17:17" x14ac:dyDescent="0.35">
      <c r="Q29436" s="1"/>
    </row>
    <row r="29437" spans="17:17" x14ac:dyDescent="0.35">
      <c r="Q29437" s="1"/>
    </row>
    <row r="29442" spans="17:17" x14ac:dyDescent="0.35">
      <c r="Q29442" s="1"/>
    </row>
    <row r="29443" spans="17:17" x14ac:dyDescent="0.35">
      <c r="Q29443" s="1"/>
    </row>
    <row r="29444" spans="17:17" x14ac:dyDescent="0.35">
      <c r="Q29444" s="1"/>
    </row>
    <row r="29446" spans="17:17" x14ac:dyDescent="0.35">
      <c r="Q29446" s="1"/>
    </row>
    <row r="29451" spans="17:17" x14ac:dyDescent="0.35">
      <c r="Q29451" s="1"/>
    </row>
    <row r="29455" spans="17:17" x14ac:dyDescent="0.35">
      <c r="Q29455" s="1"/>
    </row>
    <row r="29456" spans="17:17" x14ac:dyDescent="0.35">
      <c r="Q29456" s="1"/>
    </row>
    <row r="29460" spans="17:17" x14ac:dyDescent="0.35">
      <c r="Q29460" s="1"/>
    </row>
    <row r="29471" spans="17:17" x14ac:dyDescent="0.35">
      <c r="Q29471" s="1"/>
    </row>
    <row r="29475" spans="16:17" x14ac:dyDescent="0.35">
      <c r="P29475" s="1"/>
    </row>
    <row r="29476" spans="16:17" x14ac:dyDescent="0.35">
      <c r="Q29476" s="1"/>
    </row>
    <row r="29486" spans="16:17" x14ac:dyDescent="0.35">
      <c r="Q29486" s="1"/>
    </row>
    <row r="29489" spans="17:17" x14ac:dyDescent="0.35">
      <c r="Q29489" s="1"/>
    </row>
    <row r="29503" spans="17:17" x14ac:dyDescent="0.35">
      <c r="Q29503" s="1"/>
    </row>
    <row r="29507" spans="17:17" x14ac:dyDescent="0.35">
      <c r="Q29507" s="1"/>
    </row>
    <row r="29509" spans="17:17" x14ac:dyDescent="0.35">
      <c r="Q29509" s="1"/>
    </row>
    <row r="29515" spans="17:17" x14ac:dyDescent="0.35">
      <c r="Q29515" s="1"/>
    </row>
    <row r="29519" spans="17:17" x14ac:dyDescent="0.35">
      <c r="Q29519" s="1"/>
    </row>
    <row r="29522" spans="17:17" x14ac:dyDescent="0.35">
      <c r="Q29522" s="1"/>
    </row>
    <row r="29531" spans="17:17" x14ac:dyDescent="0.35">
      <c r="Q29531" s="1"/>
    </row>
    <row r="29536" spans="17:17" x14ac:dyDescent="0.35">
      <c r="Q29536" s="1"/>
    </row>
    <row r="29555" spans="17:17" x14ac:dyDescent="0.35">
      <c r="Q29555" s="1"/>
    </row>
    <row r="29560" spans="17:17" x14ac:dyDescent="0.35">
      <c r="Q29560" s="1"/>
    </row>
    <row r="29561" spans="17:17" x14ac:dyDescent="0.35">
      <c r="Q29561" s="1"/>
    </row>
    <row r="29572" spans="17:17" x14ac:dyDescent="0.35">
      <c r="Q29572" s="1"/>
    </row>
    <row r="29574" spans="17:17" x14ac:dyDescent="0.35">
      <c r="Q29574" s="1"/>
    </row>
    <row r="29577" spans="17:17" x14ac:dyDescent="0.35">
      <c r="Q29577" s="1"/>
    </row>
    <row r="29579" spans="17:17" x14ac:dyDescent="0.35">
      <c r="Q29579" s="1"/>
    </row>
    <row r="29580" spans="17:17" x14ac:dyDescent="0.35">
      <c r="Q29580" s="1"/>
    </row>
    <row r="29583" spans="17:17" x14ac:dyDescent="0.35">
      <c r="Q29583" s="1"/>
    </row>
    <row r="29606" spans="5:17" x14ac:dyDescent="0.35">
      <c r="Q29606" s="1"/>
    </row>
    <row r="29608" spans="5:17" x14ac:dyDescent="0.35">
      <c r="E29608" s="1"/>
    </row>
    <row r="29613" spans="5:17" x14ac:dyDescent="0.35">
      <c r="Q29613" s="1"/>
    </row>
    <row r="29616" spans="5:17" x14ac:dyDescent="0.35">
      <c r="Q29616" s="1"/>
    </row>
    <row r="29617" spans="17:17" x14ac:dyDescent="0.35">
      <c r="Q29617" s="1"/>
    </row>
    <row r="29624" spans="17:17" x14ac:dyDescent="0.35">
      <c r="Q29624" s="1"/>
    </row>
    <row r="29632" spans="17:17" x14ac:dyDescent="0.35">
      <c r="Q29632" s="1"/>
    </row>
    <row r="29634" spans="17:17" x14ac:dyDescent="0.35">
      <c r="Q29634" s="1"/>
    </row>
    <row r="29635" spans="17:17" x14ac:dyDescent="0.35">
      <c r="Q29635" s="1"/>
    </row>
    <row r="29637" spans="17:17" x14ac:dyDescent="0.35">
      <c r="Q29637" s="1"/>
    </row>
    <row r="29640" spans="17:17" x14ac:dyDescent="0.35">
      <c r="Q29640" s="1"/>
    </row>
    <row r="29641" spans="17:17" x14ac:dyDescent="0.35">
      <c r="Q29641" s="1"/>
    </row>
    <row r="29652" spans="17:17" x14ac:dyDescent="0.35">
      <c r="Q29652" s="1"/>
    </row>
    <row r="29654" spans="17:17" x14ac:dyDescent="0.35">
      <c r="Q29654" s="1"/>
    </row>
    <row r="29658" spans="17:17" x14ac:dyDescent="0.35">
      <c r="Q29658" s="1"/>
    </row>
    <row r="29660" spans="17:17" x14ac:dyDescent="0.35">
      <c r="Q29660" s="1"/>
    </row>
    <row r="29663" spans="17:17" x14ac:dyDescent="0.35">
      <c r="Q29663" s="1"/>
    </row>
    <row r="29665" spans="16:17" x14ac:dyDescent="0.35">
      <c r="P29665" s="1"/>
    </row>
    <row r="29669" spans="16:17" x14ac:dyDescent="0.35">
      <c r="Q29669" s="1"/>
    </row>
    <row r="29670" spans="16:17" x14ac:dyDescent="0.35">
      <c r="Q29670" s="1"/>
    </row>
    <row r="29672" spans="16:17" x14ac:dyDescent="0.35">
      <c r="Q29672" s="1"/>
    </row>
    <row r="29677" spans="16:17" x14ac:dyDescent="0.35">
      <c r="Q29677" s="1"/>
    </row>
    <row r="29679" spans="16:17" x14ac:dyDescent="0.35">
      <c r="Q29679" s="1"/>
    </row>
    <row r="29680" spans="16:17" x14ac:dyDescent="0.35">
      <c r="Q29680" s="1"/>
    </row>
    <row r="29681" spans="17:17" x14ac:dyDescent="0.35">
      <c r="Q29681" s="1"/>
    </row>
    <row r="29685" spans="17:17" x14ac:dyDescent="0.35">
      <c r="Q29685" s="1"/>
    </row>
    <row r="29692" spans="17:17" x14ac:dyDescent="0.35">
      <c r="Q29692" s="1"/>
    </row>
    <row r="29693" spans="17:17" x14ac:dyDescent="0.35">
      <c r="Q29693" s="1"/>
    </row>
    <row r="29697" spans="17:17" x14ac:dyDescent="0.35">
      <c r="Q29697" s="1"/>
    </row>
    <row r="29704" spans="17:17" x14ac:dyDescent="0.35">
      <c r="Q29704" s="1"/>
    </row>
    <row r="29715" spans="16:17" x14ac:dyDescent="0.35">
      <c r="Q29715" s="1"/>
    </row>
    <row r="29716" spans="16:17" x14ac:dyDescent="0.35">
      <c r="Q29716" s="1"/>
    </row>
    <row r="29717" spans="16:17" x14ac:dyDescent="0.35">
      <c r="Q29717" s="1"/>
    </row>
    <row r="29720" spans="16:17" x14ac:dyDescent="0.35">
      <c r="P29720" s="1"/>
    </row>
    <row r="29721" spans="16:17" x14ac:dyDescent="0.35">
      <c r="P29721" s="1"/>
    </row>
    <row r="29724" spans="16:17" x14ac:dyDescent="0.35">
      <c r="Q29724" s="1"/>
    </row>
    <row r="29730" spans="17:17" x14ac:dyDescent="0.35">
      <c r="Q29730" s="1"/>
    </row>
    <row r="29735" spans="17:17" x14ac:dyDescent="0.35">
      <c r="Q29735" s="1"/>
    </row>
    <row r="29737" spans="17:17" x14ac:dyDescent="0.35">
      <c r="Q29737" s="1"/>
    </row>
    <row r="29738" spans="17:17" x14ac:dyDescent="0.35">
      <c r="Q29738" s="1"/>
    </row>
    <row r="29744" spans="17:17" x14ac:dyDescent="0.35">
      <c r="Q29744" s="1"/>
    </row>
    <row r="29749" spans="17:17" x14ac:dyDescent="0.35">
      <c r="Q29749" s="1"/>
    </row>
    <row r="29750" spans="17:17" x14ac:dyDescent="0.35">
      <c r="Q29750" s="1"/>
    </row>
    <row r="29759" spans="17:17" x14ac:dyDescent="0.35">
      <c r="Q29759" s="1"/>
    </row>
    <row r="29771" spans="17:17" x14ac:dyDescent="0.35">
      <c r="Q29771" s="1"/>
    </row>
    <row r="29775" spans="17:17" x14ac:dyDescent="0.35">
      <c r="Q29775" s="1"/>
    </row>
    <row r="29780" spans="17:17" x14ac:dyDescent="0.35">
      <c r="Q29780" s="1"/>
    </row>
    <row r="29781" spans="17:17" x14ac:dyDescent="0.35">
      <c r="Q29781" s="1"/>
    </row>
    <row r="29783" spans="17:17" x14ac:dyDescent="0.35">
      <c r="Q29783" s="1"/>
    </row>
    <row r="29797" spans="6:17" x14ac:dyDescent="0.35">
      <c r="Q29797" s="1"/>
    </row>
    <row r="29803" spans="6:17" x14ac:dyDescent="0.35">
      <c r="F29803" s="2"/>
    </row>
    <row r="29804" spans="6:17" x14ac:dyDescent="0.35">
      <c r="Q29804" s="1"/>
    </row>
    <row r="29806" spans="6:17" x14ac:dyDescent="0.35">
      <c r="Q29806" s="1"/>
    </row>
    <row r="29807" spans="6:17" x14ac:dyDescent="0.35">
      <c r="Q29807" s="1"/>
    </row>
    <row r="29808" spans="6:17" x14ac:dyDescent="0.35">
      <c r="Q29808" s="1"/>
    </row>
    <row r="29816" spans="17:17" x14ac:dyDescent="0.35">
      <c r="Q29816" s="1"/>
    </row>
    <row r="29819" spans="17:17" x14ac:dyDescent="0.35">
      <c r="Q29819" s="1"/>
    </row>
    <row r="29822" spans="17:17" x14ac:dyDescent="0.35">
      <c r="Q29822" s="1"/>
    </row>
    <row r="29825" spans="17:17" x14ac:dyDescent="0.35">
      <c r="Q29825" s="1"/>
    </row>
    <row r="29836" spans="17:17" x14ac:dyDescent="0.35">
      <c r="Q29836" s="1"/>
    </row>
    <row r="29847" spans="17:17" x14ac:dyDescent="0.35">
      <c r="Q29847" s="1"/>
    </row>
    <row r="29851" spans="17:17" x14ac:dyDescent="0.35">
      <c r="Q29851" s="1"/>
    </row>
    <row r="29855" spans="17:17" x14ac:dyDescent="0.35">
      <c r="Q29855" s="1"/>
    </row>
    <row r="29858" spans="17:17" x14ac:dyDescent="0.35">
      <c r="Q29858" s="1"/>
    </row>
    <row r="29859" spans="17:17" x14ac:dyDescent="0.35">
      <c r="Q29859" s="1"/>
    </row>
    <row r="29871" spans="17:17" x14ac:dyDescent="0.35">
      <c r="Q29871" s="1"/>
    </row>
    <row r="29875" spans="16:17" x14ac:dyDescent="0.35">
      <c r="Q29875" s="1"/>
    </row>
    <row r="29876" spans="16:17" x14ac:dyDescent="0.35">
      <c r="Q29876" s="1"/>
    </row>
    <row r="29878" spans="16:17" x14ac:dyDescent="0.35">
      <c r="Q29878" s="1"/>
    </row>
    <row r="29879" spans="16:17" x14ac:dyDescent="0.35">
      <c r="Q29879" s="1"/>
    </row>
    <row r="29886" spans="16:17" x14ac:dyDescent="0.35">
      <c r="Q29886" s="1"/>
    </row>
    <row r="29887" spans="16:17" x14ac:dyDescent="0.35">
      <c r="P29887" s="1"/>
    </row>
    <row r="29889" spans="17:17" x14ac:dyDescent="0.35">
      <c r="Q29889" s="1"/>
    </row>
    <row r="29893" spans="17:17" x14ac:dyDescent="0.35">
      <c r="Q29893" s="1"/>
    </row>
    <row r="29897" spans="17:17" x14ac:dyDescent="0.35">
      <c r="Q29897" s="1"/>
    </row>
    <row r="29898" spans="17:17" x14ac:dyDescent="0.35">
      <c r="Q29898" s="1"/>
    </row>
    <row r="29905" spans="17:17" x14ac:dyDescent="0.35">
      <c r="Q29905" s="1"/>
    </row>
    <row r="29906" spans="17:17" x14ac:dyDescent="0.35">
      <c r="Q29906" s="1"/>
    </row>
    <row r="29912" spans="17:17" x14ac:dyDescent="0.35">
      <c r="Q29912" s="1"/>
    </row>
    <row r="29914" spans="17:17" x14ac:dyDescent="0.35">
      <c r="Q29914" s="1"/>
    </row>
    <row r="29916" spans="17:17" x14ac:dyDescent="0.35">
      <c r="Q29916" s="1"/>
    </row>
    <row r="29917" spans="17:17" x14ac:dyDescent="0.35">
      <c r="Q29917" s="1"/>
    </row>
    <row r="29920" spans="17:17" x14ac:dyDescent="0.35">
      <c r="Q29920" s="1"/>
    </row>
    <row r="29921" spans="17:17" x14ac:dyDescent="0.35">
      <c r="Q29921" s="1"/>
    </row>
    <row r="29931" spans="17:17" x14ac:dyDescent="0.35">
      <c r="Q29931" s="1"/>
    </row>
    <row r="29933" spans="17:17" x14ac:dyDescent="0.35">
      <c r="Q29933" s="1"/>
    </row>
    <row r="29935" spans="17:17" x14ac:dyDescent="0.35">
      <c r="Q29935" s="1"/>
    </row>
    <row r="29937" spans="17:17" x14ac:dyDescent="0.35">
      <c r="Q29937" s="1"/>
    </row>
    <row r="29943" spans="17:17" x14ac:dyDescent="0.35">
      <c r="Q29943" s="1"/>
    </row>
    <row r="29945" spans="17:17" x14ac:dyDescent="0.35">
      <c r="Q29945" s="1"/>
    </row>
    <row r="29946" spans="17:17" x14ac:dyDescent="0.35">
      <c r="Q29946" s="1"/>
    </row>
    <row r="29952" spans="17:17" x14ac:dyDescent="0.35">
      <c r="Q29952" s="1"/>
    </row>
    <row r="29954" spans="17:17" x14ac:dyDescent="0.35">
      <c r="Q29954" s="1"/>
    </row>
    <row r="29956" spans="17:17" x14ac:dyDescent="0.35">
      <c r="Q29956" s="1"/>
    </row>
    <row r="29961" spans="17:17" x14ac:dyDescent="0.35">
      <c r="Q29961" s="1"/>
    </row>
    <row r="29962" spans="17:17" x14ac:dyDescent="0.35">
      <c r="Q29962" s="1"/>
    </row>
    <row r="29965" spans="17:17" x14ac:dyDescent="0.35">
      <c r="Q29965" s="1"/>
    </row>
    <row r="29968" spans="17:17" x14ac:dyDescent="0.35">
      <c r="Q29968" s="1"/>
    </row>
    <row r="29972" spans="16:17" x14ac:dyDescent="0.35">
      <c r="P29972" s="1"/>
    </row>
    <row r="29973" spans="16:17" x14ac:dyDescent="0.35">
      <c r="Q29973" s="1"/>
    </row>
    <row r="29977" spans="16:17" x14ac:dyDescent="0.35">
      <c r="Q29977" s="1"/>
    </row>
    <row r="29987" spans="17:17" x14ac:dyDescent="0.35">
      <c r="Q29987" s="1"/>
    </row>
    <row r="29989" spans="17:17" x14ac:dyDescent="0.35">
      <c r="Q29989" s="1"/>
    </row>
    <row r="29991" spans="17:17" x14ac:dyDescent="0.35">
      <c r="Q29991" s="1"/>
    </row>
    <row r="29993" spans="17:17" x14ac:dyDescent="0.35">
      <c r="Q29993" s="1"/>
    </row>
    <row r="29998" spans="17:17" x14ac:dyDescent="0.35">
      <c r="Q29998" s="1"/>
    </row>
    <row r="30003" spans="17:17" x14ac:dyDescent="0.35">
      <c r="Q30003" s="1"/>
    </row>
    <row r="30005" spans="17:17" x14ac:dyDescent="0.35">
      <c r="Q30005" s="1"/>
    </row>
    <row r="30009" spans="17:17" x14ac:dyDescent="0.35">
      <c r="Q30009" s="1"/>
    </row>
    <row r="30013" spans="17:17" x14ac:dyDescent="0.35">
      <c r="Q30013" s="1"/>
    </row>
    <row r="30018" spans="17:17" x14ac:dyDescent="0.35">
      <c r="Q30018" s="1"/>
    </row>
    <row r="30019" spans="17:17" x14ac:dyDescent="0.35">
      <c r="Q30019" s="1"/>
    </row>
    <row r="30029" spans="17:17" x14ac:dyDescent="0.35">
      <c r="Q30029" s="1"/>
    </row>
    <row r="30032" spans="17:17" x14ac:dyDescent="0.35">
      <c r="Q30032" s="1"/>
    </row>
    <row r="30033" spans="17:17" x14ac:dyDescent="0.35">
      <c r="Q30033" s="1"/>
    </row>
    <row r="30043" spans="17:17" x14ac:dyDescent="0.35">
      <c r="Q30043" s="1"/>
    </row>
    <row r="30054" spans="17:17" x14ac:dyDescent="0.35">
      <c r="Q30054" s="1"/>
    </row>
    <row r="30059" spans="17:17" x14ac:dyDescent="0.35">
      <c r="Q30059" s="1"/>
    </row>
    <row r="30065" spans="17:17" x14ac:dyDescent="0.35">
      <c r="Q30065" s="1"/>
    </row>
    <row r="30069" spans="17:17" x14ac:dyDescent="0.35">
      <c r="Q30069" s="1"/>
    </row>
    <row r="30070" spans="17:17" x14ac:dyDescent="0.35">
      <c r="Q30070" s="1"/>
    </row>
    <row r="30071" spans="17:17" x14ac:dyDescent="0.35">
      <c r="Q30071" s="1"/>
    </row>
    <row r="30072" spans="17:17" x14ac:dyDescent="0.35">
      <c r="Q30072" s="1"/>
    </row>
    <row r="30073" spans="17:17" x14ac:dyDescent="0.35">
      <c r="Q30073" s="1"/>
    </row>
    <row r="30074" spans="17:17" x14ac:dyDescent="0.35">
      <c r="Q30074" s="1"/>
    </row>
    <row r="30075" spans="17:17" x14ac:dyDescent="0.35">
      <c r="Q30075" s="1"/>
    </row>
    <row r="30076" spans="17:17" x14ac:dyDescent="0.35">
      <c r="Q30076" s="1"/>
    </row>
    <row r="30077" spans="17:17" x14ac:dyDescent="0.35">
      <c r="Q30077" s="1"/>
    </row>
    <row r="30078" spans="17:17" x14ac:dyDescent="0.35">
      <c r="Q30078" s="1"/>
    </row>
    <row r="30079" spans="17:17" x14ac:dyDescent="0.35">
      <c r="Q30079" s="1"/>
    </row>
    <row r="30080" spans="17:17" x14ac:dyDescent="0.35">
      <c r="Q30080" s="1"/>
    </row>
    <row r="30081" spans="17:17" x14ac:dyDescent="0.35">
      <c r="Q30081" s="1"/>
    </row>
    <row r="30082" spans="17:17" x14ac:dyDescent="0.35">
      <c r="Q30082" s="1"/>
    </row>
    <row r="30083" spans="17:17" x14ac:dyDescent="0.35">
      <c r="Q30083" s="1"/>
    </row>
    <row r="30084" spans="17:17" x14ac:dyDescent="0.35">
      <c r="Q30084" s="1"/>
    </row>
    <row r="30085" spans="17:17" x14ac:dyDescent="0.35">
      <c r="Q30085" s="1"/>
    </row>
    <row r="30088" spans="17:17" x14ac:dyDescent="0.35">
      <c r="Q30088" s="1"/>
    </row>
    <row r="30091" spans="17:17" x14ac:dyDescent="0.35">
      <c r="Q30091" s="1"/>
    </row>
    <row r="30092" spans="17:17" x14ac:dyDescent="0.35">
      <c r="Q30092" s="1"/>
    </row>
    <row r="30093" spans="17:17" x14ac:dyDescent="0.35">
      <c r="Q30093" s="1"/>
    </row>
    <row r="30100" spans="17:17" x14ac:dyDescent="0.35">
      <c r="Q30100" s="1"/>
    </row>
    <row r="30101" spans="17:17" x14ac:dyDescent="0.35">
      <c r="Q30101" s="1"/>
    </row>
    <row r="30102" spans="17:17" x14ac:dyDescent="0.35">
      <c r="Q30102" s="1"/>
    </row>
    <row r="30103" spans="17:17" x14ac:dyDescent="0.35">
      <c r="Q30103" s="1"/>
    </row>
    <row r="30115" spans="17:17" x14ac:dyDescent="0.35">
      <c r="Q30115" s="1"/>
    </row>
    <row r="30116" spans="17:17" x14ac:dyDescent="0.35">
      <c r="Q30116" s="1"/>
    </row>
    <row r="30120" spans="17:17" x14ac:dyDescent="0.35">
      <c r="Q30120" s="1"/>
    </row>
    <row r="30121" spans="17:17" x14ac:dyDescent="0.35">
      <c r="Q30121" s="1"/>
    </row>
    <row r="30122" spans="17:17" x14ac:dyDescent="0.35">
      <c r="Q30122" s="1"/>
    </row>
    <row r="30148" spans="17:17" x14ac:dyDescent="0.35">
      <c r="Q30148" s="1"/>
    </row>
    <row r="30167" spans="17:17" x14ac:dyDescent="0.35">
      <c r="Q30167" s="1"/>
    </row>
    <row r="30169" spans="17:17" x14ac:dyDescent="0.35">
      <c r="Q30169" s="1"/>
    </row>
    <row r="30171" spans="17:17" x14ac:dyDescent="0.35">
      <c r="Q30171" s="1"/>
    </row>
    <row r="30181" spans="17:17" x14ac:dyDescent="0.35">
      <c r="Q30181" s="1"/>
    </row>
    <row r="30190" spans="17:17" x14ac:dyDescent="0.35">
      <c r="Q30190" s="1"/>
    </row>
    <row r="30191" spans="17:17" x14ac:dyDescent="0.35">
      <c r="Q30191" s="1"/>
    </row>
    <row r="30203" spans="17:17" x14ac:dyDescent="0.35">
      <c r="Q30203" s="1"/>
    </row>
    <row r="30207" spans="17:17" x14ac:dyDescent="0.35">
      <c r="Q30207" s="1"/>
    </row>
    <row r="30214" spans="17:17" x14ac:dyDescent="0.35">
      <c r="Q30214" s="1"/>
    </row>
    <row r="30218" spans="17:17" x14ac:dyDescent="0.35">
      <c r="Q30218" s="1"/>
    </row>
    <row r="30221" spans="17:17" x14ac:dyDescent="0.35">
      <c r="Q30221" s="1"/>
    </row>
    <row r="30224" spans="17:17" x14ac:dyDescent="0.35">
      <c r="Q30224" s="1"/>
    </row>
    <row r="30225" spans="17:17" x14ac:dyDescent="0.35">
      <c r="Q30225" s="1"/>
    </row>
    <row r="30227" spans="17:17" x14ac:dyDescent="0.35">
      <c r="Q30227" s="1"/>
    </row>
    <row r="30229" spans="17:17" x14ac:dyDescent="0.35">
      <c r="Q30229" s="1"/>
    </row>
    <row r="30234" spans="17:17" x14ac:dyDescent="0.35">
      <c r="Q30234" s="1"/>
    </row>
    <row r="30236" spans="17:17" x14ac:dyDescent="0.35">
      <c r="Q30236" s="1"/>
    </row>
    <row r="30239" spans="17:17" x14ac:dyDescent="0.35">
      <c r="Q30239" s="1"/>
    </row>
    <row r="30240" spans="17:17" x14ac:dyDescent="0.35">
      <c r="Q30240" s="1"/>
    </row>
    <row r="30241" spans="17:17" x14ac:dyDescent="0.35">
      <c r="Q30241" s="1"/>
    </row>
    <row r="30243" spans="17:17" x14ac:dyDescent="0.35">
      <c r="Q30243" s="1"/>
    </row>
    <row r="30246" spans="17:17" x14ac:dyDescent="0.35">
      <c r="Q30246" s="1"/>
    </row>
    <row r="30248" spans="17:17" x14ac:dyDescent="0.35">
      <c r="Q30248" s="1"/>
    </row>
    <row r="30255" spans="17:17" x14ac:dyDescent="0.35">
      <c r="Q30255" s="1"/>
    </row>
    <row r="30268" spans="17:17" x14ac:dyDescent="0.35">
      <c r="Q30268" s="1"/>
    </row>
    <row r="30271" spans="17:17" x14ac:dyDescent="0.35">
      <c r="Q30271" s="1"/>
    </row>
    <row r="30273" spans="17:17" x14ac:dyDescent="0.35">
      <c r="Q30273" s="1"/>
    </row>
    <row r="30274" spans="17:17" x14ac:dyDescent="0.35">
      <c r="Q30274" s="1"/>
    </row>
    <row r="30275" spans="17:17" x14ac:dyDescent="0.35">
      <c r="Q30275" s="1"/>
    </row>
    <row r="30276" spans="17:17" x14ac:dyDescent="0.35">
      <c r="Q30276" s="1"/>
    </row>
    <row r="30277" spans="17:17" x14ac:dyDescent="0.35">
      <c r="Q30277" s="1"/>
    </row>
    <row r="30278" spans="17:17" x14ac:dyDescent="0.35">
      <c r="Q30278" s="1"/>
    </row>
    <row r="30279" spans="17:17" x14ac:dyDescent="0.35">
      <c r="Q30279" s="1"/>
    </row>
    <row r="30280" spans="17:17" x14ac:dyDescent="0.35">
      <c r="Q30280" s="1"/>
    </row>
    <row r="30281" spans="17:17" x14ac:dyDescent="0.35">
      <c r="Q30281" s="1"/>
    </row>
    <row r="30285" spans="17:17" x14ac:dyDescent="0.35">
      <c r="Q30285" s="1"/>
    </row>
    <row r="30287" spans="17:17" x14ac:dyDescent="0.35">
      <c r="Q30287" s="1"/>
    </row>
    <row r="30288" spans="17:17" x14ac:dyDescent="0.35">
      <c r="Q30288" s="1"/>
    </row>
    <row r="30289" spans="17:17" x14ac:dyDescent="0.35">
      <c r="Q30289" s="1"/>
    </row>
    <row r="30291" spans="17:17" x14ac:dyDescent="0.35">
      <c r="Q30291" s="1"/>
    </row>
    <row r="30293" spans="17:17" x14ac:dyDescent="0.35">
      <c r="Q30293" s="1"/>
    </row>
    <row r="30294" spans="17:17" x14ac:dyDescent="0.35">
      <c r="Q30294" s="1"/>
    </row>
    <row r="30306" spans="17:17" x14ac:dyDescent="0.35">
      <c r="Q30306" s="1"/>
    </row>
    <row r="30308" spans="17:17" x14ac:dyDescent="0.35">
      <c r="Q30308" s="1"/>
    </row>
    <row r="30309" spans="17:17" x14ac:dyDescent="0.35">
      <c r="Q30309" s="1"/>
    </row>
    <row r="30312" spans="17:17" x14ac:dyDescent="0.35">
      <c r="Q30312" s="1"/>
    </row>
    <row r="30315" spans="17:17" x14ac:dyDescent="0.35">
      <c r="Q30315" s="1"/>
    </row>
    <row r="30334" spans="17:17" x14ac:dyDescent="0.35">
      <c r="Q30334" s="1"/>
    </row>
    <row r="30338" spans="17:17" x14ac:dyDescent="0.35">
      <c r="Q30338" s="1"/>
    </row>
    <row r="30344" spans="17:17" x14ac:dyDescent="0.35">
      <c r="Q30344" s="1"/>
    </row>
    <row r="30345" spans="17:17" x14ac:dyDescent="0.35">
      <c r="Q30345" s="1"/>
    </row>
    <row r="30347" spans="17:17" x14ac:dyDescent="0.35">
      <c r="Q30347" s="1"/>
    </row>
    <row r="30349" spans="17:17" x14ac:dyDescent="0.35">
      <c r="Q30349" s="1"/>
    </row>
    <row r="30350" spans="17:17" x14ac:dyDescent="0.35">
      <c r="Q30350" s="1"/>
    </row>
    <row r="30351" spans="17:17" x14ac:dyDescent="0.35">
      <c r="Q30351" s="1"/>
    </row>
    <row r="30355" spans="17:17" x14ac:dyDescent="0.35">
      <c r="Q30355" s="1"/>
    </row>
    <row r="30359" spans="17:17" x14ac:dyDescent="0.35">
      <c r="Q30359" s="1"/>
    </row>
    <row r="30364" spans="17:17" x14ac:dyDescent="0.35">
      <c r="Q30364" s="1"/>
    </row>
    <row r="30365" spans="17:17" x14ac:dyDescent="0.35">
      <c r="Q30365" s="1"/>
    </row>
    <row r="30366" spans="17:17" x14ac:dyDescent="0.35">
      <c r="Q30366" s="1"/>
    </row>
    <row r="30370" spans="17:17" x14ac:dyDescent="0.35">
      <c r="Q30370" s="1"/>
    </row>
    <row r="30371" spans="17:17" x14ac:dyDescent="0.35">
      <c r="Q30371" s="1"/>
    </row>
    <row r="30372" spans="17:17" x14ac:dyDescent="0.35">
      <c r="Q30372" s="1"/>
    </row>
    <row r="30373" spans="17:17" x14ac:dyDescent="0.35">
      <c r="Q30373" s="1"/>
    </row>
    <row r="30379" spans="17:17" x14ac:dyDescent="0.35">
      <c r="Q30379" s="1"/>
    </row>
    <row r="30390" spans="17:17" x14ac:dyDescent="0.35">
      <c r="Q30390" s="1"/>
    </row>
    <row r="30392" spans="17:17" x14ac:dyDescent="0.35">
      <c r="Q30392" s="1"/>
    </row>
    <row r="30402" spans="17:17" x14ac:dyDescent="0.35">
      <c r="Q30402" s="1"/>
    </row>
    <row r="30405" spans="17:17" x14ac:dyDescent="0.35">
      <c r="Q30405" s="1"/>
    </row>
    <row r="30407" spans="17:17" x14ac:dyDescent="0.35">
      <c r="Q30407" s="1"/>
    </row>
    <row r="30414" spans="17:17" x14ac:dyDescent="0.35">
      <c r="Q30414" s="1"/>
    </row>
    <row r="30417" spans="17:17" x14ac:dyDescent="0.35">
      <c r="Q30417" s="1"/>
    </row>
    <row r="30418" spans="17:17" x14ac:dyDescent="0.35">
      <c r="Q30418" s="1"/>
    </row>
    <row r="30419" spans="17:17" x14ac:dyDescent="0.35">
      <c r="Q30419" s="1"/>
    </row>
    <row r="30421" spans="17:17" x14ac:dyDescent="0.35">
      <c r="Q30421" s="1"/>
    </row>
    <row r="30422" spans="17:17" x14ac:dyDescent="0.35">
      <c r="Q30422" s="1"/>
    </row>
    <row r="30423" spans="17:17" x14ac:dyDescent="0.35">
      <c r="Q30423" s="1"/>
    </row>
    <row r="30424" spans="17:17" x14ac:dyDescent="0.35">
      <c r="Q30424" s="1"/>
    </row>
    <row r="30425" spans="17:17" x14ac:dyDescent="0.35">
      <c r="Q30425" s="1"/>
    </row>
    <row r="30426" spans="17:17" x14ac:dyDescent="0.35">
      <c r="Q30426" s="1"/>
    </row>
    <row r="30427" spans="17:17" x14ac:dyDescent="0.35">
      <c r="Q30427" s="1"/>
    </row>
    <row r="30428" spans="17:17" x14ac:dyDescent="0.35">
      <c r="Q30428" s="1"/>
    </row>
    <row r="30430" spans="17:17" x14ac:dyDescent="0.35">
      <c r="Q30430" s="1"/>
    </row>
    <row r="30431" spans="17:17" x14ac:dyDescent="0.35">
      <c r="Q30431" s="1"/>
    </row>
    <row r="30435" spans="17:17" x14ac:dyDescent="0.35">
      <c r="Q30435" s="1"/>
    </row>
    <row r="30436" spans="17:17" x14ac:dyDescent="0.35">
      <c r="Q30436" s="1"/>
    </row>
    <row r="30437" spans="17:17" x14ac:dyDescent="0.35">
      <c r="Q30437" s="1"/>
    </row>
    <row r="30438" spans="17:17" x14ac:dyDescent="0.35">
      <c r="Q30438" s="1"/>
    </row>
    <row r="30439" spans="17:17" x14ac:dyDescent="0.35">
      <c r="Q30439" s="1"/>
    </row>
    <row r="30442" spans="17:17" x14ac:dyDescent="0.35">
      <c r="Q30442" s="1"/>
    </row>
    <row r="30443" spans="17:17" x14ac:dyDescent="0.35">
      <c r="Q30443" s="1"/>
    </row>
    <row r="30446" spans="17:17" x14ac:dyDescent="0.35">
      <c r="Q30446" s="1"/>
    </row>
    <row r="30447" spans="17:17" x14ac:dyDescent="0.35">
      <c r="Q30447" s="1"/>
    </row>
    <row r="30450" spans="17:17" x14ac:dyDescent="0.35">
      <c r="Q30450" s="1"/>
    </row>
    <row r="30453" spans="17:17" x14ac:dyDescent="0.35">
      <c r="Q30453" s="1"/>
    </row>
    <row r="30456" spans="17:17" x14ac:dyDescent="0.35">
      <c r="Q30456" s="1"/>
    </row>
    <row r="30460" spans="17:17" x14ac:dyDescent="0.35">
      <c r="Q30460" s="1"/>
    </row>
    <row r="30461" spans="17:17" x14ac:dyDescent="0.35">
      <c r="Q30461" s="1"/>
    </row>
    <row r="30462" spans="17:17" x14ac:dyDescent="0.35">
      <c r="Q30462" s="1"/>
    </row>
    <row r="30471" spans="17:17" x14ac:dyDescent="0.35">
      <c r="Q30471" s="1"/>
    </row>
    <row r="30475" spans="17:17" x14ac:dyDescent="0.35">
      <c r="Q30475" s="1"/>
    </row>
    <row r="30476" spans="17:17" x14ac:dyDescent="0.35">
      <c r="Q30476" s="1"/>
    </row>
    <row r="30480" spans="17:17" x14ac:dyDescent="0.35">
      <c r="Q30480" s="1"/>
    </row>
    <row r="30482" spans="17:17" x14ac:dyDescent="0.35">
      <c r="Q30482" s="1"/>
    </row>
    <row r="30484" spans="17:17" x14ac:dyDescent="0.35">
      <c r="Q30484" s="1"/>
    </row>
    <row r="30491" spans="17:17" x14ac:dyDescent="0.35">
      <c r="Q30491" s="1"/>
    </row>
    <row r="30499" spans="17:17" x14ac:dyDescent="0.35">
      <c r="Q30499" s="1"/>
    </row>
    <row r="30503" spans="17:17" x14ac:dyDescent="0.35">
      <c r="Q30503" s="1"/>
    </row>
    <row r="30504" spans="17:17" x14ac:dyDescent="0.35">
      <c r="Q30504" s="1"/>
    </row>
    <row r="30507" spans="17:17" x14ac:dyDescent="0.35">
      <c r="Q30507" s="1"/>
    </row>
    <row r="30509" spans="17:17" x14ac:dyDescent="0.35">
      <c r="Q30509" s="1"/>
    </row>
    <row r="30510" spans="17:17" x14ac:dyDescent="0.35">
      <c r="Q30510" s="1"/>
    </row>
    <row r="30517" spans="17:17" x14ac:dyDescent="0.35">
      <c r="Q30517" s="1"/>
    </row>
    <row r="30519" spans="17:17" x14ac:dyDescent="0.35">
      <c r="Q30519" s="1"/>
    </row>
    <row r="30520" spans="17:17" x14ac:dyDescent="0.35">
      <c r="Q30520" s="1"/>
    </row>
    <row r="30524" spans="17:17" x14ac:dyDescent="0.35">
      <c r="Q30524" s="1"/>
    </row>
    <row r="30525" spans="17:17" x14ac:dyDescent="0.35">
      <c r="Q30525" s="1"/>
    </row>
    <row r="30528" spans="17:17" x14ac:dyDescent="0.35">
      <c r="Q30528" s="1"/>
    </row>
    <row r="30532" spans="17:17" x14ac:dyDescent="0.35">
      <c r="Q30532" s="1"/>
    </row>
    <row r="30535" spans="17:17" x14ac:dyDescent="0.35">
      <c r="Q30535" s="1"/>
    </row>
    <row r="30536" spans="17:17" x14ac:dyDescent="0.35">
      <c r="Q30536" s="1"/>
    </row>
    <row r="30539" spans="17:17" x14ac:dyDescent="0.35">
      <c r="Q30539" s="1"/>
    </row>
    <row r="30540" spans="17:17" x14ac:dyDescent="0.35">
      <c r="Q30540" s="1"/>
    </row>
    <row r="30543" spans="17:17" x14ac:dyDescent="0.35">
      <c r="Q30543" s="1"/>
    </row>
    <row r="30544" spans="17:17" x14ac:dyDescent="0.35">
      <c r="Q30544" s="1"/>
    </row>
    <row r="30545" spans="17:17" x14ac:dyDescent="0.35">
      <c r="Q30545" s="1"/>
    </row>
    <row r="30546" spans="17:17" x14ac:dyDescent="0.35">
      <c r="Q30546" s="1"/>
    </row>
    <row r="30549" spans="17:17" x14ac:dyDescent="0.35">
      <c r="Q30549" s="1"/>
    </row>
    <row r="30551" spans="17:17" x14ac:dyDescent="0.35">
      <c r="Q30551" s="1"/>
    </row>
    <row r="30553" spans="17:17" x14ac:dyDescent="0.35">
      <c r="Q30553" s="1"/>
    </row>
    <row r="30557" spans="17:17" x14ac:dyDescent="0.35">
      <c r="Q30557" s="1"/>
    </row>
    <row r="30558" spans="17:17" x14ac:dyDescent="0.35">
      <c r="Q30558" s="1"/>
    </row>
    <row r="30560" spans="17:17" x14ac:dyDescent="0.35">
      <c r="Q30560" s="1"/>
    </row>
    <row r="30564" spans="17:17" x14ac:dyDescent="0.35">
      <c r="Q30564" s="1"/>
    </row>
    <row r="30567" spans="17:17" x14ac:dyDescent="0.35">
      <c r="Q30567" s="1"/>
    </row>
    <row r="30589" spans="17:17" x14ac:dyDescent="0.35">
      <c r="Q30589" s="1"/>
    </row>
    <row r="30592" spans="17:17" x14ac:dyDescent="0.35">
      <c r="Q30592" s="1"/>
    </row>
    <row r="30593" spans="17:17" x14ac:dyDescent="0.35">
      <c r="Q30593" s="1"/>
    </row>
    <row r="30599" spans="17:17" x14ac:dyDescent="0.35">
      <c r="Q30599" s="1"/>
    </row>
    <row r="30611" spans="17:17" x14ac:dyDescent="0.35">
      <c r="Q30611" s="1"/>
    </row>
    <row r="30613" spans="17:17" x14ac:dyDescent="0.35">
      <c r="Q30613" s="1"/>
    </row>
    <row r="30626" spans="17:17" x14ac:dyDescent="0.35">
      <c r="Q30626" s="1"/>
    </row>
    <row r="30627" spans="17:17" x14ac:dyDescent="0.35">
      <c r="Q30627" s="1"/>
    </row>
    <row r="30628" spans="17:17" x14ac:dyDescent="0.35">
      <c r="Q30628" s="1"/>
    </row>
    <row r="30640" spans="17:17" x14ac:dyDescent="0.35">
      <c r="Q30640" s="1"/>
    </row>
    <row r="30643" spans="17:17" x14ac:dyDescent="0.35">
      <c r="Q30643" s="1"/>
    </row>
    <row r="30647" spans="17:17" x14ac:dyDescent="0.35">
      <c r="Q30647" s="1"/>
    </row>
    <row r="30648" spans="17:17" x14ac:dyDescent="0.35">
      <c r="Q30648" s="1"/>
    </row>
    <row r="30649" spans="17:17" x14ac:dyDescent="0.35">
      <c r="Q30649" s="1"/>
    </row>
    <row r="30656" spans="17:17" x14ac:dyDescent="0.35">
      <c r="Q30656" s="1"/>
    </row>
    <row r="30662" spans="6:17" x14ac:dyDescent="0.35">
      <c r="Q30662" s="1"/>
    </row>
    <row r="30665" spans="6:17" x14ac:dyDescent="0.35">
      <c r="F30665" s="5"/>
    </row>
    <row r="30671" spans="6:17" x14ac:dyDescent="0.35">
      <c r="Q30671" s="1"/>
    </row>
    <row r="30677" spans="17:17" x14ac:dyDescent="0.35">
      <c r="Q30677" s="1"/>
    </row>
    <row r="30679" spans="17:17" x14ac:dyDescent="0.35">
      <c r="Q30679" s="1"/>
    </row>
    <row r="30681" spans="17:17" x14ac:dyDescent="0.35">
      <c r="Q30681" s="1"/>
    </row>
    <row r="30690" spans="17:17" x14ac:dyDescent="0.35">
      <c r="Q30690" s="1"/>
    </row>
    <row r="30692" spans="17:17" x14ac:dyDescent="0.35">
      <c r="Q30692" s="1"/>
    </row>
    <row r="30695" spans="17:17" x14ac:dyDescent="0.35">
      <c r="Q30695" s="1"/>
    </row>
    <row r="30698" spans="17:17" x14ac:dyDescent="0.35">
      <c r="Q30698" s="1"/>
    </row>
    <row r="30700" spans="17:17" x14ac:dyDescent="0.35">
      <c r="Q30700" s="1"/>
    </row>
    <row r="30707" spans="17:17" x14ac:dyDescent="0.35">
      <c r="Q30707" s="1"/>
    </row>
    <row r="30709" spans="17:17" x14ac:dyDescent="0.35">
      <c r="Q30709" s="1"/>
    </row>
    <row r="30722" spans="17:17" x14ac:dyDescent="0.35">
      <c r="Q30722" s="1"/>
    </row>
    <row r="30731" spans="17:17" x14ac:dyDescent="0.35">
      <c r="Q30731" s="1"/>
    </row>
    <row r="30732" spans="17:17" x14ac:dyDescent="0.35">
      <c r="Q30732" s="1"/>
    </row>
    <row r="30735" spans="17:17" x14ac:dyDescent="0.35">
      <c r="Q30735" s="1"/>
    </row>
    <row r="30748" spans="17:17" x14ac:dyDescent="0.35">
      <c r="Q30748" s="1"/>
    </row>
    <row r="30751" spans="17:17" x14ac:dyDescent="0.35">
      <c r="Q30751" s="1"/>
    </row>
    <row r="30752" spans="17:17" x14ac:dyDescent="0.35">
      <c r="Q30752" s="1"/>
    </row>
    <row r="30758" spans="17:17" x14ac:dyDescent="0.35">
      <c r="Q30758" s="1"/>
    </row>
    <row r="30760" spans="17:17" x14ac:dyDescent="0.35">
      <c r="Q30760" s="1"/>
    </row>
    <row r="30772" spans="17:17" x14ac:dyDescent="0.35">
      <c r="Q30772" s="1"/>
    </row>
    <row r="30775" spans="17:17" x14ac:dyDescent="0.35">
      <c r="Q30775" s="1"/>
    </row>
    <row r="30776" spans="17:17" x14ac:dyDescent="0.35">
      <c r="Q30776" s="1"/>
    </row>
    <row r="30779" spans="17:17" x14ac:dyDescent="0.35">
      <c r="Q30779" s="1"/>
    </row>
    <row r="30780" spans="17:17" x14ac:dyDescent="0.35">
      <c r="Q30780" s="1"/>
    </row>
    <row r="30785" spans="17:17" x14ac:dyDescent="0.35">
      <c r="Q30785" s="1"/>
    </row>
    <row r="30792" spans="17:17" x14ac:dyDescent="0.35">
      <c r="Q30792" s="1"/>
    </row>
    <row r="30797" spans="17:17" x14ac:dyDescent="0.35">
      <c r="Q30797" s="1"/>
    </row>
    <row r="30798" spans="17:17" x14ac:dyDescent="0.35">
      <c r="Q30798" s="1"/>
    </row>
    <row r="30803" spans="17:17" x14ac:dyDescent="0.35">
      <c r="Q30803" s="1"/>
    </row>
    <row r="30807" spans="17:17" x14ac:dyDescent="0.35">
      <c r="Q30807" s="1"/>
    </row>
    <row r="30812" spans="17:17" x14ac:dyDescent="0.35">
      <c r="Q30812" s="1"/>
    </row>
    <row r="30814" spans="17:17" x14ac:dyDescent="0.35">
      <c r="Q30814" s="1"/>
    </row>
    <row r="30816" spans="17:17" x14ac:dyDescent="0.35">
      <c r="Q30816" s="1"/>
    </row>
    <row r="30820" spans="17:17" x14ac:dyDescent="0.35">
      <c r="Q30820" s="1"/>
    </row>
    <row r="30821" spans="17:17" x14ac:dyDescent="0.35">
      <c r="Q30821" s="1"/>
    </row>
    <row r="30834" spans="17:17" x14ac:dyDescent="0.35">
      <c r="Q30834" s="1"/>
    </row>
    <row r="30838" spans="17:17" x14ac:dyDescent="0.35">
      <c r="Q30838" s="1"/>
    </row>
    <row r="30840" spans="17:17" x14ac:dyDescent="0.35">
      <c r="Q30840" s="1"/>
    </row>
    <row r="30844" spans="17:17" x14ac:dyDescent="0.35">
      <c r="Q30844" s="1"/>
    </row>
    <row r="30846" spans="17:17" x14ac:dyDescent="0.35">
      <c r="Q30846" s="1"/>
    </row>
    <row r="30857" spans="17:17" x14ac:dyDescent="0.35">
      <c r="Q30857" s="1"/>
    </row>
    <row r="30865" spans="17:17" x14ac:dyDescent="0.35">
      <c r="Q30865" s="1"/>
    </row>
    <row r="30868" spans="17:17" x14ac:dyDescent="0.35">
      <c r="Q30868" s="1"/>
    </row>
    <row r="30877" spans="17:17" x14ac:dyDescent="0.35">
      <c r="Q30877" s="1"/>
    </row>
    <row r="30878" spans="17:17" x14ac:dyDescent="0.35">
      <c r="Q30878" s="1"/>
    </row>
    <row r="30881" spans="17:17" x14ac:dyDescent="0.35">
      <c r="Q30881" s="1"/>
    </row>
    <row r="30882" spans="17:17" x14ac:dyDescent="0.35">
      <c r="Q30882" s="1"/>
    </row>
    <row r="30884" spans="17:17" x14ac:dyDescent="0.35">
      <c r="Q30884" s="1"/>
    </row>
    <row r="30885" spans="17:17" x14ac:dyDescent="0.35">
      <c r="Q30885" s="1"/>
    </row>
    <row r="30895" spans="17:17" x14ac:dyDescent="0.35">
      <c r="Q30895" s="1"/>
    </row>
    <row r="30896" spans="17:17" x14ac:dyDescent="0.35">
      <c r="Q30896" s="1"/>
    </row>
    <row r="30903" spans="17:17" x14ac:dyDescent="0.35">
      <c r="Q30903" s="1"/>
    </row>
    <row r="30905" spans="17:17" x14ac:dyDescent="0.35">
      <c r="Q30905" s="1"/>
    </row>
    <row r="30912" spans="17:17" x14ac:dyDescent="0.35">
      <c r="Q30912" s="1"/>
    </row>
    <row r="30919" spans="17:17" x14ac:dyDescent="0.35">
      <c r="Q30919" s="1"/>
    </row>
    <row r="30927" spans="17:17" x14ac:dyDescent="0.35">
      <c r="Q30927" s="1"/>
    </row>
    <row r="30928" spans="17:17" x14ac:dyDescent="0.35">
      <c r="Q30928" s="1"/>
    </row>
    <row r="30929" spans="17:17" x14ac:dyDescent="0.35">
      <c r="Q30929" s="1"/>
    </row>
    <row r="30933" spans="17:17" x14ac:dyDescent="0.35">
      <c r="Q30933" s="1"/>
    </row>
    <row r="30935" spans="17:17" x14ac:dyDescent="0.35">
      <c r="Q30935" s="1"/>
    </row>
    <row r="30936" spans="17:17" x14ac:dyDescent="0.35">
      <c r="Q30936" s="1"/>
    </row>
    <row r="30938" spans="17:17" x14ac:dyDescent="0.35">
      <c r="Q30938" s="1"/>
    </row>
    <row r="30939" spans="17:17" x14ac:dyDescent="0.35">
      <c r="Q30939" s="1"/>
    </row>
    <row r="30940" spans="17:17" x14ac:dyDescent="0.35">
      <c r="Q30940" s="1"/>
    </row>
    <row r="30941" spans="17:17" x14ac:dyDescent="0.35">
      <c r="Q30941" s="1"/>
    </row>
    <row r="30943" spans="17:17" x14ac:dyDescent="0.35">
      <c r="Q30943" s="1"/>
    </row>
    <row r="30944" spans="17:17" x14ac:dyDescent="0.35">
      <c r="Q30944" s="1"/>
    </row>
    <row r="30945" spans="17:17" x14ac:dyDescent="0.35">
      <c r="Q30945" s="1"/>
    </row>
    <row r="30951" spans="17:17" x14ac:dyDescent="0.35">
      <c r="Q30951" s="1"/>
    </row>
    <row r="30954" spans="17:17" x14ac:dyDescent="0.35">
      <c r="Q30954" s="1"/>
    </row>
    <row r="30966" spans="17:17" x14ac:dyDescent="0.35">
      <c r="Q30966" s="1"/>
    </row>
    <row r="30968" spans="17:17" x14ac:dyDescent="0.35">
      <c r="Q30968" s="1"/>
    </row>
    <row r="30969" spans="17:17" x14ac:dyDescent="0.35">
      <c r="Q30969" s="1"/>
    </row>
    <row r="30970" spans="17:17" x14ac:dyDescent="0.35">
      <c r="Q30970" s="1"/>
    </row>
    <row r="30974" spans="17:17" x14ac:dyDescent="0.35">
      <c r="Q30974" s="1"/>
    </row>
    <row r="30975" spans="17:17" x14ac:dyDescent="0.35">
      <c r="Q30975" s="1"/>
    </row>
    <row r="30976" spans="17:17" x14ac:dyDescent="0.35">
      <c r="Q30976" s="1"/>
    </row>
    <row r="30977" spans="17:17" x14ac:dyDescent="0.35">
      <c r="Q30977" s="1"/>
    </row>
    <row r="31004" spans="17:17" x14ac:dyDescent="0.35">
      <c r="Q31004" s="1"/>
    </row>
    <row r="31005" spans="17:17" x14ac:dyDescent="0.35">
      <c r="Q31005" s="1"/>
    </row>
    <row r="31007" spans="17:17" x14ac:dyDescent="0.35">
      <c r="Q31007" s="1"/>
    </row>
    <row r="31012" spans="17:17" x14ac:dyDescent="0.35">
      <c r="Q31012" s="1"/>
    </row>
    <row r="31013" spans="17:17" x14ac:dyDescent="0.35">
      <c r="Q31013" s="1"/>
    </row>
    <row r="31016" spans="17:17" x14ac:dyDescent="0.35">
      <c r="Q31016" s="1"/>
    </row>
    <row r="31018" spans="17:17" x14ac:dyDescent="0.35">
      <c r="Q31018" s="1"/>
    </row>
    <row r="31022" spans="17:17" x14ac:dyDescent="0.35">
      <c r="Q31022" s="1"/>
    </row>
    <row r="31026" spans="17:17" x14ac:dyDescent="0.35">
      <c r="Q31026" s="1"/>
    </row>
    <row r="31029" spans="17:17" x14ac:dyDescent="0.35">
      <c r="Q31029" s="1"/>
    </row>
    <row r="31053" spans="17:17" x14ac:dyDescent="0.35">
      <c r="Q31053" s="1"/>
    </row>
    <row r="31054" spans="17:17" x14ac:dyDescent="0.35">
      <c r="Q31054" s="1"/>
    </row>
    <row r="31055" spans="17:17" x14ac:dyDescent="0.35">
      <c r="Q31055" s="1"/>
    </row>
    <row r="31067" spans="17:17" x14ac:dyDescent="0.35">
      <c r="Q31067" s="1"/>
    </row>
    <row r="31071" spans="17:17" x14ac:dyDescent="0.35">
      <c r="Q31071" s="1"/>
    </row>
    <row r="31075" spans="17:17" x14ac:dyDescent="0.35">
      <c r="Q31075" s="1"/>
    </row>
    <row r="31076" spans="17:17" x14ac:dyDescent="0.35">
      <c r="Q31076" s="1"/>
    </row>
    <row r="31077" spans="17:17" x14ac:dyDescent="0.35">
      <c r="Q31077" s="1"/>
    </row>
    <row r="31080" spans="17:17" x14ac:dyDescent="0.35">
      <c r="Q31080" s="1"/>
    </row>
    <row r="31081" spans="17:17" x14ac:dyDescent="0.35">
      <c r="Q31081" s="1"/>
    </row>
    <row r="31084" spans="17:17" x14ac:dyDescent="0.35">
      <c r="Q31084" s="1"/>
    </row>
    <row r="31097" spans="17:17" x14ac:dyDescent="0.35">
      <c r="Q31097" s="1"/>
    </row>
    <row r="31104" spans="17:17" x14ac:dyDescent="0.35">
      <c r="Q31104" s="1"/>
    </row>
    <row r="31113" spans="17:17" x14ac:dyDescent="0.35">
      <c r="Q31113" s="1"/>
    </row>
    <row r="31117" spans="17:17" x14ac:dyDescent="0.35">
      <c r="Q31117" s="1"/>
    </row>
    <row r="31119" spans="17:17" x14ac:dyDescent="0.35">
      <c r="Q31119" s="1"/>
    </row>
    <row r="31120" spans="17:17" x14ac:dyDescent="0.35">
      <c r="Q31120" s="1"/>
    </row>
    <row r="31121" spans="17:17" x14ac:dyDescent="0.35">
      <c r="Q31121" s="1"/>
    </row>
    <row r="31122" spans="17:17" x14ac:dyDescent="0.35">
      <c r="Q31122" s="1"/>
    </row>
    <row r="31126" spans="17:17" x14ac:dyDescent="0.35">
      <c r="Q31126" s="1"/>
    </row>
    <row r="31127" spans="17:17" x14ac:dyDescent="0.35">
      <c r="Q31127" s="1"/>
    </row>
    <row r="31128" spans="17:17" x14ac:dyDescent="0.35">
      <c r="Q31128" s="1"/>
    </row>
    <row r="31134" spans="17:17" x14ac:dyDescent="0.35">
      <c r="Q31134" s="1"/>
    </row>
    <row r="31137" spans="17:17" x14ac:dyDescent="0.35">
      <c r="Q31137" s="1"/>
    </row>
    <row r="31142" spans="17:17" x14ac:dyDescent="0.35">
      <c r="Q31142" s="1"/>
    </row>
    <row r="31144" spans="17:17" x14ac:dyDescent="0.35">
      <c r="Q31144" s="1"/>
    </row>
    <row r="31145" spans="17:17" x14ac:dyDescent="0.35">
      <c r="Q31145" s="1"/>
    </row>
    <row r="31146" spans="17:17" x14ac:dyDescent="0.35">
      <c r="Q31146" s="1"/>
    </row>
    <row r="31147" spans="17:17" x14ac:dyDescent="0.35">
      <c r="Q31147" s="1"/>
    </row>
    <row r="31148" spans="17:17" x14ac:dyDescent="0.35">
      <c r="Q31148" s="1"/>
    </row>
    <row r="31149" spans="17:17" x14ac:dyDescent="0.35">
      <c r="Q31149" s="1"/>
    </row>
    <row r="31150" spans="17:17" x14ac:dyDescent="0.35">
      <c r="Q31150" s="1"/>
    </row>
    <row r="31151" spans="17:17" x14ac:dyDescent="0.35">
      <c r="Q31151" s="1"/>
    </row>
    <row r="31152" spans="17:17" x14ac:dyDescent="0.35">
      <c r="Q31152" s="1"/>
    </row>
    <row r="31153" spans="17:17" x14ac:dyDescent="0.35">
      <c r="Q31153" s="1"/>
    </row>
    <row r="31166" spans="17:17" x14ac:dyDescent="0.35">
      <c r="Q31166" s="1"/>
    </row>
    <row r="31168" spans="17:17" x14ac:dyDescent="0.35">
      <c r="Q31168" s="1"/>
    </row>
    <row r="31169" spans="17:17" x14ac:dyDescent="0.35">
      <c r="Q31169" s="1"/>
    </row>
    <row r="31186" spans="17:17" x14ac:dyDescent="0.35">
      <c r="Q31186" s="1"/>
    </row>
    <row r="31189" spans="17:17" x14ac:dyDescent="0.35">
      <c r="Q31189" s="1"/>
    </row>
    <row r="31195" spans="17:17" x14ac:dyDescent="0.35">
      <c r="Q31195" s="1"/>
    </row>
    <row r="31208" spans="17:17" x14ac:dyDescent="0.35">
      <c r="Q31208" s="1"/>
    </row>
    <row r="31210" spans="17:17" x14ac:dyDescent="0.35">
      <c r="Q31210" s="1"/>
    </row>
    <row r="31211" spans="17:17" x14ac:dyDescent="0.35">
      <c r="Q31211" s="1"/>
    </row>
    <row r="31212" spans="17:17" x14ac:dyDescent="0.35">
      <c r="Q31212" s="1"/>
    </row>
    <row r="31215" spans="17:17" x14ac:dyDescent="0.35">
      <c r="Q31215" s="1"/>
    </row>
    <row r="31221" spans="17:17" x14ac:dyDescent="0.35">
      <c r="Q31221" s="1"/>
    </row>
    <row r="31226" spans="17:17" x14ac:dyDescent="0.35">
      <c r="Q31226" s="1"/>
    </row>
    <row r="31228" spans="17:17" x14ac:dyDescent="0.35">
      <c r="Q31228" s="1"/>
    </row>
    <row r="31232" spans="17:17" x14ac:dyDescent="0.35">
      <c r="Q31232" s="1"/>
    </row>
    <row r="31243" spans="17:17" x14ac:dyDescent="0.35">
      <c r="Q31243" s="1"/>
    </row>
    <row r="31254" spans="17:17" x14ac:dyDescent="0.35">
      <c r="Q31254" s="1"/>
    </row>
    <row r="31255" spans="17:17" x14ac:dyDescent="0.35">
      <c r="Q31255" s="1"/>
    </row>
    <row r="31256" spans="17:17" x14ac:dyDescent="0.35">
      <c r="Q31256" s="1"/>
    </row>
    <row r="31259" spans="17:17" x14ac:dyDescent="0.35">
      <c r="Q31259" s="1"/>
    </row>
    <row r="31261" spans="17:17" x14ac:dyDescent="0.35">
      <c r="Q31261" s="1"/>
    </row>
    <row r="31263" spans="17:17" x14ac:dyDescent="0.35">
      <c r="Q31263" s="1"/>
    </row>
    <row r="31264" spans="17:17" x14ac:dyDescent="0.35">
      <c r="Q31264" s="1"/>
    </row>
    <row r="31267" spans="17:17" x14ac:dyDescent="0.35">
      <c r="Q31267" s="1"/>
    </row>
    <row r="31268" spans="17:17" x14ac:dyDescent="0.35">
      <c r="Q31268" s="1"/>
    </row>
    <row r="31270" spans="17:17" x14ac:dyDescent="0.35">
      <c r="Q31270" s="1"/>
    </row>
    <row r="31283" spans="17:17" x14ac:dyDescent="0.35">
      <c r="Q31283" s="1"/>
    </row>
    <row r="31284" spans="17:17" x14ac:dyDescent="0.35">
      <c r="Q31284" s="1"/>
    </row>
    <row r="31286" spans="17:17" x14ac:dyDescent="0.35">
      <c r="Q31286" s="1"/>
    </row>
    <row r="31289" spans="17:17" x14ac:dyDescent="0.35">
      <c r="Q31289" s="1"/>
    </row>
    <row r="31290" spans="17:17" x14ac:dyDescent="0.35">
      <c r="Q31290" s="1"/>
    </row>
    <row r="31295" spans="17:17" x14ac:dyDescent="0.35">
      <c r="Q31295" s="1"/>
    </row>
    <row r="31307" spans="17:17" x14ac:dyDescent="0.35">
      <c r="Q31307" s="1"/>
    </row>
    <row r="31309" spans="17:17" x14ac:dyDescent="0.35">
      <c r="Q31309" s="1"/>
    </row>
    <row r="31310" spans="17:17" x14ac:dyDescent="0.35">
      <c r="Q31310" s="1"/>
    </row>
    <row r="31313" spans="17:17" x14ac:dyDescent="0.35">
      <c r="Q31313" s="1"/>
    </row>
    <row r="31316" spans="17:17" x14ac:dyDescent="0.35">
      <c r="Q31316" s="1"/>
    </row>
    <row r="31317" spans="17:17" x14ac:dyDescent="0.35">
      <c r="Q31317" s="1"/>
    </row>
    <row r="31319" spans="17:17" x14ac:dyDescent="0.35">
      <c r="Q31319" s="1"/>
    </row>
    <row r="31320" spans="17:17" x14ac:dyDescent="0.35">
      <c r="Q31320" s="1"/>
    </row>
    <row r="31321" spans="17:17" x14ac:dyDescent="0.35">
      <c r="Q31321" s="1"/>
    </row>
    <row r="31322" spans="17:17" x14ac:dyDescent="0.35">
      <c r="Q31322" s="1"/>
    </row>
    <row r="31323" spans="17:17" x14ac:dyDescent="0.35">
      <c r="Q31323" s="1"/>
    </row>
    <row r="31324" spans="17:17" x14ac:dyDescent="0.35">
      <c r="Q31324" s="1"/>
    </row>
    <row r="31325" spans="17:17" x14ac:dyDescent="0.35">
      <c r="Q31325" s="1"/>
    </row>
    <row r="31327" spans="17:17" x14ac:dyDescent="0.35">
      <c r="Q31327" s="1"/>
    </row>
    <row r="31328" spans="17:17" x14ac:dyDescent="0.35">
      <c r="Q31328" s="1"/>
    </row>
    <row r="31329" spans="17:17" x14ac:dyDescent="0.35">
      <c r="Q31329" s="1"/>
    </row>
    <row r="31330" spans="17:17" x14ac:dyDescent="0.35">
      <c r="Q31330" s="1"/>
    </row>
    <row r="31331" spans="17:17" x14ac:dyDescent="0.35">
      <c r="Q31331" s="1"/>
    </row>
    <row r="31333" spans="17:17" x14ac:dyDescent="0.35">
      <c r="Q31333" s="1"/>
    </row>
    <row r="31334" spans="17:17" x14ac:dyDescent="0.35">
      <c r="Q31334" s="1"/>
    </row>
    <row r="31335" spans="17:17" x14ac:dyDescent="0.35">
      <c r="Q31335" s="1"/>
    </row>
    <row r="31336" spans="17:17" x14ac:dyDescent="0.35">
      <c r="Q31336" s="1"/>
    </row>
    <row r="31337" spans="17:17" x14ac:dyDescent="0.35">
      <c r="Q31337" s="1"/>
    </row>
    <row r="31338" spans="17:17" x14ac:dyDescent="0.35">
      <c r="Q31338" s="1"/>
    </row>
    <row r="31339" spans="17:17" x14ac:dyDescent="0.35">
      <c r="Q31339" s="1"/>
    </row>
    <row r="31340" spans="17:17" x14ac:dyDescent="0.35">
      <c r="Q31340" s="1"/>
    </row>
    <row r="31341" spans="17:17" x14ac:dyDescent="0.35">
      <c r="Q31341" s="1"/>
    </row>
    <row r="31342" spans="17:17" x14ac:dyDescent="0.35">
      <c r="Q31342" s="1"/>
    </row>
    <row r="31343" spans="17:17" x14ac:dyDescent="0.35">
      <c r="Q31343" s="1"/>
    </row>
    <row r="31344" spans="17:17" x14ac:dyDescent="0.35">
      <c r="Q31344" s="1"/>
    </row>
    <row r="31345" spans="17:17" x14ac:dyDescent="0.35">
      <c r="Q31345" s="1"/>
    </row>
    <row r="31346" spans="17:17" x14ac:dyDescent="0.35">
      <c r="Q31346" s="1"/>
    </row>
    <row r="31347" spans="17:17" x14ac:dyDescent="0.35">
      <c r="Q31347" s="1"/>
    </row>
    <row r="31348" spans="17:17" x14ac:dyDescent="0.35">
      <c r="Q31348" s="1"/>
    </row>
    <row r="31353" spans="17:17" x14ac:dyDescent="0.35">
      <c r="Q31353" s="1"/>
    </row>
    <row r="31354" spans="17:17" x14ac:dyDescent="0.35">
      <c r="Q31354" s="1"/>
    </row>
    <row r="31355" spans="17:17" x14ac:dyDescent="0.35">
      <c r="Q31355" s="1"/>
    </row>
    <row r="31356" spans="17:17" x14ac:dyDescent="0.35">
      <c r="Q31356" s="1"/>
    </row>
    <row r="31361" spans="17:17" x14ac:dyDescent="0.35">
      <c r="Q31361" s="1"/>
    </row>
    <row r="31362" spans="17:17" x14ac:dyDescent="0.35">
      <c r="Q31362" s="1"/>
    </row>
    <row r="31364" spans="17:17" x14ac:dyDescent="0.35">
      <c r="Q31364" s="1"/>
    </row>
    <row r="31366" spans="17:17" x14ac:dyDescent="0.35">
      <c r="Q31366" s="1"/>
    </row>
    <row r="31375" spans="17:17" x14ac:dyDescent="0.35">
      <c r="Q31375" s="1"/>
    </row>
    <row r="31378" spans="17:17" x14ac:dyDescent="0.35">
      <c r="Q31378" s="1"/>
    </row>
    <row r="31404" spans="17:17" x14ac:dyDescent="0.35">
      <c r="Q31404" s="1"/>
    </row>
    <row r="31405" spans="17:17" x14ac:dyDescent="0.35">
      <c r="Q31405" s="1"/>
    </row>
    <row r="31406" spans="17:17" x14ac:dyDescent="0.35">
      <c r="Q31406" s="1"/>
    </row>
    <row r="31409" spans="17:17" x14ac:dyDescent="0.35">
      <c r="Q31409" s="1"/>
    </row>
    <row r="31421" spans="17:17" x14ac:dyDescent="0.35">
      <c r="Q31421" s="1"/>
    </row>
    <row r="31427" spans="17:17" x14ac:dyDescent="0.35">
      <c r="Q31427" s="1"/>
    </row>
    <row r="31433" spans="17:17" x14ac:dyDescent="0.35">
      <c r="Q31433" s="1"/>
    </row>
    <row r="31434" spans="17:17" x14ac:dyDescent="0.35">
      <c r="Q31434" s="1"/>
    </row>
    <row r="31451" spans="17:17" x14ac:dyDescent="0.35">
      <c r="Q31451" s="1"/>
    </row>
    <row r="31452" spans="17:17" x14ac:dyDescent="0.35">
      <c r="Q31452" s="1"/>
    </row>
    <row r="31453" spans="17:17" x14ac:dyDescent="0.35">
      <c r="Q31453" s="1"/>
    </row>
    <row r="31455" spans="17:17" x14ac:dyDescent="0.35">
      <c r="Q31455" s="1"/>
    </row>
    <row r="31457" spans="17:17" x14ac:dyDescent="0.35">
      <c r="Q31457" s="1"/>
    </row>
    <row r="31459" spans="17:17" x14ac:dyDescent="0.35">
      <c r="Q31459" s="1"/>
    </row>
    <row r="31468" spans="17:17" x14ac:dyDescent="0.35">
      <c r="Q31468" s="1"/>
    </row>
    <row r="31470" spans="17:17" x14ac:dyDescent="0.35">
      <c r="Q31470" s="1"/>
    </row>
    <row r="31473" spans="17:17" x14ac:dyDescent="0.35">
      <c r="Q31473" s="1"/>
    </row>
    <row r="31475" spans="17:17" x14ac:dyDescent="0.35">
      <c r="Q31475" s="1"/>
    </row>
    <row r="31481" spans="17:17" x14ac:dyDescent="0.35">
      <c r="Q31481" s="1"/>
    </row>
    <row r="31493" spans="17:17" x14ac:dyDescent="0.35">
      <c r="Q31493" s="1"/>
    </row>
    <row r="31499" spans="17:17" x14ac:dyDescent="0.35">
      <c r="Q31499" s="1"/>
    </row>
    <row r="31500" spans="17:17" x14ac:dyDescent="0.35">
      <c r="Q31500" s="1"/>
    </row>
    <row r="31505" spans="17:17" x14ac:dyDescent="0.35">
      <c r="Q31505" s="1"/>
    </row>
    <row r="31506" spans="17:17" x14ac:dyDescent="0.35">
      <c r="Q31506" s="1"/>
    </row>
    <row r="31511" spans="17:17" x14ac:dyDescent="0.35">
      <c r="Q31511" s="1"/>
    </row>
    <row r="31512" spans="17:17" x14ac:dyDescent="0.35">
      <c r="Q31512" s="1"/>
    </row>
    <row r="31555" spans="17:17" x14ac:dyDescent="0.35">
      <c r="Q31555" s="1"/>
    </row>
    <row r="31557" spans="17:17" x14ac:dyDescent="0.35">
      <c r="Q31557" s="1"/>
    </row>
    <row r="31561" spans="17:17" x14ac:dyDescent="0.35">
      <c r="Q31561" s="1"/>
    </row>
    <row r="31563" spans="17:17" x14ac:dyDescent="0.35">
      <c r="Q31563" s="1"/>
    </row>
    <row r="31573" spans="17:17" x14ac:dyDescent="0.35">
      <c r="Q31573" s="1"/>
    </row>
    <row r="31574" spans="17:17" x14ac:dyDescent="0.35">
      <c r="Q31574" s="1"/>
    </row>
    <row r="31585" spans="17:17" x14ac:dyDescent="0.35">
      <c r="Q31585" s="1"/>
    </row>
    <row r="31590" spans="17:17" x14ac:dyDescent="0.35">
      <c r="Q31590" s="1"/>
    </row>
    <row r="31592" spans="17:17" x14ac:dyDescent="0.35">
      <c r="Q31592" s="1"/>
    </row>
    <row r="31593" spans="17:17" x14ac:dyDescent="0.35">
      <c r="Q31593" s="1"/>
    </row>
    <row r="31594" spans="17:17" x14ac:dyDescent="0.35">
      <c r="Q31594" s="1"/>
    </row>
    <row r="31596" spans="17:17" x14ac:dyDescent="0.35">
      <c r="Q31596" s="1"/>
    </row>
    <row r="31599" spans="17:17" x14ac:dyDescent="0.35">
      <c r="Q31599" s="1"/>
    </row>
    <row r="31600" spans="17:17" x14ac:dyDescent="0.35">
      <c r="Q31600" s="1"/>
    </row>
    <row r="31601" spans="17:17" x14ac:dyDescent="0.35">
      <c r="Q31601" s="1"/>
    </row>
    <row r="31605" spans="17:17" x14ac:dyDescent="0.35">
      <c r="Q31605" s="1"/>
    </row>
    <row r="31609" spans="17:17" x14ac:dyDescent="0.35">
      <c r="Q31609" s="1"/>
    </row>
    <row r="31615" spans="17:17" x14ac:dyDescent="0.35">
      <c r="Q31615" s="1"/>
    </row>
    <row r="31616" spans="17:17" x14ac:dyDescent="0.35">
      <c r="Q31616" s="1"/>
    </row>
    <row r="31620" spans="17:17" x14ac:dyDescent="0.35">
      <c r="Q31620" s="1"/>
    </row>
    <row r="31621" spans="17:17" x14ac:dyDescent="0.35">
      <c r="Q31621" s="1"/>
    </row>
    <row r="31629" spans="17:17" x14ac:dyDescent="0.35">
      <c r="Q31629" s="1"/>
    </row>
    <row r="31631" spans="17:17" x14ac:dyDescent="0.35">
      <c r="Q31631" s="1"/>
    </row>
    <row r="31634" spans="17:17" x14ac:dyDescent="0.35">
      <c r="Q31634" s="1"/>
    </row>
    <row r="31636" spans="17:17" x14ac:dyDescent="0.35">
      <c r="Q31636" s="1"/>
    </row>
    <row r="31641" spans="17:17" x14ac:dyDescent="0.35">
      <c r="Q31641" s="1"/>
    </row>
    <row r="31644" spans="17:17" x14ac:dyDescent="0.35">
      <c r="Q31644" s="1"/>
    </row>
    <row r="31649" spans="17:17" x14ac:dyDescent="0.35">
      <c r="Q31649" s="1"/>
    </row>
    <row r="31653" spans="17:17" x14ac:dyDescent="0.35">
      <c r="Q31653" s="1"/>
    </row>
    <row r="31656" spans="17:17" x14ac:dyDescent="0.35">
      <c r="Q31656" s="1"/>
    </row>
    <row r="31664" spans="17:17" x14ac:dyDescent="0.35">
      <c r="Q31664" s="1"/>
    </row>
    <row r="31666" spans="17:17" x14ac:dyDescent="0.35">
      <c r="Q31666" s="1"/>
    </row>
    <row r="31668" spans="17:17" x14ac:dyDescent="0.35">
      <c r="Q31668" s="1"/>
    </row>
    <row r="31670" spans="17:17" x14ac:dyDescent="0.35">
      <c r="Q31670" s="1"/>
    </row>
    <row r="31690" spans="17:17" x14ac:dyDescent="0.35">
      <c r="Q31690" s="1"/>
    </row>
    <row r="31691" spans="17:17" x14ac:dyDescent="0.35">
      <c r="Q31691" s="1"/>
    </row>
    <row r="31693" spans="17:17" x14ac:dyDescent="0.35">
      <c r="Q31693" s="1"/>
    </row>
    <row r="31695" spans="17:17" x14ac:dyDescent="0.35">
      <c r="Q31695" s="1"/>
    </row>
    <row r="31700" spans="17:17" x14ac:dyDescent="0.35">
      <c r="Q31700" s="1"/>
    </row>
    <row r="31701" spans="17:17" x14ac:dyDescent="0.35">
      <c r="Q31701" s="1"/>
    </row>
    <row r="31710" spans="17:17" x14ac:dyDescent="0.35">
      <c r="Q31710" s="1"/>
    </row>
    <row r="31711" spans="17:17" x14ac:dyDescent="0.35">
      <c r="Q31711" s="1"/>
    </row>
    <row r="31717" spans="17:17" x14ac:dyDescent="0.35">
      <c r="Q31717" s="1"/>
    </row>
    <row r="31718" spans="17:17" x14ac:dyDescent="0.35">
      <c r="Q31718" s="1"/>
    </row>
    <row r="31720" spans="17:17" x14ac:dyDescent="0.35">
      <c r="Q31720" s="1"/>
    </row>
    <row r="31725" spans="17:17" x14ac:dyDescent="0.35">
      <c r="Q31725" s="1"/>
    </row>
    <row r="31727" spans="17:17" x14ac:dyDescent="0.35">
      <c r="Q31727" s="1"/>
    </row>
    <row r="31758" spans="17:17" x14ac:dyDescent="0.35">
      <c r="Q31758" s="1"/>
    </row>
    <row r="31764" spans="6:17" x14ac:dyDescent="0.35">
      <c r="Q31764" s="1"/>
    </row>
    <row r="31768" spans="6:17" x14ac:dyDescent="0.35">
      <c r="F31768" s="5"/>
    </row>
    <row r="31779" spans="17:17" x14ac:dyDescent="0.35">
      <c r="Q31779" s="1"/>
    </row>
    <row r="31783" spans="17:17" x14ac:dyDescent="0.35">
      <c r="Q31783" s="1"/>
    </row>
    <row r="31784" spans="17:17" x14ac:dyDescent="0.35">
      <c r="Q31784" s="1"/>
    </row>
    <row r="31785" spans="17:17" x14ac:dyDescent="0.35">
      <c r="Q31785" s="1"/>
    </row>
    <row r="31789" spans="17:17" x14ac:dyDescent="0.35">
      <c r="Q31789" s="1"/>
    </row>
    <row r="31806" spans="17:17" x14ac:dyDescent="0.35">
      <c r="Q31806" s="1"/>
    </row>
    <row r="31814" spans="17:17" x14ac:dyDescent="0.35">
      <c r="Q31814" s="1"/>
    </row>
    <row r="31815" spans="17:17" x14ac:dyDescent="0.35">
      <c r="Q31815" s="1"/>
    </row>
    <row r="31820" spans="17:17" x14ac:dyDescent="0.35">
      <c r="Q31820" s="1"/>
    </row>
    <row r="31822" spans="17:17" x14ac:dyDescent="0.35">
      <c r="Q31822" s="1"/>
    </row>
    <row r="31826" spans="17:17" x14ac:dyDescent="0.35">
      <c r="Q31826" s="1"/>
    </row>
    <row r="31831" spans="17:17" x14ac:dyDescent="0.35">
      <c r="Q31831" s="1"/>
    </row>
    <row r="31833" spans="17:17" x14ac:dyDescent="0.35">
      <c r="Q31833" s="1"/>
    </row>
    <row r="31835" spans="17:17" x14ac:dyDescent="0.35">
      <c r="Q31835" s="1"/>
    </row>
    <row r="31837" spans="17:17" x14ac:dyDescent="0.35">
      <c r="Q31837" s="1"/>
    </row>
    <row r="31838" spans="17:17" x14ac:dyDescent="0.35">
      <c r="Q31838" s="1"/>
    </row>
    <row r="31841" spans="17:17" x14ac:dyDescent="0.35">
      <c r="Q31841" s="1"/>
    </row>
    <row r="31844" spans="17:17" x14ac:dyDescent="0.35">
      <c r="Q31844" s="1"/>
    </row>
    <row r="31846" spans="17:17" x14ac:dyDescent="0.35">
      <c r="Q31846" s="1"/>
    </row>
    <row r="31852" spans="17:17" x14ac:dyDescent="0.35">
      <c r="Q31852" s="1"/>
    </row>
    <row r="31853" spans="17:17" x14ac:dyDescent="0.35">
      <c r="Q31853" s="1"/>
    </row>
    <row r="31856" spans="17:17" x14ac:dyDescent="0.35">
      <c r="Q31856" s="1"/>
    </row>
    <row r="31857" spans="17:17" x14ac:dyDescent="0.35">
      <c r="Q31857" s="1"/>
    </row>
    <row r="31860" spans="17:17" x14ac:dyDescent="0.35">
      <c r="Q31860" s="1"/>
    </row>
    <row r="31868" spans="17:17" x14ac:dyDescent="0.35">
      <c r="Q31868" s="1"/>
    </row>
    <row r="31878" spans="17:17" x14ac:dyDescent="0.35">
      <c r="Q31878" s="1"/>
    </row>
    <row r="31879" spans="17:17" x14ac:dyDescent="0.35">
      <c r="Q31879" s="1"/>
    </row>
    <row r="31881" spans="17:17" x14ac:dyDescent="0.35">
      <c r="Q31881" s="1"/>
    </row>
    <row r="31882" spans="17:17" x14ac:dyDescent="0.35">
      <c r="Q31882" s="1"/>
    </row>
    <row r="31883" spans="17:17" x14ac:dyDescent="0.35">
      <c r="Q31883" s="1"/>
    </row>
    <row r="31886" spans="17:17" x14ac:dyDescent="0.35">
      <c r="Q31886" s="1"/>
    </row>
    <row r="31889" spans="17:17" x14ac:dyDescent="0.35">
      <c r="Q31889" s="1"/>
    </row>
    <row r="31890" spans="17:17" x14ac:dyDescent="0.35">
      <c r="Q31890" s="1"/>
    </row>
    <row r="31898" spans="17:17" x14ac:dyDescent="0.35">
      <c r="Q31898" s="1"/>
    </row>
    <row r="31901" spans="17:17" x14ac:dyDescent="0.35">
      <c r="Q31901" s="1"/>
    </row>
    <row r="31903" spans="17:17" x14ac:dyDescent="0.35">
      <c r="Q31903" s="1"/>
    </row>
    <row r="31920" spans="17:17" x14ac:dyDescent="0.35">
      <c r="Q31920" s="1"/>
    </row>
    <row r="31922" spans="17:17" x14ac:dyDescent="0.35">
      <c r="Q31922" s="1"/>
    </row>
    <row r="31933" spans="17:17" x14ac:dyDescent="0.35">
      <c r="Q31933" s="1"/>
    </row>
    <row r="31934" spans="17:17" x14ac:dyDescent="0.35">
      <c r="Q31934" s="1"/>
    </row>
    <row r="31935" spans="17:17" x14ac:dyDescent="0.35">
      <c r="Q31935" s="1"/>
    </row>
    <row r="31937" spans="17:17" x14ac:dyDescent="0.35">
      <c r="Q31937" s="1"/>
    </row>
    <row r="31938" spans="17:17" x14ac:dyDescent="0.35">
      <c r="Q31938" s="1"/>
    </row>
    <row r="31947" spans="17:17" x14ac:dyDescent="0.35">
      <c r="Q31947" s="1"/>
    </row>
    <row r="31962" spans="17:17" x14ac:dyDescent="0.35">
      <c r="Q31962" s="1"/>
    </row>
    <row r="31965" spans="17:17" x14ac:dyDescent="0.35">
      <c r="Q31965" s="1"/>
    </row>
    <row r="31969" spans="17:17" x14ac:dyDescent="0.35">
      <c r="Q31969" s="1"/>
    </row>
    <row r="31971" spans="17:17" x14ac:dyDescent="0.35">
      <c r="Q31971" s="1"/>
    </row>
    <row r="31975" spans="17:17" x14ac:dyDescent="0.35">
      <c r="Q31975" s="1"/>
    </row>
    <row r="31979" spans="17:17" x14ac:dyDescent="0.35">
      <c r="Q31979" s="1"/>
    </row>
    <row r="31991" spans="17:17" x14ac:dyDescent="0.35">
      <c r="Q31991" s="1"/>
    </row>
    <row r="32003" spans="17:17" x14ac:dyDescent="0.35">
      <c r="Q32003" s="1"/>
    </row>
    <row r="32005" spans="17:17" x14ac:dyDescent="0.35">
      <c r="Q32005" s="1"/>
    </row>
    <row r="32006" spans="17:17" x14ac:dyDescent="0.35">
      <c r="Q32006" s="1"/>
    </row>
    <row r="32015" spans="17:17" x14ac:dyDescent="0.35">
      <c r="Q32015" s="1"/>
    </row>
    <row r="32020" spans="17:17" x14ac:dyDescent="0.35">
      <c r="Q32020" s="1"/>
    </row>
    <row r="32021" spans="17:17" x14ac:dyDescent="0.35">
      <c r="Q32021" s="1"/>
    </row>
    <row r="32026" spans="17:17" x14ac:dyDescent="0.35">
      <c r="Q32026" s="1"/>
    </row>
    <row r="32027" spans="17:17" x14ac:dyDescent="0.35">
      <c r="Q32027" s="1"/>
    </row>
    <row r="32033" spans="17:17" x14ac:dyDescent="0.35">
      <c r="Q32033" s="1"/>
    </row>
    <row r="32035" spans="17:17" x14ac:dyDescent="0.35">
      <c r="Q32035" s="1"/>
    </row>
    <row r="32037" spans="17:17" x14ac:dyDescent="0.35">
      <c r="Q32037" s="1"/>
    </row>
    <row r="32039" spans="17:17" x14ac:dyDescent="0.35">
      <c r="Q32039" s="1"/>
    </row>
    <row r="32040" spans="17:17" x14ac:dyDescent="0.35">
      <c r="Q32040" s="1"/>
    </row>
    <row r="32042" spans="17:17" x14ac:dyDescent="0.35">
      <c r="Q32042" s="1"/>
    </row>
    <row r="32043" spans="17:17" x14ac:dyDescent="0.35">
      <c r="Q32043" s="1"/>
    </row>
    <row r="32045" spans="17:17" x14ac:dyDescent="0.35">
      <c r="Q32045" s="1"/>
    </row>
    <row r="32047" spans="17:17" x14ac:dyDescent="0.35">
      <c r="Q32047" s="1"/>
    </row>
    <row r="32050" spans="17:17" x14ac:dyDescent="0.35">
      <c r="Q32050" s="1"/>
    </row>
    <row r="32051" spans="17:17" x14ac:dyDescent="0.35">
      <c r="Q32051" s="1"/>
    </row>
    <row r="32055" spans="17:17" x14ac:dyDescent="0.35">
      <c r="Q32055" s="1"/>
    </row>
    <row r="32056" spans="17:17" x14ac:dyDescent="0.35">
      <c r="Q32056" s="1"/>
    </row>
    <row r="32057" spans="17:17" x14ac:dyDescent="0.35">
      <c r="Q32057" s="1"/>
    </row>
    <row r="32058" spans="17:17" x14ac:dyDescent="0.35">
      <c r="Q32058" s="1"/>
    </row>
    <row r="32075" spans="17:17" x14ac:dyDescent="0.35">
      <c r="Q32075" s="1"/>
    </row>
    <row r="32087" spans="17:17" x14ac:dyDescent="0.35">
      <c r="Q32087" s="1"/>
    </row>
    <row r="32095" spans="17:17" x14ac:dyDescent="0.35">
      <c r="Q32095" s="1"/>
    </row>
    <row r="32112" spans="17:17" x14ac:dyDescent="0.35">
      <c r="Q32112" s="1"/>
    </row>
    <row r="32138" spans="17:17" x14ac:dyDescent="0.35">
      <c r="Q32138" s="1"/>
    </row>
    <row r="32145" spans="17:17" x14ac:dyDescent="0.35">
      <c r="Q32145" s="1"/>
    </row>
    <row r="32146" spans="17:17" x14ac:dyDescent="0.35">
      <c r="Q32146" s="1"/>
    </row>
    <row r="32159" spans="17:17" x14ac:dyDescent="0.35">
      <c r="Q32159" s="1"/>
    </row>
    <row r="32162" spans="17:17" x14ac:dyDescent="0.35">
      <c r="Q32162" s="1"/>
    </row>
    <row r="32169" spans="17:17" x14ac:dyDescent="0.35">
      <c r="Q32169" s="1"/>
    </row>
    <row r="32198" spans="17:17" x14ac:dyDescent="0.35">
      <c r="Q32198" s="1"/>
    </row>
    <row r="32199" spans="17:17" x14ac:dyDescent="0.35">
      <c r="Q32199" s="1"/>
    </row>
    <row r="32206" spans="17:17" x14ac:dyDescent="0.35">
      <c r="Q32206" s="1"/>
    </row>
    <row r="32208" spans="17:17" x14ac:dyDescent="0.35">
      <c r="Q32208" s="1"/>
    </row>
    <row r="32209" spans="17:17" x14ac:dyDescent="0.35">
      <c r="Q32209" s="1"/>
    </row>
    <row r="32212" spans="17:17" x14ac:dyDescent="0.35">
      <c r="Q32212" s="1"/>
    </row>
    <row r="32220" spans="17:17" x14ac:dyDescent="0.35">
      <c r="Q32220" s="1"/>
    </row>
    <row r="32227" spans="17:17" x14ac:dyDescent="0.35">
      <c r="Q32227" s="1"/>
    </row>
    <row r="32232" spans="17:17" x14ac:dyDescent="0.35">
      <c r="Q32232" s="1"/>
    </row>
    <row r="32234" spans="17:17" x14ac:dyDescent="0.35">
      <c r="Q32234" s="1"/>
    </row>
    <row r="32235" spans="17:17" x14ac:dyDescent="0.35">
      <c r="Q32235" s="1"/>
    </row>
    <row r="32237" spans="17:17" x14ac:dyDescent="0.35">
      <c r="Q32237" s="1"/>
    </row>
    <row r="32238" spans="17:17" x14ac:dyDescent="0.35">
      <c r="Q32238" s="1"/>
    </row>
    <row r="32240" spans="17:17" x14ac:dyDescent="0.35">
      <c r="Q32240" s="1"/>
    </row>
    <row r="32241" spans="17:17" x14ac:dyDescent="0.35">
      <c r="Q32241" s="1"/>
    </row>
    <row r="32246" spans="17:17" x14ac:dyDescent="0.35">
      <c r="Q32246" s="1"/>
    </row>
    <row r="32248" spans="17:17" x14ac:dyDescent="0.35">
      <c r="Q32248" s="1"/>
    </row>
    <row r="32249" spans="17:17" x14ac:dyDescent="0.35">
      <c r="Q32249" s="1"/>
    </row>
    <row r="32250" spans="17:17" x14ac:dyDescent="0.35">
      <c r="Q32250" s="1"/>
    </row>
    <row r="32251" spans="17:17" x14ac:dyDescent="0.35">
      <c r="Q32251" s="1"/>
    </row>
    <row r="32255" spans="17:17" x14ac:dyDescent="0.35">
      <c r="Q32255" s="1"/>
    </row>
    <row r="32257" spans="16:17" x14ac:dyDescent="0.35">
      <c r="Q32257" s="1"/>
    </row>
    <row r="32259" spans="16:17" x14ac:dyDescent="0.35">
      <c r="Q32259" s="1"/>
    </row>
    <row r="32260" spans="16:17" x14ac:dyDescent="0.35">
      <c r="P32260" s="1"/>
    </row>
    <row r="32265" spans="16:17" x14ac:dyDescent="0.35">
      <c r="Q32265" s="1"/>
    </row>
    <row r="32273" spans="17:17" x14ac:dyDescent="0.35">
      <c r="Q32273" s="1"/>
    </row>
    <row r="32277" spans="17:17" x14ac:dyDescent="0.35">
      <c r="Q32277" s="1"/>
    </row>
    <row r="32278" spans="17:17" x14ac:dyDescent="0.35">
      <c r="Q32278" s="1"/>
    </row>
    <row r="32279" spans="17:17" x14ac:dyDescent="0.35">
      <c r="Q32279" s="1"/>
    </row>
    <row r="32295" spans="17:17" x14ac:dyDescent="0.35">
      <c r="Q32295" s="1"/>
    </row>
    <row r="32297" spans="17:17" x14ac:dyDescent="0.35">
      <c r="Q32297" s="1"/>
    </row>
    <row r="32302" spans="17:17" x14ac:dyDescent="0.35">
      <c r="Q32302" s="1"/>
    </row>
    <row r="32303" spans="17:17" x14ac:dyDescent="0.35">
      <c r="Q32303" s="1"/>
    </row>
    <row r="32306" spans="17:17" x14ac:dyDescent="0.35">
      <c r="Q32306" s="1"/>
    </row>
    <row r="32307" spans="17:17" x14ac:dyDescent="0.35">
      <c r="Q32307" s="1"/>
    </row>
    <row r="32308" spans="17:17" x14ac:dyDescent="0.35">
      <c r="Q32308" s="1"/>
    </row>
    <row r="32313" spans="17:17" x14ac:dyDescent="0.35">
      <c r="Q32313" s="1"/>
    </row>
    <row r="32317" spans="17:17" x14ac:dyDescent="0.35">
      <c r="Q32317" s="1"/>
    </row>
    <row r="32323" spans="17:17" x14ac:dyDescent="0.35">
      <c r="Q32323" s="1"/>
    </row>
    <row r="32338" spans="17:17" x14ac:dyDescent="0.35">
      <c r="Q32338" s="1"/>
    </row>
    <row r="32343" spans="17:17" x14ac:dyDescent="0.35">
      <c r="Q32343" s="1"/>
    </row>
    <row r="32346" spans="17:17" x14ac:dyDescent="0.35">
      <c r="Q32346" s="1"/>
    </row>
    <row r="32357" spans="17:17" x14ac:dyDescent="0.35">
      <c r="Q32357" s="1"/>
    </row>
    <row r="32358" spans="17:17" x14ac:dyDescent="0.35">
      <c r="Q32358" s="1"/>
    </row>
    <row r="32364" spans="17:17" x14ac:dyDescent="0.35">
      <c r="Q32364" s="1"/>
    </row>
    <row r="32384" spans="17:17" x14ac:dyDescent="0.35">
      <c r="Q32384" s="1"/>
    </row>
    <row r="32386" spans="16:17" x14ac:dyDescent="0.35">
      <c r="P32386" s="1"/>
    </row>
    <row r="32392" spans="16:17" x14ac:dyDescent="0.35">
      <c r="Q32392" s="1"/>
    </row>
    <row r="32394" spans="16:17" x14ac:dyDescent="0.35">
      <c r="Q32394" s="1"/>
    </row>
    <row r="32396" spans="16:17" x14ac:dyDescent="0.35">
      <c r="Q32396" s="1"/>
    </row>
    <row r="32397" spans="16:17" x14ac:dyDescent="0.35">
      <c r="Q32397" s="1"/>
    </row>
    <row r="32426" spans="17:17" x14ac:dyDescent="0.35">
      <c r="Q32426" s="1"/>
    </row>
    <row r="32427" spans="17:17" x14ac:dyDescent="0.35">
      <c r="Q32427" s="1"/>
    </row>
    <row r="32428" spans="17:17" x14ac:dyDescent="0.35">
      <c r="Q32428" s="1"/>
    </row>
    <row r="32429" spans="17:17" x14ac:dyDescent="0.35">
      <c r="Q32429" s="1"/>
    </row>
    <row r="32431" spans="17:17" x14ac:dyDescent="0.35">
      <c r="Q32431" s="1"/>
    </row>
    <row r="32433" spans="17:17" x14ac:dyDescent="0.35">
      <c r="Q32433" s="1"/>
    </row>
    <row r="32435" spans="17:17" x14ac:dyDescent="0.35">
      <c r="Q32435" s="1"/>
    </row>
    <row r="32440" spans="17:17" x14ac:dyDescent="0.35">
      <c r="Q32440" s="1"/>
    </row>
    <row r="32461" spans="17:17" x14ac:dyDescent="0.35">
      <c r="Q32461" s="1"/>
    </row>
    <row r="32463" spans="17:17" x14ac:dyDescent="0.35">
      <c r="Q32463" s="1"/>
    </row>
    <row r="32465" spans="17:17" x14ac:dyDescent="0.35">
      <c r="Q32465" s="1"/>
    </row>
    <row r="32479" spans="17:17" x14ac:dyDescent="0.35">
      <c r="Q32479" s="1"/>
    </row>
    <row r="32481" spans="17:17" x14ac:dyDescent="0.35">
      <c r="Q32481" s="1"/>
    </row>
    <row r="32484" spans="17:17" x14ac:dyDescent="0.35">
      <c r="Q32484" s="1"/>
    </row>
    <row r="32489" spans="17:17" x14ac:dyDescent="0.35">
      <c r="Q32489" s="1"/>
    </row>
    <row r="32495" spans="17:17" x14ac:dyDescent="0.35">
      <c r="Q32495" s="1"/>
    </row>
    <row r="32497" spans="16:17" x14ac:dyDescent="0.35">
      <c r="Q32497" s="1"/>
    </row>
    <row r="32501" spans="16:17" x14ac:dyDescent="0.35">
      <c r="P32501" s="1"/>
      <c r="Q32501" s="1"/>
    </row>
    <row r="32508" spans="16:17" x14ac:dyDescent="0.35">
      <c r="Q32508" s="1"/>
    </row>
    <row r="32514" spans="16:17" x14ac:dyDescent="0.35">
      <c r="P32514" s="1"/>
    </row>
    <row r="32519" spans="16:17" x14ac:dyDescent="0.35">
      <c r="P32519" s="1"/>
    </row>
    <row r="32521" spans="16:17" x14ac:dyDescent="0.35">
      <c r="Q32521" s="1"/>
    </row>
    <row r="32522" spans="16:17" x14ac:dyDescent="0.35">
      <c r="Q32522" s="1"/>
    </row>
    <row r="32524" spans="16:17" x14ac:dyDescent="0.35">
      <c r="Q32524" s="1"/>
    </row>
    <row r="32552" spans="17:17" x14ac:dyDescent="0.35">
      <c r="Q32552" s="1"/>
    </row>
    <row r="32553" spans="17:17" x14ac:dyDescent="0.35">
      <c r="Q32553" s="1"/>
    </row>
    <row r="32557" spans="17:17" x14ac:dyDescent="0.35">
      <c r="Q32557" s="1"/>
    </row>
    <row r="32563" spans="17:17" x14ac:dyDescent="0.35">
      <c r="Q32563" s="1"/>
    </row>
    <row r="32574" spans="17:17" x14ac:dyDescent="0.35">
      <c r="Q32574" s="1"/>
    </row>
    <row r="32580" spans="17:17" x14ac:dyDescent="0.35">
      <c r="Q32580" s="1"/>
    </row>
    <row r="32600" spans="17:17" x14ac:dyDescent="0.35">
      <c r="Q32600" s="1"/>
    </row>
    <row r="32601" spans="17:17" x14ac:dyDescent="0.35">
      <c r="Q32601" s="1"/>
    </row>
    <row r="32607" spans="17:17" x14ac:dyDescent="0.35">
      <c r="Q32607" s="1"/>
    </row>
    <row r="32620" spans="17:17" x14ac:dyDescent="0.35">
      <c r="Q32620" s="1"/>
    </row>
    <row r="32625" spans="16:17" x14ac:dyDescent="0.35">
      <c r="P32625" s="1"/>
    </row>
    <row r="32638" spans="16:17" x14ac:dyDescent="0.35">
      <c r="Q32638" s="1"/>
    </row>
    <row r="32645" spans="17:17" x14ac:dyDescent="0.35">
      <c r="Q32645" s="1"/>
    </row>
    <row r="32646" spans="17:17" x14ac:dyDescent="0.35">
      <c r="Q32646" s="1"/>
    </row>
    <row r="32647" spans="17:17" x14ac:dyDescent="0.35">
      <c r="Q32647" s="1"/>
    </row>
    <row r="32666" spans="16:17" x14ac:dyDescent="0.35">
      <c r="Q32666" s="1"/>
    </row>
    <row r="32668" spans="16:17" x14ac:dyDescent="0.35">
      <c r="P32668" s="1"/>
    </row>
    <row r="32673" spans="16:17" x14ac:dyDescent="0.35">
      <c r="Q32673" s="1"/>
    </row>
    <row r="32677" spans="16:17" x14ac:dyDescent="0.35">
      <c r="P32677" s="1"/>
    </row>
    <row r="32687" spans="16:17" x14ac:dyDescent="0.35">
      <c r="Q32687" s="1"/>
    </row>
    <row r="32691" spans="17:17" x14ac:dyDescent="0.35">
      <c r="Q32691" s="1"/>
    </row>
    <row r="32697" spans="17:17" x14ac:dyDescent="0.35">
      <c r="Q32697" s="1"/>
    </row>
    <row r="32698" spans="17:17" x14ac:dyDescent="0.35">
      <c r="Q32698" s="1"/>
    </row>
    <row r="32699" spans="17:17" x14ac:dyDescent="0.35">
      <c r="Q32699" s="1"/>
    </row>
    <row r="32705" spans="16:17" x14ac:dyDescent="0.35">
      <c r="Q32705" s="1"/>
    </row>
    <row r="32706" spans="16:17" x14ac:dyDescent="0.35">
      <c r="Q32706" s="1"/>
    </row>
    <row r="32716" spans="16:17" x14ac:dyDescent="0.35">
      <c r="P32716" s="1"/>
    </row>
    <row r="32744" spans="16:17" x14ac:dyDescent="0.35">
      <c r="Q32744" s="1"/>
    </row>
    <row r="32748" spans="16:17" x14ac:dyDescent="0.35">
      <c r="Q32748" s="1"/>
    </row>
    <row r="32750" spans="16:17" x14ac:dyDescent="0.35">
      <c r="P32750" s="1"/>
      <c r="Q32750" s="1"/>
    </row>
    <row r="32764" spans="16:16" x14ac:dyDescent="0.35">
      <c r="P32764" s="1"/>
    </row>
    <row r="32771" spans="17:17" x14ac:dyDescent="0.35">
      <c r="Q32771" s="1"/>
    </row>
    <row r="32781" spans="17:17" x14ac:dyDescent="0.35">
      <c r="Q32781" s="1"/>
    </row>
    <row r="32785" spans="16:17" x14ac:dyDescent="0.35">
      <c r="P32785" s="1"/>
    </row>
    <row r="32790" spans="16:17" x14ac:dyDescent="0.35">
      <c r="Q32790" s="1"/>
    </row>
    <row r="32792" spans="16:17" x14ac:dyDescent="0.35">
      <c r="Q32792" s="1"/>
    </row>
    <row r="32797" spans="16:17" x14ac:dyDescent="0.35">
      <c r="Q32797" s="1"/>
    </row>
    <row r="32798" spans="16:17" x14ac:dyDescent="0.35">
      <c r="Q32798" s="1"/>
    </row>
    <row r="32814" spans="17:17" x14ac:dyDescent="0.35">
      <c r="Q32814" s="1"/>
    </row>
    <row r="32816" spans="17:17" x14ac:dyDescent="0.35">
      <c r="Q32816" s="1"/>
    </row>
    <row r="32838" spans="17:17" x14ac:dyDescent="0.35">
      <c r="Q32838" s="1"/>
    </row>
    <row r="32849" spans="17:17" x14ac:dyDescent="0.35">
      <c r="Q32849" s="1"/>
    </row>
    <row r="32850" spans="17:17" x14ac:dyDescent="0.35">
      <c r="Q32850" s="1"/>
    </row>
    <row r="32851" spans="17:17" x14ac:dyDescent="0.35">
      <c r="Q32851" s="1"/>
    </row>
    <row r="32864" spans="17:17" x14ac:dyDescent="0.35">
      <c r="Q32864" s="1"/>
    </row>
    <row r="32866" spans="17:17" x14ac:dyDescent="0.35">
      <c r="Q32866" s="1"/>
    </row>
    <row r="32867" spans="17:17" x14ac:dyDescent="0.35">
      <c r="Q32867" s="1"/>
    </row>
    <row r="32875" spans="17:17" x14ac:dyDescent="0.35">
      <c r="Q32875" s="1"/>
    </row>
    <row r="32878" spans="17:17" x14ac:dyDescent="0.35">
      <c r="Q32878" s="1"/>
    </row>
    <row r="32882" spans="16:16" x14ac:dyDescent="0.35">
      <c r="P32882" s="1"/>
    </row>
    <row r="32900" spans="16:17" x14ac:dyDescent="0.35">
      <c r="P32900" s="1"/>
    </row>
    <row r="32901" spans="16:17" x14ac:dyDescent="0.35">
      <c r="Q32901" s="1"/>
    </row>
    <row r="32905" spans="16:17" x14ac:dyDescent="0.35">
      <c r="Q32905" s="1"/>
    </row>
    <row r="32908" spans="16:17" x14ac:dyDescent="0.35">
      <c r="Q32908" s="1"/>
    </row>
    <row r="32937" spans="17:17" x14ac:dyDescent="0.35">
      <c r="Q32937" s="1"/>
    </row>
    <row r="32945" spans="17:17" x14ac:dyDescent="0.35">
      <c r="Q32945" s="1"/>
    </row>
    <row r="32946" spans="17:17" x14ac:dyDescent="0.35">
      <c r="Q32946" s="1"/>
    </row>
    <row r="32947" spans="17:17" x14ac:dyDescent="0.35">
      <c r="Q32947" s="1"/>
    </row>
    <row r="32949" spans="17:17" x14ac:dyDescent="0.35">
      <c r="Q32949" s="1"/>
    </row>
    <row r="32952" spans="17:17" x14ac:dyDescent="0.35">
      <c r="Q32952" s="1"/>
    </row>
    <row r="32955" spans="17:17" x14ac:dyDescent="0.35">
      <c r="Q32955" s="1"/>
    </row>
    <row r="32956" spans="17:17" x14ac:dyDescent="0.35">
      <c r="Q32956" s="1"/>
    </row>
    <row r="32957" spans="17:17" x14ac:dyDescent="0.35">
      <c r="Q32957" s="1"/>
    </row>
    <row r="32968" spans="16:17" x14ac:dyDescent="0.35">
      <c r="P32968" s="1"/>
    </row>
    <row r="32973" spans="16:17" x14ac:dyDescent="0.35">
      <c r="Q32973" s="1"/>
    </row>
    <row r="32988" spans="17:17" x14ac:dyDescent="0.35">
      <c r="Q32988" s="1"/>
    </row>
    <row r="32990" spans="17:17" x14ac:dyDescent="0.35">
      <c r="Q32990" s="1"/>
    </row>
    <row r="32991" spans="17:17" x14ac:dyDescent="0.35">
      <c r="Q32991" s="1"/>
    </row>
    <row r="32993" spans="17:17" x14ac:dyDescent="0.35">
      <c r="Q32993" s="1"/>
    </row>
    <row r="32999" spans="17:17" x14ac:dyDescent="0.35">
      <c r="Q32999" s="1"/>
    </row>
    <row r="33002" spans="17:17" x14ac:dyDescent="0.35">
      <c r="Q33002" s="1"/>
    </row>
    <row r="33007" spans="17:17" x14ac:dyDescent="0.35">
      <c r="Q33007" s="1"/>
    </row>
    <row r="33011" spans="17:17" x14ac:dyDescent="0.35">
      <c r="Q33011" s="1"/>
    </row>
    <row r="33023" spans="17:17" x14ac:dyDescent="0.35">
      <c r="Q33023" s="1"/>
    </row>
    <row r="33035" spans="17:17" x14ac:dyDescent="0.35">
      <c r="Q33035" s="1"/>
    </row>
    <row r="33037" spans="17:17" x14ac:dyDescent="0.35">
      <c r="Q33037" s="1"/>
    </row>
    <row r="33041" spans="17:17" x14ac:dyDescent="0.35">
      <c r="Q33041" s="1"/>
    </row>
    <row r="33046" spans="17:17" x14ac:dyDescent="0.35">
      <c r="Q33046" s="1"/>
    </row>
    <row r="33047" spans="17:17" x14ac:dyDescent="0.35">
      <c r="Q33047" s="1"/>
    </row>
    <row r="33050" spans="17:17" x14ac:dyDescent="0.35">
      <c r="Q33050" s="1"/>
    </row>
    <row r="33051" spans="17:17" x14ac:dyDescent="0.35">
      <c r="Q33051" s="1"/>
    </row>
    <row r="33070" spans="17:17" x14ac:dyDescent="0.35">
      <c r="Q33070" s="1"/>
    </row>
    <row r="33074" spans="17:17" x14ac:dyDescent="0.35">
      <c r="Q33074" s="1"/>
    </row>
    <row r="33083" spans="17:17" x14ac:dyDescent="0.35">
      <c r="Q33083" s="1"/>
    </row>
    <row r="33089" spans="17:17" x14ac:dyDescent="0.35">
      <c r="Q33089" s="1"/>
    </row>
    <row r="33092" spans="17:17" x14ac:dyDescent="0.35">
      <c r="Q33092" s="1"/>
    </row>
    <row r="33096" spans="17:17" x14ac:dyDescent="0.35">
      <c r="Q33096" s="1"/>
    </row>
    <row r="33097" spans="17:17" x14ac:dyDescent="0.35">
      <c r="Q33097" s="1"/>
    </row>
    <row r="33099" spans="17:17" x14ac:dyDescent="0.35">
      <c r="Q33099" s="1"/>
    </row>
    <row r="33100" spans="17:17" x14ac:dyDescent="0.35">
      <c r="Q33100" s="1"/>
    </row>
    <row r="33101" spans="17:17" x14ac:dyDescent="0.35">
      <c r="Q33101" s="1"/>
    </row>
    <row r="33107" spans="17:17" x14ac:dyDescent="0.35">
      <c r="Q33107" s="1"/>
    </row>
    <row r="33108" spans="17:17" x14ac:dyDescent="0.35">
      <c r="Q33108" s="1"/>
    </row>
    <row r="33110" spans="17:17" x14ac:dyDescent="0.35">
      <c r="Q33110" s="1"/>
    </row>
    <row r="33120" spans="17:17" x14ac:dyDescent="0.35">
      <c r="Q33120" s="1"/>
    </row>
    <row r="33121" spans="17:17" x14ac:dyDescent="0.35">
      <c r="Q33121" s="1"/>
    </row>
    <row r="33126" spans="17:17" x14ac:dyDescent="0.35">
      <c r="Q33126" s="1"/>
    </row>
    <row r="33128" spans="17:17" x14ac:dyDescent="0.35">
      <c r="Q33128" s="1"/>
    </row>
    <row r="33132" spans="17:17" x14ac:dyDescent="0.35">
      <c r="Q33132" s="1"/>
    </row>
    <row r="33135" spans="17:17" x14ac:dyDescent="0.35">
      <c r="Q33135" s="1"/>
    </row>
    <row r="33136" spans="17:17" x14ac:dyDescent="0.35">
      <c r="Q33136" s="1"/>
    </row>
    <row r="33141" spans="17:17" x14ac:dyDescent="0.35">
      <c r="Q33141" s="1"/>
    </row>
    <row r="33143" spans="17:17" x14ac:dyDescent="0.35">
      <c r="Q33143" s="1"/>
    </row>
    <row r="33153" spans="16:17" x14ac:dyDescent="0.35">
      <c r="P33153" s="1"/>
    </row>
    <row r="33154" spans="16:17" x14ac:dyDescent="0.35">
      <c r="Q33154" s="1"/>
    </row>
    <row r="33158" spans="16:17" x14ac:dyDescent="0.35">
      <c r="Q33158" s="1"/>
    </row>
    <row r="33169" spans="17:17" x14ac:dyDescent="0.35">
      <c r="Q33169" s="1"/>
    </row>
    <row r="33175" spans="17:17" x14ac:dyDescent="0.35">
      <c r="Q33175" s="1"/>
    </row>
    <row r="33178" spans="17:17" x14ac:dyDescent="0.35">
      <c r="Q33178" s="1"/>
    </row>
    <row r="33193" spans="16:17" x14ac:dyDescent="0.35">
      <c r="Q33193" s="1"/>
    </row>
    <row r="33196" spans="16:17" x14ac:dyDescent="0.35">
      <c r="P33196" s="1"/>
      <c r="Q33196" s="1"/>
    </row>
    <row r="33197" spans="16:17" x14ac:dyDescent="0.35">
      <c r="P33197" s="1"/>
      <c r="Q33197" s="1"/>
    </row>
    <row r="33202" spans="17:17" x14ac:dyDescent="0.35">
      <c r="Q33202" s="1"/>
    </row>
    <row r="33215" spans="17:17" x14ac:dyDescent="0.35">
      <c r="Q33215" s="1"/>
    </row>
    <row r="33222" spans="16:17" x14ac:dyDescent="0.35">
      <c r="Q33222" s="1"/>
    </row>
    <row r="33229" spans="16:17" x14ac:dyDescent="0.35">
      <c r="P33229" s="1"/>
    </row>
    <row r="33236" spans="3:17" x14ac:dyDescent="0.35">
      <c r="C33236" s="4"/>
    </row>
    <row r="33241" spans="3:17" x14ac:dyDescent="0.35">
      <c r="Q33241" s="1"/>
    </row>
    <row r="33254" spans="17:17" x14ac:dyDescent="0.35">
      <c r="Q33254" s="1"/>
    </row>
    <row r="33257" spans="17:17" x14ac:dyDescent="0.35">
      <c r="Q33257" s="1"/>
    </row>
    <row r="33262" spans="17:17" x14ac:dyDescent="0.35">
      <c r="Q33262" s="1"/>
    </row>
    <row r="33264" spans="17:17" x14ac:dyDescent="0.35">
      <c r="Q33264" s="1"/>
    </row>
    <row r="33271" spans="17:17" x14ac:dyDescent="0.35">
      <c r="Q33271" s="1"/>
    </row>
    <row r="33288" spans="17:17" x14ac:dyDescent="0.35">
      <c r="Q33288" s="1"/>
    </row>
    <row r="33295" spans="17:17" x14ac:dyDescent="0.35">
      <c r="Q33295" s="1"/>
    </row>
    <row r="33296" spans="17:17" x14ac:dyDescent="0.35">
      <c r="Q33296" s="1"/>
    </row>
    <row r="33297" spans="16:17" x14ac:dyDescent="0.35">
      <c r="Q33297" s="1"/>
    </row>
    <row r="33298" spans="16:17" x14ac:dyDescent="0.35">
      <c r="P33298" s="1"/>
    </row>
    <row r="33299" spans="16:17" x14ac:dyDescent="0.35">
      <c r="Q33299" s="1"/>
    </row>
    <row r="33301" spans="16:17" x14ac:dyDescent="0.35">
      <c r="Q33301" s="1"/>
    </row>
    <row r="33304" spans="16:17" x14ac:dyDescent="0.35">
      <c r="Q33304" s="1"/>
    </row>
    <row r="33307" spans="16:17" x14ac:dyDescent="0.35">
      <c r="Q33307" s="1"/>
    </row>
    <row r="33314" spans="17:17" x14ac:dyDescent="0.35">
      <c r="Q33314" s="1"/>
    </row>
    <row r="33325" spans="17:17" x14ac:dyDescent="0.35">
      <c r="Q33325" s="1"/>
    </row>
    <row r="33327" spans="17:17" x14ac:dyDescent="0.35">
      <c r="Q33327" s="1"/>
    </row>
    <row r="33331" spans="17:17" x14ac:dyDescent="0.35">
      <c r="Q33331" s="1"/>
    </row>
    <row r="33332" spans="17:17" x14ac:dyDescent="0.35">
      <c r="Q33332" s="1"/>
    </row>
    <row r="33333" spans="17:17" x14ac:dyDescent="0.35">
      <c r="Q33333" s="1"/>
    </row>
    <row r="33334" spans="17:17" x14ac:dyDescent="0.35">
      <c r="Q33334" s="1"/>
    </row>
    <row r="33350" spans="17:17" x14ac:dyDescent="0.35">
      <c r="Q33350" s="1"/>
    </row>
    <row r="33352" spans="17:17" x14ac:dyDescent="0.35">
      <c r="Q33352" s="1"/>
    </row>
    <row r="33358" spans="17:17" x14ac:dyDescent="0.35">
      <c r="Q33358" s="1"/>
    </row>
    <row r="33373" spans="17:17" x14ac:dyDescent="0.35">
      <c r="Q33373" s="1"/>
    </row>
    <row r="33383" spans="16:17" x14ac:dyDescent="0.35">
      <c r="P33383" s="1"/>
    </row>
    <row r="33385" spans="16:17" x14ac:dyDescent="0.35">
      <c r="Q33385" s="1"/>
    </row>
    <row r="33386" spans="16:17" x14ac:dyDescent="0.35">
      <c r="Q33386" s="1"/>
    </row>
    <row r="33387" spans="16:17" x14ac:dyDescent="0.35">
      <c r="Q33387" s="1"/>
    </row>
    <row r="33393" spans="17:17" x14ac:dyDescent="0.35">
      <c r="Q33393" s="1"/>
    </row>
    <row r="33395" spans="17:17" x14ac:dyDescent="0.35">
      <c r="Q33395" s="1"/>
    </row>
    <row r="33396" spans="17:17" x14ac:dyDescent="0.35">
      <c r="Q33396" s="1"/>
    </row>
    <row r="33402" spans="17:17" x14ac:dyDescent="0.35">
      <c r="Q33402" s="1"/>
    </row>
    <row r="33414" spans="17:17" x14ac:dyDescent="0.35">
      <c r="Q33414" s="1"/>
    </row>
    <row r="33417" spans="17:17" x14ac:dyDescent="0.35">
      <c r="Q33417" s="1"/>
    </row>
    <row r="33422" spans="17:17" x14ac:dyDescent="0.35">
      <c r="Q33422" s="1"/>
    </row>
    <row r="33433" spans="16:17" x14ac:dyDescent="0.35">
      <c r="P33433" s="1"/>
    </row>
    <row r="33434" spans="16:17" x14ac:dyDescent="0.35">
      <c r="P33434" s="1"/>
    </row>
    <row r="33435" spans="16:17" x14ac:dyDescent="0.35">
      <c r="Q33435" s="1"/>
    </row>
    <row r="33438" spans="16:17" x14ac:dyDescent="0.35">
      <c r="Q33438" s="1"/>
    </row>
    <row r="33439" spans="16:17" x14ac:dyDescent="0.35">
      <c r="Q33439" s="1"/>
    </row>
    <row r="33446" spans="6:17" x14ac:dyDescent="0.35">
      <c r="Q33446" s="1"/>
    </row>
    <row r="33447" spans="6:17" x14ac:dyDescent="0.35">
      <c r="Q33447" s="1"/>
    </row>
    <row r="33448" spans="6:17" x14ac:dyDescent="0.35">
      <c r="Q33448" s="1"/>
    </row>
    <row r="33452" spans="6:17" x14ac:dyDescent="0.35">
      <c r="F33452" s="2"/>
    </row>
    <row r="33455" spans="6:17" x14ac:dyDescent="0.35">
      <c r="Q33455" s="1"/>
    </row>
    <row r="33456" spans="6:17" x14ac:dyDescent="0.35">
      <c r="Q33456" s="1"/>
    </row>
    <row r="33457" spans="17:17" x14ac:dyDescent="0.35">
      <c r="Q33457" s="1"/>
    </row>
    <row r="33458" spans="17:17" x14ac:dyDescent="0.35">
      <c r="Q33458" s="1"/>
    </row>
    <row r="33466" spans="17:17" x14ac:dyDescent="0.35">
      <c r="Q33466" s="1"/>
    </row>
    <row r="33467" spans="17:17" x14ac:dyDescent="0.35">
      <c r="Q33467" s="1"/>
    </row>
    <row r="33473" spans="16:17" x14ac:dyDescent="0.35">
      <c r="Q33473" s="1"/>
    </row>
    <row r="33478" spans="16:17" x14ac:dyDescent="0.35">
      <c r="Q33478" s="1"/>
    </row>
    <row r="33482" spans="16:17" x14ac:dyDescent="0.35">
      <c r="P33482" s="1"/>
    </row>
    <row r="33485" spans="16:17" x14ac:dyDescent="0.35">
      <c r="Q33485" s="1"/>
    </row>
    <row r="33489" spans="16:17" x14ac:dyDescent="0.35">
      <c r="Q33489" s="1"/>
    </row>
    <row r="33491" spans="16:17" x14ac:dyDescent="0.35">
      <c r="P33491" s="1"/>
    </row>
    <row r="33499" spans="16:17" x14ac:dyDescent="0.35">
      <c r="Q33499" s="1"/>
    </row>
    <row r="33502" spans="16:17" x14ac:dyDescent="0.35">
      <c r="Q33502" s="1"/>
    </row>
    <row r="33506" spans="17:17" x14ac:dyDescent="0.35">
      <c r="Q33506" s="1"/>
    </row>
    <row r="33523" spans="16:17" x14ac:dyDescent="0.35">
      <c r="Q33523" s="1"/>
    </row>
    <row r="33524" spans="16:17" x14ac:dyDescent="0.35">
      <c r="Q33524" s="1"/>
    </row>
    <row r="33528" spans="16:17" x14ac:dyDescent="0.35">
      <c r="Q33528" s="1"/>
    </row>
    <row r="33530" spans="16:17" x14ac:dyDescent="0.35">
      <c r="P33530" s="1"/>
      <c r="Q33530" s="1"/>
    </row>
    <row r="33533" spans="16:17" x14ac:dyDescent="0.35">
      <c r="Q33533" s="1"/>
    </row>
    <row r="33535" spans="16:17" x14ac:dyDescent="0.35">
      <c r="Q33535" s="1"/>
    </row>
    <row r="33536" spans="16:17" x14ac:dyDescent="0.35">
      <c r="Q33536" s="1"/>
    </row>
    <row r="33542" spans="17:17" x14ac:dyDescent="0.35">
      <c r="Q33542" s="1"/>
    </row>
    <row r="33549" spans="17:17" x14ac:dyDescent="0.35">
      <c r="Q33549" s="1"/>
    </row>
    <row r="33550" spans="17:17" x14ac:dyDescent="0.35">
      <c r="Q33550" s="1"/>
    </row>
    <row r="33551" spans="17:17" x14ac:dyDescent="0.35">
      <c r="Q33551" s="1"/>
    </row>
    <row r="33557" spans="17:17" x14ac:dyDescent="0.35">
      <c r="Q33557" s="1"/>
    </row>
    <row r="33563" spans="17:17" x14ac:dyDescent="0.35">
      <c r="Q33563" s="1"/>
    </row>
    <row r="33571" spans="17:17" x14ac:dyDescent="0.35">
      <c r="Q33571" s="1"/>
    </row>
    <row r="33580" spans="17:17" x14ac:dyDescent="0.35">
      <c r="Q33580" s="1"/>
    </row>
    <row r="33582" spans="17:17" x14ac:dyDescent="0.35">
      <c r="Q33582" s="1"/>
    </row>
    <row r="33586" spans="17:17" x14ac:dyDescent="0.35">
      <c r="Q33586" s="1"/>
    </row>
    <row r="33589" spans="17:17" x14ac:dyDescent="0.35">
      <c r="Q33589" s="1"/>
    </row>
    <row r="33591" spans="17:17" x14ac:dyDescent="0.35">
      <c r="Q33591" s="1"/>
    </row>
    <row r="33592" spans="17:17" x14ac:dyDescent="0.35">
      <c r="Q33592" s="1"/>
    </row>
    <row r="33607" spans="17:17" x14ac:dyDescent="0.35">
      <c r="Q33607" s="1"/>
    </row>
    <row r="33609" spans="17:17" x14ac:dyDescent="0.35">
      <c r="Q33609" s="1"/>
    </row>
    <row r="33615" spans="17:17" x14ac:dyDescent="0.35">
      <c r="Q33615" s="1"/>
    </row>
    <row r="33618" spans="16:17" x14ac:dyDescent="0.35">
      <c r="Q33618" s="1"/>
    </row>
    <row r="33619" spans="16:17" x14ac:dyDescent="0.35">
      <c r="Q33619" s="1"/>
    </row>
    <row r="33620" spans="16:17" x14ac:dyDescent="0.35">
      <c r="Q33620" s="1"/>
    </row>
    <row r="33624" spans="16:17" x14ac:dyDescent="0.35">
      <c r="P33624" s="1"/>
      <c r="Q33624" s="1"/>
    </row>
    <row r="33627" spans="16:17" x14ac:dyDescent="0.35">
      <c r="Q33627" s="1"/>
    </row>
    <row r="33638" spans="17:17" x14ac:dyDescent="0.35">
      <c r="Q33638" s="1"/>
    </row>
    <row r="33657" spans="17:17" x14ac:dyDescent="0.35">
      <c r="Q33657" s="1"/>
    </row>
    <row r="33665" spans="17:17" x14ac:dyDescent="0.35">
      <c r="Q33665" s="1"/>
    </row>
    <row r="33666" spans="17:17" x14ac:dyDescent="0.35">
      <c r="Q33666" s="1"/>
    </row>
    <row r="33667" spans="17:17" x14ac:dyDescent="0.35">
      <c r="Q33667" s="1"/>
    </row>
    <row r="33669" spans="17:17" x14ac:dyDescent="0.35">
      <c r="Q33669" s="1"/>
    </row>
    <row r="33672" spans="17:17" x14ac:dyDescent="0.35">
      <c r="Q33672" s="1"/>
    </row>
    <row r="33676" spans="17:17" x14ac:dyDescent="0.35">
      <c r="Q33676" s="1"/>
    </row>
    <row r="33684" spans="17:17" x14ac:dyDescent="0.35">
      <c r="Q33684" s="1"/>
    </row>
    <row r="33692" spans="17:17" x14ac:dyDescent="0.35">
      <c r="Q33692" s="1"/>
    </row>
    <row r="33698" spans="17:17" x14ac:dyDescent="0.35">
      <c r="Q33698" s="1"/>
    </row>
    <row r="33700" spans="17:17" x14ac:dyDescent="0.35">
      <c r="Q33700" s="1"/>
    </row>
    <row r="33704" spans="17:17" x14ac:dyDescent="0.35">
      <c r="Q33704" s="1"/>
    </row>
    <row r="33708" spans="17:17" x14ac:dyDescent="0.35">
      <c r="Q33708" s="1"/>
    </row>
    <row r="33712" spans="17:17" x14ac:dyDescent="0.35">
      <c r="Q33712" s="1"/>
    </row>
    <row r="33720" spans="17:17" x14ac:dyDescent="0.35">
      <c r="Q33720" s="1"/>
    </row>
    <row r="33722" spans="17:17" x14ac:dyDescent="0.35">
      <c r="Q33722" s="1"/>
    </row>
    <row r="33729" spans="17:17" x14ac:dyDescent="0.35">
      <c r="Q33729" s="1"/>
    </row>
    <row r="33735" spans="17:17" x14ac:dyDescent="0.35">
      <c r="Q33735" s="1"/>
    </row>
    <row r="33741" spans="17:17" x14ac:dyDescent="0.35">
      <c r="Q33741" s="1"/>
    </row>
    <row r="33744" spans="17:17" x14ac:dyDescent="0.35">
      <c r="Q33744" s="1"/>
    </row>
    <row r="33749" spans="16:17" x14ac:dyDescent="0.35">
      <c r="P33749" s="1"/>
      <c r="Q33749" s="1"/>
    </row>
    <row r="33753" spans="16:17" x14ac:dyDescent="0.35">
      <c r="Q33753" s="1"/>
    </row>
    <row r="33762" spans="17:17" x14ac:dyDescent="0.35">
      <c r="Q33762" s="1"/>
    </row>
    <row r="33765" spans="17:17" x14ac:dyDescent="0.35">
      <c r="Q33765" s="1"/>
    </row>
    <row r="33772" spans="17:17" x14ac:dyDescent="0.35">
      <c r="Q33772" s="1"/>
    </row>
    <row r="33777" spans="16:17" x14ac:dyDescent="0.35">
      <c r="Q33777" s="1"/>
    </row>
    <row r="33778" spans="16:17" x14ac:dyDescent="0.35">
      <c r="Q33778" s="1"/>
    </row>
    <row r="33779" spans="16:17" x14ac:dyDescent="0.35">
      <c r="Q33779" s="1"/>
    </row>
    <row r="33782" spans="16:17" x14ac:dyDescent="0.35">
      <c r="Q33782" s="1"/>
    </row>
    <row r="33787" spans="16:17" x14ac:dyDescent="0.35">
      <c r="Q33787" s="1"/>
    </row>
    <row r="33788" spans="16:17" x14ac:dyDescent="0.35">
      <c r="P33788" s="1"/>
    </row>
    <row r="33795" spans="16:17" x14ac:dyDescent="0.35">
      <c r="P33795" s="1"/>
    </row>
    <row r="33797" spans="16:17" x14ac:dyDescent="0.35">
      <c r="P33797" s="1"/>
    </row>
    <row r="33805" spans="16:17" x14ac:dyDescent="0.35">
      <c r="Q33805" s="1"/>
    </row>
    <row r="33808" spans="16:17" x14ac:dyDescent="0.35">
      <c r="Q33808" s="1"/>
    </row>
    <row r="33809" spans="17:17" x14ac:dyDescent="0.35">
      <c r="Q33809" s="1"/>
    </row>
    <row r="33816" spans="17:17" x14ac:dyDescent="0.35">
      <c r="Q33816" s="1"/>
    </row>
    <row r="33820" spans="17:17" x14ac:dyDescent="0.35">
      <c r="Q33820" s="1"/>
    </row>
    <row r="33822" spans="17:17" x14ac:dyDescent="0.35">
      <c r="Q33822" s="1"/>
    </row>
    <row r="33828" spans="17:17" x14ac:dyDescent="0.35">
      <c r="Q33828" s="1"/>
    </row>
    <row r="33833" spans="17:17" x14ac:dyDescent="0.35">
      <c r="Q33833" s="1"/>
    </row>
    <row r="33838" spans="17:17" x14ac:dyDescent="0.35">
      <c r="Q33838" s="1"/>
    </row>
    <row r="33845" spans="17:17" x14ac:dyDescent="0.35">
      <c r="Q33845" s="1"/>
    </row>
    <row r="33850" spans="17:17" x14ac:dyDescent="0.35">
      <c r="Q33850" s="1"/>
    </row>
    <row r="33868" spans="17:17" x14ac:dyDescent="0.35">
      <c r="Q33868" s="1"/>
    </row>
    <row r="33885" spans="16:16" x14ac:dyDescent="0.35">
      <c r="P33885" s="1"/>
    </row>
    <row r="33889" spans="17:17" x14ac:dyDescent="0.35">
      <c r="Q33889" s="1"/>
    </row>
    <row r="33891" spans="17:17" x14ac:dyDescent="0.35">
      <c r="Q33891" s="1"/>
    </row>
    <row r="33893" spans="17:17" x14ac:dyDescent="0.35">
      <c r="Q33893" s="1"/>
    </row>
    <row r="33894" spans="17:17" x14ac:dyDescent="0.35">
      <c r="Q33894" s="1"/>
    </row>
    <row r="33895" spans="17:17" x14ac:dyDescent="0.35">
      <c r="Q33895" s="1"/>
    </row>
    <row r="33897" spans="17:17" x14ac:dyDescent="0.35">
      <c r="Q33897" s="1"/>
    </row>
    <row r="33903" spans="17:17" x14ac:dyDescent="0.35">
      <c r="Q33903" s="1"/>
    </row>
    <row r="33907" spans="17:17" x14ac:dyDescent="0.35">
      <c r="Q33907" s="1"/>
    </row>
    <row r="33908" spans="17:17" x14ac:dyDescent="0.35">
      <c r="Q33908" s="1"/>
    </row>
    <row r="33909" spans="17:17" x14ac:dyDescent="0.35">
      <c r="Q33909" s="1"/>
    </row>
    <row r="33925" spans="11:17" x14ac:dyDescent="0.35">
      <c r="Q33925" s="1"/>
    </row>
    <row r="33928" spans="11:17" x14ac:dyDescent="0.35">
      <c r="Q33928" s="1"/>
    </row>
    <row r="33932" spans="11:17" x14ac:dyDescent="0.35">
      <c r="P33932" s="1"/>
    </row>
    <row r="33936" spans="11:17" x14ac:dyDescent="0.35">
      <c r="K33936" s="1"/>
    </row>
    <row r="33939" spans="16:17" x14ac:dyDescent="0.35">
      <c r="Q33939" s="1"/>
    </row>
    <row r="33941" spans="16:17" x14ac:dyDescent="0.35">
      <c r="P33941" s="1"/>
    </row>
    <row r="33943" spans="16:17" x14ac:dyDescent="0.35">
      <c r="Q33943" s="1"/>
    </row>
    <row r="33944" spans="16:17" x14ac:dyDescent="0.35">
      <c r="P33944" s="1"/>
    </row>
    <row r="33946" spans="16:17" x14ac:dyDescent="0.35">
      <c r="P33946" s="1"/>
      <c r="Q33946" s="1"/>
    </row>
    <row r="33947" spans="16:17" x14ac:dyDescent="0.35">
      <c r="Q33947" s="1"/>
    </row>
    <row r="33950" spans="16:17" x14ac:dyDescent="0.35">
      <c r="Q33950" s="1"/>
    </row>
    <row r="33951" spans="16:17" x14ac:dyDescent="0.35">
      <c r="Q33951" s="1"/>
    </row>
    <row r="33958" spans="17:17" x14ac:dyDescent="0.35">
      <c r="Q33958" s="1"/>
    </row>
    <row r="33961" spans="17:17" x14ac:dyDescent="0.35">
      <c r="Q33961" s="1"/>
    </row>
    <row r="33965" spans="17:17" x14ac:dyDescent="0.35">
      <c r="Q33965" s="1"/>
    </row>
    <row r="33966" spans="17:17" x14ac:dyDescent="0.35">
      <c r="Q33966" s="1"/>
    </row>
    <row r="33975" spans="17:17" x14ac:dyDescent="0.35">
      <c r="Q33975" s="1"/>
    </row>
    <row r="33985" spans="16:17" x14ac:dyDescent="0.35">
      <c r="Q33985" s="1"/>
    </row>
    <row r="33988" spans="16:17" x14ac:dyDescent="0.35">
      <c r="Q33988" s="1"/>
    </row>
    <row r="33991" spans="16:17" x14ac:dyDescent="0.35">
      <c r="P33991" s="1"/>
    </row>
    <row r="33996" spans="16:17" x14ac:dyDescent="0.35">
      <c r="P33996" s="1"/>
      <c r="Q33996" s="1"/>
    </row>
    <row r="33998" spans="16:17" x14ac:dyDescent="0.35">
      <c r="Q33998" s="1"/>
    </row>
    <row r="34005" spans="17:17" x14ac:dyDescent="0.35">
      <c r="Q34005" s="1"/>
    </row>
    <row r="34016" spans="17:17" x14ac:dyDescent="0.35">
      <c r="Q34016" s="1"/>
    </row>
    <row r="34017" spans="17:17" x14ac:dyDescent="0.35">
      <c r="Q34017" s="1"/>
    </row>
    <row r="34018" spans="17:17" x14ac:dyDescent="0.35">
      <c r="Q34018" s="1"/>
    </row>
    <row r="34027" spans="17:17" x14ac:dyDescent="0.35">
      <c r="Q34027" s="1"/>
    </row>
    <row r="34028" spans="17:17" x14ac:dyDescent="0.35">
      <c r="Q34028" s="1"/>
    </row>
    <row r="34030" spans="17:17" x14ac:dyDescent="0.35">
      <c r="Q34030" s="1"/>
    </row>
    <row r="34031" spans="17:17" x14ac:dyDescent="0.35">
      <c r="Q34031" s="1"/>
    </row>
    <row r="34036" spans="17:17" x14ac:dyDescent="0.35">
      <c r="Q34036" s="1"/>
    </row>
    <row r="34037" spans="17:17" x14ac:dyDescent="0.35">
      <c r="Q34037" s="1"/>
    </row>
    <row r="34038" spans="17:17" x14ac:dyDescent="0.35">
      <c r="Q34038" s="1"/>
    </row>
    <row r="34041" spans="17:17" x14ac:dyDescent="0.35">
      <c r="Q34041" s="1"/>
    </row>
    <row r="34042" spans="17:17" x14ac:dyDescent="0.35">
      <c r="Q34042" s="1"/>
    </row>
    <row r="34046" spans="17:17" x14ac:dyDescent="0.35">
      <c r="Q34046" s="1"/>
    </row>
    <row r="34050" spans="17:17" x14ac:dyDescent="0.35">
      <c r="Q34050" s="1"/>
    </row>
    <row r="34051" spans="17:17" x14ac:dyDescent="0.35">
      <c r="Q34051" s="1"/>
    </row>
    <row r="34053" spans="17:17" x14ac:dyDescent="0.35">
      <c r="Q34053" s="1"/>
    </row>
    <row r="34073" spans="17:17" x14ac:dyDescent="0.35">
      <c r="Q34073" s="1"/>
    </row>
    <row r="34081" spans="17:17" x14ac:dyDescent="0.35">
      <c r="Q34081" s="1"/>
    </row>
    <row r="34086" spans="17:17" x14ac:dyDescent="0.35">
      <c r="Q34086" s="1"/>
    </row>
    <row r="34087" spans="17:17" x14ac:dyDescent="0.35">
      <c r="Q34087" s="1"/>
    </row>
    <row r="34088" spans="17:17" x14ac:dyDescent="0.35">
      <c r="Q34088" s="1"/>
    </row>
    <row r="34090" spans="17:17" x14ac:dyDescent="0.35">
      <c r="Q34090" s="1"/>
    </row>
    <row r="34091" spans="17:17" x14ac:dyDescent="0.35">
      <c r="Q34091" s="1"/>
    </row>
    <row r="34106" spans="17:17" x14ac:dyDescent="0.35">
      <c r="Q34106" s="1"/>
    </row>
    <row r="34110" spans="17:17" x14ac:dyDescent="0.35">
      <c r="Q34110" s="1"/>
    </row>
    <row r="34114" spans="17:17" x14ac:dyDescent="0.35">
      <c r="Q34114" s="1"/>
    </row>
    <row r="34115" spans="17:17" x14ac:dyDescent="0.35">
      <c r="Q34115" s="1"/>
    </row>
    <row r="34117" spans="17:17" x14ac:dyDescent="0.35">
      <c r="Q34117" s="1"/>
    </row>
    <row r="34120" spans="17:17" x14ac:dyDescent="0.35">
      <c r="Q34120" s="1"/>
    </row>
    <row r="34130" spans="17:17" x14ac:dyDescent="0.35">
      <c r="Q34130" s="1"/>
    </row>
    <row r="34131" spans="17:17" x14ac:dyDescent="0.35">
      <c r="Q34131" s="1"/>
    </row>
    <row r="34135" spans="17:17" x14ac:dyDescent="0.35">
      <c r="Q34135" s="1"/>
    </row>
    <row r="34136" spans="17:17" x14ac:dyDescent="0.35">
      <c r="Q34136" s="1"/>
    </row>
    <row r="34139" spans="17:17" x14ac:dyDescent="0.35">
      <c r="Q34139" s="1"/>
    </row>
    <row r="34140" spans="17:17" x14ac:dyDescent="0.35">
      <c r="Q34140" s="1"/>
    </row>
    <row r="34141" spans="17:17" x14ac:dyDescent="0.35">
      <c r="Q34141" s="1"/>
    </row>
    <row r="34148" spans="17:17" x14ac:dyDescent="0.35">
      <c r="Q34148" s="1"/>
    </row>
    <row r="34149" spans="17:17" x14ac:dyDescent="0.35">
      <c r="Q34149" s="1"/>
    </row>
    <row r="34150" spans="17:17" x14ac:dyDescent="0.35">
      <c r="Q34150" s="1"/>
    </row>
    <row r="34151" spans="17:17" x14ac:dyDescent="0.35">
      <c r="Q34151" s="1"/>
    </row>
    <row r="34156" spans="17:17" x14ac:dyDescent="0.35">
      <c r="Q34156" s="1"/>
    </row>
    <row r="34157" spans="17:17" x14ac:dyDescent="0.35">
      <c r="Q34157" s="1"/>
    </row>
    <row r="34163" spans="17:17" x14ac:dyDescent="0.35">
      <c r="Q34163" s="1"/>
    </row>
    <row r="34164" spans="17:17" x14ac:dyDescent="0.35">
      <c r="Q34164" s="1"/>
    </row>
    <row r="34165" spans="17:17" x14ac:dyDescent="0.35">
      <c r="Q34165" s="1"/>
    </row>
    <row r="34167" spans="17:17" x14ac:dyDescent="0.35">
      <c r="Q34167" s="1"/>
    </row>
    <row r="34169" spans="17:17" x14ac:dyDescent="0.35">
      <c r="Q34169" s="1"/>
    </row>
    <row r="34172" spans="17:17" x14ac:dyDescent="0.35">
      <c r="Q34172" s="1"/>
    </row>
    <row r="34174" spans="17:17" x14ac:dyDescent="0.35">
      <c r="Q34174" s="1"/>
    </row>
    <row r="34176" spans="17:17" x14ac:dyDescent="0.35">
      <c r="Q34176" s="1"/>
    </row>
    <row r="34177" spans="17:17" x14ac:dyDescent="0.35">
      <c r="Q34177" s="1"/>
    </row>
    <row r="34179" spans="17:17" x14ac:dyDescent="0.35">
      <c r="Q34179" s="1"/>
    </row>
    <row r="34181" spans="17:17" x14ac:dyDescent="0.35">
      <c r="Q34181" s="1"/>
    </row>
    <row r="34182" spans="17:17" x14ac:dyDescent="0.35">
      <c r="Q34182" s="1"/>
    </row>
    <row r="34195" spans="17:17" x14ac:dyDescent="0.35">
      <c r="Q34195" s="1"/>
    </row>
    <row r="34196" spans="17:17" x14ac:dyDescent="0.35">
      <c r="Q34196" s="1"/>
    </row>
    <row r="34197" spans="17:17" x14ac:dyDescent="0.35">
      <c r="Q34197" s="1"/>
    </row>
    <row r="34198" spans="17:17" x14ac:dyDescent="0.35">
      <c r="Q34198" s="1"/>
    </row>
    <row r="34199" spans="17:17" x14ac:dyDescent="0.35">
      <c r="Q34199" s="1"/>
    </row>
    <row r="34200" spans="17:17" x14ac:dyDescent="0.35">
      <c r="Q34200" s="1"/>
    </row>
    <row r="34201" spans="17:17" x14ac:dyDescent="0.35">
      <c r="Q34201" s="1"/>
    </row>
    <row r="34202" spans="17:17" x14ac:dyDescent="0.35">
      <c r="Q34202" s="1"/>
    </row>
    <row r="34207" spans="17:17" x14ac:dyDescent="0.35">
      <c r="Q34207" s="1"/>
    </row>
    <row r="34218" spans="17:17" x14ac:dyDescent="0.35">
      <c r="Q34218" s="1"/>
    </row>
    <row r="34221" spans="17:17" x14ac:dyDescent="0.35">
      <c r="Q34221" s="1"/>
    </row>
    <row r="34222" spans="17:17" x14ac:dyDescent="0.35">
      <c r="Q34222" s="1"/>
    </row>
    <row r="34223" spans="17:17" x14ac:dyDescent="0.35">
      <c r="Q34223" s="1"/>
    </row>
    <row r="34224" spans="17:17" x14ac:dyDescent="0.35">
      <c r="Q34224" s="1"/>
    </row>
    <row r="34225" spans="17:17" x14ac:dyDescent="0.35">
      <c r="Q34225" s="1"/>
    </row>
    <row r="34230" spans="17:17" x14ac:dyDescent="0.35">
      <c r="Q34230" s="1"/>
    </row>
    <row r="34231" spans="17:17" x14ac:dyDescent="0.35">
      <c r="Q34231" s="1"/>
    </row>
    <row r="34232" spans="17:17" x14ac:dyDescent="0.35">
      <c r="Q34232" s="1"/>
    </row>
    <row r="34236" spans="17:17" x14ac:dyDescent="0.35">
      <c r="Q34236" s="1"/>
    </row>
    <row r="34254" spans="17:17" x14ac:dyDescent="0.35">
      <c r="Q34254" s="1"/>
    </row>
    <row r="34257" spans="17:17" x14ac:dyDescent="0.35">
      <c r="Q34257" s="1"/>
    </row>
    <row r="34261" spans="17:17" x14ac:dyDescent="0.35">
      <c r="Q34261" s="1"/>
    </row>
    <row r="34271" spans="17:17" x14ac:dyDescent="0.35">
      <c r="Q34271" s="1"/>
    </row>
    <row r="34272" spans="17:17" x14ac:dyDescent="0.35">
      <c r="Q34272" s="1"/>
    </row>
    <row r="34273" spans="17:17" x14ac:dyDescent="0.35">
      <c r="Q34273" s="1"/>
    </row>
    <row r="34279" spans="17:17" x14ac:dyDescent="0.35">
      <c r="Q34279" s="1"/>
    </row>
    <row r="34281" spans="17:17" x14ac:dyDescent="0.35">
      <c r="Q34281" s="1"/>
    </row>
    <row r="34283" spans="17:17" x14ac:dyDescent="0.35">
      <c r="Q34283" s="1"/>
    </row>
    <row r="34288" spans="17:17" x14ac:dyDescent="0.35">
      <c r="Q34288" s="1"/>
    </row>
    <row r="34300" spans="17:17" x14ac:dyDescent="0.35">
      <c r="Q34300" s="1"/>
    </row>
    <row r="34306" spans="17:17" x14ac:dyDescent="0.35">
      <c r="Q34306" s="1"/>
    </row>
    <row r="34313" spans="17:17" x14ac:dyDescent="0.35">
      <c r="Q34313" s="1"/>
    </row>
    <row r="34319" spans="17:17" x14ac:dyDescent="0.35">
      <c r="Q34319" s="1"/>
    </row>
    <row r="34321" spans="17:17" x14ac:dyDescent="0.35">
      <c r="Q34321" s="1"/>
    </row>
    <row r="34322" spans="17:17" x14ac:dyDescent="0.35">
      <c r="Q34322" s="1"/>
    </row>
    <row r="34323" spans="17:17" x14ac:dyDescent="0.35">
      <c r="Q34323" s="1"/>
    </row>
    <row r="34324" spans="17:17" x14ac:dyDescent="0.35">
      <c r="Q34324" s="1"/>
    </row>
    <row r="34325" spans="17:17" x14ac:dyDescent="0.35">
      <c r="Q34325" s="1"/>
    </row>
    <row r="34328" spans="17:17" x14ac:dyDescent="0.35">
      <c r="Q34328" s="1"/>
    </row>
    <row r="34330" spans="17:17" x14ac:dyDescent="0.35">
      <c r="Q34330" s="1"/>
    </row>
    <row r="34331" spans="17:17" x14ac:dyDescent="0.35">
      <c r="Q34331" s="1"/>
    </row>
    <row r="34333" spans="17:17" x14ac:dyDescent="0.35">
      <c r="Q34333" s="1"/>
    </row>
    <row r="34335" spans="17:17" x14ac:dyDescent="0.35">
      <c r="Q34335" s="1"/>
    </row>
    <row r="34336" spans="17:17" x14ac:dyDescent="0.35">
      <c r="Q34336" s="1"/>
    </row>
    <row r="34338" spans="17:17" x14ac:dyDescent="0.35">
      <c r="Q34338" s="1"/>
    </row>
    <row r="34339" spans="17:17" x14ac:dyDescent="0.35">
      <c r="Q34339" s="1"/>
    </row>
    <row r="34345" spans="17:17" x14ac:dyDescent="0.35">
      <c r="Q34345" s="1"/>
    </row>
    <row r="34346" spans="17:17" x14ac:dyDescent="0.35">
      <c r="Q34346" s="1"/>
    </row>
    <row r="34347" spans="17:17" x14ac:dyDescent="0.35">
      <c r="Q34347" s="1"/>
    </row>
    <row r="34349" spans="17:17" x14ac:dyDescent="0.35">
      <c r="Q34349" s="1"/>
    </row>
    <row r="34350" spans="17:17" x14ac:dyDescent="0.35">
      <c r="Q34350" s="1"/>
    </row>
    <row r="34351" spans="17:17" x14ac:dyDescent="0.35">
      <c r="Q34351" s="1"/>
    </row>
    <row r="34353" spans="17:17" x14ac:dyDescent="0.35">
      <c r="Q34353" s="1"/>
    </row>
    <row r="34357" spans="17:17" x14ac:dyDescent="0.35">
      <c r="Q34357" s="1"/>
    </row>
    <row r="34358" spans="17:17" x14ac:dyDescent="0.35">
      <c r="Q34358" s="1"/>
    </row>
    <row r="34359" spans="17:17" x14ac:dyDescent="0.35">
      <c r="Q34359" s="1"/>
    </row>
    <row r="34361" spans="17:17" x14ac:dyDescent="0.35">
      <c r="Q34361" s="1"/>
    </row>
    <row r="34362" spans="17:17" x14ac:dyDescent="0.35">
      <c r="Q34362" s="1"/>
    </row>
    <row r="34365" spans="17:17" x14ac:dyDescent="0.35">
      <c r="Q34365" s="1"/>
    </row>
    <row r="34366" spans="17:17" x14ac:dyDescent="0.35">
      <c r="Q34366" s="1"/>
    </row>
    <row r="34367" spans="17:17" x14ac:dyDescent="0.35">
      <c r="Q34367" s="1"/>
    </row>
    <row r="34370" spans="17:17" x14ac:dyDescent="0.35">
      <c r="Q34370" s="1"/>
    </row>
    <row r="34373" spans="17:17" x14ac:dyDescent="0.35">
      <c r="Q34373" s="1"/>
    </row>
    <row r="34382" spans="17:17" x14ac:dyDescent="0.35">
      <c r="Q34382" s="1"/>
    </row>
    <row r="34384" spans="17:17" x14ac:dyDescent="0.35">
      <c r="Q34384" s="1"/>
    </row>
    <row r="34385" spans="17:17" x14ac:dyDescent="0.35">
      <c r="Q34385" s="1"/>
    </row>
    <row r="34391" spans="17:17" x14ac:dyDescent="0.35">
      <c r="Q34391" s="1"/>
    </row>
    <row r="34396" spans="17:17" x14ac:dyDescent="0.35">
      <c r="Q34396" s="1"/>
    </row>
    <row r="34398" spans="17:17" x14ac:dyDescent="0.35">
      <c r="Q34398" s="1"/>
    </row>
    <row r="34399" spans="17:17" x14ac:dyDescent="0.35">
      <c r="Q34399" s="1"/>
    </row>
    <row r="34401" spans="17:17" x14ac:dyDescent="0.35">
      <c r="Q34401" s="1"/>
    </row>
    <row r="34407" spans="17:17" x14ac:dyDescent="0.35">
      <c r="Q34407" s="1"/>
    </row>
    <row r="34409" spans="17:17" x14ac:dyDescent="0.35">
      <c r="Q34409" s="1"/>
    </row>
    <row r="34416" spans="17:17" x14ac:dyDescent="0.35">
      <c r="Q34416" s="1"/>
    </row>
    <row r="34422" spans="17:17" x14ac:dyDescent="0.35">
      <c r="Q34422" s="1"/>
    </row>
    <row r="34428" spans="17:17" x14ac:dyDescent="0.35">
      <c r="Q34428" s="1"/>
    </row>
    <row r="34430" spans="17:17" x14ac:dyDescent="0.35">
      <c r="Q34430" s="1"/>
    </row>
    <row r="34439" spans="17:17" x14ac:dyDescent="0.35">
      <c r="Q34439" s="1"/>
    </row>
    <row r="34441" spans="17:17" x14ac:dyDescent="0.35">
      <c r="Q34441" s="1"/>
    </row>
    <row r="34443" spans="17:17" x14ac:dyDescent="0.35">
      <c r="Q34443" s="1"/>
    </row>
    <row r="34444" spans="17:17" x14ac:dyDescent="0.35">
      <c r="Q34444" s="1"/>
    </row>
    <row r="34445" spans="17:17" x14ac:dyDescent="0.35">
      <c r="Q34445" s="1"/>
    </row>
    <row r="34449" spans="17:17" x14ac:dyDescent="0.35">
      <c r="Q34449" s="1"/>
    </row>
    <row r="34450" spans="17:17" x14ac:dyDescent="0.35">
      <c r="Q34450" s="1"/>
    </row>
    <row r="34451" spans="17:17" x14ac:dyDescent="0.35">
      <c r="Q34451" s="1"/>
    </row>
    <row r="34452" spans="17:17" x14ac:dyDescent="0.35">
      <c r="Q34452" s="1"/>
    </row>
    <row r="34453" spans="17:17" x14ac:dyDescent="0.35">
      <c r="Q34453" s="1"/>
    </row>
    <row r="34454" spans="17:17" x14ac:dyDescent="0.35">
      <c r="Q34454" s="1"/>
    </row>
    <row r="34464" spans="17:17" x14ac:dyDescent="0.35">
      <c r="Q34464" s="1"/>
    </row>
    <row r="34479" spans="17:17" x14ac:dyDescent="0.35">
      <c r="Q34479" s="1"/>
    </row>
    <row r="34480" spans="17:17" x14ac:dyDescent="0.35">
      <c r="Q34480" s="1"/>
    </row>
    <row r="34482" spans="17:17" x14ac:dyDescent="0.35">
      <c r="Q34482" s="1"/>
    </row>
    <row r="34483" spans="17:17" x14ac:dyDescent="0.35">
      <c r="Q34483" s="1"/>
    </row>
    <row r="34484" spans="17:17" x14ac:dyDescent="0.35">
      <c r="Q34484" s="1"/>
    </row>
    <row r="34489" spans="17:17" x14ac:dyDescent="0.35">
      <c r="Q34489" s="1"/>
    </row>
    <row r="34491" spans="17:17" x14ac:dyDescent="0.35">
      <c r="Q34491" s="1"/>
    </row>
    <row r="34495" spans="17:17" x14ac:dyDescent="0.35">
      <c r="Q34495" s="1"/>
    </row>
    <row r="34499" spans="17:17" x14ac:dyDescent="0.35">
      <c r="Q34499" s="1"/>
    </row>
    <row r="34502" spans="17:17" x14ac:dyDescent="0.35">
      <c r="Q34502" s="1"/>
    </row>
    <row r="34505" spans="17:17" x14ac:dyDescent="0.35">
      <c r="Q34505" s="1"/>
    </row>
    <row r="34506" spans="17:17" x14ac:dyDescent="0.35">
      <c r="Q34506" s="1"/>
    </row>
    <row r="34509" spans="17:17" x14ac:dyDescent="0.35">
      <c r="Q34509" s="1"/>
    </row>
    <row r="34512" spans="17:17" x14ac:dyDescent="0.35">
      <c r="Q34512" s="1"/>
    </row>
    <row r="34515" spans="17:17" x14ac:dyDescent="0.35">
      <c r="Q34515" s="1"/>
    </row>
    <row r="34520" spans="17:17" x14ac:dyDescent="0.35">
      <c r="Q34520" s="1"/>
    </row>
    <row r="34524" spans="17:17" x14ac:dyDescent="0.35">
      <c r="Q34524" s="1"/>
    </row>
    <row r="34526" spans="17:17" x14ac:dyDescent="0.35">
      <c r="Q34526" s="1"/>
    </row>
    <row r="34554" spans="17:17" x14ac:dyDescent="0.35">
      <c r="Q34554" s="1"/>
    </row>
    <row r="34557" spans="17:17" x14ac:dyDescent="0.35">
      <c r="Q34557" s="1"/>
    </row>
    <row r="34560" spans="17:17" x14ac:dyDescent="0.35">
      <c r="Q34560" s="1"/>
    </row>
    <row r="34564" spans="17:17" x14ac:dyDescent="0.35">
      <c r="Q34564" s="1"/>
    </row>
    <row r="34565" spans="17:17" x14ac:dyDescent="0.35">
      <c r="Q34565" s="1"/>
    </row>
    <row r="34567" spans="17:17" x14ac:dyDescent="0.35">
      <c r="Q34567" s="1"/>
    </row>
    <row r="34570" spans="17:17" x14ac:dyDescent="0.35">
      <c r="Q34570" s="1"/>
    </row>
    <row r="34572" spans="17:17" x14ac:dyDescent="0.35">
      <c r="Q34572" s="1"/>
    </row>
    <row r="34580" spans="17:17" x14ac:dyDescent="0.35">
      <c r="Q34580" s="1"/>
    </row>
    <row r="34584" spans="17:17" x14ac:dyDescent="0.35">
      <c r="Q34584" s="1"/>
    </row>
    <row r="34585" spans="17:17" x14ac:dyDescent="0.35">
      <c r="Q34585" s="1"/>
    </row>
    <row r="34586" spans="17:17" x14ac:dyDescent="0.35">
      <c r="Q34586" s="1"/>
    </row>
    <row r="34590" spans="17:17" x14ac:dyDescent="0.35">
      <c r="Q34590" s="1"/>
    </row>
    <row r="34593" spans="17:17" x14ac:dyDescent="0.35">
      <c r="Q34593" s="1"/>
    </row>
    <row r="34596" spans="17:17" x14ac:dyDescent="0.35">
      <c r="Q34596" s="1"/>
    </row>
    <row r="34598" spans="17:17" x14ac:dyDescent="0.35">
      <c r="Q34598" s="1"/>
    </row>
    <row r="34599" spans="17:17" x14ac:dyDescent="0.35">
      <c r="Q34599" s="1"/>
    </row>
    <row r="34600" spans="17:17" x14ac:dyDescent="0.35">
      <c r="Q34600" s="1"/>
    </row>
    <row r="34605" spans="17:17" x14ac:dyDescent="0.35">
      <c r="Q34605" s="1"/>
    </row>
    <row r="34607" spans="17:17" x14ac:dyDescent="0.35">
      <c r="Q34607" s="1"/>
    </row>
    <row r="34613" spans="17:17" x14ac:dyDescent="0.35">
      <c r="Q34613" s="1"/>
    </row>
    <row r="34614" spans="17:17" x14ac:dyDescent="0.35">
      <c r="Q34614" s="1"/>
    </row>
    <row r="34616" spans="17:17" x14ac:dyDescent="0.35">
      <c r="Q34616" s="1"/>
    </row>
    <row r="34620" spans="17:17" x14ac:dyDescent="0.35">
      <c r="Q34620" s="1"/>
    </row>
    <row r="34627" spans="17:17" x14ac:dyDescent="0.35">
      <c r="Q34627" s="1"/>
    </row>
    <row r="34628" spans="17:17" x14ac:dyDescent="0.35">
      <c r="Q34628" s="1"/>
    </row>
    <row r="34632" spans="17:17" x14ac:dyDescent="0.35">
      <c r="Q34632" s="1"/>
    </row>
    <row r="34642" spans="17:17" x14ac:dyDescent="0.35">
      <c r="Q34642" s="1"/>
    </row>
    <row r="34644" spans="17:17" x14ac:dyDescent="0.35">
      <c r="Q34644" s="1"/>
    </row>
    <row r="34647" spans="17:17" x14ac:dyDescent="0.35">
      <c r="Q34647" s="1"/>
    </row>
    <row r="34648" spans="17:17" x14ac:dyDescent="0.35">
      <c r="Q34648" s="1"/>
    </row>
    <row r="34650" spans="17:17" x14ac:dyDescent="0.35">
      <c r="Q34650" s="1"/>
    </row>
    <row r="34651" spans="17:17" x14ac:dyDescent="0.35">
      <c r="Q34651" s="1"/>
    </row>
    <row r="34655" spans="17:17" x14ac:dyDescent="0.35">
      <c r="Q34655" s="1"/>
    </row>
    <row r="34658" spans="17:17" x14ac:dyDescent="0.35">
      <c r="Q34658" s="1"/>
    </row>
    <row r="34659" spans="17:17" x14ac:dyDescent="0.35">
      <c r="Q34659" s="1"/>
    </row>
    <row r="34665" spans="17:17" x14ac:dyDescent="0.35">
      <c r="Q34665" s="1"/>
    </row>
    <row r="34668" spans="17:17" x14ac:dyDescent="0.35">
      <c r="Q34668" s="1"/>
    </row>
    <row r="34669" spans="17:17" x14ac:dyDescent="0.35">
      <c r="Q34669" s="1"/>
    </row>
    <row r="34671" spans="17:17" x14ac:dyDescent="0.35">
      <c r="Q34671" s="1"/>
    </row>
    <row r="34673" spans="17:17" x14ac:dyDescent="0.35">
      <c r="Q34673" s="1"/>
    </row>
    <row r="34680" spans="17:17" x14ac:dyDescent="0.35">
      <c r="Q34680" s="1"/>
    </row>
    <row r="34687" spans="17:17" x14ac:dyDescent="0.35">
      <c r="Q34687" s="1"/>
    </row>
    <row r="34700" spans="17:17" x14ac:dyDescent="0.35">
      <c r="Q34700" s="1"/>
    </row>
    <row r="34701" spans="17:17" x14ac:dyDescent="0.35">
      <c r="Q34701" s="1"/>
    </row>
    <row r="34706" spans="17:17" x14ac:dyDescent="0.35">
      <c r="Q34706" s="1"/>
    </row>
    <row r="34710" spans="17:17" x14ac:dyDescent="0.35">
      <c r="Q34710" s="1"/>
    </row>
    <row r="34712" spans="17:17" x14ac:dyDescent="0.35">
      <c r="Q34712" s="1"/>
    </row>
    <row r="34718" spans="17:17" x14ac:dyDescent="0.35">
      <c r="Q34718" s="1"/>
    </row>
    <row r="34723" spans="17:17" x14ac:dyDescent="0.35">
      <c r="Q34723" s="1"/>
    </row>
    <row r="34733" spans="17:17" x14ac:dyDescent="0.35">
      <c r="Q34733" s="1"/>
    </row>
    <row r="34753" spans="17:17" x14ac:dyDescent="0.35">
      <c r="Q34753" s="1"/>
    </row>
    <row r="34757" spans="17:17" x14ac:dyDescent="0.35">
      <c r="Q34757" s="1"/>
    </row>
    <row r="34762" spans="17:17" x14ac:dyDescent="0.35">
      <c r="Q34762" s="1"/>
    </row>
    <row r="34765" spans="17:17" x14ac:dyDescent="0.35">
      <c r="Q34765" s="1"/>
    </row>
    <row r="34770" spans="17:17" x14ac:dyDescent="0.35">
      <c r="Q34770" s="1"/>
    </row>
    <row r="34779" spans="17:17" x14ac:dyDescent="0.35">
      <c r="Q34779" s="1"/>
    </row>
    <row r="34783" spans="17:17" x14ac:dyDescent="0.35">
      <c r="Q34783" s="1"/>
    </row>
    <row r="34790" spans="17:17" x14ac:dyDescent="0.35">
      <c r="Q34790" s="1"/>
    </row>
    <row r="34792" spans="17:17" x14ac:dyDescent="0.35">
      <c r="Q34792" s="1"/>
    </row>
    <row r="34793" spans="17:17" x14ac:dyDescent="0.35">
      <c r="Q34793" s="1"/>
    </row>
    <row r="34794" spans="17:17" x14ac:dyDescent="0.35">
      <c r="Q34794" s="1"/>
    </row>
    <row r="34795" spans="17:17" x14ac:dyDescent="0.35">
      <c r="Q34795" s="1"/>
    </row>
    <row r="34796" spans="17:17" x14ac:dyDescent="0.35">
      <c r="Q34796" s="1"/>
    </row>
    <row r="34797" spans="17:17" x14ac:dyDescent="0.35">
      <c r="Q34797" s="1"/>
    </row>
    <row r="34798" spans="17:17" x14ac:dyDescent="0.35">
      <c r="Q34798" s="1"/>
    </row>
    <row r="34800" spans="17:17" x14ac:dyDescent="0.35">
      <c r="Q34800" s="1"/>
    </row>
    <row r="34806" spans="17:17" x14ac:dyDescent="0.35">
      <c r="Q34806" s="1"/>
    </row>
    <row r="34809" spans="17:17" x14ac:dyDescent="0.35">
      <c r="Q34809" s="1"/>
    </row>
    <row r="34814" spans="17:17" x14ac:dyDescent="0.35">
      <c r="Q34814" s="1"/>
    </row>
    <row r="34819" spans="17:17" x14ac:dyDescent="0.35">
      <c r="Q34819" s="1"/>
    </row>
    <row r="34820" spans="17:17" x14ac:dyDescent="0.35">
      <c r="Q34820" s="1"/>
    </row>
    <row r="34821" spans="17:17" x14ac:dyDescent="0.35">
      <c r="Q34821" s="1"/>
    </row>
    <row r="34823" spans="17:17" x14ac:dyDescent="0.35">
      <c r="Q34823" s="1"/>
    </row>
    <row r="34825" spans="17:17" x14ac:dyDescent="0.35">
      <c r="Q34825" s="1"/>
    </row>
    <row r="34828" spans="17:17" x14ac:dyDescent="0.35">
      <c r="Q34828" s="1"/>
    </row>
    <row r="34831" spans="17:17" x14ac:dyDescent="0.35">
      <c r="Q34831" s="1"/>
    </row>
    <row r="34836" spans="17:17" x14ac:dyDescent="0.35">
      <c r="Q34836" s="1"/>
    </row>
    <row r="34855" spans="17:17" x14ac:dyDescent="0.35">
      <c r="Q34855" s="1"/>
    </row>
    <row r="34860" spans="17:17" x14ac:dyDescent="0.35">
      <c r="Q34860" s="1"/>
    </row>
    <row r="34865" spans="17:17" x14ac:dyDescent="0.35">
      <c r="Q34865" s="1"/>
    </row>
    <row r="34872" spans="17:17" x14ac:dyDescent="0.35">
      <c r="Q34872" s="1"/>
    </row>
    <row r="34875" spans="17:17" x14ac:dyDescent="0.35">
      <c r="Q34875" s="1"/>
    </row>
    <row r="34879" spans="17:17" x14ac:dyDescent="0.35">
      <c r="Q34879" s="1"/>
    </row>
    <row r="34881" spans="17:17" x14ac:dyDescent="0.35">
      <c r="Q34881" s="1"/>
    </row>
    <row r="34889" spans="17:17" x14ac:dyDescent="0.35">
      <c r="Q34889" s="1"/>
    </row>
    <row r="34894" spans="17:17" x14ac:dyDescent="0.35">
      <c r="Q34894" s="1"/>
    </row>
    <row r="34896" spans="17:17" x14ac:dyDescent="0.35">
      <c r="Q34896" s="1"/>
    </row>
    <row r="34904" spans="17:17" x14ac:dyDescent="0.35">
      <c r="Q34904" s="1"/>
    </row>
    <row r="34905" spans="17:17" x14ac:dyDescent="0.35">
      <c r="Q34905" s="1"/>
    </row>
    <row r="34919" spans="17:17" x14ac:dyDescent="0.35">
      <c r="Q34919" s="1"/>
    </row>
    <row r="34924" spans="17:17" x14ac:dyDescent="0.35">
      <c r="Q34924" s="1"/>
    </row>
    <row r="34935" spans="17:17" x14ac:dyDescent="0.35">
      <c r="Q34935" s="1"/>
    </row>
    <row r="34939" spans="17:17" x14ac:dyDescent="0.35">
      <c r="Q34939" s="1"/>
    </row>
    <row r="34942" spans="17:17" x14ac:dyDescent="0.35">
      <c r="Q34942" s="1"/>
    </row>
    <row r="34943" spans="17:17" x14ac:dyDescent="0.35">
      <c r="Q34943" s="1"/>
    </row>
    <row r="34953" spans="17:17" x14ac:dyDescent="0.35">
      <c r="Q34953" s="1"/>
    </row>
    <row r="34957" spans="17:17" x14ac:dyDescent="0.35">
      <c r="Q34957" s="1"/>
    </row>
    <row r="34958" spans="17:17" x14ac:dyDescent="0.35">
      <c r="Q34958" s="1"/>
    </row>
    <row r="34966" spans="17:17" x14ac:dyDescent="0.35">
      <c r="Q34966" s="1"/>
    </row>
    <row r="34975" spans="17:17" x14ac:dyDescent="0.35">
      <c r="Q34975" s="1"/>
    </row>
    <row r="34981" spans="17:17" x14ac:dyDescent="0.35">
      <c r="Q34981" s="1"/>
    </row>
    <row r="34987" spans="17:17" x14ac:dyDescent="0.35">
      <c r="Q34987" s="1"/>
    </row>
    <row r="34991" spans="17:17" x14ac:dyDescent="0.35">
      <c r="Q34991" s="1"/>
    </row>
    <row r="34998" spans="17:17" x14ac:dyDescent="0.35">
      <c r="Q34998" s="1"/>
    </row>
    <row r="34999" spans="17:17" x14ac:dyDescent="0.35">
      <c r="Q34999" s="1"/>
    </row>
    <row r="35011" spans="17:17" x14ac:dyDescent="0.35">
      <c r="Q35011" s="1"/>
    </row>
    <row r="35017" spans="17:17" x14ac:dyDescent="0.35">
      <c r="Q35017" s="1"/>
    </row>
    <row r="35020" spans="17:17" x14ac:dyDescent="0.35">
      <c r="Q35020" s="1"/>
    </row>
    <row r="35023" spans="17:17" x14ac:dyDescent="0.35">
      <c r="Q35023" s="1"/>
    </row>
    <row r="35039" spans="17:17" x14ac:dyDescent="0.35">
      <c r="Q35039" s="1"/>
    </row>
    <row r="35044" spans="17:17" x14ac:dyDescent="0.35">
      <c r="Q35044" s="1"/>
    </row>
    <row r="35045" spans="17:17" x14ac:dyDescent="0.35">
      <c r="Q35045" s="1"/>
    </row>
    <row r="35046" spans="17:17" x14ac:dyDescent="0.35">
      <c r="Q35046" s="1"/>
    </row>
    <row r="35047" spans="17:17" x14ac:dyDescent="0.35">
      <c r="Q35047" s="1"/>
    </row>
    <row r="35055" spans="17:17" x14ac:dyDescent="0.35">
      <c r="Q35055" s="1"/>
    </row>
    <row r="35070" spans="17:17" x14ac:dyDescent="0.35">
      <c r="Q35070" s="1"/>
    </row>
    <row r="35076" spans="17:17" x14ac:dyDescent="0.35">
      <c r="Q35076" s="1"/>
    </row>
    <row r="35077" spans="17:17" x14ac:dyDescent="0.35">
      <c r="Q35077" s="1"/>
    </row>
    <row r="35079" spans="17:17" x14ac:dyDescent="0.35">
      <c r="Q35079" s="1"/>
    </row>
    <row r="35084" spans="17:17" x14ac:dyDescent="0.35">
      <c r="Q35084" s="1"/>
    </row>
    <row r="35085" spans="17:17" x14ac:dyDescent="0.35">
      <c r="Q35085" s="1"/>
    </row>
    <row r="35087" spans="17:17" x14ac:dyDescent="0.35">
      <c r="Q35087" s="1"/>
    </row>
    <row r="35101" spans="17:17" x14ac:dyDescent="0.35">
      <c r="Q35101" s="1"/>
    </row>
    <row r="35107" spans="17:17" x14ac:dyDescent="0.35">
      <c r="Q35107" s="1"/>
    </row>
    <row r="35118" spans="17:17" x14ac:dyDescent="0.35">
      <c r="Q35118" s="1"/>
    </row>
    <row r="35124" spans="17:17" x14ac:dyDescent="0.35">
      <c r="Q35124" s="1"/>
    </row>
    <row r="35139" spans="17:17" x14ac:dyDescent="0.35">
      <c r="Q35139" s="1"/>
    </row>
    <row r="35144" spans="17:17" x14ac:dyDescent="0.35">
      <c r="Q35144" s="1"/>
    </row>
    <row r="35146" spans="17:17" x14ac:dyDescent="0.35">
      <c r="Q35146" s="1"/>
    </row>
    <row r="35151" spans="17:17" x14ac:dyDescent="0.35">
      <c r="Q35151" s="1"/>
    </row>
    <row r="35157" spans="17:17" x14ac:dyDescent="0.35">
      <c r="Q35157" s="1"/>
    </row>
    <row r="35159" spans="17:17" x14ac:dyDescent="0.35">
      <c r="Q35159" s="1"/>
    </row>
    <row r="35163" spans="17:17" x14ac:dyDescent="0.35">
      <c r="Q35163" s="1"/>
    </row>
    <row r="35170" spans="17:17" x14ac:dyDescent="0.35">
      <c r="Q35170" s="1"/>
    </row>
    <row r="35174" spans="17:17" x14ac:dyDescent="0.35">
      <c r="Q35174" s="1"/>
    </row>
    <row r="35178" spans="17:17" x14ac:dyDescent="0.35">
      <c r="Q35178" s="1"/>
    </row>
    <row r="35179" spans="17:17" x14ac:dyDescent="0.35">
      <c r="Q35179" s="1"/>
    </row>
    <row r="35180" spans="17:17" x14ac:dyDescent="0.35">
      <c r="Q35180" s="1"/>
    </row>
    <row r="35182" spans="17:17" x14ac:dyDescent="0.35">
      <c r="Q35182" s="1"/>
    </row>
    <row r="35184" spans="17:17" x14ac:dyDescent="0.35">
      <c r="Q35184" s="1"/>
    </row>
    <row r="35185" spans="17:17" x14ac:dyDescent="0.35">
      <c r="Q35185" s="1"/>
    </row>
    <row r="35188" spans="17:17" x14ac:dyDescent="0.35">
      <c r="Q35188" s="1"/>
    </row>
    <row r="35191" spans="17:17" x14ac:dyDescent="0.35">
      <c r="Q35191" s="1"/>
    </row>
    <row r="35192" spans="17:17" x14ac:dyDescent="0.35">
      <c r="Q35192" s="1"/>
    </row>
    <row r="35195" spans="17:17" x14ac:dyDescent="0.35">
      <c r="Q35195" s="1"/>
    </row>
    <row r="35200" spans="17:17" x14ac:dyDescent="0.35">
      <c r="Q35200" s="1"/>
    </row>
    <row r="35202" spans="17:17" x14ac:dyDescent="0.35">
      <c r="Q35202" s="1"/>
    </row>
    <row r="35203" spans="17:17" x14ac:dyDescent="0.35">
      <c r="Q35203" s="1"/>
    </row>
    <row r="35213" spans="17:17" x14ac:dyDescent="0.35">
      <c r="Q35213" s="1"/>
    </row>
    <row r="35217" spans="17:17" x14ac:dyDescent="0.35">
      <c r="Q35217" s="1"/>
    </row>
    <row r="35219" spans="17:17" x14ac:dyDescent="0.35">
      <c r="Q35219" s="1"/>
    </row>
    <row r="35221" spans="17:17" x14ac:dyDescent="0.35">
      <c r="Q35221" s="1"/>
    </row>
    <row r="35234" spans="17:17" x14ac:dyDescent="0.35">
      <c r="Q35234" s="1"/>
    </row>
    <row r="35235" spans="17:17" x14ac:dyDescent="0.35">
      <c r="Q35235" s="1"/>
    </row>
    <row r="35238" spans="17:17" x14ac:dyDescent="0.35">
      <c r="Q35238" s="1"/>
    </row>
    <row r="35241" spans="17:17" x14ac:dyDescent="0.35">
      <c r="Q35241" s="1"/>
    </row>
    <row r="35245" spans="17:17" x14ac:dyDescent="0.35">
      <c r="Q35245" s="1"/>
    </row>
    <row r="35251" spans="17:17" x14ac:dyDescent="0.35">
      <c r="Q35251" s="1"/>
    </row>
    <row r="35252" spans="17:17" x14ac:dyDescent="0.35">
      <c r="Q35252" s="1"/>
    </row>
    <row r="35259" spans="17:17" x14ac:dyDescent="0.35">
      <c r="Q35259" s="1"/>
    </row>
    <row r="35262" spans="17:17" x14ac:dyDescent="0.35">
      <c r="Q35262" s="1"/>
    </row>
    <row r="35263" spans="17:17" x14ac:dyDescent="0.35">
      <c r="Q35263" s="1"/>
    </row>
    <row r="35269" spans="17:17" x14ac:dyDescent="0.35">
      <c r="Q35269" s="1"/>
    </row>
    <row r="35273" spans="17:17" x14ac:dyDescent="0.35">
      <c r="Q35273" s="1"/>
    </row>
    <row r="35275" spans="17:17" x14ac:dyDescent="0.35">
      <c r="Q35275" s="1"/>
    </row>
    <row r="35278" spans="17:17" x14ac:dyDescent="0.35">
      <c r="Q35278" s="1"/>
    </row>
    <row r="35285" spans="17:17" x14ac:dyDescent="0.35">
      <c r="Q35285" s="1"/>
    </row>
    <row r="35286" spans="17:17" x14ac:dyDescent="0.35">
      <c r="Q35286" s="1"/>
    </row>
    <row r="35287" spans="17:17" x14ac:dyDescent="0.35">
      <c r="Q35287" s="1"/>
    </row>
    <row r="35290" spans="17:17" x14ac:dyDescent="0.35">
      <c r="Q35290" s="1"/>
    </row>
    <row r="35291" spans="17:17" x14ac:dyDescent="0.35">
      <c r="Q35291" s="1"/>
    </row>
    <row r="35296" spans="17:17" x14ac:dyDescent="0.35">
      <c r="Q35296" s="1"/>
    </row>
    <row r="35300" spans="17:17" x14ac:dyDescent="0.35">
      <c r="Q35300" s="1"/>
    </row>
    <row r="35301" spans="17:17" x14ac:dyDescent="0.35">
      <c r="Q35301" s="1"/>
    </row>
    <row r="35306" spans="17:17" x14ac:dyDescent="0.35">
      <c r="Q35306" s="1"/>
    </row>
    <row r="35307" spans="17:17" x14ac:dyDescent="0.35">
      <c r="Q35307" s="1"/>
    </row>
    <row r="35317" spans="17:17" x14ac:dyDescent="0.35">
      <c r="Q35317" s="1"/>
    </row>
    <row r="35320" spans="17:17" x14ac:dyDescent="0.35">
      <c r="Q35320" s="1"/>
    </row>
    <row r="35330" spans="17:17" x14ac:dyDescent="0.35">
      <c r="Q35330" s="1"/>
    </row>
    <row r="35335" spans="17:17" x14ac:dyDescent="0.35">
      <c r="Q35335" s="1"/>
    </row>
    <row r="35336" spans="17:17" x14ac:dyDescent="0.35">
      <c r="Q35336" s="1"/>
    </row>
    <row r="35341" spans="17:17" x14ac:dyDescent="0.35">
      <c r="Q35341" s="1"/>
    </row>
    <row r="35345" spans="17:17" x14ac:dyDescent="0.35">
      <c r="Q35345" s="1"/>
    </row>
    <row r="35348" spans="17:17" x14ac:dyDescent="0.35">
      <c r="Q35348" s="1"/>
    </row>
    <row r="35354" spans="17:17" x14ac:dyDescent="0.35">
      <c r="Q35354" s="1"/>
    </row>
    <row r="35361" spans="17:17" x14ac:dyDescent="0.35">
      <c r="Q35361" s="1"/>
    </row>
    <row r="35368" spans="17:17" x14ac:dyDescent="0.35">
      <c r="Q35368" s="1"/>
    </row>
    <row r="35371" spans="17:17" x14ac:dyDescent="0.35">
      <c r="Q35371" s="1"/>
    </row>
    <row r="35379" spans="17:17" x14ac:dyDescent="0.35">
      <c r="Q35379" s="1"/>
    </row>
    <row r="35380" spans="17:17" x14ac:dyDescent="0.35">
      <c r="Q35380" s="1"/>
    </row>
    <row r="35381" spans="17:17" x14ac:dyDescent="0.35">
      <c r="Q35381" s="1"/>
    </row>
    <row r="35385" spans="17:17" x14ac:dyDescent="0.35">
      <c r="Q35385" s="1"/>
    </row>
    <row r="35396" spans="17:17" x14ac:dyDescent="0.35">
      <c r="Q35396" s="1"/>
    </row>
    <row r="35398" spans="17:17" x14ac:dyDescent="0.35">
      <c r="Q35398" s="1"/>
    </row>
    <row r="35399" spans="17:17" x14ac:dyDescent="0.35">
      <c r="Q35399" s="1"/>
    </row>
    <row r="35403" spans="17:17" x14ac:dyDescent="0.35">
      <c r="Q35403" s="1"/>
    </row>
    <row r="35415" spans="17:17" x14ac:dyDescent="0.35">
      <c r="Q35415" s="1"/>
    </row>
    <row r="35416" spans="17:17" x14ac:dyDescent="0.35">
      <c r="Q35416" s="1"/>
    </row>
    <row r="35419" spans="17:17" x14ac:dyDescent="0.35">
      <c r="Q35419" s="1"/>
    </row>
    <row r="35430" spans="17:17" x14ac:dyDescent="0.35">
      <c r="Q35430" s="1"/>
    </row>
    <row r="35436" spans="17:17" x14ac:dyDescent="0.35">
      <c r="Q35436" s="1"/>
    </row>
    <row r="35439" spans="17:17" x14ac:dyDescent="0.35">
      <c r="Q35439" s="1"/>
    </row>
    <row r="35443" spans="17:17" x14ac:dyDescent="0.35">
      <c r="Q35443" s="1"/>
    </row>
    <row r="35446" spans="17:17" x14ac:dyDescent="0.35">
      <c r="Q35446" s="1"/>
    </row>
    <row r="35448" spans="17:17" x14ac:dyDescent="0.35">
      <c r="Q35448" s="1"/>
    </row>
    <row r="35451" spans="17:17" x14ac:dyDescent="0.35">
      <c r="Q35451" s="1"/>
    </row>
    <row r="35452" spans="17:17" x14ac:dyDescent="0.35">
      <c r="Q35452" s="1"/>
    </row>
    <row r="35454" spans="17:17" x14ac:dyDescent="0.35">
      <c r="Q35454" s="1"/>
    </row>
    <row r="35457" spans="17:17" x14ac:dyDescent="0.35">
      <c r="Q35457" s="1"/>
    </row>
    <row r="35462" spans="17:17" x14ac:dyDescent="0.35">
      <c r="Q35462" s="1"/>
    </row>
    <row r="35463" spans="17:17" x14ac:dyDescent="0.35">
      <c r="Q35463" s="1"/>
    </row>
    <row r="35467" spans="17:17" x14ac:dyDescent="0.35">
      <c r="Q35467" s="1"/>
    </row>
    <row r="35489" spans="17:17" x14ac:dyDescent="0.35">
      <c r="Q35489" s="1"/>
    </row>
    <row r="35503" spans="17:17" x14ac:dyDescent="0.35">
      <c r="Q35503" s="1"/>
    </row>
    <row r="35511" spans="17:17" x14ac:dyDescent="0.35">
      <c r="Q35511" s="1"/>
    </row>
    <row r="35513" spans="17:17" x14ac:dyDescent="0.35">
      <c r="Q35513" s="1"/>
    </row>
    <row r="35514" spans="17:17" x14ac:dyDescent="0.35">
      <c r="Q35514" s="1"/>
    </row>
    <row r="35515" spans="17:17" x14ac:dyDescent="0.35">
      <c r="Q35515" s="1"/>
    </row>
    <row r="35520" spans="17:17" x14ac:dyDescent="0.35">
      <c r="Q35520" s="1"/>
    </row>
    <row r="35525" spans="17:17" x14ac:dyDescent="0.35">
      <c r="Q35525" s="1"/>
    </row>
    <row r="35528" spans="17:17" x14ac:dyDescent="0.35">
      <c r="Q35528" s="1"/>
    </row>
    <row r="35533" spans="17:17" x14ac:dyDescent="0.35">
      <c r="Q35533" s="1"/>
    </row>
    <row r="35556" spans="17:17" x14ac:dyDescent="0.35">
      <c r="Q35556" s="1"/>
    </row>
    <row r="35557" spans="17:17" x14ac:dyDescent="0.35">
      <c r="Q35557" s="1"/>
    </row>
    <row r="35561" spans="17:17" x14ac:dyDescent="0.35">
      <c r="Q35561" s="1"/>
    </row>
    <row r="35562" spans="17:17" x14ac:dyDescent="0.35">
      <c r="Q35562" s="1"/>
    </row>
    <row r="35563" spans="17:17" x14ac:dyDescent="0.35">
      <c r="Q35563" s="1"/>
    </row>
    <row r="35566" spans="17:17" x14ac:dyDescent="0.35">
      <c r="Q35566" s="1"/>
    </row>
    <row r="35567" spans="17:17" x14ac:dyDescent="0.35">
      <c r="Q35567" s="1"/>
    </row>
    <row r="35569" spans="17:17" x14ac:dyDescent="0.35">
      <c r="Q35569" s="1"/>
    </row>
    <row r="35571" spans="17:17" x14ac:dyDescent="0.35">
      <c r="Q35571" s="1"/>
    </row>
    <row r="35575" spans="17:17" x14ac:dyDescent="0.35">
      <c r="Q35575" s="1"/>
    </row>
    <row r="35576" spans="17:17" x14ac:dyDescent="0.35">
      <c r="Q35576" s="1"/>
    </row>
    <row r="35578" spans="17:17" x14ac:dyDescent="0.35">
      <c r="Q35578" s="1"/>
    </row>
    <row r="35580" spans="17:17" x14ac:dyDescent="0.35">
      <c r="Q35580" s="1"/>
    </row>
    <row r="35588" spans="17:17" x14ac:dyDescent="0.35">
      <c r="Q35588" s="1"/>
    </row>
    <row r="35589" spans="17:17" x14ac:dyDescent="0.35">
      <c r="Q35589" s="1"/>
    </row>
    <row r="35592" spans="17:17" x14ac:dyDescent="0.35">
      <c r="Q35592" s="1"/>
    </row>
    <row r="35597" spans="17:17" x14ac:dyDescent="0.35">
      <c r="Q35597" s="1"/>
    </row>
    <row r="35599" spans="17:17" x14ac:dyDescent="0.35">
      <c r="Q35599" s="1"/>
    </row>
    <row r="35602" spans="17:17" x14ac:dyDescent="0.35">
      <c r="Q35602" s="1"/>
    </row>
    <row r="35619" spans="17:17" x14ac:dyDescent="0.35">
      <c r="Q35619" s="1"/>
    </row>
    <row r="35633" spans="17:17" x14ac:dyDescent="0.35">
      <c r="Q35633" s="1"/>
    </row>
    <row r="35640" spans="17:17" x14ac:dyDescent="0.35">
      <c r="Q35640" s="1"/>
    </row>
    <row r="35643" spans="17:17" x14ac:dyDescent="0.35">
      <c r="Q35643" s="1"/>
    </row>
    <row r="35651" spans="17:17" x14ac:dyDescent="0.35">
      <c r="Q35651" s="1"/>
    </row>
    <row r="35655" spans="17:17" x14ac:dyDescent="0.35">
      <c r="Q35655" s="1"/>
    </row>
    <row r="35659" spans="17:17" x14ac:dyDescent="0.35">
      <c r="Q35659" s="1"/>
    </row>
    <row r="35662" spans="17:17" x14ac:dyDescent="0.35">
      <c r="Q35662" s="1"/>
    </row>
    <row r="35664" spans="17:17" x14ac:dyDescent="0.35">
      <c r="Q35664" s="1"/>
    </row>
    <row r="35665" spans="17:17" x14ac:dyDescent="0.35">
      <c r="Q35665" s="1"/>
    </row>
    <row r="35668" spans="17:17" x14ac:dyDescent="0.35">
      <c r="Q35668" s="1"/>
    </row>
    <row r="35669" spans="17:17" x14ac:dyDescent="0.35">
      <c r="Q35669" s="1"/>
    </row>
    <row r="35675" spans="17:17" x14ac:dyDescent="0.35">
      <c r="Q35675" s="1"/>
    </row>
    <row r="35679" spans="17:17" x14ac:dyDescent="0.35">
      <c r="Q35679" s="1"/>
    </row>
    <row r="35696" spans="17:17" x14ac:dyDescent="0.35">
      <c r="Q35696" s="1"/>
    </row>
    <row r="35700" spans="17:17" x14ac:dyDescent="0.35">
      <c r="Q35700" s="1"/>
    </row>
    <row r="35708" spans="17:17" x14ac:dyDescent="0.35">
      <c r="Q35708" s="1"/>
    </row>
    <row r="35709" spans="17:17" x14ac:dyDescent="0.35">
      <c r="Q35709" s="1"/>
    </row>
    <row r="35722" spans="17:17" x14ac:dyDescent="0.35">
      <c r="Q35722" s="1"/>
    </row>
    <row r="35726" spans="17:17" x14ac:dyDescent="0.35">
      <c r="Q35726" s="1"/>
    </row>
    <row r="35728" spans="17:17" x14ac:dyDescent="0.35">
      <c r="Q35728" s="1"/>
    </row>
    <row r="35730" spans="17:17" x14ac:dyDescent="0.35">
      <c r="Q35730" s="1"/>
    </row>
    <row r="35737" spans="17:17" x14ac:dyDescent="0.35">
      <c r="Q35737" s="1"/>
    </row>
    <row r="35738" spans="17:17" x14ac:dyDescent="0.35">
      <c r="Q35738" s="1"/>
    </row>
    <row r="35741" spans="17:17" x14ac:dyDescent="0.35">
      <c r="Q35741" s="1"/>
    </row>
    <row r="35743" spans="17:17" x14ac:dyDescent="0.35">
      <c r="Q35743" s="1"/>
    </row>
    <row r="35748" spans="17:17" x14ac:dyDescent="0.35">
      <c r="Q35748" s="1"/>
    </row>
    <row r="35754" spans="17:17" x14ac:dyDescent="0.35">
      <c r="Q35754" s="1"/>
    </row>
    <row r="35756" spans="17:17" x14ac:dyDescent="0.35">
      <c r="Q35756" s="1"/>
    </row>
    <row r="35761" spans="17:17" x14ac:dyDescent="0.35">
      <c r="Q35761" s="1"/>
    </row>
    <row r="35764" spans="17:17" x14ac:dyDescent="0.35">
      <c r="Q35764" s="1"/>
    </row>
    <row r="35768" spans="17:17" x14ac:dyDescent="0.35">
      <c r="Q35768" s="1"/>
    </row>
    <row r="35769" spans="17:17" x14ac:dyDescent="0.35">
      <c r="Q35769" s="1"/>
    </row>
    <row r="35772" spans="17:17" x14ac:dyDescent="0.35">
      <c r="Q35772" s="1"/>
    </row>
    <row r="35773" spans="17:17" x14ac:dyDescent="0.35">
      <c r="Q35773" s="1"/>
    </row>
    <row r="35775" spans="17:17" x14ac:dyDescent="0.35">
      <c r="Q35775" s="1"/>
    </row>
    <row r="35777" spans="17:17" x14ac:dyDescent="0.35">
      <c r="Q35777" s="1"/>
    </row>
    <row r="35778" spans="17:17" x14ac:dyDescent="0.35">
      <c r="Q35778" s="1"/>
    </row>
    <row r="35787" spans="17:17" x14ac:dyDescent="0.35">
      <c r="Q35787" s="1"/>
    </row>
    <row r="35791" spans="17:17" x14ac:dyDescent="0.35">
      <c r="Q35791" s="1"/>
    </row>
    <row r="35805" spans="17:17" x14ac:dyDescent="0.35">
      <c r="Q35805" s="1"/>
    </row>
    <row r="35807" spans="17:17" x14ac:dyDescent="0.35">
      <c r="Q35807" s="1"/>
    </row>
    <row r="35808" spans="17:17" x14ac:dyDescent="0.35">
      <c r="Q35808" s="1"/>
    </row>
    <row r="35811" spans="17:17" x14ac:dyDescent="0.35">
      <c r="Q35811" s="1"/>
    </row>
    <row r="35813" spans="17:17" x14ac:dyDescent="0.35">
      <c r="Q35813" s="1"/>
    </row>
    <row r="35816" spans="17:17" x14ac:dyDescent="0.35">
      <c r="Q35816" s="1"/>
    </row>
    <row r="35817" spans="17:17" x14ac:dyDescent="0.35">
      <c r="Q35817" s="1"/>
    </row>
    <row r="35818" spans="17:17" x14ac:dyDescent="0.35">
      <c r="Q35818" s="1"/>
    </row>
    <row r="35820" spans="17:17" x14ac:dyDescent="0.35">
      <c r="Q35820" s="1"/>
    </row>
    <row r="35822" spans="17:17" x14ac:dyDescent="0.35">
      <c r="Q35822" s="1"/>
    </row>
    <row r="35823" spans="17:17" x14ac:dyDescent="0.35">
      <c r="Q35823" s="1"/>
    </row>
    <row r="35834" spans="17:17" x14ac:dyDescent="0.35">
      <c r="Q35834" s="1"/>
    </row>
    <row r="35841" spans="17:17" x14ac:dyDescent="0.35">
      <c r="Q35841" s="1"/>
    </row>
    <row r="35845" spans="17:17" x14ac:dyDescent="0.35">
      <c r="Q35845" s="1"/>
    </row>
    <row r="35847" spans="17:17" x14ac:dyDescent="0.35">
      <c r="Q35847" s="1"/>
    </row>
    <row r="35849" spans="17:17" x14ac:dyDescent="0.35">
      <c r="Q35849" s="1"/>
    </row>
    <row r="35862" spans="17:17" x14ac:dyDescent="0.35">
      <c r="Q35862" s="1"/>
    </row>
    <row r="35867" spans="17:17" x14ac:dyDescent="0.35">
      <c r="Q35867" s="1"/>
    </row>
    <row r="35869" spans="17:17" x14ac:dyDescent="0.35">
      <c r="Q35869" s="1"/>
    </row>
    <row r="35870" spans="17:17" x14ac:dyDescent="0.35">
      <c r="Q35870" s="1"/>
    </row>
    <row r="35873" spans="17:17" x14ac:dyDescent="0.35">
      <c r="Q35873" s="1"/>
    </row>
    <row r="35874" spans="17:17" x14ac:dyDescent="0.35">
      <c r="Q35874" s="1"/>
    </row>
    <row r="35883" spans="17:17" x14ac:dyDescent="0.35">
      <c r="Q35883" s="1"/>
    </row>
    <row r="35884" spans="17:17" x14ac:dyDescent="0.35">
      <c r="Q35884" s="1"/>
    </row>
    <row r="35885" spans="17:17" x14ac:dyDescent="0.35">
      <c r="Q35885" s="1"/>
    </row>
    <row r="35896" spans="17:17" x14ac:dyDescent="0.35">
      <c r="Q35896" s="1"/>
    </row>
    <row r="35904" spans="17:17" x14ac:dyDescent="0.35">
      <c r="Q35904" s="1"/>
    </row>
    <row r="35907" spans="17:17" x14ac:dyDescent="0.35">
      <c r="Q35907" s="1"/>
    </row>
    <row r="35909" spans="17:17" x14ac:dyDescent="0.35">
      <c r="Q35909" s="1"/>
    </row>
    <row r="35914" spans="17:17" x14ac:dyDescent="0.35">
      <c r="Q35914" s="1"/>
    </row>
    <row r="35919" spans="17:17" x14ac:dyDescent="0.35">
      <c r="Q35919" s="1"/>
    </row>
    <row r="35922" spans="17:17" x14ac:dyDescent="0.35">
      <c r="Q35922" s="1"/>
    </row>
    <row r="35929" spans="17:17" x14ac:dyDescent="0.35">
      <c r="Q35929" s="1"/>
    </row>
    <row r="35930" spans="17:17" x14ac:dyDescent="0.35">
      <c r="Q35930" s="1"/>
    </row>
    <row r="35933" spans="17:17" x14ac:dyDescent="0.35">
      <c r="Q35933" s="1"/>
    </row>
    <row r="35944" spans="17:17" x14ac:dyDescent="0.35">
      <c r="Q35944" s="1"/>
    </row>
    <row r="35948" spans="17:17" x14ac:dyDescent="0.35">
      <c r="Q35948" s="1"/>
    </row>
    <row r="35950" spans="17:17" x14ac:dyDescent="0.35">
      <c r="Q35950" s="1"/>
    </row>
    <row r="35959" spans="17:17" x14ac:dyDescent="0.35">
      <c r="Q35959" s="1"/>
    </row>
    <row r="35980" spans="17:17" x14ac:dyDescent="0.35">
      <c r="Q35980" s="1"/>
    </row>
    <row r="35981" spans="17:17" x14ac:dyDescent="0.35">
      <c r="Q35981" s="1"/>
    </row>
    <row r="35983" spans="17:17" x14ac:dyDescent="0.35">
      <c r="Q35983" s="1"/>
    </row>
    <row r="35984" spans="17:17" x14ac:dyDescent="0.35">
      <c r="Q35984" s="1"/>
    </row>
    <row r="35993" spans="17:17" x14ac:dyDescent="0.35">
      <c r="Q35993" s="1"/>
    </row>
    <row r="35995" spans="17:17" x14ac:dyDescent="0.35">
      <c r="Q35995" s="1"/>
    </row>
    <row r="36001" spans="17:17" x14ac:dyDescent="0.35">
      <c r="Q36001" s="1"/>
    </row>
    <row r="36002" spans="17:17" x14ac:dyDescent="0.35">
      <c r="Q36002" s="1"/>
    </row>
    <row r="36013" spans="17:17" x14ac:dyDescent="0.35">
      <c r="Q36013" s="1"/>
    </row>
    <row r="36018" spans="17:17" x14ac:dyDescent="0.35">
      <c r="Q36018" s="1"/>
    </row>
    <row r="36025" spans="17:17" x14ac:dyDescent="0.35">
      <c r="Q36025" s="1"/>
    </row>
    <row r="36042" spans="17:17" x14ac:dyDescent="0.35">
      <c r="Q36042" s="1"/>
    </row>
    <row r="36048" spans="17:17" x14ac:dyDescent="0.35">
      <c r="Q36048" s="1"/>
    </row>
    <row r="36058" spans="17:17" x14ac:dyDescent="0.35">
      <c r="Q36058" s="1"/>
    </row>
    <row r="36059" spans="17:17" x14ac:dyDescent="0.35">
      <c r="Q36059" s="1"/>
    </row>
    <row r="36064" spans="17:17" x14ac:dyDescent="0.35">
      <c r="Q36064" s="1"/>
    </row>
    <row r="36067" spans="17:17" x14ac:dyDescent="0.35">
      <c r="Q36067" s="1"/>
    </row>
    <row r="36073" spans="17:17" x14ac:dyDescent="0.35">
      <c r="Q36073" s="1"/>
    </row>
    <row r="36085" spans="16:17" x14ac:dyDescent="0.35">
      <c r="Q36085" s="1"/>
    </row>
    <row r="36088" spans="16:17" x14ac:dyDescent="0.35">
      <c r="Q36088" s="1"/>
    </row>
    <row r="36092" spans="16:17" x14ac:dyDescent="0.35">
      <c r="Q36092" s="1"/>
    </row>
    <row r="36093" spans="16:17" x14ac:dyDescent="0.35">
      <c r="P36093" s="1"/>
    </row>
    <row r="36094" spans="16:17" x14ac:dyDescent="0.35">
      <c r="Q36094" s="1"/>
    </row>
    <row r="36096" spans="16:17" x14ac:dyDescent="0.35">
      <c r="Q36096" s="1"/>
    </row>
    <row r="36097" spans="17:17" x14ac:dyDescent="0.35">
      <c r="Q36097" s="1"/>
    </row>
    <row r="36106" spans="17:17" x14ac:dyDescent="0.35">
      <c r="Q36106" s="1"/>
    </row>
    <row r="36115" spans="17:17" x14ac:dyDescent="0.35">
      <c r="Q36115" s="1"/>
    </row>
    <row r="36120" spans="17:17" x14ac:dyDescent="0.35">
      <c r="Q36120" s="1"/>
    </row>
    <row r="36121" spans="17:17" x14ac:dyDescent="0.35">
      <c r="Q36121" s="1"/>
    </row>
    <row r="36130" spans="17:17" x14ac:dyDescent="0.35">
      <c r="Q36130" s="1"/>
    </row>
    <row r="36141" spans="17:17" x14ac:dyDescent="0.35">
      <c r="Q36141" s="1"/>
    </row>
    <row r="36156" spans="17:17" x14ac:dyDescent="0.35">
      <c r="Q36156" s="1"/>
    </row>
    <row r="36161" spans="17:17" x14ac:dyDescent="0.35">
      <c r="Q36161" s="1"/>
    </row>
    <row r="36174" spans="17:17" x14ac:dyDescent="0.35">
      <c r="Q36174" s="1"/>
    </row>
    <row r="36178" spans="17:17" x14ac:dyDescent="0.35">
      <c r="Q36178" s="1"/>
    </row>
    <row r="36183" spans="17:17" x14ac:dyDescent="0.35">
      <c r="Q36183" s="1"/>
    </row>
    <row r="36184" spans="17:17" x14ac:dyDescent="0.35">
      <c r="Q36184" s="1"/>
    </row>
    <row r="36187" spans="17:17" x14ac:dyDescent="0.35">
      <c r="Q36187" s="1"/>
    </row>
    <row r="36195" spans="17:17" x14ac:dyDescent="0.35">
      <c r="Q36195" s="1"/>
    </row>
    <row r="36206" spans="17:17" x14ac:dyDescent="0.35">
      <c r="Q36206" s="1"/>
    </row>
    <row r="36216" spans="17:17" x14ac:dyDescent="0.35">
      <c r="Q36216" s="1"/>
    </row>
    <row r="36227" spans="16:17" x14ac:dyDescent="0.35">
      <c r="Q36227" s="1"/>
    </row>
    <row r="36230" spans="16:17" x14ac:dyDescent="0.35">
      <c r="Q36230" s="1"/>
    </row>
    <row r="36232" spans="16:17" x14ac:dyDescent="0.35">
      <c r="Q36232" s="1"/>
    </row>
    <row r="36239" spans="16:17" x14ac:dyDescent="0.35">
      <c r="P36239" s="1"/>
    </row>
    <row r="36243" spans="17:17" x14ac:dyDescent="0.35">
      <c r="Q36243" s="1"/>
    </row>
    <row r="36244" spans="17:17" x14ac:dyDescent="0.35">
      <c r="Q36244" s="1"/>
    </row>
    <row r="36253" spans="17:17" x14ac:dyDescent="0.35">
      <c r="Q36253" s="1"/>
    </row>
    <row r="36260" spans="17:17" x14ac:dyDescent="0.35">
      <c r="Q36260" s="1"/>
    </row>
    <row r="36261" spans="17:17" x14ac:dyDescent="0.35">
      <c r="Q36261" s="1"/>
    </row>
    <row r="36263" spans="17:17" x14ac:dyDescent="0.35">
      <c r="Q36263" s="1"/>
    </row>
    <row r="36264" spans="17:17" x14ac:dyDescent="0.35">
      <c r="Q36264" s="1"/>
    </row>
    <row r="36267" spans="17:17" x14ac:dyDescent="0.35">
      <c r="Q36267" s="1"/>
    </row>
    <row r="36268" spans="17:17" x14ac:dyDescent="0.35">
      <c r="Q36268" s="1"/>
    </row>
    <row r="36275" spans="16:17" x14ac:dyDescent="0.35">
      <c r="Q36275" s="1"/>
    </row>
    <row r="36281" spans="16:17" x14ac:dyDescent="0.35">
      <c r="Q36281" s="1"/>
    </row>
    <row r="36283" spans="16:17" x14ac:dyDescent="0.35">
      <c r="Q36283" s="1"/>
    </row>
    <row r="36286" spans="16:17" x14ac:dyDescent="0.35">
      <c r="P36286" s="1"/>
    </row>
    <row r="36297" spans="17:17" x14ac:dyDescent="0.35">
      <c r="Q36297" s="1"/>
    </row>
    <row r="36299" spans="17:17" x14ac:dyDescent="0.35">
      <c r="Q36299" s="1"/>
    </row>
    <row r="36301" spans="17:17" x14ac:dyDescent="0.35">
      <c r="Q36301" s="1"/>
    </row>
    <row r="36312" spans="17:17" x14ac:dyDescent="0.35">
      <c r="Q36312" s="1"/>
    </row>
    <row r="36318" spans="17:17" x14ac:dyDescent="0.35">
      <c r="Q36318" s="1"/>
    </row>
    <row r="36320" spans="17:17" x14ac:dyDescent="0.35">
      <c r="Q36320" s="1"/>
    </row>
    <row r="36326" spans="17:17" x14ac:dyDescent="0.35">
      <c r="Q36326" s="1"/>
    </row>
    <row r="36328" spans="17:17" x14ac:dyDescent="0.35">
      <c r="Q36328" s="1"/>
    </row>
    <row r="36337" spans="17:17" x14ac:dyDescent="0.35">
      <c r="Q36337" s="1"/>
    </row>
    <row r="36344" spans="17:17" x14ac:dyDescent="0.35">
      <c r="Q36344" s="1"/>
    </row>
    <row r="36354" spans="16:17" x14ac:dyDescent="0.35">
      <c r="Q36354" s="1"/>
    </row>
    <row r="36361" spans="16:17" x14ac:dyDescent="0.35">
      <c r="P36361" s="1"/>
    </row>
    <row r="36363" spans="16:17" x14ac:dyDescent="0.35">
      <c r="Q36363" s="1"/>
    </row>
    <row r="36367" spans="16:17" x14ac:dyDescent="0.35">
      <c r="Q36367" s="1"/>
    </row>
    <row r="36370" spans="17:17" x14ac:dyDescent="0.35">
      <c r="Q36370" s="1"/>
    </row>
    <row r="36375" spans="17:17" x14ac:dyDescent="0.35">
      <c r="Q36375" s="1"/>
    </row>
    <row r="36378" spans="17:17" x14ac:dyDescent="0.35">
      <c r="Q36378" s="1"/>
    </row>
    <row r="36384" spans="17:17" x14ac:dyDescent="0.35">
      <c r="Q36384" s="1"/>
    </row>
    <row r="36386" spans="17:17" x14ac:dyDescent="0.35">
      <c r="Q36386" s="1"/>
    </row>
    <row r="36393" spans="17:17" x14ac:dyDescent="0.35">
      <c r="Q36393" s="1"/>
    </row>
    <row r="36395" spans="17:17" x14ac:dyDescent="0.35">
      <c r="Q36395" s="1"/>
    </row>
    <row r="36403" spans="17:17" x14ac:dyDescent="0.35">
      <c r="Q36403" s="1"/>
    </row>
    <row r="36411" spans="17:17" x14ac:dyDescent="0.35">
      <c r="Q36411" s="1"/>
    </row>
    <row r="36419" spans="17:17" x14ac:dyDescent="0.35">
      <c r="Q36419" s="1"/>
    </row>
    <row r="36420" spans="17:17" x14ac:dyDescent="0.35">
      <c r="Q36420" s="1"/>
    </row>
    <row r="36426" spans="17:17" x14ac:dyDescent="0.35">
      <c r="Q36426" s="1"/>
    </row>
    <row r="36431" spans="17:17" x14ac:dyDescent="0.35">
      <c r="Q36431" s="1"/>
    </row>
    <row r="36434" spans="17:17" x14ac:dyDescent="0.35">
      <c r="Q36434" s="1"/>
    </row>
    <row r="36438" spans="17:17" x14ac:dyDescent="0.35">
      <c r="Q36438" s="1"/>
    </row>
    <row r="36441" spans="17:17" x14ac:dyDescent="0.35">
      <c r="Q36441" s="1"/>
    </row>
    <row r="36442" spans="17:17" x14ac:dyDescent="0.35">
      <c r="Q36442" s="1"/>
    </row>
    <row r="36443" spans="17:17" x14ac:dyDescent="0.35">
      <c r="Q36443" s="1"/>
    </row>
    <row r="36448" spans="17:17" x14ac:dyDescent="0.35">
      <c r="Q36448" s="1"/>
    </row>
    <row r="36453" spans="17:17" x14ac:dyDescent="0.35">
      <c r="Q36453" s="1"/>
    </row>
    <row r="36460" spans="17:17" x14ac:dyDescent="0.35">
      <c r="Q36460" s="1"/>
    </row>
    <row r="36464" spans="17:17" x14ac:dyDescent="0.35">
      <c r="Q36464" s="1"/>
    </row>
    <row r="36470" spans="17:17" x14ac:dyDescent="0.35">
      <c r="Q36470" s="1"/>
    </row>
    <row r="36489" spans="17:17" x14ac:dyDescent="0.35">
      <c r="Q36489" s="1"/>
    </row>
    <row r="36491" spans="17:17" x14ac:dyDescent="0.35">
      <c r="Q36491" s="1"/>
    </row>
    <row r="36492" spans="17:17" x14ac:dyDescent="0.35">
      <c r="Q36492" s="1"/>
    </row>
    <row r="36499" spans="17:17" x14ac:dyDescent="0.35">
      <c r="Q36499" s="1"/>
    </row>
    <row r="36506" spans="17:17" x14ac:dyDescent="0.35">
      <c r="Q36506" s="1"/>
    </row>
    <row r="36525" spans="17:17" x14ac:dyDescent="0.35">
      <c r="Q36525" s="1"/>
    </row>
    <row r="36530" spans="17:17" x14ac:dyDescent="0.35">
      <c r="Q36530" s="1"/>
    </row>
    <row r="36541" spans="17:17" x14ac:dyDescent="0.35">
      <c r="Q36541" s="1"/>
    </row>
    <row r="36542" spans="17:17" x14ac:dyDescent="0.35">
      <c r="Q36542" s="1"/>
    </row>
    <row r="36546" spans="17:17" x14ac:dyDescent="0.35">
      <c r="Q36546" s="1"/>
    </row>
    <row r="36557" spans="17:17" x14ac:dyDescent="0.35">
      <c r="Q36557" s="1"/>
    </row>
    <row r="36558" spans="17:17" x14ac:dyDescent="0.35">
      <c r="Q36558" s="1"/>
    </row>
    <row r="36559" spans="17:17" x14ac:dyDescent="0.35">
      <c r="Q36559" s="1"/>
    </row>
    <row r="36561" spans="17:17" x14ac:dyDescent="0.35">
      <c r="Q36561" s="1"/>
    </row>
    <row r="36562" spans="17:17" x14ac:dyDescent="0.35">
      <c r="Q36562" s="1"/>
    </row>
    <row r="36564" spans="17:17" x14ac:dyDescent="0.35">
      <c r="Q36564" s="1"/>
    </row>
    <row r="36565" spans="17:17" x14ac:dyDescent="0.35">
      <c r="Q36565" s="1"/>
    </row>
    <row r="36577" spans="17:17" x14ac:dyDescent="0.35">
      <c r="Q36577" s="1"/>
    </row>
    <row r="36578" spans="17:17" x14ac:dyDescent="0.35">
      <c r="Q36578" s="1"/>
    </row>
    <row r="36580" spans="17:17" x14ac:dyDescent="0.35">
      <c r="Q36580" s="1"/>
    </row>
    <row r="36584" spans="17:17" x14ac:dyDescent="0.35">
      <c r="Q36584" s="1"/>
    </row>
    <row r="36586" spans="17:17" x14ac:dyDescent="0.35">
      <c r="Q36586" s="1"/>
    </row>
    <row r="36588" spans="17:17" x14ac:dyDescent="0.35">
      <c r="Q36588" s="1"/>
    </row>
    <row r="36598" spans="17:17" x14ac:dyDescent="0.35">
      <c r="Q36598" s="1"/>
    </row>
    <row r="36603" spans="17:17" x14ac:dyDescent="0.35">
      <c r="Q36603" s="1"/>
    </row>
    <row r="36608" spans="17:17" x14ac:dyDescent="0.35">
      <c r="Q36608" s="1"/>
    </row>
    <row r="36622" spans="17:17" x14ac:dyDescent="0.35">
      <c r="Q36622" s="1"/>
    </row>
    <row r="36623" spans="17:17" x14ac:dyDescent="0.35">
      <c r="Q36623" s="1"/>
    </row>
    <row r="36625" spans="17:17" x14ac:dyDescent="0.35">
      <c r="Q36625" s="1"/>
    </row>
    <row r="36630" spans="17:17" x14ac:dyDescent="0.35">
      <c r="Q36630" s="1"/>
    </row>
    <row r="36637" spans="17:17" x14ac:dyDescent="0.35">
      <c r="Q36637" s="1"/>
    </row>
    <row r="36641" spans="17:17" x14ac:dyDescent="0.35">
      <c r="Q36641" s="1"/>
    </row>
    <row r="36647" spans="17:17" x14ac:dyDescent="0.35">
      <c r="Q36647" s="1"/>
    </row>
    <row r="36662" spans="16:17" x14ac:dyDescent="0.35">
      <c r="Q36662" s="1"/>
    </row>
    <row r="36663" spans="16:17" x14ac:dyDescent="0.35">
      <c r="P36663" s="1"/>
    </row>
    <row r="36664" spans="16:17" x14ac:dyDescent="0.35">
      <c r="Q36664" s="1"/>
    </row>
    <row r="36673" spans="16:17" x14ac:dyDescent="0.35">
      <c r="Q36673" s="1"/>
    </row>
    <row r="36682" spans="16:17" x14ac:dyDescent="0.35">
      <c r="P36682" s="1"/>
    </row>
    <row r="36686" spans="16:17" x14ac:dyDescent="0.35">
      <c r="Q36686" s="1"/>
    </row>
    <row r="36687" spans="16:17" x14ac:dyDescent="0.35">
      <c r="Q36687" s="1"/>
    </row>
    <row r="36693" spans="17:17" x14ac:dyDescent="0.35">
      <c r="Q36693" s="1"/>
    </row>
    <row r="36695" spans="17:17" x14ac:dyDescent="0.35">
      <c r="Q36695" s="1"/>
    </row>
    <row r="36709" spans="17:17" x14ac:dyDescent="0.35">
      <c r="Q36709" s="1"/>
    </row>
    <row r="36714" spans="17:17" x14ac:dyDescent="0.35">
      <c r="Q36714" s="1"/>
    </row>
    <row r="36721" spans="17:17" x14ac:dyDescent="0.35">
      <c r="Q36721" s="1"/>
    </row>
    <row r="36724" spans="17:17" x14ac:dyDescent="0.35">
      <c r="Q36724" s="1"/>
    </row>
    <row r="36730" spans="17:17" x14ac:dyDescent="0.35">
      <c r="Q36730" s="1"/>
    </row>
    <row r="36731" spans="17:17" x14ac:dyDescent="0.35">
      <c r="Q36731" s="1"/>
    </row>
    <row r="36732" spans="17:17" x14ac:dyDescent="0.35">
      <c r="Q36732" s="1"/>
    </row>
    <row r="36734" spans="17:17" x14ac:dyDescent="0.35">
      <c r="Q36734" s="1"/>
    </row>
    <row r="36736" spans="17:17" x14ac:dyDescent="0.35">
      <c r="Q36736" s="1"/>
    </row>
    <row r="36747" spans="17:17" x14ac:dyDescent="0.35">
      <c r="Q36747" s="1"/>
    </row>
    <row r="36751" spans="17:17" x14ac:dyDescent="0.35">
      <c r="Q36751" s="1"/>
    </row>
    <row r="36757" spans="17:17" x14ac:dyDescent="0.35">
      <c r="Q36757" s="1"/>
    </row>
    <row r="36760" spans="17:17" x14ac:dyDescent="0.35">
      <c r="Q36760" s="1"/>
    </row>
    <row r="36761" spans="17:17" x14ac:dyDescent="0.35">
      <c r="Q36761" s="1"/>
    </row>
    <row r="36768" spans="17:17" x14ac:dyDescent="0.35">
      <c r="Q36768" s="1"/>
    </row>
    <row r="36770" spans="17:17" x14ac:dyDescent="0.35">
      <c r="Q36770" s="1"/>
    </row>
    <row r="36771" spans="17:17" x14ac:dyDescent="0.35">
      <c r="Q36771" s="1"/>
    </row>
    <row r="36781" spans="17:17" x14ac:dyDescent="0.35">
      <c r="Q36781" s="1"/>
    </row>
    <row r="36782" spans="17:17" x14ac:dyDescent="0.35">
      <c r="Q36782" s="1"/>
    </row>
    <row r="36783" spans="17:17" x14ac:dyDescent="0.35">
      <c r="Q36783" s="1"/>
    </row>
    <row r="36795" spans="17:17" x14ac:dyDescent="0.35">
      <c r="Q36795" s="1"/>
    </row>
    <row r="36802" spans="17:17" x14ac:dyDescent="0.35">
      <c r="Q36802" s="1"/>
    </row>
    <row r="36803" spans="17:17" x14ac:dyDescent="0.35">
      <c r="Q36803" s="1"/>
    </row>
    <row r="36807" spans="17:17" x14ac:dyDescent="0.35">
      <c r="Q36807" s="1"/>
    </row>
    <row r="36808" spans="17:17" x14ac:dyDescent="0.35">
      <c r="Q36808" s="1"/>
    </row>
    <row r="36811" spans="17:17" x14ac:dyDescent="0.35">
      <c r="Q36811" s="1"/>
    </row>
    <row r="36814" spans="17:17" x14ac:dyDescent="0.35">
      <c r="Q36814" s="1"/>
    </row>
    <row r="36817" spans="17:17" x14ac:dyDescent="0.35">
      <c r="Q36817" s="1"/>
    </row>
    <row r="36818" spans="17:17" x14ac:dyDescent="0.35">
      <c r="Q36818" s="1"/>
    </row>
    <row r="36820" spans="17:17" x14ac:dyDescent="0.35">
      <c r="Q36820" s="1"/>
    </row>
    <row r="36821" spans="17:17" x14ac:dyDescent="0.35">
      <c r="Q36821" s="1"/>
    </row>
    <row r="36823" spans="17:17" x14ac:dyDescent="0.35">
      <c r="Q36823" s="1"/>
    </row>
    <row r="36834" spans="17:17" x14ac:dyDescent="0.35">
      <c r="Q36834" s="1"/>
    </row>
    <row r="36837" spans="17:17" x14ac:dyDescent="0.35">
      <c r="Q36837" s="1"/>
    </row>
    <row r="36847" spans="17:17" x14ac:dyDescent="0.35">
      <c r="Q36847" s="1"/>
    </row>
    <row r="36868" spans="17:17" x14ac:dyDescent="0.35">
      <c r="Q36868" s="1"/>
    </row>
    <row r="36873" spans="17:17" x14ac:dyDescent="0.35">
      <c r="Q36873" s="1"/>
    </row>
    <row r="36878" spans="17:17" x14ac:dyDescent="0.35">
      <c r="Q36878" s="1"/>
    </row>
    <row r="36898" spans="17:17" x14ac:dyDescent="0.35">
      <c r="Q36898" s="1"/>
    </row>
    <row r="36901" spans="17:17" x14ac:dyDescent="0.35">
      <c r="Q36901" s="1"/>
    </row>
    <row r="36914" spans="17:17" x14ac:dyDescent="0.35">
      <c r="Q36914" s="1"/>
    </row>
    <row r="36919" spans="17:17" x14ac:dyDescent="0.35">
      <c r="Q36919" s="1"/>
    </row>
    <row r="36925" spans="17:17" x14ac:dyDescent="0.35">
      <c r="Q36925" s="1"/>
    </row>
    <row r="36927" spans="17:17" x14ac:dyDescent="0.35">
      <c r="Q36927" s="1"/>
    </row>
    <row r="36929" spans="17:17" x14ac:dyDescent="0.35">
      <c r="Q36929" s="1"/>
    </row>
    <row r="36937" spans="17:17" x14ac:dyDescent="0.35">
      <c r="Q36937" s="1"/>
    </row>
    <row r="36938" spans="17:17" x14ac:dyDescent="0.35">
      <c r="Q36938" s="1"/>
    </row>
    <row r="36940" spans="17:17" x14ac:dyDescent="0.35">
      <c r="Q36940" s="1"/>
    </row>
    <row r="36945" spans="17:17" x14ac:dyDescent="0.35">
      <c r="Q36945" s="1"/>
    </row>
    <row r="36946" spans="17:17" x14ac:dyDescent="0.35">
      <c r="Q36946" s="1"/>
    </row>
    <row r="36948" spans="17:17" x14ac:dyDescent="0.35">
      <c r="Q36948" s="1"/>
    </row>
    <row r="36952" spans="17:17" x14ac:dyDescent="0.35">
      <c r="Q36952" s="1"/>
    </row>
    <row r="36964" spans="17:17" x14ac:dyDescent="0.35">
      <c r="Q36964" s="1"/>
    </row>
    <row r="36965" spans="17:17" x14ac:dyDescent="0.35">
      <c r="Q36965" s="1"/>
    </row>
    <row r="36976" spans="17:17" x14ac:dyDescent="0.35">
      <c r="Q36976" s="1"/>
    </row>
    <row r="36978" spans="17:17" x14ac:dyDescent="0.35">
      <c r="Q36978" s="1"/>
    </row>
    <row r="36980" spans="17:17" x14ac:dyDescent="0.35">
      <c r="Q36980" s="1"/>
    </row>
    <row r="36984" spans="17:17" x14ac:dyDescent="0.35">
      <c r="Q36984" s="1"/>
    </row>
    <row r="36989" spans="17:17" x14ac:dyDescent="0.35">
      <c r="Q36989" s="1"/>
    </row>
    <row r="36996" spans="17:17" x14ac:dyDescent="0.35">
      <c r="Q36996" s="1"/>
    </row>
    <row r="36997" spans="17:17" x14ac:dyDescent="0.35">
      <c r="Q36997" s="1"/>
    </row>
    <row r="37004" spans="17:17" x14ac:dyDescent="0.35">
      <c r="Q37004" s="1"/>
    </row>
    <row r="37006" spans="17:17" x14ac:dyDescent="0.35">
      <c r="Q37006" s="1"/>
    </row>
    <row r="37008" spans="17:17" x14ac:dyDescent="0.35">
      <c r="Q37008" s="1"/>
    </row>
    <row r="37009" spans="17:17" x14ac:dyDescent="0.35">
      <c r="Q37009" s="1"/>
    </row>
    <row r="37010" spans="17:17" x14ac:dyDescent="0.35">
      <c r="Q37010" s="1"/>
    </row>
    <row r="37012" spans="17:17" x14ac:dyDescent="0.35">
      <c r="Q37012" s="1"/>
    </row>
    <row r="37014" spans="17:17" x14ac:dyDescent="0.35">
      <c r="Q37014" s="1"/>
    </row>
    <row r="37015" spans="17:17" x14ac:dyDescent="0.35">
      <c r="Q37015" s="1"/>
    </row>
    <row r="37016" spans="17:17" x14ac:dyDescent="0.35">
      <c r="Q37016" s="1"/>
    </row>
    <row r="37017" spans="17:17" x14ac:dyDescent="0.35">
      <c r="Q37017" s="1"/>
    </row>
    <row r="37026" spans="17:17" x14ac:dyDescent="0.35">
      <c r="Q37026" s="1"/>
    </row>
    <row r="37033" spans="17:17" x14ac:dyDescent="0.35">
      <c r="Q37033" s="1"/>
    </row>
    <row r="37039" spans="17:17" x14ac:dyDescent="0.35">
      <c r="Q37039" s="1"/>
    </row>
    <row r="37047" spans="17:17" x14ac:dyDescent="0.35">
      <c r="Q37047" s="1"/>
    </row>
    <row r="37054" spans="17:17" x14ac:dyDescent="0.35">
      <c r="Q37054" s="1"/>
    </row>
    <row r="37055" spans="17:17" x14ac:dyDescent="0.35">
      <c r="Q37055" s="1"/>
    </row>
    <row r="37056" spans="17:17" x14ac:dyDescent="0.35">
      <c r="Q37056" s="1"/>
    </row>
    <row r="37057" spans="17:17" x14ac:dyDescent="0.35">
      <c r="Q37057" s="1"/>
    </row>
    <row r="37058" spans="17:17" x14ac:dyDescent="0.35">
      <c r="Q37058" s="1"/>
    </row>
    <row r="37103" spans="17:17" x14ac:dyDescent="0.35">
      <c r="Q37103" s="1"/>
    </row>
    <row r="37130" spans="17:17" x14ac:dyDescent="0.35">
      <c r="Q37130" s="1"/>
    </row>
    <row r="37149" spans="17:17" x14ac:dyDescent="0.35">
      <c r="Q37149" s="1"/>
    </row>
    <row r="37151" spans="17:17" x14ac:dyDescent="0.35">
      <c r="Q37151" s="1"/>
    </row>
    <row r="37158" spans="17:17" x14ac:dyDescent="0.35">
      <c r="Q37158" s="1"/>
    </row>
    <row r="37159" spans="17:17" x14ac:dyDescent="0.35">
      <c r="Q37159" s="1"/>
    </row>
    <row r="37160" spans="17:17" x14ac:dyDescent="0.35">
      <c r="Q37160" s="1"/>
    </row>
    <row r="37161" spans="17:17" x14ac:dyDescent="0.35">
      <c r="Q37161" s="1"/>
    </row>
    <row r="37162" spans="17:17" x14ac:dyDescent="0.35">
      <c r="Q37162" s="1"/>
    </row>
    <row r="37164" spans="17:17" x14ac:dyDescent="0.35">
      <c r="Q37164" s="1"/>
    </row>
    <row r="37165" spans="17:17" x14ac:dyDescent="0.35">
      <c r="Q37165" s="1"/>
    </row>
    <row r="37166" spans="17:17" x14ac:dyDescent="0.35">
      <c r="Q37166" s="1"/>
    </row>
    <row r="37167" spans="17:17" x14ac:dyDescent="0.35">
      <c r="Q37167" s="1"/>
    </row>
    <row r="37168" spans="17:17" x14ac:dyDescent="0.35">
      <c r="Q37168" s="1"/>
    </row>
    <row r="37169" spans="17:17" x14ac:dyDescent="0.35">
      <c r="Q37169" s="1"/>
    </row>
    <row r="37171" spans="17:17" x14ac:dyDescent="0.35">
      <c r="Q37171" s="1"/>
    </row>
    <row r="37172" spans="17:17" x14ac:dyDescent="0.35">
      <c r="Q37172" s="1"/>
    </row>
    <row r="37173" spans="17:17" x14ac:dyDescent="0.35">
      <c r="Q37173" s="1"/>
    </row>
    <row r="37175" spans="17:17" x14ac:dyDescent="0.35">
      <c r="Q37175" s="1"/>
    </row>
    <row r="37176" spans="17:17" x14ac:dyDescent="0.35">
      <c r="Q37176" s="1"/>
    </row>
    <row r="37177" spans="17:17" x14ac:dyDescent="0.35">
      <c r="Q37177" s="1"/>
    </row>
    <row r="37178" spans="17:17" x14ac:dyDescent="0.35">
      <c r="Q37178" s="1"/>
    </row>
    <row r="37180" spans="17:17" x14ac:dyDescent="0.35">
      <c r="Q37180" s="1"/>
    </row>
    <row r="37183" spans="17:17" x14ac:dyDescent="0.35">
      <c r="Q37183" s="1"/>
    </row>
    <row r="37186" spans="17:17" x14ac:dyDescent="0.35">
      <c r="Q37186" s="1"/>
    </row>
    <row r="37187" spans="17:17" x14ac:dyDescent="0.35">
      <c r="Q37187" s="1"/>
    </row>
    <row r="37199" spans="17:17" x14ac:dyDescent="0.35">
      <c r="Q37199" s="1"/>
    </row>
    <row r="37201" spans="17:17" x14ac:dyDescent="0.35">
      <c r="Q37201" s="1"/>
    </row>
    <row r="37209" spans="17:17" x14ac:dyDescent="0.35">
      <c r="Q37209" s="1"/>
    </row>
    <row r="37212" spans="17:17" x14ac:dyDescent="0.35">
      <c r="Q37212" s="1"/>
    </row>
    <row r="37218" spans="17:17" x14ac:dyDescent="0.35">
      <c r="Q37218" s="1"/>
    </row>
    <row r="37220" spans="17:17" x14ac:dyDescent="0.35">
      <c r="Q37220" s="1"/>
    </row>
    <row r="37227" spans="17:17" x14ac:dyDescent="0.35">
      <c r="Q37227" s="1"/>
    </row>
    <row r="37230" spans="17:17" x14ac:dyDescent="0.35">
      <c r="Q37230" s="1"/>
    </row>
    <row r="37236" spans="17:17" x14ac:dyDescent="0.35">
      <c r="Q37236" s="1"/>
    </row>
    <row r="37238" spans="17:17" x14ac:dyDescent="0.35">
      <c r="Q37238" s="1"/>
    </row>
    <row r="37244" spans="17:17" x14ac:dyDescent="0.35">
      <c r="Q37244" s="1"/>
    </row>
    <row r="37254" spans="17:17" x14ac:dyDescent="0.35">
      <c r="Q37254" s="1"/>
    </row>
    <row r="37255" spans="17:17" x14ac:dyDescent="0.35">
      <c r="Q37255" s="1"/>
    </row>
    <row r="37260" spans="17:17" x14ac:dyDescent="0.35">
      <c r="Q37260" s="1"/>
    </row>
    <row r="37269" spans="17:17" x14ac:dyDescent="0.35">
      <c r="Q37269" s="1"/>
    </row>
    <row r="37277" spans="17:17" x14ac:dyDescent="0.35">
      <c r="Q37277" s="1"/>
    </row>
    <row r="37278" spans="17:17" x14ac:dyDescent="0.35">
      <c r="Q37278" s="1"/>
    </row>
    <row r="37279" spans="17:17" x14ac:dyDescent="0.35">
      <c r="Q37279" s="1"/>
    </row>
    <row r="37282" spans="17:17" x14ac:dyDescent="0.35">
      <c r="Q37282" s="1"/>
    </row>
    <row r="37284" spans="17:17" x14ac:dyDescent="0.35">
      <c r="Q37284" s="1"/>
    </row>
    <row r="37285" spans="17:17" x14ac:dyDescent="0.35">
      <c r="Q37285" s="1"/>
    </row>
    <row r="37286" spans="17:17" x14ac:dyDescent="0.35">
      <c r="Q37286" s="1"/>
    </row>
    <row r="37289" spans="17:17" x14ac:dyDescent="0.35">
      <c r="Q37289" s="1"/>
    </row>
    <row r="37290" spans="17:17" x14ac:dyDescent="0.35">
      <c r="Q37290" s="1"/>
    </row>
    <row r="37291" spans="17:17" x14ac:dyDescent="0.35">
      <c r="Q37291" s="1"/>
    </row>
    <row r="37299" spans="17:17" x14ac:dyDescent="0.35">
      <c r="Q37299" s="1"/>
    </row>
    <row r="37304" spans="17:17" x14ac:dyDescent="0.35">
      <c r="Q37304" s="1"/>
    </row>
    <row r="37305" spans="17:17" x14ac:dyDescent="0.35">
      <c r="Q37305" s="1"/>
    </row>
    <row r="37307" spans="17:17" x14ac:dyDescent="0.35">
      <c r="Q37307" s="1"/>
    </row>
    <row r="37308" spans="17:17" x14ac:dyDescent="0.35">
      <c r="Q37308" s="1"/>
    </row>
    <row r="37310" spans="17:17" x14ac:dyDescent="0.35">
      <c r="Q37310" s="1"/>
    </row>
    <row r="37312" spans="17:17" x14ac:dyDescent="0.35">
      <c r="Q37312" s="1"/>
    </row>
    <row r="37344" spans="17:17" x14ac:dyDescent="0.35">
      <c r="Q37344" s="1"/>
    </row>
    <row r="37346" spans="17:17" x14ac:dyDescent="0.35">
      <c r="Q37346" s="1"/>
    </row>
    <row r="37353" spans="17:17" x14ac:dyDescent="0.35">
      <c r="Q37353" s="1"/>
    </row>
    <row r="37365" spans="17:17" x14ac:dyDescent="0.35">
      <c r="Q37365" s="1"/>
    </row>
    <row r="37370" spans="17:17" x14ac:dyDescent="0.35">
      <c r="Q37370" s="1"/>
    </row>
    <row r="37387" spans="17:17" x14ac:dyDescent="0.35">
      <c r="Q37387" s="1"/>
    </row>
    <row r="37389" spans="17:17" x14ac:dyDescent="0.35">
      <c r="Q37389" s="1"/>
    </row>
    <row r="37400" spans="17:17" x14ac:dyDescent="0.35">
      <c r="Q37400" s="1"/>
    </row>
    <row r="37406" spans="17:17" x14ac:dyDescent="0.35">
      <c r="Q37406" s="1"/>
    </row>
    <row r="37407" spans="17:17" x14ac:dyDescent="0.35">
      <c r="Q37407" s="1"/>
    </row>
    <row r="37411" spans="17:17" x14ac:dyDescent="0.35">
      <c r="Q37411" s="1"/>
    </row>
    <row r="37413" spans="17:17" x14ac:dyDescent="0.35">
      <c r="Q37413" s="1"/>
    </row>
    <row r="37434" spans="17:17" x14ac:dyDescent="0.35">
      <c r="Q37434" s="1"/>
    </row>
    <row r="37436" spans="17:17" x14ac:dyDescent="0.35">
      <c r="Q37436" s="1"/>
    </row>
    <row r="37437" spans="17:17" x14ac:dyDescent="0.35">
      <c r="Q37437" s="1"/>
    </row>
    <row r="37448" spans="17:17" x14ac:dyDescent="0.35">
      <c r="Q37448" s="1"/>
    </row>
    <row r="37452" spans="17:17" x14ac:dyDescent="0.35">
      <c r="Q37452" s="1"/>
    </row>
    <row r="37456" spans="17:17" x14ac:dyDescent="0.35">
      <c r="Q37456" s="1"/>
    </row>
    <row r="37457" spans="17:17" x14ac:dyDescent="0.35">
      <c r="Q37457" s="1"/>
    </row>
    <row r="37461" spans="17:17" x14ac:dyDescent="0.35">
      <c r="Q37461" s="1"/>
    </row>
    <row r="37465" spans="17:17" x14ac:dyDescent="0.35">
      <c r="Q37465" s="1"/>
    </row>
    <row r="37477" spans="17:17" x14ac:dyDescent="0.35">
      <c r="Q37477" s="1"/>
    </row>
    <row r="37479" spans="17:17" x14ac:dyDescent="0.35">
      <c r="Q37479" s="1"/>
    </row>
    <row r="37482" spans="17:17" x14ac:dyDescent="0.35">
      <c r="Q37482" s="1"/>
    </row>
    <row r="37487" spans="17:17" x14ac:dyDescent="0.35">
      <c r="Q37487" s="1"/>
    </row>
    <row r="37498" spans="17:17" x14ac:dyDescent="0.35">
      <c r="Q37498" s="1"/>
    </row>
    <row r="37500" spans="17:17" x14ac:dyDescent="0.35">
      <c r="Q37500" s="1"/>
    </row>
    <row r="37501" spans="17:17" x14ac:dyDescent="0.35">
      <c r="Q37501" s="1"/>
    </row>
    <row r="37502" spans="17:17" x14ac:dyDescent="0.35">
      <c r="Q37502" s="1"/>
    </row>
    <row r="37503" spans="17:17" x14ac:dyDescent="0.35">
      <c r="Q37503" s="1"/>
    </row>
    <row r="37505" spans="17:17" x14ac:dyDescent="0.35">
      <c r="Q37505" s="1"/>
    </row>
    <row r="37506" spans="17:17" x14ac:dyDescent="0.35">
      <c r="Q37506" s="1"/>
    </row>
    <row r="37510" spans="17:17" x14ac:dyDescent="0.35">
      <c r="Q37510" s="1"/>
    </row>
    <row r="37519" spans="17:17" x14ac:dyDescent="0.35">
      <c r="Q37519" s="1"/>
    </row>
    <row r="37524" spans="17:17" x14ac:dyDescent="0.35">
      <c r="Q37524" s="1"/>
    </row>
    <row r="37547" spans="16:17" x14ac:dyDescent="0.35">
      <c r="Q37547" s="1"/>
    </row>
    <row r="37549" spans="16:17" x14ac:dyDescent="0.35">
      <c r="P37549" s="1"/>
    </row>
    <row r="37555" spans="17:17" x14ac:dyDescent="0.35">
      <c r="Q37555" s="1"/>
    </row>
    <row r="37557" spans="17:17" x14ac:dyDescent="0.35">
      <c r="Q37557" s="1"/>
    </row>
    <row r="37558" spans="17:17" x14ac:dyDescent="0.35">
      <c r="Q37558" s="1"/>
    </row>
    <row r="37562" spans="17:17" x14ac:dyDescent="0.35">
      <c r="Q37562" s="1"/>
    </row>
    <row r="37565" spans="17:17" x14ac:dyDescent="0.35">
      <c r="Q37565" s="1"/>
    </row>
    <row r="37576" spans="17:17" x14ac:dyDescent="0.35">
      <c r="Q37576" s="1"/>
    </row>
    <row r="37577" spans="17:17" x14ac:dyDescent="0.35">
      <c r="Q37577" s="1"/>
    </row>
    <row r="37581" spans="17:17" x14ac:dyDescent="0.35">
      <c r="Q37581" s="1"/>
    </row>
    <row r="37596" spans="17:17" x14ac:dyDescent="0.35">
      <c r="Q37596" s="1"/>
    </row>
    <row r="37598" spans="17:17" x14ac:dyDescent="0.35">
      <c r="Q37598" s="1"/>
    </row>
    <row r="37614" spans="17:17" x14ac:dyDescent="0.35">
      <c r="Q37614" s="1"/>
    </row>
    <row r="37621" spans="17:17" x14ac:dyDescent="0.35">
      <c r="Q37621" s="1"/>
    </row>
    <row r="37623" spans="17:17" x14ac:dyDescent="0.35">
      <c r="Q37623" s="1"/>
    </row>
    <row r="37664" spans="17:17" x14ac:dyDescent="0.35">
      <c r="Q37664" s="1"/>
    </row>
    <row r="37693" spans="17:17" x14ac:dyDescent="0.35">
      <c r="Q37693" s="1"/>
    </row>
    <row r="37697" spans="17:17" x14ac:dyDescent="0.35">
      <c r="Q37697" s="1"/>
    </row>
    <row r="37698" spans="17:17" x14ac:dyDescent="0.35">
      <c r="Q37698" s="1"/>
    </row>
    <row r="37700" spans="17:17" x14ac:dyDescent="0.35">
      <c r="Q37700" s="1"/>
    </row>
    <row r="37701" spans="17:17" x14ac:dyDescent="0.35">
      <c r="Q37701" s="1"/>
    </row>
    <row r="37705" spans="17:17" x14ac:dyDescent="0.35">
      <c r="Q37705" s="1"/>
    </row>
    <row r="37711" spans="17:17" x14ac:dyDescent="0.35">
      <c r="Q37711" s="1"/>
    </row>
    <row r="37730" spans="17:17" x14ac:dyDescent="0.35">
      <c r="Q37730" s="1"/>
    </row>
    <row r="37738" spans="17:17" x14ac:dyDescent="0.35">
      <c r="Q37738" s="1"/>
    </row>
    <row r="37740" spans="17:17" x14ac:dyDescent="0.35">
      <c r="Q37740" s="1"/>
    </row>
    <row r="37745" spans="17:17" x14ac:dyDescent="0.35">
      <c r="Q37745" s="1"/>
    </row>
    <row r="37754" spans="17:17" x14ac:dyDescent="0.35">
      <c r="Q37754" s="1"/>
    </row>
    <row r="37755" spans="17:17" x14ac:dyDescent="0.35">
      <c r="Q37755" s="1"/>
    </row>
    <row r="37773" spans="17:17" x14ac:dyDescent="0.35">
      <c r="Q37773" s="1"/>
    </row>
    <row r="37782" spans="17:17" x14ac:dyDescent="0.35">
      <c r="Q37782" s="1"/>
    </row>
    <row r="37790" spans="17:17" x14ac:dyDescent="0.35">
      <c r="Q37790" s="1"/>
    </row>
    <row r="37795" spans="17:17" x14ac:dyDescent="0.35">
      <c r="Q37795" s="1"/>
    </row>
    <row r="37797" spans="17:17" x14ac:dyDescent="0.35">
      <c r="Q37797" s="1"/>
    </row>
    <row r="37802" spans="17:17" x14ac:dyDescent="0.35">
      <c r="Q37802" s="1"/>
    </row>
    <row r="37807" spans="17:17" x14ac:dyDescent="0.35">
      <c r="Q37807" s="1"/>
    </row>
    <row r="37809" spans="17:17" x14ac:dyDescent="0.35">
      <c r="Q37809" s="1"/>
    </row>
    <row r="37811" spans="17:17" x14ac:dyDescent="0.35">
      <c r="Q37811" s="1"/>
    </row>
    <row r="37812" spans="17:17" x14ac:dyDescent="0.35">
      <c r="Q37812" s="1"/>
    </row>
    <row r="37813" spans="17:17" x14ac:dyDescent="0.35">
      <c r="Q37813" s="1"/>
    </row>
    <row r="37844" spans="17:17" x14ac:dyDescent="0.35">
      <c r="Q37844" s="1"/>
    </row>
    <row r="37860" spans="17:17" x14ac:dyDescent="0.35">
      <c r="Q37860" s="1"/>
    </row>
    <row r="37861" spans="17:17" x14ac:dyDescent="0.35">
      <c r="Q37861" s="1"/>
    </row>
    <row r="37862" spans="17:17" x14ac:dyDescent="0.35">
      <c r="Q37862" s="1"/>
    </row>
    <row r="37882" spans="17:17" x14ac:dyDescent="0.35">
      <c r="Q37882" s="1"/>
    </row>
    <row r="37885" spans="17:17" x14ac:dyDescent="0.35">
      <c r="Q37885" s="1"/>
    </row>
    <row r="37886" spans="17:17" x14ac:dyDescent="0.35">
      <c r="Q37886" s="1"/>
    </row>
    <row r="37887" spans="17:17" x14ac:dyDescent="0.35">
      <c r="Q37887" s="1"/>
    </row>
    <row r="37896" spans="17:17" x14ac:dyDescent="0.35">
      <c r="Q37896" s="1"/>
    </row>
    <row r="37900" spans="17:17" x14ac:dyDescent="0.35">
      <c r="Q37900" s="1"/>
    </row>
    <row r="37901" spans="17:17" x14ac:dyDescent="0.35">
      <c r="Q37901" s="1"/>
    </row>
    <row r="37903" spans="17:17" x14ac:dyDescent="0.35">
      <c r="Q37903" s="1"/>
    </row>
    <row r="37904" spans="17:17" x14ac:dyDescent="0.35">
      <c r="Q37904" s="1"/>
    </row>
    <row r="37905" spans="17:17" x14ac:dyDescent="0.35">
      <c r="Q37905" s="1"/>
    </row>
    <row r="37913" spans="17:17" x14ac:dyDescent="0.35">
      <c r="Q37913" s="1"/>
    </row>
    <row r="37914" spans="17:17" x14ac:dyDescent="0.35">
      <c r="Q37914" s="1"/>
    </row>
    <row r="37932" spans="17:17" x14ac:dyDescent="0.35">
      <c r="Q37932" s="1"/>
    </row>
    <row r="37939" spans="17:17" x14ac:dyDescent="0.35">
      <c r="Q37939" s="1"/>
    </row>
    <row r="37942" spans="17:17" x14ac:dyDescent="0.35">
      <c r="Q37942" s="1"/>
    </row>
    <row r="37945" spans="17:17" x14ac:dyDescent="0.35">
      <c r="Q37945" s="1"/>
    </row>
    <row r="37947" spans="17:17" x14ac:dyDescent="0.35">
      <c r="Q37947" s="1"/>
    </row>
    <row r="37950" spans="17:17" x14ac:dyDescent="0.35">
      <c r="Q37950" s="1"/>
    </row>
    <row r="37953" spans="17:17" x14ac:dyDescent="0.35">
      <c r="Q37953" s="1"/>
    </row>
    <row r="37955" spans="17:17" x14ac:dyDescent="0.35">
      <c r="Q37955" s="1"/>
    </row>
    <row r="37968" spans="17:17" x14ac:dyDescent="0.35">
      <c r="Q37968" s="1"/>
    </row>
    <row r="37969" spans="17:17" x14ac:dyDescent="0.35">
      <c r="Q37969" s="1"/>
    </row>
    <row r="37973" spans="17:17" x14ac:dyDescent="0.35">
      <c r="Q37973" s="1"/>
    </row>
    <row r="37976" spans="17:17" x14ac:dyDescent="0.35">
      <c r="Q37976" s="1"/>
    </row>
    <row r="38001" spans="17:17" x14ac:dyDescent="0.35">
      <c r="Q38001" s="1"/>
    </row>
    <row r="38005" spans="17:17" x14ac:dyDescent="0.35">
      <c r="Q38005" s="1"/>
    </row>
    <row r="38006" spans="17:17" x14ac:dyDescent="0.35">
      <c r="Q38006" s="1"/>
    </row>
    <row r="38014" spans="17:17" x14ac:dyDescent="0.35">
      <c r="Q38014" s="1"/>
    </row>
    <row r="38024" spans="17:17" x14ac:dyDescent="0.35">
      <c r="Q38024" s="1"/>
    </row>
    <row r="38037" spans="16:17" x14ac:dyDescent="0.35">
      <c r="P38037" s="1"/>
    </row>
    <row r="38039" spans="16:17" x14ac:dyDescent="0.35">
      <c r="Q38039" s="1"/>
    </row>
    <row r="38061" spans="17:17" x14ac:dyDescent="0.35">
      <c r="Q38061" s="1"/>
    </row>
    <row r="38075" spans="17:17" x14ac:dyDescent="0.35">
      <c r="Q38075" s="1"/>
    </row>
    <row r="38082" spans="16:17" x14ac:dyDescent="0.35">
      <c r="Q38082" s="1"/>
    </row>
    <row r="38085" spans="16:17" x14ac:dyDescent="0.35">
      <c r="Q38085" s="1"/>
    </row>
    <row r="38090" spans="16:17" x14ac:dyDescent="0.35">
      <c r="P38090" s="1"/>
    </row>
    <row r="38091" spans="16:17" x14ac:dyDescent="0.35">
      <c r="Q38091" s="1"/>
    </row>
    <row r="38096" spans="16:17" x14ac:dyDescent="0.35">
      <c r="Q38096" s="1"/>
    </row>
    <row r="38097" spans="16:17" x14ac:dyDescent="0.35">
      <c r="P38097" s="1"/>
    </row>
    <row r="38098" spans="16:17" x14ac:dyDescent="0.35">
      <c r="Q38098" s="1"/>
    </row>
    <row r="38099" spans="16:17" x14ac:dyDescent="0.35">
      <c r="Q38099" s="1"/>
    </row>
    <row r="38102" spans="16:17" x14ac:dyDescent="0.35">
      <c r="P38102" s="1"/>
    </row>
    <row r="38116" spans="16:17" x14ac:dyDescent="0.35">
      <c r="Q38116" s="1"/>
    </row>
    <row r="38122" spans="16:17" x14ac:dyDescent="0.35">
      <c r="P38122" s="1"/>
    </row>
    <row r="38133" spans="16:17" x14ac:dyDescent="0.35">
      <c r="Q38133" s="1"/>
    </row>
    <row r="38135" spans="16:17" x14ac:dyDescent="0.35">
      <c r="Q38135" s="1"/>
    </row>
    <row r="38141" spans="16:17" x14ac:dyDescent="0.35">
      <c r="P38141" s="1"/>
    </row>
    <row r="38142" spans="16:17" x14ac:dyDescent="0.35">
      <c r="Q38142" s="1"/>
    </row>
    <row r="38146" spans="16:17" x14ac:dyDescent="0.35">
      <c r="Q38146" s="1"/>
    </row>
    <row r="38148" spans="16:17" x14ac:dyDescent="0.35">
      <c r="Q38148" s="1"/>
    </row>
    <row r="38149" spans="16:17" x14ac:dyDescent="0.35">
      <c r="P38149" s="1"/>
    </row>
    <row r="38158" spans="16:17" x14ac:dyDescent="0.35">
      <c r="Q38158" s="1"/>
    </row>
    <row r="38165" spans="6:17" x14ac:dyDescent="0.35">
      <c r="Q38165" s="1"/>
    </row>
    <row r="38166" spans="6:17" x14ac:dyDescent="0.35">
      <c r="F38166" s="8"/>
    </row>
    <row r="38176" spans="6:17" x14ac:dyDescent="0.35">
      <c r="Q38176" s="1"/>
    </row>
    <row r="38189" spans="6:17" x14ac:dyDescent="0.35">
      <c r="Q38189" s="1"/>
    </row>
    <row r="38190" spans="6:17" x14ac:dyDescent="0.35">
      <c r="F38190" s="2"/>
    </row>
    <row r="38191" spans="6:17" x14ac:dyDescent="0.35">
      <c r="Q38191" s="1"/>
    </row>
    <row r="38193" spans="16:17" x14ac:dyDescent="0.35">
      <c r="P38193" s="1"/>
    </row>
    <row r="38194" spans="16:17" x14ac:dyDescent="0.35">
      <c r="Q38194" s="1"/>
    </row>
    <row r="38198" spans="16:17" x14ac:dyDescent="0.35">
      <c r="Q38198" s="1"/>
    </row>
    <row r="38200" spans="16:17" x14ac:dyDescent="0.35">
      <c r="Q38200" s="1"/>
    </row>
    <row r="38216" spans="17:17" x14ac:dyDescent="0.35">
      <c r="Q38216" s="1"/>
    </row>
    <row r="38221" spans="17:17" x14ac:dyDescent="0.35">
      <c r="Q38221" s="1"/>
    </row>
    <row r="38222" spans="17:17" x14ac:dyDescent="0.35">
      <c r="Q38222" s="1"/>
    </row>
    <row r="38225" spans="16:17" x14ac:dyDescent="0.35">
      <c r="Q38225" s="1"/>
    </row>
    <row r="38228" spans="16:17" x14ac:dyDescent="0.35">
      <c r="Q38228" s="1"/>
    </row>
    <row r="38230" spans="16:17" x14ac:dyDescent="0.35">
      <c r="Q38230" s="1"/>
    </row>
    <row r="38237" spans="16:17" x14ac:dyDescent="0.35">
      <c r="P38237" s="1"/>
    </row>
    <row r="38241" spans="17:17" x14ac:dyDescent="0.35">
      <c r="Q38241" s="1"/>
    </row>
    <row r="38250" spans="17:17" x14ac:dyDescent="0.35">
      <c r="Q38250" s="1"/>
    </row>
    <row r="38253" spans="17:17" x14ac:dyDescent="0.35">
      <c r="Q38253" s="1"/>
    </row>
    <row r="38263" spans="16:17" x14ac:dyDescent="0.35">
      <c r="Q38263" s="1"/>
    </row>
    <row r="38267" spans="16:17" x14ac:dyDescent="0.35">
      <c r="P38267" s="1"/>
    </row>
    <row r="38276" spans="16:17" x14ac:dyDescent="0.35">
      <c r="Q38276" s="1"/>
    </row>
    <row r="38278" spans="16:17" x14ac:dyDescent="0.35">
      <c r="P38278" s="1"/>
    </row>
    <row r="38282" spans="16:17" x14ac:dyDescent="0.35">
      <c r="P38282" s="1"/>
    </row>
    <row r="38290" spans="16:17" x14ac:dyDescent="0.35">
      <c r="Q38290" s="1"/>
    </row>
    <row r="38291" spans="16:17" x14ac:dyDescent="0.35">
      <c r="P38291" s="1"/>
    </row>
    <row r="38292" spans="16:17" x14ac:dyDescent="0.35">
      <c r="Q38292" s="1"/>
    </row>
    <row r="38294" spans="16:17" x14ac:dyDescent="0.35">
      <c r="Q38294" s="1"/>
    </row>
    <row r="38296" spans="16:17" x14ac:dyDescent="0.35">
      <c r="Q38296" s="1"/>
    </row>
    <row r="38301" spans="16:17" x14ac:dyDescent="0.35">
      <c r="Q38301" s="1"/>
    </row>
    <row r="38318" spans="17:17" x14ac:dyDescent="0.35">
      <c r="Q38318" s="1"/>
    </row>
    <row r="38319" spans="17:17" x14ac:dyDescent="0.35">
      <c r="Q38319" s="1"/>
    </row>
    <row r="38322" spans="16:17" x14ac:dyDescent="0.35">
      <c r="P38322" s="1"/>
    </row>
    <row r="38325" spans="16:17" x14ac:dyDescent="0.35">
      <c r="Q38325" s="1"/>
    </row>
    <row r="38326" spans="16:17" x14ac:dyDescent="0.35">
      <c r="Q38326" s="1"/>
    </row>
    <row r="38327" spans="16:17" x14ac:dyDescent="0.35">
      <c r="Q38327" s="1"/>
    </row>
    <row r="38333" spans="16:17" x14ac:dyDescent="0.35">
      <c r="P38333" s="1"/>
    </row>
    <row r="38336" spans="16:17" x14ac:dyDescent="0.35">
      <c r="P38336" s="1"/>
    </row>
    <row r="38337" spans="16:17" x14ac:dyDescent="0.35">
      <c r="Q38337" s="1"/>
    </row>
    <row r="38339" spans="16:17" x14ac:dyDescent="0.35">
      <c r="P38339" s="1"/>
    </row>
    <row r="38343" spans="16:17" x14ac:dyDescent="0.35">
      <c r="Q38343" s="1"/>
    </row>
    <row r="38345" spans="16:17" x14ac:dyDescent="0.35">
      <c r="P38345" s="1"/>
      <c r="Q38345" s="1"/>
    </row>
    <row r="38360" spans="17:17" x14ac:dyDescent="0.35">
      <c r="Q38360" s="1"/>
    </row>
    <row r="38367" spans="17:17" x14ac:dyDescent="0.35">
      <c r="Q38367" s="1"/>
    </row>
    <row r="38375" spans="16:17" x14ac:dyDescent="0.35">
      <c r="P38375" s="1"/>
    </row>
    <row r="38377" spans="16:17" x14ac:dyDescent="0.35">
      <c r="Q38377" s="1"/>
    </row>
    <row r="38380" spans="16:17" x14ac:dyDescent="0.35">
      <c r="Q38380" s="1"/>
    </row>
    <row r="38386" spans="16:17" x14ac:dyDescent="0.35">
      <c r="P38386" s="1"/>
      <c r="Q38386" s="1"/>
    </row>
    <row r="38387" spans="16:17" x14ac:dyDescent="0.35">
      <c r="Q38387" s="1"/>
    </row>
    <row r="38392" spans="16:17" x14ac:dyDescent="0.35">
      <c r="Q38392" s="1"/>
    </row>
    <row r="38395" spans="16:17" x14ac:dyDescent="0.35">
      <c r="Q38395" s="1"/>
    </row>
    <row r="38398" spans="16:17" x14ac:dyDescent="0.35">
      <c r="Q38398" s="1"/>
    </row>
    <row r="38400" spans="16:17" x14ac:dyDescent="0.35">
      <c r="Q38400" s="1"/>
    </row>
    <row r="38404" spans="16:17" x14ac:dyDescent="0.35">
      <c r="Q38404" s="1"/>
    </row>
    <row r="38409" spans="16:17" x14ac:dyDescent="0.35">
      <c r="P38409" s="1"/>
    </row>
    <row r="38411" spans="16:17" x14ac:dyDescent="0.35">
      <c r="Q38411" s="1"/>
    </row>
    <row r="38415" spans="16:17" x14ac:dyDescent="0.35">
      <c r="P38415" s="1"/>
    </row>
    <row r="38428" spans="17:17" x14ac:dyDescent="0.35">
      <c r="Q38428" s="1"/>
    </row>
    <row r="38432" spans="17:17" x14ac:dyDescent="0.35">
      <c r="Q38432" s="1"/>
    </row>
    <row r="38434" spans="16:17" x14ac:dyDescent="0.35">
      <c r="Q38434" s="1"/>
    </row>
    <row r="38435" spans="16:17" x14ac:dyDescent="0.35">
      <c r="P38435" s="1"/>
    </row>
    <row r="38436" spans="16:17" x14ac:dyDescent="0.35">
      <c r="P38436" s="1"/>
    </row>
    <row r="38437" spans="16:17" x14ac:dyDescent="0.35">
      <c r="P38437" s="1"/>
    </row>
    <row r="38438" spans="16:17" x14ac:dyDescent="0.35">
      <c r="Q38438" s="1"/>
    </row>
    <row r="38439" spans="16:17" x14ac:dyDescent="0.35">
      <c r="P38439" s="1"/>
    </row>
    <row r="38440" spans="16:17" x14ac:dyDescent="0.35">
      <c r="P38440" s="1"/>
    </row>
    <row r="38446" spans="16:17" x14ac:dyDescent="0.35">
      <c r="Q38446" s="1"/>
    </row>
    <row r="38453" spans="17:17" x14ac:dyDescent="0.35">
      <c r="Q38453" s="1"/>
    </row>
    <row r="38472" spans="16:17" x14ac:dyDescent="0.35">
      <c r="Q38472" s="1"/>
    </row>
    <row r="38474" spans="16:17" x14ac:dyDescent="0.35">
      <c r="P38474" s="1"/>
    </row>
    <row r="38477" spans="16:17" x14ac:dyDescent="0.35">
      <c r="Q38477" s="1"/>
    </row>
    <row r="38483" spans="16:16" x14ac:dyDescent="0.35">
      <c r="P38483" s="1"/>
    </row>
    <row r="38494" spans="16:16" x14ac:dyDescent="0.35">
      <c r="P38494" s="1"/>
    </row>
    <row r="38504" spans="17:17" x14ac:dyDescent="0.35">
      <c r="Q38504" s="1"/>
    </row>
    <row r="38505" spans="17:17" x14ac:dyDescent="0.35">
      <c r="Q38505" s="1"/>
    </row>
    <row r="38506" spans="17:17" x14ac:dyDescent="0.35">
      <c r="Q38506" s="1"/>
    </row>
    <row r="38508" spans="17:17" x14ac:dyDescent="0.35">
      <c r="Q38508" s="1"/>
    </row>
    <row r="38517" spans="16:17" x14ac:dyDescent="0.35">
      <c r="P38517" s="1"/>
    </row>
    <row r="38518" spans="16:17" x14ac:dyDescent="0.35">
      <c r="P38518" s="1"/>
    </row>
    <row r="38520" spans="16:17" x14ac:dyDescent="0.35">
      <c r="Q38520" s="1"/>
    </row>
    <row r="38531" spans="16:17" x14ac:dyDescent="0.35">
      <c r="Q38531" s="1"/>
    </row>
    <row r="38537" spans="16:17" x14ac:dyDescent="0.35">
      <c r="P38537" s="1"/>
    </row>
    <row r="38538" spans="16:17" x14ac:dyDescent="0.35">
      <c r="P38538" s="1"/>
    </row>
    <row r="38541" spans="16:17" x14ac:dyDescent="0.35">
      <c r="Q38541" s="1"/>
    </row>
    <row r="38543" spans="16:17" x14ac:dyDescent="0.35">
      <c r="Q38543" s="1"/>
    </row>
    <row r="38545" spans="16:17" x14ac:dyDescent="0.35">
      <c r="Q38545" s="1"/>
    </row>
    <row r="38548" spans="16:17" x14ac:dyDescent="0.35">
      <c r="Q38548" s="1"/>
    </row>
    <row r="38549" spans="16:17" x14ac:dyDescent="0.35">
      <c r="P38549" s="1"/>
    </row>
    <row r="38550" spans="16:17" x14ac:dyDescent="0.35">
      <c r="Q38550" s="1"/>
    </row>
    <row r="38551" spans="16:17" x14ac:dyDescent="0.35">
      <c r="Q38551" s="1"/>
    </row>
    <row r="38552" spans="16:17" x14ac:dyDescent="0.35">
      <c r="Q38552" s="1"/>
    </row>
    <row r="38558" spans="16:17" x14ac:dyDescent="0.35">
      <c r="Q38558" s="1"/>
    </row>
    <row r="38565" spans="16:17" x14ac:dyDescent="0.35">
      <c r="Q38565" s="1"/>
    </row>
    <row r="38566" spans="16:17" x14ac:dyDescent="0.35">
      <c r="Q38566" s="1"/>
    </row>
    <row r="38569" spans="16:17" x14ac:dyDescent="0.35">
      <c r="Q38569" s="1"/>
    </row>
    <row r="38572" spans="16:17" x14ac:dyDescent="0.35">
      <c r="P38572" s="1"/>
    </row>
    <row r="38573" spans="16:17" x14ac:dyDescent="0.35">
      <c r="Q38573" s="1"/>
    </row>
    <row r="38574" spans="16:17" x14ac:dyDescent="0.35">
      <c r="Q38574" s="1"/>
    </row>
    <row r="38576" spans="16:17" x14ac:dyDescent="0.35">
      <c r="P38576" s="1"/>
    </row>
    <row r="38580" spans="17:17" x14ac:dyDescent="0.35">
      <c r="Q38580" s="1"/>
    </row>
    <row r="38581" spans="17:17" x14ac:dyDescent="0.35">
      <c r="Q38581" s="1"/>
    </row>
    <row r="38583" spans="17:17" x14ac:dyDescent="0.35">
      <c r="Q38583" s="1"/>
    </row>
    <row r="38584" spans="17:17" x14ac:dyDescent="0.35">
      <c r="Q38584" s="1"/>
    </row>
    <row r="38586" spans="17:17" x14ac:dyDescent="0.35">
      <c r="Q38586" s="1"/>
    </row>
    <row r="38588" spans="17:17" x14ac:dyDescent="0.35">
      <c r="Q38588" s="1"/>
    </row>
    <row r="38590" spans="17:17" x14ac:dyDescent="0.35">
      <c r="Q38590" s="1"/>
    </row>
    <row r="38591" spans="17:17" x14ac:dyDescent="0.35">
      <c r="Q38591" s="1"/>
    </row>
    <row r="38593" spans="17:17" x14ac:dyDescent="0.35">
      <c r="Q38593" s="1"/>
    </row>
    <row r="38596" spans="17:17" x14ac:dyDescent="0.35">
      <c r="Q38596" s="1"/>
    </row>
    <row r="38598" spans="17:17" x14ac:dyDescent="0.35">
      <c r="Q38598" s="1"/>
    </row>
    <row r="38599" spans="17:17" x14ac:dyDescent="0.35">
      <c r="Q38599" s="1"/>
    </row>
    <row r="38600" spans="17:17" x14ac:dyDescent="0.35">
      <c r="Q38600" s="1"/>
    </row>
    <row r="38602" spans="17:17" x14ac:dyDescent="0.35">
      <c r="Q38602" s="1"/>
    </row>
    <row r="38603" spans="17:17" x14ac:dyDescent="0.35">
      <c r="Q38603" s="1"/>
    </row>
    <row r="38607" spans="17:17" x14ac:dyDescent="0.35">
      <c r="Q38607" s="1"/>
    </row>
    <row r="38609" spans="16:17" x14ac:dyDescent="0.35">
      <c r="Q38609" s="1"/>
    </row>
    <row r="38617" spans="16:17" x14ac:dyDescent="0.35">
      <c r="P38617" s="1"/>
    </row>
    <row r="38619" spans="16:17" x14ac:dyDescent="0.35">
      <c r="Q38619" s="1"/>
    </row>
    <row r="38623" spans="16:17" x14ac:dyDescent="0.35">
      <c r="P38623" s="1"/>
    </row>
    <row r="38628" spans="17:17" x14ac:dyDescent="0.35">
      <c r="Q38628" s="1"/>
    </row>
    <row r="38639" spans="17:17" x14ac:dyDescent="0.35">
      <c r="Q38639" s="1"/>
    </row>
    <row r="38641" spans="16:17" x14ac:dyDescent="0.35">
      <c r="P38641" s="1"/>
    </row>
    <row r="38642" spans="16:17" x14ac:dyDescent="0.35">
      <c r="Q38642" s="1"/>
    </row>
    <row r="38643" spans="16:17" x14ac:dyDescent="0.35">
      <c r="Q38643" s="1"/>
    </row>
    <row r="38646" spans="16:17" x14ac:dyDescent="0.35">
      <c r="Q38646" s="1"/>
    </row>
    <row r="38648" spans="16:17" x14ac:dyDescent="0.35">
      <c r="Q38648" s="1"/>
    </row>
    <row r="38658" spans="17:17" x14ac:dyDescent="0.35">
      <c r="Q38658" s="1"/>
    </row>
    <row r="38659" spans="17:17" x14ac:dyDescent="0.35">
      <c r="Q38659" s="1"/>
    </row>
    <row r="38662" spans="17:17" x14ac:dyDescent="0.35">
      <c r="Q38662" s="1"/>
    </row>
    <row r="38676" spans="16:17" x14ac:dyDescent="0.35">
      <c r="Q38676" s="1"/>
    </row>
    <row r="38677" spans="16:17" x14ac:dyDescent="0.35">
      <c r="Q38677" s="1"/>
    </row>
    <row r="38680" spans="16:17" x14ac:dyDescent="0.35">
      <c r="P38680" s="1"/>
    </row>
    <row r="38682" spans="16:17" x14ac:dyDescent="0.35">
      <c r="P38682" s="1"/>
    </row>
    <row r="38685" spans="16:17" x14ac:dyDescent="0.35">
      <c r="Q38685" s="1"/>
    </row>
    <row r="38686" spans="16:17" x14ac:dyDescent="0.35">
      <c r="Q38686" s="1"/>
    </row>
    <row r="38688" spans="16:17" x14ac:dyDescent="0.35">
      <c r="Q38688" s="1"/>
    </row>
    <row r="38689" spans="16:17" x14ac:dyDescent="0.35">
      <c r="P38689" s="1"/>
    </row>
    <row r="38694" spans="16:17" x14ac:dyDescent="0.35">
      <c r="Q38694" s="1"/>
    </row>
    <row r="38697" spans="16:17" x14ac:dyDescent="0.35">
      <c r="Q38697" s="1"/>
    </row>
    <row r="38700" spans="16:17" x14ac:dyDescent="0.35">
      <c r="Q38700" s="1"/>
    </row>
    <row r="38701" spans="16:17" x14ac:dyDescent="0.35">
      <c r="P38701" s="1"/>
    </row>
    <row r="38705" spans="17:17" x14ac:dyDescent="0.35">
      <c r="Q38705" s="1"/>
    </row>
    <row r="38709" spans="17:17" x14ac:dyDescent="0.35">
      <c r="Q38709" s="1"/>
    </row>
    <row r="38710" spans="17:17" x14ac:dyDescent="0.35">
      <c r="Q38710" s="1"/>
    </row>
    <row r="38717" spans="17:17" x14ac:dyDescent="0.35">
      <c r="Q38717" s="1"/>
    </row>
    <row r="38726" spans="16:17" x14ac:dyDescent="0.35">
      <c r="Q38726" s="1"/>
    </row>
    <row r="38730" spans="16:17" x14ac:dyDescent="0.35">
      <c r="P38730" s="1"/>
    </row>
    <row r="38731" spans="16:17" x14ac:dyDescent="0.35">
      <c r="Q38731" s="1"/>
    </row>
    <row r="38735" spans="16:17" x14ac:dyDescent="0.35">
      <c r="Q38735" s="1"/>
    </row>
    <row r="38736" spans="16:17" x14ac:dyDescent="0.35">
      <c r="Q38736" s="1"/>
    </row>
    <row r="38739" spans="16:17" x14ac:dyDescent="0.35">
      <c r="P38739" s="1"/>
    </row>
    <row r="38740" spans="16:17" x14ac:dyDescent="0.35">
      <c r="P38740" s="1"/>
    </row>
    <row r="38741" spans="16:17" x14ac:dyDescent="0.35">
      <c r="Q38741" s="1"/>
    </row>
    <row r="38754" spans="17:17" x14ac:dyDescent="0.35">
      <c r="Q38754" s="1"/>
    </row>
    <row r="38762" spans="17:17" x14ac:dyDescent="0.35">
      <c r="Q38762" s="1"/>
    </row>
    <row r="38763" spans="17:17" x14ac:dyDescent="0.35">
      <c r="Q38763" s="1"/>
    </row>
    <row r="38765" spans="17:17" x14ac:dyDescent="0.35">
      <c r="Q38765" s="1"/>
    </row>
    <row r="38767" spans="17:17" x14ac:dyDescent="0.35">
      <c r="Q38767" s="1"/>
    </row>
    <row r="38769" spans="16:17" x14ac:dyDescent="0.35">
      <c r="P38769" s="1"/>
    </row>
    <row r="38770" spans="16:17" x14ac:dyDescent="0.35">
      <c r="P38770" s="1"/>
    </row>
    <row r="38771" spans="16:17" x14ac:dyDescent="0.35">
      <c r="P38771" s="1"/>
    </row>
    <row r="38781" spans="16:17" x14ac:dyDescent="0.35">
      <c r="Q38781" s="1"/>
    </row>
    <row r="38783" spans="16:17" x14ac:dyDescent="0.35">
      <c r="Q38783" s="1"/>
    </row>
    <row r="38786" spans="16:17" x14ac:dyDescent="0.35">
      <c r="Q38786" s="1"/>
    </row>
    <row r="38787" spans="16:17" x14ac:dyDescent="0.35">
      <c r="P38787" s="1"/>
    </row>
    <row r="38790" spans="16:17" x14ac:dyDescent="0.35">
      <c r="Q38790" s="1"/>
    </row>
    <row r="38791" spans="16:17" x14ac:dyDescent="0.35">
      <c r="P38791" s="1"/>
    </row>
    <row r="38798" spans="16:17" x14ac:dyDescent="0.35">
      <c r="P38798" s="1"/>
    </row>
    <row r="38799" spans="16:17" x14ac:dyDescent="0.35">
      <c r="Q38799" s="1"/>
    </row>
    <row r="38800" spans="16:17" x14ac:dyDescent="0.35">
      <c r="P38800" s="1"/>
    </row>
    <row r="38810" spans="16:17" x14ac:dyDescent="0.35">
      <c r="P38810" s="1"/>
    </row>
    <row r="38811" spans="16:17" x14ac:dyDescent="0.35">
      <c r="Q38811" s="1"/>
    </row>
    <row r="38813" spans="16:17" x14ac:dyDescent="0.35">
      <c r="Q38813" s="1"/>
    </row>
    <row r="38814" spans="16:17" x14ac:dyDescent="0.35">
      <c r="P38814" s="1"/>
    </row>
    <row r="38821" spans="16:17" x14ac:dyDescent="0.35">
      <c r="P38821" s="1"/>
    </row>
    <row r="38825" spans="16:17" x14ac:dyDescent="0.35">
      <c r="P38825" s="1"/>
    </row>
    <row r="38829" spans="16:17" x14ac:dyDescent="0.35">
      <c r="Q38829" s="1"/>
    </row>
    <row r="38832" spans="16:17" x14ac:dyDescent="0.35">
      <c r="Q38832" s="1"/>
    </row>
    <row r="38837" spans="16:17" x14ac:dyDescent="0.35">
      <c r="P38837" s="1"/>
    </row>
    <row r="38839" spans="16:17" x14ac:dyDescent="0.35">
      <c r="Q38839" s="1"/>
    </row>
    <row r="38840" spans="16:17" x14ac:dyDescent="0.35">
      <c r="P38840" s="1"/>
      <c r="Q38840" s="1"/>
    </row>
    <row r="38842" spans="16:17" x14ac:dyDescent="0.35">
      <c r="Q38842" s="1"/>
    </row>
    <row r="38845" spans="16:17" x14ac:dyDescent="0.35">
      <c r="P38845" s="1"/>
    </row>
    <row r="38850" spans="17:17" x14ac:dyDescent="0.35">
      <c r="Q38850" s="1"/>
    </row>
    <row r="38853" spans="17:17" x14ac:dyDescent="0.35">
      <c r="Q38853" s="1"/>
    </row>
    <row r="38865" spans="16:17" x14ac:dyDescent="0.35">
      <c r="Q38865" s="1"/>
    </row>
    <row r="38867" spans="16:17" x14ac:dyDescent="0.35">
      <c r="P38867" s="1"/>
    </row>
    <row r="38869" spans="16:17" x14ac:dyDescent="0.35">
      <c r="P38869" s="1"/>
    </row>
    <row r="38873" spans="16:17" x14ac:dyDescent="0.35">
      <c r="Q38873" s="1"/>
    </row>
    <row r="38878" spans="16:17" x14ac:dyDescent="0.35">
      <c r="Q38878" s="1"/>
    </row>
    <row r="38881" spans="16:17" x14ac:dyDescent="0.35">
      <c r="Q38881" s="1"/>
    </row>
    <row r="38886" spans="16:17" x14ac:dyDescent="0.35">
      <c r="P38886" s="1"/>
    </row>
    <row r="38892" spans="16:17" x14ac:dyDescent="0.35">
      <c r="Q38892" s="1"/>
    </row>
    <row r="38894" spans="16:17" x14ac:dyDescent="0.35">
      <c r="Q38894" s="1"/>
    </row>
    <row r="38895" spans="16:17" x14ac:dyDescent="0.35">
      <c r="Q38895" s="1"/>
    </row>
    <row r="38897" spans="16:17" x14ac:dyDescent="0.35">
      <c r="Q38897" s="1"/>
    </row>
    <row r="38900" spans="16:17" x14ac:dyDescent="0.35">
      <c r="P38900" s="1"/>
    </row>
    <row r="38915" spans="16:17" x14ac:dyDescent="0.35">
      <c r="Q38915" s="1"/>
    </row>
    <row r="38918" spans="16:17" x14ac:dyDescent="0.35">
      <c r="P38918" s="1"/>
    </row>
    <row r="38921" spans="16:17" x14ac:dyDescent="0.35">
      <c r="Q38921" s="1"/>
    </row>
    <row r="38923" spans="16:17" x14ac:dyDescent="0.35">
      <c r="P38923" s="1"/>
    </row>
    <row r="38927" spans="16:17" x14ac:dyDescent="0.35">
      <c r="Q38927" s="1"/>
    </row>
    <row r="38934" spans="16:17" x14ac:dyDescent="0.35">
      <c r="P38934" s="1"/>
    </row>
    <row r="38937" spans="16:17" x14ac:dyDescent="0.35">
      <c r="Q38937" s="1"/>
    </row>
    <row r="38943" spans="16:17" x14ac:dyDescent="0.35">
      <c r="Q38943" s="1"/>
    </row>
    <row r="38946" spans="16:17" x14ac:dyDescent="0.35">
      <c r="Q38946" s="1"/>
    </row>
    <row r="38950" spans="16:17" x14ac:dyDescent="0.35">
      <c r="P38950" s="1"/>
    </row>
    <row r="38955" spans="16:17" x14ac:dyDescent="0.35">
      <c r="Q38955" s="1"/>
    </row>
    <row r="38960" spans="16:17" x14ac:dyDescent="0.35">
      <c r="P38960" s="1"/>
    </row>
    <row r="38962" spans="16:16" x14ac:dyDescent="0.35">
      <c r="P38962" s="1"/>
    </row>
    <row r="38968" spans="16:16" x14ac:dyDescent="0.35">
      <c r="P38968" s="1"/>
    </row>
    <row r="38971" spans="16:16" x14ac:dyDescent="0.35">
      <c r="P38971" s="1"/>
    </row>
    <row r="38975" spans="16:16" x14ac:dyDescent="0.35">
      <c r="P38975" s="1"/>
    </row>
    <row r="38978" spans="16:17" x14ac:dyDescent="0.35">
      <c r="P38978" s="1"/>
    </row>
    <row r="38989" spans="16:17" x14ac:dyDescent="0.35">
      <c r="Q38989" s="1"/>
    </row>
    <row r="38991" spans="16:17" x14ac:dyDescent="0.35">
      <c r="Q38991" s="1"/>
    </row>
    <row r="39000" spans="17:17" x14ac:dyDescent="0.35">
      <c r="Q39000" s="1"/>
    </row>
    <row r="39020" spans="17:17" x14ac:dyDescent="0.35">
      <c r="Q39020" s="1"/>
    </row>
    <row r="39052" spans="17:17" x14ac:dyDescent="0.35">
      <c r="Q39052" s="1"/>
    </row>
    <row r="39059" spans="17:17" x14ac:dyDescent="0.35">
      <c r="Q39059" s="1"/>
    </row>
    <row r="39061" spans="17:17" x14ac:dyDescent="0.35">
      <c r="Q39061" s="1"/>
    </row>
    <row r="39102" spans="17:17" x14ac:dyDescent="0.35">
      <c r="Q39102" s="1"/>
    </row>
    <row r="39110" spans="17:17" x14ac:dyDescent="0.35">
      <c r="Q39110" s="1"/>
    </row>
    <row r="39113" spans="17:17" x14ac:dyDescent="0.35">
      <c r="Q39113" s="1"/>
    </row>
    <row r="39114" spans="17:17" x14ac:dyDescent="0.35">
      <c r="Q39114" s="1"/>
    </row>
    <row r="39117" spans="17:17" x14ac:dyDescent="0.35">
      <c r="Q39117" s="1"/>
    </row>
    <row r="39121" spans="17:17" x14ac:dyDescent="0.35">
      <c r="Q39121" s="1"/>
    </row>
    <row r="39124" spans="17:17" x14ac:dyDescent="0.35">
      <c r="Q39124" s="1"/>
    </row>
    <row r="39127" spans="17:17" x14ac:dyDescent="0.35">
      <c r="Q39127" s="1"/>
    </row>
    <row r="39134" spans="17:17" x14ac:dyDescent="0.35">
      <c r="Q39134" s="1"/>
    </row>
    <row r="39138" spans="17:17" x14ac:dyDescent="0.35">
      <c r="Q39138" s="1"/>
    </row>
    <row r="39156" spans="17:17" x14ac:dyDescent="0.35">
      <c r="Q39156" s="1"/>
    </row>
    <row r="39158" spans="17:17" x14ac:dyDescent="0.35">
      <c r="Q39158" s="1"/>
    </row>
    <row r="39161" spans="17:17" x14ac:dyDescent="0.35">
      <c r="Q39161" s="1"/>
    </row>
    <row r="39170" spans="17:17" x14ac:dyDescent="0.35">
      <c r="Q39170" s="1"/>
    </row>
    <row r="39173" spans="17:17" x14ac:dyDescent="0.35">
      <c r="Q39173" s="1"/>
    </row>
    <row r="39174" spans="17:17" x14ac:dyDescent="0.35">
      <c r="Q39174" s="1"/>
    </row>
    <row r="39178" spans="17:17" x14ac:dyDescent="0.35">
      <c r="Q39178" s="1"/>
    </row>
    <row r="39179" spans="17:17" x14ac:dyDescent="0.35">
      <c r="Q39179" s="1"/>
    </row>
    <row r="39180" spans="17:17" x14ac:dyDescent="0.35">
      <c r="Q39180" s="1"/>
    </row>
    <row r="39181" spans="17:17" x14ac:dyDescent="0.35">
      <c r="Q39181" s="1"/>
    </row>
    <row r="39248" spans="17:17" x14ac:dyDescent="0.35">
      <c r="Q39248" s="1"/>
    </row>
    <row r="39252" spans="17:17" x14ac:dyDescent="0.35">
      <c r="Q39252" s="1"/>
    </row>
    <row r="39355" spans="17:17" x14ac:dyDescent="0.35">
      <c r="Q39355" s="1"/>
    </row>
    <row r="39361" spans="17:17" x14ac:dyDescent="0.35">
      <c r="Q39361" s="1"/>
    </row>
    <row r="39363" spans="17:17" x14ac:dyDescent="0.35">
      <c r="Q39363" s="1"/>
    </row>
    <row r="39366" spans="17:17" x14ac:dyDescent="0.35">
      <c r="Q39366" s="1"/>
    </row>
    <row r="39367" spans="17:17" x14ac:dyDescent="0.35">
      <c r="Q39367" s="1"/>
    </row>
    <row r="39386" spans="17:17" x14ac:dyDescent="0.35">
      <c r="Q39386" s="1"/>
    </row>
    <row r="39414" spans="17:17" x14ac:dyDescent="0.35">
      <c r="Q39414" s="1"/>
    </row>
    <row r="39415" spans="17:17" x14ac:dyDescent="0.35">
      <c r="Q39415" s="1"/>
    </row>
    <row r="39416" spans="17:17" x14ac:dyDescent="0.35">
      <c r="Q39416" s="1"/>
    </row>
    <row r="39417" spans="17:17" x14ac:dyDescent="0.35">
      <c r="Q39417" s="1"/>
    </row>
    <row r="39418" spans="17:17" x14ac:dyDescent="0.35">
      <c r="Q39418" s="1"/>
    </row>
    <row r="39419" spans="17:17" x14ac:dyDescent="0.35">
      <c r="Q39419" s="1"/>
    </row>
    <row r="39420" spans="17:17" x14ac:dyDescent="0.35">
      <c r="Q39420" s="1"/>
    </row>
    <row r="39482" spans="17:17" x14ac:dyDescent="0.35">
      <c r="Q39482" s="1"/>
    </row>
    <row r="39485" spans="17:17" x14ac:dyDescent="0.35">
      <c r="Q39485" s="1"/>
    </row>
    <row r="39487" spans="17:17" x14ac:dyDescent="0.35">
      <c r="Q39487" s="1"/>
    </row>
    <row r="39488" spans="17:17" x14ac:dyDescent="0.35">
      <c r="Q39488" s="1"/>
    </row>
    <row r="39490" spans="17:17" x14ac:dyDescent="0.35">
      <c r="Q39490" s="1"/>
    </row>
    <row r="39506" spans="16:17" x14ac:dyDescent="0.35">
      <c r="Q39506" s="1"/>
    </row>
    <row r="39517" spans="16:17" x14ac:dyDescent="0.35">
      <c r="P39517" s="1"/>
    </row>
    <row r="39529" spans="17:17" x14ac:dyDescent="0.35">
      <c r="Q39529" s="1"/>
    </row>
    <row r="39530" spans="17:17" x14ac:dyDescent="0.35">
      <c r="Q39530" s="1"/>
    </row>
    <row r="39532" spans="17:17" x14ac:dyDescent="0.35">
      <c r="Q39532" s="1"/>
    </row>
    <row r="39539" spans="17:17" x14ac:dyDescent="0.35">
      <c r="Q39539" s="1"/>
    </row>
    <row r="39552" spans="17:17" x14ac:dyDescent="0.35">
      <c r="Q39552" s="1"/>
    </row>
    <row r="39556" spans="17:17" x14ac:dyDescent="0.35">
      <c r="Q39556" s="1"/>
    </row>
    <row r="39557" spans="17:17" x14ac:dyDescent="0.35">
      <c r="Q39557" s="1"/>
    </row>
    <row r="39562" spans="17:17" x14ac:dyDescent="0.35">
      <c r="Q39562" s="1"/>
    </row>
    <row r="39583" spans="17:17" x14ac:dyDescent="0.35">
      <c r="Q39583" s="1"/>
    </row>
    <row r="39585" spans="17:17" x14ac:dyDescent="0.35">
      <c r="Q39585" s="1"/>
    </row>
    <row r="39590" spans="17:17" x14ac:dyDescent="0.35">
      <c r="Q39590" s="1"/>
    </row>
    <row r="39594" spans="17:17" x14ac:dyDescent="0.35">
      <c r="Q39594" s="1"/>
    </row>
    <row r="39595" spans="17:17" x14ac:dyDescent="0.35">
      <c r="Q39595" s="1"/>
    </row>
    <row r="39602" spans="17:17" x14ac:dyDescent="0.35">
      <c r="Q39602" s="1"/>
    </row>
    <row r="39604" spans="17:17" x14ac:dyDescent="0.35">
      <c r="Q39604" s="1"/>
    </row>
    <row r="39608" spans="17:17" x14ac:dyDescent="0.35">
      <c r="Q39608" s="1"/>
    </row>
    <row r="39614" spans="17:17" x14ac:dyDescent="0.35">
      <c r="Q39614" s="1"/>
    </row>
    <row r="39616" spans="17:17" x14ac:dyDescent="0.35">
      <c r="Q39616" s="1"/>
    </row>
    <row r="39618" spans="17:17" x14ac:dyDescent="0.35">
      <c r="Q39618" s="1"/>
    </row>
    <row r="39620" spans="17:17" x14ac:dyDescent="0.35">
      <c r="Q39620" s="1"/>
    </row>
    <row r="39631" spans="17:17" x14ac:dyDescent="0.35">
      <c r="Q39631" s="1"/>
    </row>
    <row r="39632" spans="17:17" x14ac:dyDescent="0.35">
      <c r="Q39632" s="1"/>
    </row>
    <row r="39637" spans="16:17" x14ac:dyDescent="0.35">
      <c r="Q39637" s="1"/>
    </row>
    <row r="39640" spans="16:17" x14ac:dyDescent="0.35">
      <c r="Q39640" s="1"/>
    </row>
    <row r="39641" spans="16:17" x14ac:dyDescent="0.35">
      <c r="Q39641" s="1"/>
    </row>
    <row r="39643" spans="16:17" x14ac:dyDescent="0.35">
      <c r="P39643" s="1"/>
    </row>
    <row r="39645" spans="16:17" x14ac:dyDescent="0.35">
      <c r="Q39645" s="1"/>
    </row>
    <row r="39664" spans="17:17" x14ac:dyDescent="0.35">
      <c r="Q39664" s="1"/>
    </row>
    <row r="39667" spans="17:17" x14ac:dyDescent="0.35">
      <c r="Q39667" s="1"/>
    </row>
    <row r="39669" spans="17:17" x14ac:dyDescent="0.35">
      <c r="Q39669" s="1"/>
    </row>
    <row r="39676" spans="17:17" x14ac:dyDescent="0.35">
      <c r="Q39676" s="1"/>
    </row>
    <row r="39678" spans="17:17" x14ac:dyDescent="0.35">
      <c r="Q39678" s="1"/>
    </row>
    <row r="39679" spans="17:17" x14ac:dyDescent="0.35">
      <c r="Q39679" s="1"/>
    </row>
    <row r="39681" spans="17:17" x14ac:dyDescent="0.35">
      <c r="Q39681" s="1"/>
    </row>
    <row r="39684" spans="17:17" x14ac:dyDescent="0.35">
      <c r="Q39684" s="1"/>
    </row>
    <row r="39685" spans="17:17" x14ac:dyDescent="0.35">
      <c r="Q39685" s="1"/>
    </row>
    <row r="39687" spans="17:17" x14ac:dyDescent="0.35">
      <c r="Q39687" s="1"/>
    </row>
    <row r="39688" spans="17:17" x14ac:dyDescent="0.35">
      <c r="Q39688" s="1"/>
    </row>
    <row r="39689" spans="17:17" x14ac:dyDescent="0.35">
      <c r="Q39689" s="1"/>
    </row>
    <row r="39693" spans="17:17" x14ac:dyDescent="0.35">
      <c r="Q39693" s="1"/>
    </row>
    <row r="39694" spans="17:17" x14ac:dyDescent="0.35">
      <c r="Q39694" s="1"/>
    </row>
    <row r="39695" spans="17:17" x14ac:dyDescent="0.35">
      <c r="Q39695" s="1"/>
    </row>
    <row r="39697" spans="17:17" x14ac:dyDescent="0.35">
      <c r="Q39697" s="1"/>
    </row>
    <row r="39703" spans="17:17" x14ac:dyDescent="0.35">
      <c r="Q39703" s="1"/>
    </row>
    <row r="39709" spans="17:17" x14ac:dyDescent="0.35">
      <c r="Q39709" s="1"/>
    </row>
    <row r="39711" spans="17:17" x14ac:dyDescent="0.35">
      <c r="Q39711" s="1"/>
    </row>
    <row r="39712" spans="17:17" x14ac:dyDescent="0.35">
      <c r="Q39712" s="1"/>
    </row>
    <row r="39714" spans="17:17" x14ac:dyDescent="0.35">
      <c r="Q39714" s="1"/>
    </row>
    <row r="39716" spans="17:17" x14ac:dyDescent="0.35">
      <c r="Q39716" s="1"/>
    </row>
    <row r="39717" spans="17:17" x14ac:dyDescent="0.35">
      <c r="Q39717" s="1"/>
    </row>
    <row r="39722" spans="17:17" x14ac:dyDescent="0.35">
      <c r="Q39722" s="1"/>
    </row>
    <row r="39724" spans="17:17" x14ac:dyDescent="0.35">
      <c r="Q39724" s="1"/>
    </row>
    <row r="39730" spans="17:17" x14ac:dyDescent="0.35">
      <c r="Q39730" s="1"/>
    </row>
    <row r="39731" spans="17:17" x14ac:dyDescent="0.35">
      <c r="Q39731" s="1"/>
    </row>
    <row r="39736" spans="17:17" x14ac:dyDescent="0.35">
      <c r="Q39736" s="1"/>
    </row>
    <row r="39740" spans="17:17" x14ac:dyDescent="0.35">
      <c r="Q39740" s="1"/>
    </row>
    <row r="39746" spans="17:17" x14ac:dyDescent="0.35">
      <c r="Q39746" s="1"/>
    </row>
    <row r="39747" spans="17:17" x14ac:dyDescent="0.35">
      <c r="Q39747" s="1"/>
    </row>
    <row r="39754" spans="17:17" x14ac:dyDescent="0.35">
      <c r="Q39754" s="1"/>
    </row>
    <row r="39761" spans="17:17" x14ac:dyDescent="0.35">
      <c r="Q39761" s="1"/>
    </row>
    <row r="39764" spans="17:17" x14ac:dyDescent="0.35">
      <c r="Q39764" s="1"/>
    </row>
    <row r="39769" spans="17:17" x14ac:dyDescent="0.35">
      <c r="Q39769" s="1"/>
    </row>
    <row r="39770" spans="17:17" x14ac:dyDescent="0.35">
      <c r="Q39770" s="1"/>
    </row>
    <row r="39775" spans="17:17" x14ac:dyDescent="0.35">
      <c r="Q39775" s="1"/>
    </row>
    <row r="39782" spans="17:17" x14ac:dyDescent="0.35">
      <c r="Q39782" s="1"/>
    </row>
    <row r="39786" spans="17:17" x14ac:dyDescent="0.35">
      <c r="Q39786" s="1"/>
    </row>
    <row r="39787" spans="17:17" x14ac:dyDescent="0.35">
      <c r="Q39787" s="1"/>
    </row>
    <row r="39792" spans="17:17" x14ac:dyDescent="0.35">
      <c r="Q39792" s="1"/>
    </row>
    <row r="39793" spans="16:17" x14ac:dyDescent="0.35">
      <c r="P39793" s="1"/>
    </row>
    <row r="39795" spans="16:17" x14ac:dyDescent="0.35">
      <c r="Q39795" s="1"/>
    </row>
    <row r="39809" spans="17:17" x14ac:dyDescent="0.35">
      <c r="Q39809" s="1"/>
    </row>
    <row r="39820" spans="17:17" x14ac:dyDescent="0.35">
      <c r="Q39820" s="1"/>
    </row>
    <row r="39825" spans="17:17" x14ac:dyDescent="0.35">
      <c r="Q39825" s="1"/>
    </row>
    <row r="39828" spans="17:17" x14ac:dyDescent="0.35">
      <c r="Q39828" s="1"/>
    </row>
    <row r="39833" spans="17:17" x14ac:dyDescent="0.35">
      <c r="Q39833" s="1"/>
    </row>
    <row r="39834" spans="17:17" x14ac:dyDescent="0.35">
      <c r="Q39834" s="1"/>
    </row>
    <row r="39835" spans="17:17" x14ac:dyDescent="0.35">
      <c r="Q39835" s="1"/>
    </row>
    <row r="39844" spans="17:17" x14ac:dyDescent="0.35">
      <c r="Q39844" s="1"/>
    </row>
    <row r="39860" spans="17:17" x14ac:dyDescent="0.35">
      <c r="Q39860" s="1"/>
    </row>
    <row r="39867" spans="17:17" x14ac:dyDescent="0.35">
      <c r="Q39867" s="1"/>
    </row>
    <row r="39868" spans="17:17" x14ac:dyDescent="0.35">
      <c r="Q39868" s="1"/>
    </row>
    <row r="39870" spans="17:17" x14ac:dyDescent="0.35">
      <c r="Q39870" s="1"/>
    </row>
    <row r="39871" spans="17:17" x14ac:dyDescent="0.35">
      <c r="Q39871" s="1"/>
    </row>
    <row r="39884" spans="17:17" x14ac:dyDescent="0.35">
      <c r="Q39884" s="1"/>
    </row>
    <row r="39885" spans="17:17" x14ac:dyDescent="0.35">
      <c r="Q39885" s="1"/>
    </row>
    <row r="39889" spans="17:17" x14ac:dyDescent="0.35">
      <c r="Q39889" s="1"/>
    </row>
    <row r="39891" spans="17:17" x14ac:dyDescent="0.35">
      <c r="Q39891" s="1"/>
    </row>
    <row r="39893" spans="17:17" x14ac:dyDescent="0.35">
      <c r="Q39893" s="1"/>
    </row>
    <row r="39894" spans="17:17" x14ac:dyDescent="0.35">
      <c r="Q39894" s="1"/>
    </row>
    <row r="39904" spans="17:17" x14ac:dyDescent="0.35">
      <c r="Q39904" s="1"/>
    </row>
    <row r="39907" spans="17:17" x14ac:dyDescent="0.35">
      <c r="Q39907" s="1"/>
    </row>
    <row r="39910" spans="17:17" x14ac:dyDescent="0.35">
      <c r="Q39910" s="1"/>
    </row>
    <row r="39911" spans="17:17" x14ac:dyDescent="0.35">
      <c r="Q39911" s="1"/>
    </row>
    <row r="39912" spans="17:17" x14ac:dyDescent="0.35">
      <c r="Q39912" s="1"/>
    </row>
    <row r="39915" spans="17:17" x14ac:dyDescent="0.35">
      <c r="Q39915" s="1"/>
    </row>
    <row r="39919" spans="17:17" x14ac:dyDescent="0.35">
      <c r="Q39919" s="1"/>
    </row>
    <row r="39925" spans="17:17" x14ac:dyDescent="0.35">
      <c r="Q39925" s="1"/>
    </row>
    <row r="39933" spans="17:17" x14ac:dyDescent="0.35">
      <c r="Q39933" s="1"/>
    </row>
    <row r="39956" spans="17:17" x14ac:dyDescent="0.35">
      <c r="Q39956" s="1"/>
    </row>
    <row r="39962" spans="17:17" x14ac:dyDescent="0.35">
      <c r="Q39962" s="1"/>
    </row>
    <row r="39973" spans="16:17" x14ac:dyDescent="0.35">
      <c r="Q39973" s="1"/>
    </row>
    <row r="39977" spans="16:17" x14ac:dyDescent="0.35">
      <c r="P39977" s="1"/>
    </row>
    <row r="39979" spans="16:17" x14ac:dyDescent="0.35">
      <c r="Q39979" s="1"/>
    </row>
    <row r="39980" spans="16:17" x14ac:dyDescent="0.35">
      <c r="Q39980" s="1"/>
    </row>
    <row r="39987" spans="16:17" x14ac:dyDescent="0.35">
      <c r="P39987" s="1"/>
    </row>
    <row r="39988" spans="16:17" x14ac:dyDescent="0.35">
      <c r="Q39988" s="1"/>
    </row>
    <row r="40005" spans="17:17" x14ac:dyDescent="0.35">
      <c r="Q40005" s="1"/>
    </row>
    <row r="40008" spans="17:17" x14ac:dyDescent="0.35">
      <c r="Q40008" s="1"/>
    </row>
    <row r="40011" spans="17:17" x14ac:dyDescent="0.35">
      <c r="Q40011" s="1"/>
    </row>
    <row r="40016" spans="17:17" x14ac:dyDescent="0.35">
      <c r="Q40016" s="1"/>
    </row>
    <row r="40018" spans="17:17" x14ac:dyDescent="0.35">
      <c r="Q40018" s="1"/>
    </row>
    <row r="40023" spans="17:17" x14ac:dyDescent="0.35">
      <c r="Q40023" s="1"/>
    </row>
    <row r="40034" spans="17:17" x14ac:dyDescent="0.35">
      <c r="Q40034" s="1"/>
    </row>
    <row r="40041" spans="17:17" x14ac:dyDescent="0.35">
      <c r="Q40041" s="1"/>
    </row>
    <row r="40046" spans="17:17" x14ac:dyDescent="0.35">
      <c r="Q40046" s="1"/>
    </row>
    <row r="40048" spans="17:17" x14ac:dyDescent="0.35">
      <c r="Q40048" s="1"/>
    </row>
    <row r="40061" spans="17:17" x14ac:dyDescent="0.35">
      <c r="Q40061" s="1"/>
    </row>
    <row r="40062" spans="17:17" x14ac:dyDescent="0.35">
      <c r="Q40062" s="1"/>
    </row>
    <row r="40067" spans="17:17" x14ac:dyDescent="0.35">
      <c r="Q40067" s="1"/>
    </row>
    <row r="40072" spans="17:17" x14ac:dyDescent="0.35">
      <c r="Q40072" s="1"/>
    </row>
    <row r="40073" spans="17:17" x14ac:dyDescent="0.35">
      <c r="Q40073" s="1"/>
    </row>
    <row r="40076" spans="17:17" x14ac:dyDescent="0.35">
      <c r="Q40076" s="1"/>
    </row>
    <row r="40083" spans="17:17" x14ac:dyDescent="0.35">
      <c r="Q40083" s="1"/>
    </row>
    <row r="40084" spans="17:17" x14ac:dyDescent="0.35">
      <c r="Q40084" s="1"/>
    </row>
    <row r="40091" spans="17:17" x14ac:dyDescent="0.35">
      <c r="Q40091" s="1"/>
    </row>
    <row r="40098" spans="17:17" x14ac:dyDescent="0.35">
      <c r="Q40098" s="1"/>
    </row>
    <row r="40106" spans="17:17" x14ac:dyDescent="0.35">
      <c r="Q40106" s="1"/>
    </row>
    <row r="40111" spans="17:17" x14ac:dyDescent="0.35">
      <c r="Q40111" s="1"/>
    </row>
    <row r="40115" spans="17:17" x14ac:dyDescent="0.35">
      <c r="Q40115" s="1"/>
    </row>
    <row r="40125" spans="17:17" x14ac:dyDescent="0.35">
      <c r="Q40125" s="1"/>
    </row>
    <row r="40131" spans="17:17" x14ac:dyDescent="0.35">
      <c r="Q40131" s="1"/>
    </row>
    <row r="40136" spans="17:17" x14ac:dyDescent="0.35">
      <c r="Q40136" s="1"/>
    </row>
    <row r="40138" spans="17:17" x14ac:dyDescent="0.35">
      <c r="Q40138" s="1"/>
    </row>
    <row r="40141" spans="17:17" x14ac:dyDescent="0.35">
      <c r="Q40141" s="1"/>
    </row>
    <row r="40145" spans="17:17" x14ac:dyDescent="0.35">
      <c r="Q40145" s="1"/>
    </row>
    <row r="40147" spans="17:17" x14ac:dyDescent="0.35">
      <c r="Q40147" s="1"/>
    </row>
    <row r="40148" spans="17:17" x14ac:dyDescent="0.35">
      <c r="Q40148" s="1"/>
    </row>
    <row r="40151" spans="17:17" x14ac:dyDescent="0.35">
      <c r="Q40151" s="1"/>
    </row>
    <row r="40152" spans="17:17" x14ac:dyDescent="0.35">
      <c r="Q40152" s="1"/>
    </row>
    <row r="40159" spans="17:17" x14ac:dyDescent="0.35">
      <c r="Q40159" s="1"/>
    </row>
    <row r="40167" spans="17:17" x14ac:dyDescent="0.35">
      <c r="Q40167" s="1"/>
    </row>
    <row r="40172" spans="17:17" x14ac:dyDescent="0.35">
      <c r="Q40172" s="1"/>
    </row>
    <row r="40174" spans="17:17" x14ac:dyDescent="0.35">
      <c r="Q40174" s="1"/>
    </row>
    <row r="40188" spans="17:17" x14ac:dyDescent="0.35">
      <c r="Q40188" s="1"/>
    </row>
    <row r="40191" spans="17:17" x14ac:dyDescent="0.35">
      <c r="Q40191" s="1"/>
    </row>
    <row r="40194" spans="17:17" x14ac:dyDescent="0.35">
      <c r="Q40194" s="1"/>
    </row>
    <row r="40196" spans="17:17" x14ac:dyDescent="0.35">
      <c r="Q40196" s="1"/>
    </row>
    <row r="40210" spans="17:17" x14ac:dyDescent="0.35">
      <c r="Q40210" s="1"/>
    </row>
    <row r="40213" spans="17:17" x14ac:dyDescent="0.35">
      <c r="Q40213" s="1"/>
    </row>
    <row r="40215" spans="17:17" x14ac:dyDescent="0.35">
      <c r="Q40215" s="1"/>
    </row>
    <row r="40216" spans="17:17" x14ac:dyDescent="0.35">
      <c r="Q40216" s="1"/>
    </row>
    <row r="40222" spans="17:17" x14ac:dyDescent="0.35">
      <c r="Q40222" s="1"/>
    </row>
    <row r="40226" spans="17:17" x14ac:dyDescent="0.35">
      <c r="Q40226" s="1"/>
    </row>
    <row r="40230" spans="17:17" x14ac:dyDescent="0.35">
      <c r="Q40230" s="1"/>
    </row>
    <row r="40241" spans="3:17" x14ac:dyDescent="0.35">
      <c r="Q40241" s="1"/>
    </row>
    <row r="40247" spans="3:17" x14ac:dyDescent="0.35">
      <c r="Q40247" s="1"/>
    </row>
    <row r="40256" spans="3:17" x14ac:dyDescent="0.35">
      <c r="C40256" s="4"/>
      <c r="Q40256" s="1"/>
    </row>
    <row r="40257" spans="17:17" x14ac:dyDescent="0.35">
      <c r="Q40257" s="1"/>
    </row>
    <row r="40262" spans="17:17" x14ac:dyDescent="0.35">
      <c r="Q40262" s="1"/>
    </row>
    <row r="40265" spans="17:17" x14ac:dyDescent="0.35">
      <c r="Q40265" s="1"/>
    </row>
    <row r="40266" spans="17:17" x14ac:dyDescent="0.35">
      <c r="Q40266" s="1"/>
    </row>
    <row r="40268" spans="17:17" x14ac:dyDescent="0.35">
      <c r="Q40268" s="1"/>
    </row>
    <row r="40272" spans="17:17" x14ac:dyDescent="0.35">
      <c r="Q40272" s="1"/>
    </row>
    <row r="40275" spans="17:17" x14ac:dyDescent="0.35">
      <c r="Q40275" s="1"/>
    </row>
    <row r="40279" spans="17:17" x14ac:dyDescent="0.35">
      <c r="Q40279" s="1"/>
    </row>
    <row r="40284" spans="17:17" x14ac:dyDescent="0.35">
      <c r="Q40284" s="1"/>
    </row>
    <row r="40286" spans="17:17" x14ac:dyDescent="0.35">
      <c r="Q40286" s="1"/>
    </row>
    <row r="40287" spans="17:17" x14ac:dyDescent="0.35">
      <c r="Q40287" s="1"/>
    </row>
    <row r="40297" spans="17:17" x14ac:dyDescent="0.35">
      <c r="Q40297" s="1"/>
    </row>
    <row r="40301" spans="17:17" x14ac:dyDescent="0.35">
      <c r="Q40301" s="1"/>
    </row>
    <row r="40302" spans="17:17" x14ac:dyDescent="0.35">
      <c r="Q40302" s="1"/>
    </row>
    <row r="40306" spans="17:17" x14ac:dyDescent="0.35">
      <c r="Q40306" s="1"/>
    </row>
    <row r="40308" spans="17:17" x14ac:dyDescent="0.35">
      <c r="Q40308" s="1"/>
    </row>
    <row r="40311" spans="17:17" x14ac:dyDescent="0.35">
      <c r="Q40311" s="1"/>
    </row>
    <row r="40314" spans="17:17" x14ac:dyDescent="0.35">
      <c r="Q40314" s="1"/>
    </row>
    <row r="40315" spans="17:17" x14ac:dyDescent="0.35">
      <c r="Q40315" s="1"/>
    </row>
    <row r="40326" spans="17:17" x14ac:dyDescent="0.35">
      <c r="Q40326" s="1"/>
    </row>
    <row r="40332" spans="17:17" x14ac:dyDescent="0.35">
      <c r="Q40332" s="1"/>
    </row>
    <row r="40335" spans="17:17" x14ac:dyDescent="0.35">
      <c r="Q40335" s="1"/>
    </row>
    <row r="40339" spans="17:17" x14ac:dyDescent="0.35">
      <c r="Q40339" s="1"/>
    </row>
    <row r="40351" spans="17:17" x14ac:dyDescent="0.35">
      <c r="Q40351" s="1"/>
    </row>
    <row r="40359" spans="17:17" x14ac:dyDescent="0.35">
      <c r="Q40359" s="1"/>
    </row>
    <row r="40366" spans="17:17" x14ac:dyDescent="0.35">
      <c r="Q40366" s="1"/>
    </row>
    <row r="40380" spans="17:17" x14ac:dyDescent="0.35">
      <c r="Q40380" s="1"/>
    </row>
    <row r="40381" spans="17:17" x14ac:dyDescent="0.35">
      <c r="Q40381" s="1"/>
    </row>
    <row r="40383" spans="17:17" x14ac:dyDescent="0.35">
      <c r="Q40383" s="1"/>
    </row>
    <row r="40385" spans="17:17" x14ac:dyDescent="0.35">
      <c r="Q40385" s="1"/>
    </row>
    <row r="40390" spans="17:17" x14ac:dyDescent="0.35">
      <c r="Q40390" s="1"/>
    </row>
    <row r="40403" spans="17:17" x14ac:dyDescent="0.35">
      <c r="Q40403" s="1"/>
    </row>
    <row r="40405" spans="17:17" x14ac:dyDescent="0.35">
      <c r="Q40405" s="1"/>
    </row>
    <row r="40409" spans="17:17" x14ac:dyDescent="0.35">
      <c r="Q40409" s="1"/>
    </row>
    <row r="40415" spans="17:17" x14ac:dyDescent="0.35">
      <c r="Q40415" s="1"/>
    </row>
    <row r="40416" spans="17:17" x14ac:dyDescent="0.35">
      <c r="Q40416" s="1"/>
    </row>
    <row r="40418" spans="17:17" x14ac:dyDescent="0.35">
      <c r="Q40418" s="1"/>
    </row>
    <row r="40424" spans="17:17" x14ac:dyDescent="0.35">
      <c r="Q40424" s="1"/>
    </row>
    <row r="40431" spans="17:17" x14ac:dyDescent="0.35">
      <c r="Q40431" s="1"/>
    </row>
    <row r="40433" spans="17:17" x14ac:dyDescent="0.35">
      <c r="Q40433" s="1"/>
    </row>
    <row r="40437" spans="17:17" x14ac:dyDescent="0.35">
      <c r="Q40437" s="1"/>
    </row>
    <row r="40446" spans="17:17" x14ac:dyDescent="0.35">
      <c r="Q40446" s="1"/>
    </row>
    <row r="40454" spans="17:17" x14ac:dyDescent="0.35">
      <c r="Q40454" s="1"/>
    </row>
    <row r="40462" spans="17:17" x14ac:dyDescent="0.35">
      <c r="Q40462" s="1"/>
    </row>
    <row r="40467" spans="17:17" x14ac:dyDescent="0.35">
      <c r="Q40467" s="1"/>
    </row>
    <row r="40471" spans="17:17" x14ac:dyDescent="0.35">
      <c r="Q40471" s="1"/>
    </row>
    <row r="40475" spans="17:17" x14ac:dyDescent="0.35">
      <c r="Q40475" s="1"/>
    </row>
    <row r="40479" spans="17:17" x14ac:dyDescent="0.35">
      <c r="Q40479" s="1"/>
    </row>
    <row r="40480" spans="17:17" x14ac:dyDescent="0.35">
      <c r="Q40480" s="1"/>
    </row>
    <row r="40482" spans="17:17" x14ac:dyDescent="0.35">
      <c r="Q40482" s="1"/>
    </row>
    <row r="40483" spans="17:17" x14ac:dyDescent="0.35">
      <c r="Q40483" s="1"/>
    </row>
    <row r="40485" spans="17:17" x14ac:dyDescent="0.35">
      <c r="Q40485" s="1"/>
    </row>
    <row r="40486" spans="17:17" x14ac:dyDescent="0.35">
      <c r="Q40486" s="1"/>
    </row>
    <row r="40488" spans="17:17" x14ac:dyDescent="0.35">
      <c r="Q40488" s="1"/>
    </row>
    <row r="40490" spans="17:17" x14ac:dyDescent="0.35">
      <c r="Q40490" s="1"/>
    </row>
    <row r="40495" spans="17:17" x14ac:dyDescent="0.35">
      <c r="Q40495" s="1"/>
    </row>
    <row r="40500" spans="17:17" x14ac:dyDescent="0.35">
      <c r="Q40500" s="1"/>
    </row>
    <row r="40502" spans="17:17" x14ac:dyDescent="0.35">
      <c r="Q40502" s="1"/>
    </row>
    <row r="40503" spans="17:17" x14ac:dyDescent="0.35">
      <c r="Q40503" s="1"/>
    </row>
    <row r="40505" spans="17:17" x14ac:dyDescent="0.35">
      <c r="Q40505" s="1"/>
    </row>
    <row r="40506" spans="17:17" x14ac:dyDescent="0.35">
      <c r="Q40506" s="1"/>
    </row>
    <row r="40515" spans="17:17" x14ac:dyDescent="0.35">
      <c r="Q40515" s="1"/>
    </row>
    <row r="40516" spans="17:17" x14ac:dyDescent="0.35">
      <c r="Q40516" s="1"/>
    </row>
    <row r="40521" spans="17:17" x14ac:dyDescent="0.35">
      <c r="Q40521" s="1"/>
    </row>
    <row r="40525" spans="17:17" x14ac:dyDescent="0.35">
      <c r="Q40525" s="1"/>
    </row>
    <row r="40526" spans="17:17" x14ac:dyDescent="0.35">
      <c r="Q40526" s="1"/>
    </row>
    <row r="40532" spans="17:17" x14ac:dyDescent="0.35">
      <c r="Q40532" s="1"/>
    </row>
    <row r="40539" spans="17:17" x14ac:dyDescent="0.35">
      <c r="Q40539" s="1"/>
    </row>
    <row r="40543" spans="17:17" x14ac:dyDescent="0.35">
      <c r="Q40543" s="1"/>
    </row>
    <row r="40549" spans="17:17" x14ac:dyDescent="0.35">
      <c r="Q40549" s="1"/>
    </row>
    <row r="40561" spans="17:17" x14ac:dyDescent="0.35">
      <c r="Q40561" s="1"/>
    </row>
    <row r="40573" spans="17:17" x14ac:dyDescent="0.35">
      <c r="Q40573" s="1"/>
    </row>
    <row r="40578" spans="17:17" x14ac:dyDescent="0.35">
      <c r="Q40578" s="1"/>
    </row>
    <row r="40591" spans="17:17" x14ac:dyDescent="0.35">
      <c r="Q40591" s="1"/>
    </row>
    <row r="40607" spans="17:17" x14ac:dyDescent="0.35">
      <c r="Q40607" s="1"/>
    </row>
    <row r="40609" spans="17:17" x14ac:dyDescent="0.35">
      <c r="Q40609" s="1"/>
    </row>
    <row r="40611" spans="17:17" x14ac:dyDescent="0.35">
      <c r="Q40611" s="1"/>
    </row>
    <row r="40620" spans="17:17" x14ac:dyDescent="0.35">
      <c r="Q40620" s="1"/>
    </row>
    <row r="40623" spans="17:17" x14ac:dyDescent="0.35">
      <c r="Q40623" s="1"/>
    </row>
    <row r="40626" spans="17:17" x14ac:dyDescent="0.35">
      <c r="Q40626" s="1"/>
    </row>
    <row r="40632" spans="17:17" x14ac:dyDescent="0.35">
      <c r="Q40632" s="1"/>
    </row>
    <row r="40642" spans="17:17" x14ac:dyDescent="0.35">
      <c r="Q40642" s="1"/>
    </row>
    <row r="40644" spans="17:17" x14ac:dyDescent="0.35">
      <c r="Q40644" s="1"/>
    </row>
    <row r="40645" spans="17:17" x14ac:dyDescent="0.35">
      <c r="Q40645" s="1"/>
    </row>
    <row r="40647" spans="17:17" x14ac:dyDescent="0.35">
      <c r="Q40647" s="1"/>
    </row>
    <row r="40650" spans="17:17" x14ac:dyDescent="0.35">
      <c r="Q40650" s="1"/>
    </row>
    <row r="40653" spans="17:17" x14ac:dyDescent="0.35">
      <c r="Q40653" s="1"/>
    </row>
    <row r="40656" spans="17:17" x14ac:dyDescent="0.35">
      <c r="Q40656" s="1"/>
    </row>
    <row r="40659" spans="17:17" x14ac:dyDescent="0.35">
      <c r="Q40659" s="1"/>
    </row>
    <row r="40660" spans="17:17" x14ac:dyDescent="0.35">
      <c r="Q40660" s="1"/>
    </row>
    <row r="40664" spans="17:17" x14ac:dyDescent="0.35">
      <c r="Q40664" s="1"/>
    </row>
    <row r="40678" spans="17:17" x14ac:dyDescent="0.35">
      <c r="Q40678" s="1"/>
    </row>
    <row r="40688" spans="17:17" x14ac:dyDescent="0.35">
      <c r="Q40688" s="1"/>
    </row>
    <row r="40705" spans="17:17" x14ac:dyDescent="0.35">
      <c r="Q40705" s="1"/>
    </row>
    <row r="40707" spans="17:17" x14ac:dyDescent="0.35">
      <c r="Q40707" s="1"/>
    </row>
    <row r="40708" spans="17:17" x14ac:dyDescent="0.35">
      <c r="Q40708" s="1"/>
    </row>
    <row r="40714" spans="17:17" x14ac:dyDescent="0.35">
      <c r="Q40714" s="1"/>
    </row>
    <row r="40717" spans="17:17" x14ac:dyDescent="0.35">
      <c r="Q40717" s="1"/>
    </row>
    <row r="40719" spans="17:17" x14ac:dyDescent="0.35">
      <c r="Q40719" s="1"/>
    </row>
    <row r="40721" spans="17:17" x14ac:dyDescent="0.35">
      <c r="Q40721" s="1"/>
    </row>
    <row r="40727" spans="17:17" x14ac:dyDescent="0.35">
      <c r="Q40727" s="1"/>
    </row>
    <row r="40728" spans="17:17" x14ac:dyDescent="0.35">
      <c r="Q40728" s="1"/>
    </row>
    <row r="40732" spans="17:17" x14ac:dyDescent="0.35">
      <c r="Q40732" s="1"/>
    </row>
    <row r="40740" spans="17:17" x14ac:dyDescent="0.35">
      <c r="Q40740" s="1"/>
    </row>
    <row r="40742" spans="17:17" x14ac:dyDescent="0.35">
      <c r="Q40742" s="1"/>
    </row>
    <row r="40743" spans="17:17" x14ac:dyDescent="0.35">
      <c r="Q40743" s="1"/>
    </row>
    <row r="40746" spans="17:17" x14ac:dyDescent="0.35">
      <c r="Q40746" s="1"/>
    </row>
    <row r="40748" spans="17:17" x14ac:dyDescent="0.35">
      <c r="Q40748" s="1"/>
    </row>
    <row r="40751" spans="17:17" x14ac:dyDescent="0.35">
      <c r="Q40751" s="1"/>
    </row>
    <row r="40753" spans="17:17" x14ac:dyDescent="0.35">
      <c r="Q40753" s="1"/>
    </row>
    <row r="40755" spans="17:17" x14ac:dyDescent="0.35">
      <c r="Q40755" s="1"/>
    </row>
    <row r="40761" spans="17:17" x14ac:dyDescent="0.35">
      <c r="Q40761" s="1"/>
    </row>
    <row r="40762" spans="17:17" x14ac:dyDescent="0.35">
      <c r="Q40762" s="1"/>
    </row>
    <row r="40767" spans="17:17" x14ac:dyDescent="0.35">
      <c r="Q40767" s="1"/>
    </row>
    <row r="40771" spans="17:17" x14ac:dyDescent="0.35">
      <c r="Q40771" s="1"/>
    </row>
    <row r="40772" spans="17:17" x14ac:dyDescent="0.35">
      <c r="Q40772" s="1"/>
    </row>
    <row r="40774" spans="17:17" x14ac:dyDescent="0.35">
      <c r="Q40774" s="1"/>
    </row>
    <row r="40781" spans="17:17" x14ac:dyDescent="0.35">
      <c r="Q40781" s="1"/>
    </row>
    <row r="40784" spans="17:17" x14ac:dyDescent="0.35">
      <c r="Q40784" s="1"/>
    </row>
    <row r="40785" spans="17:17" x14ac:dyDescent="0.35">
      <c r="Q40785" s="1"/>
    </row>
    <row r="40789" spans="17:17" x14ac:dyDescent="0.35">
      <c r="Q40789" s="1"/>
    </row>
    <row r="40812" spans="17:17" x14ac:dyDescent="0.35">
      <c r="Q40812" s="1"/>
    </row>
    <row r="40813" spans="17:17" x14ac:dyDescent="0.35">
      <c r="Q40813" s="1"/>
    </row>
    <row r="40818" spans="17:17" x14ac:dyDescent="0.35">
      <c r="Q40818" s="1"/>
    </row>
    <row r="40819" spans="17:17" x14ac:dyDescent="0.35">
      <c r="Q40819" s="1"/>
    </row>
    <row r="40824" spans="17:17" x14ac:dyDescent="0.35">
      <c r="Q40824" s="1"/>
    </row>
    <row r="40830" spans="17:17" x14ac:dyDescent="0.35">
      <c r="Q40830" s="1"/>
    </row>
    <row r="40832" spans="17:17" x14ac:dyDescent="0.35">
      <c r="Q40832" s="1"/>
    </row>
    <row r="40833" spans="17:17" x14ac:dyDescent="0.35">
      <c r="Q40833" s="1"/>
    </row>
    <row r="40836" spans="17:17" x14ac:dyDescent="0.35">
      <c r="Q40836" s="1"/>
    </row>
    <row r="40841" spans="17:17" x14ac:dyDescent="0.35">
      <c r="Q40841" s="1"/>
    </row>
    <row r="40846" spans="17:17" x14ac:dyDescent="0.35">
      <c r="Q40846" s="1"/>
    </row>
    <row r="40847" spans="17:17" x14ac:dyDescent="0.35">
      <c r="Q40847" s="1"/>
    </row>
    <row r="40853" spans="17:17" x14ac:dyDescent="0.35">
      <c r="Q40853" s="1"/>
    </row>
    <row r="40860" spans="17:17" x14ac:dyDescent="0.35">
      <c r="Q40860" s="1"/>
    </row>
    <row r="40872" spans="17:17" x14ac:dyDescent="0.35">
      <c r="Q40872" s="1"/>
    </row>
    <row r="40873" spans="17:17" x14ac:dyDescent="0.35">
      <c r="Q40873" s="1"/>
    </row>
    <row r="40881" spans="17:17" x14ac:dyDescent="0.35">
      <c r="Q40881" s="1"/>
    </row>
    <row r="40884" spans="17:17" x14ac:dyDescent="0.35">
      <c r="Q40884" s="1"/>
    </row>
    <row r="40888" spans="17:17" x14ac:dyDescent="0.35">
      <c r="Q40888" s="1"/>
    </row>
    <row r="40898" spans="17:17" x14ac:dyDescent="0.35">
      <c r="Q40898" s="1"/>
    </row>
    <row r="40900" spans="17:17" x14ac:dyDescent="0.35">
      <c r="Q40900" s="1"/>
    </row>
    <row r="40901" spans="17:17" x14ac:dyDescent="0.35">
      <c r="Q40901" s="1"/>
    </row>
    <row r="40902" spans="17:17" x14ac:dyDescent="0.35">
      <c r="Q40902" s="1"/>
    </row>
    <row r="40905" spans="17:17" x14ac:dyDescent="0.35">
      <c r="Q40905" s="1"/>
    </row>
    <row r="40909" spans="17:17" x14ac:dyDescent="0.35">
      <c r="Q40909" s="1"/>
    </row>
    <row r="40911" spans="17:17" x14ac:dyDescent="0.35">
      <c r="Q40911" s="1"/>
    </row>
    <row r="40912" spans="17:17" x14ac:dyDescent="0.35">
      <c r="Q40912" s="1"/>
    </row>
    <row r="40913" spans="17:17" x14ac:dyDescent="0.35">
      <c r="Q40913" s="1"/>
    </row>
    <row r="40914" spans="17:17" x14ac:dyDescent="0.35">
      <c r="Q40914" s="1"/>
    </row>
    <row r="40916" spans="17:17" x14ac:dyDescent="0.35">
      <c r="Q40916" s="1"/>
    </row>
    <row r="40924" spans="17:17" x14ac:dyDescent="0.35">
      <c r="Q40924" s="1"/>
    </row>
    <row r="40934" spans="17:17" x14ac:dyDescent="0.35">
      <c r="Q40934" s="1"/>
    </row>
    <row r="40940" spans="17:17" x14ac:dyDescent="0.35">
      <c r="Q40940" s="1"/>
    </row>
    <row r="40941" spans="17:17" x14ac:dyDescent="0.35">
      <c r="Q40941" s="1"/>
    </row>
    <row r="40946" spans="17:17" x14ac:dyDescent="0.35">
      <c r="Q40946" s="1"/>
    </row>
    <row r="40950" spans="17:17" x14ac:dyDescent="0.35">
      <c r="Q40950" s="1"/>
    </row>
    <row r="40956" spans="17:17" x14ac:dyDescent="0.35">
      <c r="Q40956" s="1"/>
    </row>
    <row r="40957" spans="17:17" x14ac:dyDescent="0.35">
      <c r="Q40957" s="1"/>
    </row>
    <row r="40958" spans="17:17" x14ac:dyDescent="0.35">
      <c r="Q40958" s="1"/>
    </row>
    <row r="40959" spans="17:17" x14ac:dyDescent="0.35">
      <c r="Q40959" s="1"/>
    </row>
    <row r="40963" spans="17:17" x14ac:dyDescent="0.35">
      <c r="Q40963" s="1"/>
    </row>
    <row r="40964" spans="17:17" x14ac:dyDescent="0.35">
      <c r="Q40964" s="1"/>
    </row>
    <row r="40985" spans="17:17" x14ac:dyDescent="0.35">
      <c r="Q40985" s="1"/>
    </row>
    <row r="40989" spans="17:17" x14ac:dyDescent="0.35">
      <c r="Q40989" s="1"/>
    </row>
    <row r="40994" spans="16:17" x14ac:dyDescent="0.35">
      <c r="Q40994" s="1"/>
    </row>
    <row r="40995" spans="16:17" x14ac:dyDescent="0.35">
      <c r="Q40995" s="1"/>
    </row>
    <row r="40997" spans="16:17" x14ac:dyDescent="0.35">
      <c r="Q40997" s="1"/>
    </row>
    <row r="40999" spans="16:17" x14ac:dyDescent="0.35">
      <c r="Q40999" s="1"/>
    </row>
    <row r="41002" spans="16:17" x14ac:dyDescent="0.35">
      <c r="P41002" s="1"/>
    </row>
    <row r="41006" spans="16:17" x14ac:dyDescent="0.35">
      <c r="Q41006" s="1"/>
    </row>
    <row r="41016" spans="16:17" x14ac:dyDescent="0.35">
      <c r="Q41016" s="1"/>
    </row>
    <row r="41017" spans="16:17" x14ac:dyDescent="0.35">
      <c r="Q41017" s="1"/>
    </row>
    <row r="41022" spans="16:17" x14ac:dyDescent="0.35">
      <c r="P41022" s="1"/>
    </row>
    <row r="41023" spans="16:17" x14ac:dyDescent="0.35">
      <c r="P41023" s="1"/>
    </row>
    <row r="41027" spans="17:17" x14ac:dyDescent="0.35">
      <c r="Q41027" s="1"/>
    </row>
    <row r="41030" spans="17:17" x14ac:dyDescent="0.35">
      <c r="Q41030" s="1"/>
    </row>
    <row r="41034" spans="17:17" x14ac:dyDescent="0.35">
      <c r="Q41034" s="1"/>
    </row>
    <row r="41036" spans="17:17" x14ac:dyDescent="0.35">
      <c r="Q41036" s="1"/>
    </row>
    <row r="41041" spans="17:17" x14ac:dyDescent="0.35">
      <c r="Q41041" s="1"/>
    </row>
    <row r="41044" spans="17:17" x14ac:dyDescent="0.35">
      <c r="Q41044" s="1"/>
    </row>
    <row r="41045" spans="17:17" x14ac:dyDescent="0.35">
      <c r="Q41045" s="1"/>
    </row>
    <row r="41055" spans="17:17" x14ac:dyDescent="0.35">
      <c r="Q41055" s="1"/>
    </row>
    <row r="41058" spans="16:17" x14ac:dyDescent="0.35">
      <c r="P41058" s="1"/>
    </row>
    <row r="41059" spans="16:17" x14ac:dyDescent="0.35">
      <c r="P41059" s="1"/>
    </row>
    <row r="41062" spans="16:17" x14ac:dyDescent="0.35">
      <c r="Q41062" s="1"/>
    </row>
    <row r="41063" spans="16:17" x14ac:dyDescent="0.35">
      <c r="Q41063" s="1"/>
    </row>
    <row r="41064" spans="16:17" x14ac:dyDescent="0.35">
      <c r="Q41064" s="1"/>
    </row>
    <row r="41066" spans="16:17" x14ac:dyDescent="0.35">
      <c r="Q41066" s="1"/>
    </row>
    <row r="41067" spans="16:17" x14ac:dyDescent="0.35">
      <c r="Q41067" s="1"/>
    </row>
    <row r="41069" spans="16:17" x14ac:dyDescent="0.35">
      <c r="Q41069" s="1"/>
    </row>
    <row r="41073" spans="16:17" x14ac:dyDescent="0.35">
      <c r="Q41073" s="1"/>
    </row>
    <row r="41080" spans="16:17" x14ac:dyDescent="0.35">
      <c r="P41080" s="1"/>
    </row>
    <row r="41086" spans="16:17" x14ac:dyDescent="0.35">
      <c r="Q41086" s="1"/>
    </row>
    <row r="41089" spans="16:17" x14ac:dyDescent="0.35">
      <c r="Q41089" s="1"/>
    </row>
    <row r="41092" spans="16:17" x14ac:dyDescent="0.35">
      <c r="Q41092" s="1"/>
    </row>
    <row r="41093" spans="16:17" x14ac:dyDescent="0.35">
      <c r="Q41093" s="1"/>
    </row>
    <row r="41095" spans="16:17" x14ac:dyDescent="0.35">
      <c r="Q41095" s="1"/>
    </row>
    <row r="41097" spans="16:17" x14ac:dyDescent="0.35">
      <c r="P41097" s="1"/>
    </row>
    <row r="41098" spans="16:17" x14ac:dyDescent="0.35">
      <c r="Q41098" s="1"/>
    </row>
    <row r="41100" spans="16:17" x14ac:dyDescent="0.35">
      <c r="Q41100" s="1"/>
    </row>
    <row r="41107" spans="16:17" x14ac:dyDescent="0.35">
      <c r="Q41107" s="1"/>
    </row>
    <row r="41109" spans="16:17" x14ac:dyDescent="0.35">
      <c r="P41109" s="1"/>
    </row>
    <row r="41111" spans="16:17" x14ac:dyDescent="0.35">
      <c r="P41111" s="1"/>
    </row>
    <row r="41112" spans="16:17" x14ac:dyDescent="0.35">
      <c r="P41112" s="1"/>
    </row>
    <row r="41115" spans="16:17" x14ac:dyDescent="0.35">
      <c r="Q41115" s="1"/>
    </row>
    <row r="41117" spans="16:17" x14ac:dyDescent="0.35">
      <c r="Q41117" s="1"/>
    </row>
    <row r="41118" spans="16:17" x14ac:dyDescent="0.35">
      <c r="Q41118" s="1"/>
    </row>
    <row r="41120" spans="16:17" x14ac:dyDescent="0.35">
      <c r="P41120" s="1"/>
    </row>
    <row r="41121" spans="17:17" x14ac:dyDescent="0.35">
      <c r="Q41121" s="1"/>
    </row>
    <row r="41127" spans="17:17" x14ac:dyDescent="0.35">
      <c r="Q41127" s="1"/>
    </row>
    <row r="41129" spans="17:17" x14ac:dyDescent="0.35">
      <c r="Q41129" s="1"/>
    </row>
    <row r="41135" spans="17:17" x14ac:dyDescent="0.35">
      <c r="Q41135" s="1"/>
    </row>
    <row r="41136" spans="17:17" x14ac:dyDescent="0.35">
      <c r="Q41136" s="1"/>
    </row>
    <row r="41138" spans="17:17" x14ac:dyDescent="0.35">
      <c r="Q41138" s="1"/>
    </row>
    <row r="41141" spans="17:17" x14ac:dyDescent="0.35">
      <c r="Q41141" s="1"/>
    </row>
    <row r="41144" spans="17:17" x14ac:dyDescent="0.35">
      <c r="Q41144" s="1"/>
    </row>
    <row r="41148" spans="17:17" x14ac:dyDescent="0.35">
      <c r="Q41148" s="1"/>
    </row>
    <row r="41149" spans="17:17" x14ac:dyDescent="0.35">
      <c r="Q41149" s="1"/>
    </row>
    <row r="41153" spans="16:17" x14ac:dyDescent="0.35">
      <c r="P41153" s="1"/>
    </row>
    <row r="41155" spans="16:17" x14ac:dyDescent="0.35">
      <c r="P41155" s="1"/>
      <c r="Q41155" s="1"/>
    </row>
    <row r="41157" spans="16:17" x14ac:dyDescent="0.35">
      <c r="P41157" s="1"/>
    </row>
    <row r="41162" spans="16:17" x14ac:dyDescent="0.35">
      <c r="Q41162" s="1"/>
    </row>
    <row r="41164" spans="16:17" x14ac:dyDescent="0.35">
      <c r="Q41164" s="1"/>
    </row>
    <row r="41168" spans="16:17" x14ac:dyDescent="0.35">
      <c r="Q41168" s="1"/>
    </row>
    <row r="41170" spans="16:17" x14ac:dyDescent="0.35">
      <c r="P41170" s="1"/>
    </row>
    <row r="41172" spans="16:17" x14ac:dyDescent="0.35">
      <c r="Q41172" s="1"/>
    </row>
    <row r="41173" spans="16:17" x14ac:dyDescent="0.35">
      <c r="P41173" s="1"/>
    </row>
    <row r="41186" spans="16:17" x14ac:dyDescent="0.35">
      <c r="Q41186" s="1"/>
    </row>
    <row r="41187" spans="16:17" x14ac:dyDescent="0.35">
      <c r="P41187" s="1"/>
    </row>
    <row r="41192" spans="16:17" x14ac:dyDescent="0.35">
      <c r="P41192" s="1"/>
    </row>
    <row r="41193" spans="16:17" x14ac:dyDescent="0.35">
      <c r="Q41193" s="1"/>
    </row>
    <row r="41195" spans="16:17" x14ac:dyDescent="0.35">
      <c r="Q41195" s="1"/>
    </row>
    <row r="41200" spans="16:17" x14ac:dyDescent="0.35">
      <c r="Q41200" s="1"/>
    </row>
    <row r="41201" spans="16:17" x14ac:dyDescent="0.35">
      <c r="P41201" s="1"/>
    </row>
    <row r="41205" spans="16:17" x14ac:dyDescent="0.35">
      <c r="P41205" s="1"/>
    </row>
    <row r="41207" spans="16:17" x14ac:dyDescent="0.35">
      <c r="Q41207" s="1"/>
    </row>
    <row r="41220" spans="16:17" x14ac:dyDescent="0.35">
      <c r="P41220" s="1"/>
      <c r="Q41220" s="1"/>
    </row>
    <row r="41225" spans="16:17" x14ac:dyDescent="0.35">
      <c r="Q41225" s="1"/>
    </row>
    <row r="41229" spans="16:17" x14ac:dyDescent="0.35">
      <c r="Q41229" s="1"/>
    </row>
    <row r="41243" spans="16:17" x14ac:dyDescent="0.35">
      <c r="Q41243" s="1"/>
    </row>
    <row r="41245" spans="16:17" x14ac:dyDescent="0.35">
      <c r="Q41245" s="1"/>
    </row>
    <row r="41247" spans="16:17" x14ac:dyDescent="0.35">
      <c r="P41247" s="1"/>
      <c r="Q41247" s="1"/>
    </row>
    <row r="41249" spans="17:17" x14ac:dyDescent="0.35">
      <c r="Q41249" s="1"/>
    </row>
    <row r="41256" spans="17:17" x14ac:dyDescent="0.35">
      <c r="Q41256" s="1"/>
    </row>
    <row r="41257" spans="17:17" x14ac:dyDescent="0.35">
      <c r="Q41257" s="1"/>
    </row>
    <row r="41262" spans="17:17" x14ac:dyDescent="0.35">
      <c r="Q41262" s="1"/>
    </row>
    <row r="41263" spans="17:17" x14ac:dyDescent="0.35">
      <c r="Q41263" s="1"/>
    </row>
    <row r="41269" spans="16:17" x14ac:dyDescent="0.35">
      <c r="Q41269" s="1"/>
    </row>
    <row r="41270" spans="16:17" x14ac:dyDescent="0.35">
      <c r="P41270" s="1"/>
    </row>
    <row r="41271" spans="16:17" x14ac:dyDescent="0.35">
      <c r="Q41271" s="1"/>
    </row>
    <row r="41280" spans="16:17" x14ac:dyDescent="0.35">
      <c r="P41280" s="1"/>
    </row>
    <row r="41296" spans="16:17" x14ac:dyDescent="0.35">
      <c r="P41296" s="1"/>
      <c r="Q41296" s="1"/>
    </row>
    <row r="41297" spans="17:17" x14ac:dyDescent="0.35">
      <c r="Q41297" s="1"/>
    </row>
    <row r="41299" spans="17:17" x14ac:dyDescent="0.35">
      <c r="Q41299" s="1"/>
    </row>
    <row r="41301" spans="17:17" x14ac:dyDescent="0.35">
      <c r="Q41301" s="1"/>
    </row>
    <row r="41326" spans="16:17" x14ac:dyDescent="0.35">
      <c r="P41326" s="1"/>
      <c r="Q41326" s="1"/>
    </row>
    <row r="41334" spans="16:17" x14ac:dyDescent="0.35">
      <c r="P41334" s="1"/>
    </row>
    <row r="41335" spans="16:17" x14ac:dyDescent="0.35">
      <c r="Q41335" s="1"/>
    </row>
    <row r="41338" spans="16:17" x14ac:dyDescent="0.35">
      <c r="Q41338" s="1"/>
    </row>
    <row r="41344" spans="16:17" x14ac:dyDescent="0.35">
      <c r="Q41344" s="1"/>
    </row>
    <row r="41345" spans="16:17" x14ac:dyDescent="0.35">
      <c r="Q41345" s="1"/>
    </row>
    <row r="41348" spans="16:17" x14ac:dyDescent="0.35">
      <c r="Q41348" s="1"/>
    </row>
    <row r="41349" spans="16:17" x14ac:dyDescent="0.35">
      <c r="Q41349" s="1"/>
    </row>
    <row r="41357" spans="16:17" x14ac:dyDescent="0.35">
      <c r="P41357" s="1"/>
    </row>
    <row r="41360" spans="16:17" x14ac:dyDescent="0.35">
      <c r="P41360" s="1"/>
    </row>
    <row r="41365" spans="17:17" x14ac:dyDescent="0.35">
      <c r="Q41365" s="1"/>
    </row>
    <row r="41377" spans="16:16" x14ac:dyDescent="0.35">
      <c r="P41377" s="1"/>
    </row>
    <row r="41378" spans="16:16" x14ac:dyDescent="0.35">
      <c r="P41378" s="1"/>
    </row>
    <row r="41384" spans="16:16" x14ac:dyDescent="0.35">
      <c r="P41384" s="1"/>
    </row>
    <row r="41393" spans="16:17" x14ac:dyDescent="0.35">
      <c r="Q41393" s="1"/>
    </row>
    <row r="41397" spans="16:17" x14ac:dyDescent="0.35">
      <c r="Q41397" s="1"/>
    </row>
    <row r="41404" spans="16:17" x14ac:dyDescent="0.35">
      <c r="P41404" s="1"/>
    </row>
    <row r="41408" spans="16:17" x14ac:dyDescent="0.35">
      <c r="P41408" s="1"/>
    </row>
    <row r="41411" spans="16:17" x14ac:dyDescent="0.35">
      <c r="P41411" s="1"/>
    </row>
    <row r="41412" spans="16:17" x14ac:dyDescent="0.35">
      <c r="Q41412" s="1"/>
    </row>
    <row r="41413" spans="16:17" x14ac:dyDescent="0.35">
      <c r="Q41413" s="1"/>
    </row>
    <row r="41414" spans="16:17" x14ac:dyDescent="0.35">
      <c r="Q41414" s="1"/>
    </row>
    <row r="41416" spans="16:17" x14ac:dyDescent="0.35">
      <c r="P41416" s="1"/>
    </row>
    <row r="41417" spans="16:17" x14ac:dyDescent="0.35">
      <c r="Q41417" s="1"/>
    </row>
    <row r="41419" spans="16:17" x14ac:dyDescent="0.35">
      <c r="Q41419" s="1"/>
    </row>
    <row r="41420" spans="16:17" x14ac:dyDescent="0.35">
      <c r="Q41420" s="1"/>
    </row>
    <row r="41427" spans="17:17" x14ac:dyDescent="0.35">
      <c r="Q41427" s="1"/>
    </row>
    <row r="41431" spans="17:17" x14ac:dyDescent="0.35">
      <c r="Q41431" s="1"/>
    </row>
    <row r="41432" spans="17:17" x14ac:dyDescent="0.35">
      <c r="Q41432" s="1"/>
    </row>
    <row r="41433" spans="17:17" x14ac:dyDescent="0.35">
      <c r="Q41433" s="1"/>
    </row>
    <row r="41442" spans="16:17" x14ac:dyDescent="0.35">
      <c r="Q41442" s="1"/>
    </row>
    <row r="41443" spans="16:17" x14ac:dyDescent="0.35">
      <c r="Q41443" s="1"/>
    </row>
    <row r="41446" spans="16:17" x14ac:dyDescent="0.35">
      <c r="Q41446" s="1"/>
    </row>
    <row r="41447" spans="16:17" x14ac:dyDescent="0.35">
      <c r="Q41447" s="1"/>
    </row>
    <row r="41450" spans="16:17" x14ac:dyDescent="0.35">
      <c r="Q41450" s="1"/>
    </row>
    <row r="41451" spans="16:17" x14ac:dyDescent="0.35">
      <c r="Q41451" s="1"/>
    </row>
    <row r="41453" spans="16:17" x14ac:dyDescent="0.35">
      <c r="Q41453" s="1"/>
    </row>
    <row r="41454" spans="16:17" x14ac:dyDescent="0.35">
      <c r="P41454" s="1"/>
    </row>
    <row r="41459" spans="17:17" x14ac:dyDescent="0.35">
      <c r="Q41459" s="1"/>
    </row>
    <row r="41460" spans="17:17" x14ac:dyDescent="0.35">
      <c r="Q41460" s="1"/>
    </row>
    <row r="41462" spans="17:17" x14ac:dyDescent="0.35">
      <c r="Q41462" s="1"/>
    </row>
    <row r="41464" spans="17:17" x14ac:dyDescent="0.35">
      <c r="Q41464" s="1"/>
    </row>
    <row r="41473" spans="11:17" x14ac:dyDescent="0.35">
      <c r="P41473" s="1"/>
    </row>
    <row r="41476" spans="11:17" x14ac:dyDescent="0.35">
      <c r="P41476" s="1"/>
    </row>
    <row r="41478" spans="11:17" x14ac:dyDescent="0.35">
      <c r="P41478" s="1"/>
    </row>
    <row r="41485" spans="11:17" x14ac:dyDescent="0.35">
      <c r="Q41485" s="1"/>
    </row>
    <row r="41487" spans="11:17" x14ac:dyDescent="0.35">
      <c r="Q41487" s="1"/>
    </row>
    <row r="41488" spans="11:17" x14ac:dyDescent="0.35">
      <c r="K41488" s="1"/>
    </row>
    <row r="41489" spans="16:17" x14ac:dyDescent="0.35">
      <c r="Q41489" s="1"/>
    </row>
    <row r="41490" spans="16:17" x14ac:dyDescent="0.35">
      <c r="P41490" s="1"/>
    </row>
    <row r="41492" spans="16:17" x14ac:dyDescent="0.35">
      <c r="P41492" s="1"/>
    </row>
    <row r="41493" spans="16:17" x14ac:dyDescent="0.35">
      <c r="Q41493" s="1"/>
    </row>
    <row r="41495" spans="16:17" x14ac:dyDescent="0.35">
      <c r="Q41495" s="1"/>
    </row>
    <row r="41496" spans="16:17" x14ac:dyDescent="0.35">
      <c r="Q41496" s="1"/>
    </row>
    <row r="41498" spans="16:17" x14ac:dyDescent="0.35">
      <c r="P41498" s="1"/>
    </row>
    <row r="41510" spans="17:17" x14ac:dyDescent="0.35">
      <c r="Q41510" s="1"/>
    </row>
    <row r="41515" spans="17:17" x14ac:dyDescent="0.35">
      <c r="Q41515" s="1"/>
    </row>
    <row r="41522" spans="16:17" x14ac:dyDescent="0.35">
      <c r="Q41522" s="1"/>
    </row>
    <row r="41526" spans="16:17" x14ac:dyDescent="0.35">
      <c r="Q41526" s="1"/>
    </row>
    <row r="41529" spans="16:17" x14ac:dyDescent="0.35">
      <c r="P41529" s="1"/>
    </row>
    <row r="41530" spans="16:17" x14ac:dyDescent="0.35">
      <c r="P41530" s="1"/>
    </row>
    <row r="41537" spans="16:17" x14ac:dyDescent="0.35">
      <c r="Q41537" s="1"/>
    </row>
    <row r="41540" spans="16:17" x14ac:dyDescent="0.35">
      <c r="P41540" s="1"/>
    </row>
    <row r="41542" spans="16:17" x14ac:dyDescent="0.35">
      <c r="Q41542" s="1"/>
    </row>
    <row r="41544" spans="16:17" x14ac:dyDescent="0.35">
      <c r="P41544" s="1"/>
    </row>
    <row r="41547" spans="16:17" x14ac:dyDescent="0.35">
      <c r="P41547" s="1"/>
    </row>
    <row r="41551" spans="16:17" x14ac:dyDescent="0.35">
      <c r="Q41551" s="1"/>
    </row>
    <row r="41554" spans="16:17" x14ac:dyDescent="0.35">
      <c r="Q41554" s="1"/>
    </row>
    <row r="41558" spans="16:17" x14ac:dyDescent="0.35">
      <c r="Q41558" s="1"/>
    </row>
    <row r="41559" spans="16:17" x14ac:dyDescent="0.35">
      <c r="Q41559" s="1"/>
    </row>
    <row r="41562" spans="16:17" x14ac:dyDescent="0.35">
      <c r="P41562" s="1"/>
    </row>
    <row r="41566" spans="16:17" x14ac:dyDescent="0.35">
      <c r="Q41566" s="1"/>
    </row>
    <row r="41567" spans="16:17" x14ac:dyDescent="0.35">
      <c r="P41567" s="1"/>
    </row>
    <row r="41568" spans="16:17" x14ac:dyDescent="0.35">
      <c r="Q41568" s="1"/>
    </row>
    <row r="41576" spans="16:17" x14ac:dyDescent="0.35">
      <c r="P41576" s="1"/>
      <c r="Q41576" s="1"/>
    </row>
    <row r="41582" spans="16:17" x14ac:dyDescent="0.35">
      <c r="Q41582" s="1"/>
    </row>
    <row r="41583" spans="16:17" x14ac:dyDescent="0.35">
      <c r="Q41583" s="1"/>
    </row>
    <row r="41585" spans="16:17" x14ac:dyDescent="0.35">
      <c r="P41585" s="1"/>
    </row>
    <row r="41586" spans="16:17" x14ac:dyDescent="0.35">
      <c r="Q41586" s="1"/>
    </row>
    <row r="41587" spans="16:17" x14ac:dyDescent="0.35">
      <c r="Q41587" s="1"/>
    </row>
    <row r="41588" spans="16:17" x14ac:dyDescent="0.35">
      <c r="Q41588" s="1"/>
    </row>
    <row r="41599" spans="16:17" x14ac:dyDescent="0.35">
      <c r="Q41599" s="1"/>
    </row>
    <row r="41605" spans="16:16" x14ac:dyDescent="0.35">
      <c r="P41605" s="1"/>
    </row>
    <row r="41607" spans="16:16" x14ac:dyDescent="0.35">
      <c r="P41607" s="1"/>
    </row>
    <row r="41613" spans="16:16" x14ac:dyDescent="0.35">
      <c r="P41613" s="1"/>
    </row>
    <row r="41614" spans="16:16" x14ac:dyDescent="0.35">
      <c r="P41614" s="1"/>
    </row>
    <row r="41621" spans="17:17" x14ac:dyDescent="0.35">
      <c r="Q41621" s="1"/>
    </row>
    <row r="41627" spans="17:17" x14ac:dyDescent="0.35">
      <c r="Q41627" s="1"/>
    </row>
    <row r="41628" spans="17:17" x14ac:dyDescent="0.35">
      <c r="Q41628" s="1"/>
    </row>
    <row r="41635" spans="16:17" x14ac:dyDescent="0.35">
      <c r="P41635" s="1"/>
    </row>
    <row r="41636" spans="16:17" x14ac:dyDescent="0.35">
      <c r="Q41636" s="1"/>
    </row>
    <row r="41637" spans="16:17" x14ac:dyDescent="0.35">
      <c r="Q41637" s="1"/>
    </row>
    <row r="41639" spans="16:17" x14ac:dyDescent="0.35">
      <c r="Q41639" s="1"/>
    </row>
    <row r="41640" spans="16:17" x14ac:dyDescent="0.35">
      <c r="Q41640" s="1"/>
    </row>
    <row r="41642" spans="16:17" x14ac:dyDescent="0.35">
      <c r="Q41642" s="1"/>
    </row>
    <row r="41647" spans="16:17" x14ac:dyDescent="0.35">
      <c r="Q41647" s="1"/>
    </row>
    <row r="41649" spans="16:17" x14ac:dyDescent="0.35">
      <c r="P41649" s="1"/>
    </row>
    <row r="41657" spans="16:17" x14ac:dyDescent="0.35">
      <c r="Q41657" s="1"/>
    </row>
    <row r="41662" spans="16:17" x14ac:dyDescent="0.35">
      <c r="P41662" s="1"/>
      <c r="Q41662" s="1"/>
    </row>
    <row r="41666" spans="16:17" x14ac:dyDescent="0.35">
      <c r="P41666" s="1"/>
      <c r="Q41666" s="1"/>
    </row>
    <row r="41670" spans="16:17" x14ac:dyDescent="0.35">
      <c r="Q41670" s="1"/>
    </row>
    <row r="41671" spans="16:17" x14ac:dyDescent="0.35">
      <c r="Q41671" s="1"/>
    </row>
    <row r="41691" spans="17:17" x14ac:dyDescent="0.35">
      <c r="Q41691" s="1"/>
    </row>
    <row r="41693" spans="17:17" x14ac:dyDescent="0.35">
      <c r="Q41693" s="1"/>
    </row>
    <row r="41704" spans="17:17" x14ac:dyDescent="0.35">
      <c r="Q41704" s="1"/>
    </row>
    <row r="41716" spans="17:17" x14ac:dyDescent="0.35">
      <c r="Q41716" s="1"/>
    </row>
    <row r="41718" spans="17:17" x14ac:dyDescent="0.35">
      <c r="Q41718" s="1"/>
    </row>
    <row r="41735" spans="16:17" x14ac:dyDescent="0.35">
      <c r="P41735" s="1"/>
    </row>
    <row r="41740" spans="16:17" x14ac:dyDescent="0.35">
      <c r="P41740" s="1"/>
    </row>
    <row r="41743" spans="16:17" x14ac:dyDescent="0.35">
      <c r="Q41743" s="1"/>
    </row>
    <row r="41745" spans="17:17" x14ac:dyDescent="0.35">
      <c r="Q41745" s="1"/>
    </row>
    <row r="41748" spans="17:17" x14ac:dyDescent="0.35">
      <c r="Q41748" s="1"/>
    </row>
    <row r="41761" spans="16:17" x14ac:dyDescent="0.35">
      <c r="Q41761" s="1"/>
    </row>
    <row r="41767" spans="16:17" x14ac:dyDescent="0.35">
      <c r="Q41767" s="1"/>
    </row>
    <row r="41768" spans="16:17" x14ac:dyDescent="0.35">
      <c r="P41768" s="1"/>
    </row>
    <row r="41776" spans="16:17" x14ac:dyDescent="0.35">
      <c r="Q41776" s="1"/>
    </row>
    <row r="41779" spans="16:17" x14ac:dyDescent="0.35">
      <c r="P41779" s="1"/>
    </row>
    <row r="41782" spans="16:17" x14ac:dyDescent="0.35">
      <c r="Q41782" s="1"/>
    </row>
    <row r="41787" spans="16:17" x14ac:dyDescent="0.35">
      <c r="Q41787" s="1"/>
    </row>
    <row r="41788" spans="16:17" x14ac:dyDescent="0.35">
      <c r="Q41788" s="1"/>
    </row>
    <row r="41789" spans="16:17" x14ac:dyDescent="0.35">
      <c r="Q41789" s="1"/>
    </row>
    <row r="41790" spans="16:17" x14ac:dyDescent="0.35">
      <c r="Q41790" s="1"/>
    </row>
    <row r="41794" spans="16:17" x14ac:dyDescent="0.35">
      <c r="Q41794" s="1"/>
    </row>
    <row r="41797" spans="16:17" x14ac:dyDescent="0.35">
      <c r="P41797" s="1"/>
    </row>
    <row r="41798" spans="16:17" x14ac:dyDescent="0.35">
      <c r="P41798" s="1"/>
    </row>
    <row r="41800" spans="16:17" x14ac:dyDescent="0.35">
      <c r="P41800" s="1"/>
    </row>
    <row r="41801" spans="16:17" x14ac:dyDescent="0.35">
      <c r="Q41801" s="1"/>
    </row>
    <row r="41807" spans="16:17" x14ac:dyDescent="0.35">
      <c r="Q41807" s="1"/>
    </row>
    <row r="41808" spans="16:17" x14ac:dyDescent="0.35">
      <c r="Q41808" s="1"/>
    </row>
    <row r="41809" spans="16:17" x14ac:dyDescent="0.35">
      <c r="P41809" s="1"/>
    </row>
    <row r="41813" spans="16:17" x14ac:dyDescent="0.35">
      <c r="Q41813" s="1"/>
    </row>
    <row r="41815" spans="16:17" x14ac:dyDescent="0.35">
      <c r="P41815" s="1"/>
    </row>
    <row r="41817" spans="16:17" x14ac:dyDescent="0.35">
      <c r="Q41817" s="1"/>
    </row>
    <row r="41820" spans="16:17" x14ac:dyDescent="0.35">
      <c r="P41820" s="1"/>
    </row>
    <row r="41828" spans="16:17" x14ac:dyDescent="0.35">
      <c r="P41828" s="1"/>
    </row>
    <row r="41829" spans="16:17" x14ac:dyDescent="0.35">
      <c r="P41829" s="1"/>
    </row>
    <row r="41837" spans="16:17" x14ac:dyDescent="0.35">
      <c r="P41837" s="1"/>
    </row>
    <row r="41839" spans="16:17" x14ac:dyDescent="0.35">
      <c r="Q41839" s="1"/>
    </row>
    <row r="41840" spans="16:17" x14ac:dyDescent="0.35">
      <c r="Q41840" s="1"/>
    </row>
    <row r="41844" spans="16:17" x14ac:dyDescent="0.35">
      <c r="Q41844" s="1"/>
    </row>
    <row r="41852" spans="16:17" x14ac:dyDescent="0.35">
      <c r="P41852" s="1"/>
    </row>
    <row r="41857" spans="16:17" x14ac:dyDescent="0.35">
      <c r="P41857" s="1"/>
    </row>
    <row r="41860" spans="16:17" x14ac:dyDescent="0.35">
      <c r="Q41860" s="1"/>
    </row>
    <row r="41865" spans="16:17" x14ac:dyDescent="0.35">
      <c r="Q41865" s="1"/>
    </row>
    <row r="41870" spans="16:17" x14ac:dyDescent="0.35">
      <c r="P41870" s="1"/>
    </row>
    <row r="41871" spans="16:17" x14ac:dyDescent="0.35">
      <c r="Q41871" s="1"/>
    </row>
    <row r="41872" spans="16:17" x14ac:dyDescent="0.35">
      <c r="Q41872" s="1"/>
    </row>
    <row r="41875" spans="16:17" x14ac:dyDescent="0.35">
      <c r="Q41875" s="1"/>
    </row>
    <row r="41877" spans="16:17" x14ac:dyDescent="0.35">
      <c r="P41877" s="1"/>
    </row>
    <row r="41879" spans="16:17" x14ac:dyDescent="0.35">
      <c r="Q41879" s="1"/>
    </row>
    <row r="41881" spans="16:17" x14ac:dyDescent="0.35">
      <c r="P41881" s="1"/>
    </row>
    <row r="41882" spans="16:17" x14ac:dyDescent="0.35">
      <c r="Q41882" s="1"/>
    </row>
    <row r="41884" spans="16:17" x14ac:dyDescent="0.35">
      <c r="P41884" s="1"/>
    </row>
    <row r="41885" spans="16:17" x14ac:dyDescent="0.35">
      <c r="P41885" s="1"/>
    </row>
    <row r="41886" spans="16:17" x14ac:dyDescent="0.35">
      <c r="Q41886" s="1"/>
    </row>
    <row r="41890" spans="16:17" x14ac:dyDescent="0.35">
      <c r="P41890" s="1"/>
    </row>
    <row r="41893" spans="16:17" x14ac:dyDescent="0.35">
      <c r="Q41893" s="1"/>
    </row>
    <row r="41897" spans="16:17" x14ac:dyDescent="0.35">
      <c r="P41897" s="1"/>
    </row>
    <row r="41901" spans="16:17" x14ac:dyDescent="0.35">
      <c r="Q41901" s="1"/>
    </row>
    <row r="41904" spans="16:17" x14ac:dyDescent="0.35">
      <c r="P41904" s="1"/>
    </row>
    <row r="41913" spans="16:17" x14ac:dyDescent="0.35">
      <c r="P41913" s="1"/>
    </row>
    <row r="41916" spans="16:17" x14ac:dyDescent="0.35">
      <c r="Q41916" s="1"/>
    </row>
    <row r="41920" spans="16:17" x14ac:dyDescent="0.35">
      <c r="P41920" s="1"/>
    </row>
    <row r="41921" spans="16:17" x14ac:dyDescent="0.35">
      <c r="P41921" s="1"/>
    </row>
    <row r="41923" spans="16:17" x14ac:dyDescent="0.35">
      <c r="Q41923" s="1"/>
    </row>
    <row r="41924" spans="16:17" x14ac:dyDescent="0.35">
      <c r="Q41924" s="1"/>
    </row>
    <row r="41925" spans="16:17" x14ac:dyDescent="0.35">
      <c r="P41925" s="1"/>
    </row>
    <row r="41926" spans="16:17" x14ac:dyDescent="0.35">
      <c r="P41926" s="1"/>
    </row>
    <row r="41928" spans="16:17" x14ac:dyDescent="0.35">
      <c r="P41928" s="1"/>
    </row>
    <row r="41930" spans="16:17" x14ac:dyDescent="0.35">
      <c r="P41930" s="1"/>
    </row>
    <row r="41939" spans="17:17" x14ac:dyDescent="0.35">
      <c r="Q41939" s="1"/>
    </row>
    <row r="41946" spans="17:17" x14ac:dyDescent="0.35">
      <c r="Q41946" s="1"/>
    </row>
    <row r="41947" spans="17:17" x14ac:dyDescent="0.35">
      <c r="Q41947" s="1"/>
    </row>
    <row r="41950" spans="17:17" x14ac:dyDescent="0.35">
      <c r="Q41950" s="1"/>
    </row>
    <row r="41956" spans="16:17" x14ac:dyDescent="0.35">
      <c r="Q41956" s="1"/>
    </row>
    <row r="41958" spans="16:17" x14ac:dyDescent="0.35">
      <c r="Q41958" s="1"/>
    </row>
    <row r="41960" spans="16:17" x14ac:dyDescent="0.35">
      <c r="Q41960" s="1"/>
    </row>
    <row r="41964" spans="16:17" x14ac:dyDescent="0.35">
      <c r="P41964" s="1"/>
    </row>
    <row r="41965" spans="16:17" x14ac:dyDescent="0.35">
      <c r="P41965" s="1"/>
    </row>
    <row r="41966" spans="16:17" x14ac:dyDescent="0.35">
      <c r="Q41966" s="1"/>
    </row>
    <row r="41969" spans="16:17" x14ac:dyDescent="0.35">
      <c r="Q41969" s="1"/>
    </row>
    <row r="41974" spans="16:17" x14ac:dyDescent="0.35">
      <c r="P41974" s="1"/>
    </row>
    <row r="41983" spans="16:17" x14ac:dyDescent="0.35">
      <c r="P41983" s="1"/>
    </row>
    <row r="41984" spans="16:17" x14ac:dyDescent="0.35">
      <c r="P41984" s="1"/>
    </row>
    <row r="41985" spans="16:17" x14ac:dyDescent="0.35">
      <c r="P41985" s="1"/>
    </row>
    <row r="41986" spans="16:17" x14ac:dyDescent="0.35">
      <c r="P41986" s="1"/>
      <c r="Q41986" s="1"/>
    </row>
    <row r="41988" spans="16:17" x14ac:dyDescent="0.35">
      <c r="Q41988" s="1"/>
    </row>
    <row r="41993" spans="16:17" x14ac:dyDescent="0.35">
      <c r="P41993" s="1"/>
    </row>
    <row r="41994" spans="16:17" x14ac:dyDescent="0.35">
      <c r="P41994" s="1"/>
    </row>
    <row r="41995" spans="16:17" x14ac:dyDescent="0.35">
      <c r="P41995" s="1"/>
    </row>
    <row r="41996" spans="16:17" x14ac:dyDescent="0.35">
      <c r="P41996" s="1"/>
    </row>
    <row r="41998" spans="16:17" x14ac:dyDescent="0.35">
      <c r="P41998" s="1"/>
    </row>
    <row r="42002" spans="16:16" x14ac:dyDescent="0.35">
      <c r="P42002" s="1"/>
    </row>
    <row r="42003" spans="16:16" x14ac:dyDescent="0.35">
      <c r="P42003" s="1"/>
    </row>
    <row r="42004" spans="16:16" x14ac:dyDescent="0.35">
      <c r="P42004" s="1"/>
    </row>
    <row r="42005" spans="16:16" x14ac:dyDescent="0.35">
      <c r="P42005" s="1"/>
    </row>
    <row r="42007" spans="16:16" x14ac:dyDescent="0.35">
      <c r="P42007" s="1"/>
    </row>
    <row r="42009" spans="16:16" x14ac:dyDescent="0.35">
      <c r="P42009" s="1"/>
    </row>
    <row r="42010" spans="16:16" x14ac:dyDescent="0.35">
      <c r="P42010" s="1"/>
    </row>
    <row r="42011" spans="16:16" x14ac:dyDescent="0.35">
      <c r="P42011" s="1"/>
    </row>
    <row r="42012" spans="16:16" x14ac:dyDescent="0.35">
      <c r="P42012" s="1"/>
    </row>
    <row r="42016" spans="16:16" x14ac:dyDescent="0.35">
      <c r="P42016" s="1"/>
    </row>
    <row r="42017" spans="16:17" x14ac:dyDescent="0.35">
      <c r="P42017" s="1"/>
    </row>
    <row r="42019" spans="16:17" x14ac:dyDescent="0.35">
      <c r="P42019" s="1"/>
    </row>
    <row r="42020" spans="16:17" x14ac:dyDescent="0.35">
      <c r="Q42020" s="1"/>
    </row>
    <row r="42023" spans="16:17" x14ac:dyDescent="0.35">
      <c r="P42023" s="1"/>
    </row>
    <row r="42025" spans="16:17" x14ac:dyDescent="0.35">
      <c r="P42025" s="1"/>
    </row>
    <row r="42026" spans="16:17" x14ac:dyDescent="0.35">
      <c r="P42026" s="1"/>
    </row>
    <row r="42027" spans="16:17" x14ac:dyDescent="0.35">
      <c r="P42027" s="1"/>
    </row>
    <row r="42028" spans="16:17" x14ac:dyDescent="0.35">
      <c r="P42028" s="1"/>
    </row>
    <row r="42030" spans="16:17" x14ac:dyDescent="0.35">
      <c r="P42030" s="1"/>
    </row>
    <row r="42031" spans="16:17" x14ac:dyDescent="0.35">
      <c r="P42031" s="1"/>
    </row>
    <row r="42032" spans="16:17" x14ac:dyDescent="0.35">
      <c r="P42032" s="1"/>
    </row>
    <row r="42033" spans="16:16" x14ac:dyDescent="0.35">
      <c r="P42033" s="1"/>
    </row>
    <row r="42034" spans="16:16" x14ac:dyDescent="0.35">
      <c r="P42034" s="1"/>
    </row>
    <row r="42037" spans="16:16" x14ac:dyDescent="0.35">
      <c r="P42037" s="1"/>
    </row>
    <row r="42039" spans="16:16" x14ac:dyDescent="0.35">
      <c r="P42039" s="1"/>
    </row>
    <row r="42040" spans="16:16" x14ac:dyDescent="0.35">
      <c r="P42040" s="1"/>
    </row>
    <row r="42042" spans="16:16" x14ac:dyDescent="0.35">
      <c r="P42042" s="1"/>
    </row>
    <row r="42043" spans="16:16" x14ac:dyDescent="0.35">
      <c r="P42043" s="1"/>
    </row>
    <row r="42044" spans="16:16" x14ac:dyDescent="0.35">
      <c r="P42044" s="1"/>
    </row>
    <row r="42045" spans="16:16" x14ac:dyDescent="0.35">
      <c r="P42045" s="1"/>
    </row>
    <row r="42046" spans="16:16" x14ac:dyDescent="0.35">
      <c r="P42046" s="1"/>
    </row>
    <row r="42049" spans="16:16" x14ac:dyDescent="0.35">
      <c r="P42049" s="1"/>
    </row>
    <row r="42050" spans="16:16" x14ac:dyDescent="0.35">
      <c r="P42050" s="1"/>
    </row>
    <row r="42051" spans="16:16" x14ac:dyDescent="0.35">
      <c r="P42051" s="1"/>
    </row>
    <row r="42052" spans="16:16" x14ac:dyDescent="0.35">
      <c r="P42052" s="1"/>
    </row>
    <row r="42054" spans="16:16" x14ac:dyDescent="0.35">
      <c r="P42054" s="1"/>
    </row>
    <row r="42057" spans="16:16" x14ac:dyDescent="0.35">
      <c r="P42057" s="1"/>
    </row>
    <row r="42058" spans="16:16" x14ac:dyDescent="0.35">
      <c r="P42058" s="1"/>
    </row>
    <row r="42059" spans="16:16" x14ac:dyDescent="0.35">
      <c r="P42059" s="1"/>
    </row>
    <row r="42060" spans="16:16" x14ac:dyDescent="0.35">
      <c r="P42060" s="1"/>
    </row>
    <row r="42063" spans="16:16" x14ac:dyDescent="0.35">
      <c r="P42063" s="1"/>
    </row>
    <row r="42064" spans="16:16" x14ac:dyDescent="0.35">
      <c r="P42064" s="1"/>
    </row>
    <row r="42065" spans="16:17" x14ac:dyDescent="0.35">
      <c r="P42065" s="1"/>
    </row>
    <row r="42066" spans="16:17" x14ac:dyDescent="0.35">
      <c r="P42066" s="1"/>
    </row>
    <row r="42067" spans="16:17" x14ac:dyDescent="0.35">
      <c r="P42067" s="1"/>
    </row>
    <row r="42068" spans="16:17" x14ac:dyDescent="0.35">
      <c r="P42068" s="1"/>
    </row>
    <row r="42069" spans="16:17" x14ac:dyDescent="0.35">
      <c r="P42069" s="1"/>
    </row>
    <row r="42071" spans="16:17" x14ac:dyDescent="0.35">
      <c r="P42071" s="1"/>
    </row>
    <row r="42072" spans="16:17" x14ac:dyDescent="0.35">
      <c r="P42072" s="1"/>
    </row>
    <row r="42074" spans="16:17" x14ac:dyDescent="0.35">
      <c r="P42074" s="1"/>
    </row>
    <row r="42075" spans="16:17" x14ac:dyDescent="0.35">
      <c r="P42075" s="1"/>
      <c r="Q42075" s="1"/>
    </row>
    <row r="42076" spans="16:17" x14ac:dyDescent="0.35">
      <c r="P42076" s="1"/>
    </row>
    <row r="42078" spans="16:17" x14ac:dyDescent="0.35">
      <c r="P42078" s="1"/>
    </row>
    <row r="42079" spans="16:17" x14ac:dyDescent="0.35">
      <c r="P42079" s="1"/>
    </row>
    <row r="42080" spans="16:17" x14ac:dyDescent="0.35">
      <c r="P42080" s="1"/>
    </row>
    <row r="42081" spans="16:17" x14ac:dyDescent="0.35">
      <c r="P42081" s="1"/>
    </row>
    <row r="42082" spans="16:17" x14ac:dyDescent="0.35">
      <c r="P42082" s="1"/>
    </row>
    <row r="42083" spans="16:17" x14ac:dyDescent="0.35">
      <c r="P42083" s="1"/>
      <c r="Q42083" s="1"/>
    </row>
    <row r="42085" spans="16:17" x14ac:dyDescent="0.35">
      <c r="P42085" s="1"/>
    </row>
    <row r="42087" spans="16:17" x14ac:dyDescent="0.35">
      <c r="P42087" s="1"/>
    </row>
    <row r="42090" spans="16:17" x14ac:dyDescent="0.35">
      <c r="P42090" s="1"/>
    </row>
    <row r="42091" spans="16:17" x14ac:dyDescent="0.35">
      <c r="P42091" s="1"/>
    </row>
    <row r="42092" spans="16:17" x14ac:dyDescent="0.35">
      <c r="P42092" s="1"/>
    </row>
    <row r="42093" spans="16:17" x14ac:dyDescent="0.35">
      <c r="P42093" s="1"/>
    </row>
    <row r="42094" spans="16:17" x14ac:dyDescent="0.35">
      <c r="P42094" s="1"/>
    </row>
    <row r="42095" spans="16:17" x14ac:dyDescent="0.35">
      <c r="P42095" s="1"/>
    </row>
    <row r="42096" spans="16:17" x14ac:dyDescent="0.35">
      <c r="P42096" s="1"/>
    </row>
    <row r="42097" spans="16:16" x14ac:dyDescent="0.35">
      <c r="P42097" s="1"/>
    </row>
    <row r="42098" spans="16:16" x14ac:dyDescent="0.35">
      <c r="P42098" s="1"/>
    </row>
    <row r="42099" spans="16:16" x14ac:dyDescent="0.35">
      <c r="P42099" s="1"/>
    </row>
    <row r="42100" spans="16:16" x14ac:dyDescent="0.35">
      <c r="P42100" s="1"/>
    </row>
    <row r="42101" spans="16:16" x14ac:dyDescent="0.35">
      <c r="P42101" s="1"/>
    </row>
    <row r="42103" spans="16:16" x14ac:dyDescent="0.35">
      <c r="P42103" s="1"/>
    </row>
    <row r="42104" spans="16:16" x14ac:dyDescent="0.35">
      <c r="P42104" s="1"/>
    </row>
    <row r="42105" spans="16:16" x14ac:dyDescent="0.35">
      <c r="P42105" s="1"/>
    </row>
    <row r="42106" spans="16:16" x14ac:dyDescent="0.35">
      <c r="P42106" s="1"/>
    </row>
    <row r="42107" spans="16:16" x14ac:dyDescent="0.35">
      <c r="P42107" s="1"/>
    </row>
    <row r="42108" spans="16:16" x14ac:dyDescent="0.35">
      <c r="P42108" s="1"/>
    </row>
    <row r="42112" spans="16:16" x14ac:dyDescent="0.35">
      <c r="P42112" s="1"/>
    </row>
    <row r="42113" spans="16:17" x14ac:dyDescent="0.35">
      <c r="P42113" s="1"/>
    </row>
    <row r="42117" spans="16:17" x14ac:dyDescent="0.35">
      <c r="P42117" s="1"/>
    </row>
    <row r="42118" spans="16:17" x14ac:dyDescent="0.35">
      <c r="P42118" s="1"/>
    </row>
    <row r="42119" spans="16:17" x14ac:dyDescent="0.35">
      <c r="P42119" s="1"/>
    </row>
    <row r="42120" spans="16:17" x14ac:dyDescent="0.35">
      <c r="P42120" s="1"/>
    </row>
    <row r="42121" spans="16:17" x14ac:dyDescent="0.35">
      <c r="P42121" s="1"/>
    </row>
    <row r="42122" spans="16:17" x14ac:dyDescent="0.35">
      <c r="Q42122" s="1"/>
    </row>
    <row r="42123" spans="16:17" x14ac:dyDescent="0.35">
      <c r="P42123" s="1"/>
    </row>
    <row r="42124" spans="16:17" x14ac:dyDescent="0.35">
      <c r="P42124" s="1"/>
    </row>
    <row r="42125" spans="16:17" x14ac:dyDescent="0.35">
      <c r="P42125" s="1"/>
    </row>
    <row r="42126" spans="16:17" x14ac:dyDescent="0.35">
      <c r="P42126" s="1"/>
    </row>
    <row r="42128" spans="16:17" x14ac:dyDescent="0.35">
      <c r="P42128" s="1"/>
    </row>
    <row r="42129" spans="16:17" x14ac:dyDescent="0.35">
      <c r="P42129" s="1"/>
    </row>
    <row r="42130" spans="16:17" x14ac:dyDescent="0.35">
      <c r="P42130" s="1"/>
    </row>
    <row r="42132" spans="16:17" x14ac:dyDescent="0.35">
      <c r="P42132" s="1"/>
    </row>
    <row r="42133" spans="16:17" x14ac:dyDescent="0.35">
      <c r="P42133" s="1"/>
    </row>
    <row r="42136" spans="16:17" x14ac:dyDescent="0.35">
      <c r="P42136" s="1"/>
      <c r="Q42136" s="1"/>
    </row>
    <row r="42137" spans="16:17" x14ac:dyDescent="0.35">
      <c r="P42137" s="1"/>
    </row>
    <row r="42138" spans="16:17" x14ac:dyDescent="0.35">
      <c r="P42138" s="1"/>
    </row>
    <row r="42139" spans="16:17" x14ac:dyDescent="0.35">
      <c r="P42139" s="1"/>
      <c r="Q42139" s="1"/>
    </row>
    <row r="42140" spans="16:17" x14ac:dyDescent="0.35">
      <c r="P42140" s="1"/>
    </row>
    <row r="42143" spans="16:17" x14ac:dyDescent="0.35">
      <c r="P42143" s="1"/>
    </row>
    <row r="42145" spans="16:16" x14ac:dyDescent="0.35">
      <c r="P42145" s="1"/>
    </row>
    <row r="42147" spans="16:16" x14ac:dyDescent="0.35">
      <c r="P42147" s="1"/>
    </row>
    <row r="42148" spans="16:16" x14ac:dyDescent="0.35">
      <c r="P42148" s="1"/>
    </row>
    <row r="42150" spans="16:16" x14ac:dyDescent="0.35">
      <c r="P42150" s="1"/>
    </row>
    <row r="42152" spans="16:16" x14ac:dyDescent="0.35">
      <c r="P42152" s="1"/>
    </row>
    <row r="42153" spans="16:16" x14ac:dyDescent="0.35">
      <c r="P42153" s="1"/>
    </row>
    <row r="42154" spans="16:16" x14ac:dyDescent="0.35">
      <c r="P42154" s="1"/>
    </row>
    <row r="42155" spans="16:16" x14ac:dyDescent="0.35">
      <c r="P42155" s="1"/>
    </row>
    <row r="42156" spans="16:16" x14ac:dyDescent="0.35">
      <c r="P42156" s="1"/>
    </row>
    <row r="42157" spans="16:16" x14ac:dyDescent="0.35">
      <c r="P42157" s="1"/>
    </row>
    <row r="42158" spans="16:16" x14ac:dyDescent="0.35">
      <c r="P42158" s="1"/>
    </row>
    <row r="42159" spans="16:16" x14ac:dyDescent="0.35">
      <c r="P42159" s="1"/>
    </row>
    <row r="42160" spans="16:16" x14ac:dyDescent="0.35">
      <c r="P42160" s="1"/>
    </row>
    <row r="42161" spans="16:16" x14ac:dyDescent="0.35">
      <c r="P42161" s="1"/>
    </row>
    <row r="42162" spans="16:16" x14ac:dyDescent="0.35">
      <c r="P42162" s="1"/>
    </row>
    <row r="42163" spans="16:16" x14ac:dyDescent="0.35">
      <c r="P42163" s="1"/>
    </row>
    <row r="42164" spans="16:16" x14ac:dyDescent="0.35">
      <c r="P42164" s="1"/>
    </row>
    <row r="42165" spans="16:16" x14ac:dyDescent="0.35">
      <c r="P42165" s="1"/>
    </row>
    <row r="42168" spans="16:16" x14ac:dyDescent="0.35">
      <c r="P42168" s="1"/>
    </row>
    <row r="42169" spans="16:16" x14ac:dyDescent="0.35">
      <c r="P42169" s="1"/>
    </row>
    <row r="42170" spans="16:16" x14ac:dyDescent="0.35">
      <c r="P42170" s="1"/>
    </row>
    <row r="42171" spans="16:16" x14ac:dyDescent="0.35">
      <c r="P42171" s="1"/>
    </row>
    <row r="42173" spans="16:16" x14ac:dyDescent="0.35">
      <c r="P42173" s="1"/>
    </row>
    <row r="42175" spans="16:16" x14ac:dyDescent="0.35">
      <c r="P42175" s="1"/>
    </row>
    <row r="42176" spans="16:16" x14ac:dyDescent="0.35">
      <c r="P42176" s="1"/>
    </row>
    <row r="42177" spans="16:17" x14ac:dyDescent="0.35">
      <c r="P42177" s="1"/>
    </row>
    <row r="42180" spans="16:17" x14ac:dyDescent="0.35">
      <c r="P42180" s="1"/>
    </row>
    <row r="42181" spans="16:17" x14ac:dyDescent="0.35">
      <c r="P42181" s="1"/>
    </row>
    <row r="42182" spans="16:17" x14ac:dyDescent="0.35">
      <c r="P42182" s="1"/>
    </row>
    <row r="42183" spans="16:17" x14ac:dyDescent="0.35">
      <c r="Q42183" s="1"/>
    </row>
    <row r="42184" spans="16:17" x14ac:dyDescent="0.35">
      <c r="P42184" s="1"/>
    </row>
    <row r="42185" spans="16:17" x14ac:dyDescent="0.35">
      <c r="P42185" s="1"/>
    </row>
    <row r="42186" spans="16:17" x14ac:dyDescent="0.35">
      <c r="P42186" s="1"/>
    </row>
    <row r="42187" spans="16:17" x14ac:dyDescent="0.35">
      <c r="P42187" s="1"/>
    </row>
    <row r="42188" spans="16:17" x14ac:dyDescent="0.35">
      <c r="P42188" s="1"/>
    </row>
    <row r="42189" spans="16:17" x14ac:dyDescent="0.35">
      <c r="P42189" s="1"/>
    </row>
    <row r="42190" spans="16:17" x14ac:dyDescent="0.35">
      <c r="P42190" s="1"/>
    </row>
    <row r="42192" spans="16:17" x14ac:dyDescent="0.35">
      <c r="P42192" s="1"/>
    </row>
    <row r="42193" spans="16:17" x14ac:dyDescent="0.35">
      <c r="P42193" s="1"/>
    </row>
    <row r="42194" spans="16:17" x14ac:dyDescent="0.35">
      <c r="P42194" s="1"/>
    </row>
    <row r="42195" spans="16:17" x14ac:dyDescent="0.35">
      <c r="P42195" s="1"/>
    </row>
    <row r="42196" spans="16:17" x14ac:dyDescent="0.35">
      <c r="P42196" s="1"/>
    </row>
    <row r="42198" spans="16:17" x14ac:dyDescent="0.35">
      <c r="P42198" s="1"/>
    </row>
    <row r="42200" spans="16:17" x14ac:dyDescent="0.35">
      <c r="Q42200" s="1"/>
    </row>
    <row r="42203" spans="16:17" x14ac:dyDescent="0.35">
      <c r="P42203" s="1"/>
    </row>
    <row r="42205" spans="16:17" x14ac:dyDescent="0.35">
      <c r="P42205" s="1"/>
    </row>
    <row r="42206" spans="16:17" x14ac:dyDescent="0.35">
      <c r="P42206" s="1"/>
    </row>
    <row r="42207" spans="16:17" x14ac:dyDescent="0.35">
      <c r="P42207" s="1"/>
    </row>
    <row r="42209" spans="16:16" x14ac:dyDescent="0.35">
      <c r="P42209" s="1"/>
    </row>
    <row r="42211" spans="16:16" x14ac:dyDescent="0.35">
      <c r="P42211" s="1"/>
    </row>
    <row r="42212" spans="16:16" x14ac:dyDescent="0.35">
      <c r="P42212" s="1"/>
    </row>
    <row r="42214" spans="16:16" x14ac:dyDescent="0.35">
      <c r="P42214" s="1"/>
    </row>
    <row r="42215" spans="16:16" x14ac:dyDescent="0.35">
      <c r="P42215" s="1"/>
    </row>
    <row r="42216" spans="16:16" x14ac:dyDescent="0.35">
      <c r="P42216" s="1"/>
    </row>
    <row r="42217" spans="16:16" x14ac:dyDescent="0.35">
      <c r="P42217" s="1"/>
    </row>
    <row r="42218" spans="16:16" x14ac:dyDescent="0.35">
      <c r="P42218" s="1"/>
    </row>
    <row r="42219" spans="16:16" x14ac:dyDescent="0.35">
      <c r="P42219" s="1"/>
    </row>
    <row r="42220" spans="16:16" x14ac:dyDescent="0.35">
      <c r="P42220" s="1"/>
    </row>
    <row r="42221" spans="16:16" x14ac:dyDescent="0.35">
      <c r="P42221" s="1"/>
    </row>
    <row r="42222" spans="16:16" x14ac:dyDescent="0.35">
      <c r="P42222" s="1"/>
    </row>
    <row r="42224" spans="16:16" x14ac:dyDescent="0.35">
      <c r="P42224" s="1"/>
    </row>
    <row r="42225" spans="16:17" x14ac:dyDescent="0.35">
      <c r="P42225" s="1"/>
      <c r="Q42225" s="1"/>
    </row>
    <row r="42226" spans="16:17" x14ac:dyDescent="0.35">
      <c r="P42226" s="1"/>
    </row>
    <row r="42227" spans="16:17" x14ac:dyDescent="0.35">
      <c r="P42227" s="1"/>
    </row>
    <row r="42228" spans="16:17" x14ac:dyDescent="0.35">
      <c r="P42228" s="1"/>
    </row>
    <row r="42233" spans="16:17" x14ac:dyDescent="0.35">
      <c r="P42233" s="1"/>
    </row>
    <row r="42234" spans="16:17" x14ac:dyDescent="0.35">
      <c r="P42234" s="1"/>
    </row>
    <row r="42236" spans="16:17" x14ac:dyDescent="0.35">
      <c r="P42236" s="1"/>
    </row>
    <row r="42237" spans="16:17" x14ac:dyDescent="0.35">
      <c r="P42237" s="1"/>
    </row>
    <row r="42238" spans="16:17" x14ac:dyDescent="0.35">
      <c r="P42238" s="1"/>
    </row>
    <row r="42239" spans="16:17" x14ac:dyDescent="0.35">
      <c r="P42239" s="1"/>
    </row>
    <row r="42240" spans="16:17" x14ac:dyDescent="0.35">
      <c r="P42240" s="1"/>
    </row>
    <row r="42241" spans="16:16" x14ac:dyDescent="0.35">
      <c r="P42241" s="1"/>
    </row>
    <row r="42242" spans="16:16" x14ac:dyDescent="0.35">
      <c r="P42242" s="1"/>
    </row>
    <row r="42243" spans="16:16" x14ac:dyDescent="0.35">
      <c r="P42243" s="1"/>
    </row>
    <row r="42244" spans="16:16" x14ac:dyDescent="0.35">
      <c r="P42244" s="1"/>
    </row>
    <row r="42245" spans="16:16" x14ac:dyDescent="0.35">
      <c r="P42245" s="1"/>
    </row>
    <row r="42247" spans="16:16" x14ac:dyDescent="0.35">
      <c r="P42247" s="1"/>
    </row>
    <row r="42248" spans="16:16" x14ac:dyDescent="0.35">
      <c r="P42248" s="1"/>
    </row>
    <row r="42249" spans="16:16" x14ac:dyDescent="0.35">
      <c r="P42249" s="1"/>
    </row>
    <row r="42250" spans="16:16" x14ac:dyDescent="0.35">
      <c r="P42250" s="1"/>
    </row>
    <row r="42252" spans="16:16" x14ac:dyDescent="0.35">
      <c r="P42252" s="1"/>
    </row>
    <row r="42253" spans="16:16" x14ac:dyDescent="0.35">
      <c r="P42253" s="1"/>
    </row>
    <row r="42254" spans="16:16" x14ac:dyDescent="0.35">
      <c r="P42254" s="1"/>
    </row>
    <row r="42255" spans="16:16" x14ac:dyDescent="0.35">
      <c r="P42255" s="1"/>
    </row>
    <row r="42257" spans="16:16" x14ac:dyDescent="0.35">
      <c r="P42257" s="1"/>
    </row>
    <row r="42258" spans="16:16" x14ac:dyDescent="0.35">
      <c r="P42258" s="1"/>
    </row>
    <row r="42259" spans="16:16" x14ac:dyDescent="0.35">
      <c r="P42259" s="1"/>
    </row>
    <row r="42260" spans="16:16" x14ac:dyDescent="0.35">
      <c r="P42260" s="1"/>
    </row>
    <row r="42261" spans="16:16" x14ac:dyDescent="0.35">
      <c r="P42261" s="1"/>
    </row>
    <row r="42262" spans="16:16" x14ac:dyDescent="0.35">
      <c r="P42262" s="1"/>
    </row>
    <row r="42263" spans="16:16" x14ac:dyDescent="0.35">
      <c r="P42263" s="1"/>
    </row>
    <row r="42265" spans="16:16" x14ac:dyDescent="0.35">
      <c r="P42265" s="1"/>
    </row>
    <row r="42269" spans="16:16" x14ac:dyDescent="0.35">
      <c r="P42269" s="1"/>
    </row>
    <row r="42270" spans="16:16" x14ac:dyDescent="0.35">
      <c r="P42270" s="1"/>
    </row>
    <row r="42271" spans="16:16" x14ac:dyDescent="0.35">
      <c r="P42271" s="1"/>
    </row>
    <row r="42272" spans="16:16" x14ac:dyDescent="0.35">
      <c r="P42272" s="1"/>
    </row>
    <row r="42274" spans="16:16" x14ac:dyDescent="0.35">
      <c r="P42274" s="1"/>
    </row>
    <row r="42276" spans="16:16" x14ac:dyDescent="0.35">
      <c r="P42276" s="1"/>
    </row>
    <row r="42278" spans="16:16" x14ac:dyDescent="0.35">
      <c r="P42278" s="1"/>
    </row>
    <row r="42279" spans="16:16" x14ac:dyDescent="0.35">
      <c r="P42279" s="1"/>
    </row>
    <row r="42280" spans="16:16" x14ac:dyDescent="0.35">
      <c r="P42280" s="1"/>
    </row>
    <row r="42282" spans="16:16" x14ac:dyDescent="0.35">
      <c r="P42282" s="1"/>
    </row>
    <row r="42284" spans="16:16" x14ac:dyDescent="0.35">
      <c r="P42284" s="1"/>
    </row>
    <row r="42285" spans="16:16" x14ac:dyDescent="0.35">
      <c r="P42285" s="1"/>
    </row>
    <row r="42287" spans="16:16" x14ac:dyDescent="0.35">
      <c r="P42287" s="1"/>
    </row>
    <row r="42290" spans="16:16" x14ac:dyDescent="0.35">
      <c r="P42290" s="1"/>
    </row>
    <row r="42292" spans="16:16" x14ac:dyDescent="0.35">
      <c r="P42292" s="1"/>
    </row>
    <row r="42293" spans="16:16" x14ac:dyDescent="0.35">
      <c r="P42293" s="1"/>
    </row>
    <row r="42294" spans="16:16" x14ac:dyDescent="0.35">
      <c r="P42294" s="1"/>
    </row>
    <row r="42295" spans="16:16" x14ac:dyDescent="0.35">
      <c r="P42295" s="1"/>
    </row>
    <row r="42296" spans="16:16" x14ac:dyDescent="0.35">
      <c r="P42296" s="1"/>
    </row>
    <row r="42298" spans="16:16" x14ac:dyDescent="0.35">
      <c r="P42298" s="1"/>
    </row>
    <row r="42299" spans="16:16" x14ac:dyDescent="0.35">
      <c r="P42299" s="1"/>
    </row>
    <row r="42301" spans="16:16" x14ac:dyDescent="0.35">
      <c r="P42301" s="1"/>
    </row>
    <row r="42303" spans="16:16" x14ac:dyDescent="0.35">
      <c r="P42303" s="1"/>
    </row>
    <row r="42305" spans="16:16" x14ac:dyDescent="0.35">
      <c r="P42305" s="1"/>
    </row>
    <row r="42306" spans="16:16" x14ac:dyDescent="0.35">
      <c r="P42306" s="1"/>
    </row>
    <row r="42307" spans="16:16" x14ac:dyDescent="0.35">
      <c r="P42307" s="1"/>
    </row>
    <row r="42308" spans="16:16" x14ac:dyDescent="0.35">
      <c r="P42308" s="1"/>
    </row>
    <row r="42309" spans="16:16" x14ac:dyDescent="0.35">
      <c r="P42309" s="1"/>
    </row>
    <row r="42310" spans="16:16" x14ac:dyDescent="0.35">
      <c r="P42310" s="1"/>
    </row>
    <row r="42311" spans="16:16" x14ac:dyDescent="0.35">
      <c r="P42311" s="1"/>
    </row>
    <row r="42312" spans="16:16" x14ac:dyDescent="0.35">
      <c r="P42312" s="1"/>
    </row>
    <row r="42313" spans="16:16" x14ac:dyDescent="0.35">
      <c r="P42313" s="1"/>
    </row>
    <row r="42320" spans="16:16" x14ac:dyDescent="0.35">
      <c r="P42320" s="1"/>
    </row>
    <row r="42322" spans="16:16" x14ac:dyDescent="0.35">
      <c r="P42322" s="1"/>
    </row>
    <row r="42323" spans="16:16" x14ac:dyDescent="0.35">
      <c r="P42323" s="1"/>
    </row>
    <row r="42324" spans="16:16" x14ac:dyDescent="0.35">
      <c r="P42324" s="1"/>
    </row>
    <row r="42325" spans="16:16" x14ac:dyDescent="0.35">
      <c r="P42325" s="1"/>
    </row>
    <row r="42326" spans="16:16" x14ac:dyDescent="0.35">
      <c r="P42326" s="1"/>
    </row>
    <row r="42328" spans="16:16" x14ac:dyDescent="0.35">
      <c r="P42328" s="1"/>
    </row>
    <row r="42329" spans="16:16" x14ac:dyDescent="0.35">
      <c r="P42329" s="1"/>
    </row>
    <row r="42331" spans="16:16" x14ac:dyDescent="0.35">
      <c r="P42331" s="1"/>
    </row>
    <row r="42332" spans="16:16" x14ac:dyDescent="0.35">
      <c r="P42332" s="1"/>
    </row>
    <row r="42333" spans="16:16" x14ac:dyDescent="0.35">
      <c r="P42333" s="1"/>
    </row>
    <row r="42334" spans="16:16" x14ac:dyDescent="0.35">
      <c r="P42334" s="1"/>
    </row>
    <row r="42335" spans="16:16" x14ac:dyDescent="0.35">
      <c r="P42335" s="1"/>
    </row>
    <row r="42336" spans="16:16" x14ac:dyDescent="0.35">
      <c r="P42336" s="1"/>
    </row>
    <row r="42337" spans="16:16" x14ac:dyDescent="0.35">
      <c r="P42337" s="1"/>
    </row>
    <row r="42338" spans="16:16" x14ac:dyDescent="0.35">
      <c r="P42338" s="1"/>
    </row>
    <row r="42340" spans="16:16" x14ac:dyDescent="0.35">
      <c r="P42340" s="1"/>
    </row>
    <row r="42342" spans="16:16" x14ac:dyDescent="0.35">
      <c r="P42342" s="1"/>
    </row>
    <row r="42343" spans="16:16" x14ac:dyDescent="0.35">
      <c r="P42343" s="1"/>
    </row>
    <row r="42344" spans="16:16" x14ac:dyDescent="0.35">
      <c r="P42344" s="1"/>
    </row>
    <row r="42345" spans="16:16" x14ac:dyDescent="0.35">
      <c r="P42345" s="1"/>
    </row>
    <row r="42346" spans="16:16" x14ac:dyDescent="0.35">
      <c r="P42346" s="1"/>
    </row>
    <row r="42347" spans="16:16" x14ac:dyDescent="0.35">
      <c r="P42347" s="1"/>
    </row>
    <row r="42348" spans="16:16" x14ac:dyDescent="0.35">
      <c r="P42348" s="1"/>
    </row>
    <row r="42349" spans="16:16" x14ac:dyDescent="0.35">
      <c r="P42349" s="1"/>
    </row>
    <row r="42354" spans="16:16" x14ac:dyDescent="0.35">
      <c r="P42354" s="1"/>
    </row>
    <row r="42355" spans="16:16" x14ac:dyDescent="0.35">
      <c r="P42355" s="1"/>
    </row>
    <row r="42356" spans="16:16" x14ac:dyDescent="0.35">
      <c r="P42356" s="1"/>
    </row>
    <row r="42357" spans="16:16" x14ac:dyDescent="0.35">
      <c r="P42357" s="1"/>
    </row>
    <row r="42358" spans="16:16" x14ac:dyDescent="0.35">
      <c r="P42358" s="1"/>
    </row>
    <row r="42359" spans="16:16" x14ac:dyDescent="0.35">
      <c r="P42359" s="1"/>
    </row>
    <row r="42360" spans="16:16" x14ac:dyDescent="0.35">
      <c r="P42360" s="1"/>
    </row>
    <row r="42361" spans="16:16" x14ac:dyDescent="0.35">
      <c r="P42361" s="1"/>
    </row>
    <row r="42363" spans="16:16" x14ac:dyDescent="0.35">
      <c r="P42363" s="1"/>
    </row>
    <row r="42364" spans="16:16" x14ac:dyDescent="0.35">
      <c r="P42364" s="1"/>
    </row>
    <row r="42365" spans="16:16" x14ac:dyDescent="0.35">
      <c r="P42365" s="1"/>
    </row>
    <row r="42366" spans="16:16" x14ac:dyDescent="0.35">
      <c r="P42366" s="1"/>
    </row>
    <row r="42367" spans="16:16" x14ac:dyDescent="0.35">
      <c r="P42367" s="1"/>
    </row>
    <row r="42368" spans="16:16" x14ac:dyDescent="0.35">
      <c r="P42368" s="1"/>
    </row>
    <row r="42369" spans="16:16" x14ac:dyDescent="0.35">
      <c r="P42369" s="1"/>
    </row>
    <row r="42371" spans="16:16" x14ac:dyDescent="0.35">
      <c r="P42371" s="1"/>
    </row>
    <row r="42372" spans="16:16" x14ac:dyDescent="0.35">
      <c r="P42372" s="1"/>
    </row>
    <row r="42373" spans="16:16" x14ac:dyDescent="0.35">
      <c r="P42373" s="1"/>
    </row>
    <row r="42374" spans="16:16" x14ac:dyDescent="0.35">
      <c r="P42374" s="1"/>
    </row>
    <row r="42376" spans="16:16" x14ac:dyDescent="0.35">
      <c r="P42376" s="1"/>
    </row>
    <row r="42378" spans="16:16" x14ac:dyDescent="0.35">
      <c r="P42378" s="1"/>
    </row>
    <row r="42380" spans="16:16" x14ac:dyDescent="0.35">
      <c r="P42380" s="1"/>
    </row>
    <row r="42381" spans="16:16" x14ac:dyDescent="0.35">
      <c r="P42381" s="1"/>
    </row>
    <row r="42382" spans="16:16" x14ac:dyDescent="0.35">
      <c r="P42382" s="1"/>
    </row>
    <row r="42385" spans="16:16" x14ac:dyDescent="0.35">
      <c r="P42385" s="1"/>
    </row>
    <row r="42386" spans="16:16" x14ac:dyDescent="0.35">
      <c r="P42386" s="1"/>
    </row>
    <row r="42388" spans="16:16" x14ac:dyDescent="0.35">
      <c r="P42388" s="1"/>
    </row>
    <row r="42390" spans="16:16" x14ac:dyDescent="0.35">
      <c r="P42390" s="1"/>
    </row>
    <row r="42391" spans="16:16" x14ac:dyDescent="0.35">
      <c r="P42391" s="1"/>
    </row>
    <row r="42392" spans="16:16" x14ac:dyDescent="0.35">
      <c r="P42392" s="1"/>
    </row>
    <row r="42393" spans="16:16" x14ac:dyDescent="0.35">
      <c r="P42393" s="1"/>
    </row>
    <row r="42394" spans="16:16" x14ac:dyDescent="0.35">
      <c r="P42394" s="1"/>
    </row>
    <row r="42395" spans="16:16" x14ac:dyDescent="0.35">
      <c r="P42395" s="1"/>
    </row>
    <row r="42396" spans="16:16" x14ac:dyDescent="0.35">
      <c r="P42396" s="1"/>
    </row>
    <row r="42397" spans="16:16" x14ac:dyDescent="0.35">
      <c r="P42397" s="1"/>
    </row>
    <row r="42398" spans="16:16" x14ac:dyDescent="0.35">
      <c r="P42398" s="1"/>
    </row>
    <row r="42399" spans="16:16" x14ac:dyDescent="0.35">
      <c r="P42399" s="1"/>
    </row>
    <row r="42400" spans="16:16" x14ac:dyDescent="0.35">
      <c r="P42400" s="1"/>
    </row>
    <row r="42401" spans="16:16" x14ac:dyDescent="0.35">
      <c r="P42401" s="1"/>
    </row>
    <row r="42402" spans="16:16" x14ac:dyDescent="0.35">
      <c r="P42402" s="1"/>
    </row>
    <row r="42404" spans="16:16" x14ac:dyDescent="0.35">
      <c r="P42404" s="1"/>
    </row>
    <row r="42405" spans="16:16" x14ac:dyDescent="0.35">
      <c r="P42405" s="1"/>
    </row>
    <row r="42406" spans="16:16" x14ac:dyDescent="0.35">
      <c r="P42406" s="1"/>
    </row>
    <row r="42407" spans="16:16" x14ac:dyDescent="0.35">
      <c r="P42407" s="1"/>
    </row>
    <row r="42408" spans="16:16" x14ac:dyDescent="0.35">
      <c r="P42408" s="1"/>
    </row>
    <row r="42410" spans="16:16" x14ac:dyDescent="0.35">
      <c r="P42410" s="1"/>
    </row>
    <row r="42411" spans="16:16" x14ac:dyDescent="0.35">
      <c r="P42411" s="1"/>
    </row>
    <row r="42412" spans="16:16" x14ac:dyDescent="0.35">
      <c r="P42412" s="1"/>
    </row>
    <row r="42413" spans="16:16" x14ac:dyDescent="0.35">
      <c r="P42413" s="1"/>
    </row>
    <row r="42414" spans="16:16" x14ac:dyDescent="0.35">
      <c r="P42414" s="1"/>
    </row>
    <row r="42416" spans="16:16" x14ac:dyDescent="0.35">
      <c r="P42416" s="1"/>
    </row>
    <row r="42417" spans="16:17" x14ac:dyDescent="0.35">
      <c r="P42417" s="1"/>
    </row>
    <row r="42418" spans="16:17" x14ac:dyDescent="0.35">
      <c r="P42418" s="1"/>
    </row>
    <row r="42419" spans="16:17" x14ac:dyDescent="0.35">
      <c r="P42419" s="1"/>
    </row>
    <row r="42420" spans="16:17" x14ac:dyDescent="0.35">
      <c r="P42420" s="1"/>
      <c r="Q42420" s="1"/>
    </row>
    <row r="42422" spans="16:17" x14ac:dyDescent="0.35">
      <c r="P42422" s="1"/>
    </row>
    <row r="42423" spans="16:17" x14ac:dyDescent="0.35">
      <c r="P42423" s="1"/>
    </row>
    <row r="42424" spans="16:17" x14ac:dyDescent="0.35">
      <c r="P42424" s="1"/>
    </row>
    <row r="42425" spans="16:17" x14ac:dyDescent="0.35">
      <c r="P42425" s="1"/>
    </row>
    <row r="42426" spans="16:17" x14ac:dyDescent="0.35">
      <c r="P42426" s="1"/>
    </row>
    <row r="42427" spans="16:17" x14ac:dyDescent="0.35">
      <c r="P42427" s="1"/>
    </row>
    <row r="42428" spans="16:17" x14ac:dyDescent="0.35">
      <c r="P42428" s="1"/>
    </row>
    <row r="42429" spans="16:17" x14ac:dyDescent="0.35">
      <c r="P42429" s="1"/>
    </row>
    <row r="42430" spans="16:17" x14ac:dyDescent="0.35">
      <c r="P42430" s="1"/>
    </row>
    <row r="42431" spans="16:17" x14ac:dyDescent="0.35">
      <c r="P42431" s="1"/>
    </row>
    <row r="42433" spans="16:16" x14ac:dyDescent="0.35">
      <c r="P42433" s="1"/>
    </row>
    <row r="42434" spans="16:16" x14ac:dyDescent="0.35">
      <c r="P42434" s="1"/>
    </row>
    <row r="42436" spans="16:16" x14ac:dyDescent="0.35">
      <c r="P42436" s="1"/>
    </row>
    <row r="42437" spans="16:16" x14ac:dyDescent="0.35">
      <c r="P42437" s="1"/>
    </row>
    <row r="42438" spans="16:16" x14ac:dyDescent="0.35">
      <c r="P42438" s="1"/>
    </row>
    <row r="42439" spans="16:16" x14ac:dyDescent="0.35">
      <c r="P42439" s="1"/>
    </row>
    <row r="42440" spans="16:16" x14ac:dyDescent="0.35">
      <c r="P42440" s="1"/>
    </row>
    <row r="42441" spans="16:16" x14ac:dyDescent="0.35">
      <c r="P42441" s="1"/>
    </row>
    <row r="42442" spans="16:16" x14ac:dyDescent="0.35">
      <c r="P42442" s="1"/>
    </row>
    <row r="42443" spans="16:16" x14ac:dyDescent="0.35">
      <c r="P42443" s="1"/>
    </row>
    <row r="42444" spans="16:16" x14ac:dyDescent="0.35">
      <c r="P42444" s="1"/>
    </row>
    <row r="42445" spans="16:16" x14ac:dyDescent="0.35">
      <c r="P42445" s="1"/>
    </row>
    <row r="42446" spans="16:16" x14ac:dyDescent="0.35">
      <c r="P42446" s="1"/>
    </row>
    <row r="42447" spans="16:16" x14ac:dyDescent="0.35">
      <c r="P42447" s="1"/>
    </row>
    <row r="42448" spans="16:16" x14ac:dyDescent="0.35">
      <c r="P42448" s="1"/>
    </row>
    <row r="42449" spans="16:16" x14ac:dyDescent="0.35">
      <c r="P42449" s="1"/>
    </row>
    <row r="42451" spans="16:16" x14ac:dyDescent="0.35">
      <c r="P42451" s="1"/>
    </row>
    <row r="42452" spans="16:16" x14ac:dyDescent="0.35">
      <c r="P42452" s="1"/>
    </row>
    <row r="42453" spans="16:16" x14ac:dyDescent="0.35">
      <c r="P42453" s="1"/>
    </row>
    <row r="42454" spans="16:16" x14ac:dyDescent="0.35">
      <c r="P42454" s="1"/>
    </row>
    <row r="42456" spans="16:16" x14ac:dyDescent="0.35">
      <c r="P42456" s="1"/>
    </row>
    <row r="42458" spans="16:16" x14ac:dyDescent="0.35">
      <c r="P42458" s="1"/>
    </row>
    <row r="42459" spans="16:16" x14ac:dyDescent="0.35">
      <c r="P42459" s="1"/>
    </row>
    <row r="42460" spans="16:16" x14ac:dyDescent="0.35">
      <c r="P42460" s="1"/>
    </row>
    <row r="42461" spans="16:16" x14ac:dyDescent="0.35">
      <c r="P42461" s="1"/>
    </row>
    <row r="42462" spans="16:16" x14ac:dyDescent="0.35">
      <c r="P42462" s="1"/>
    </row>
    <row r="42466" spans="16:16" x14ac:dyDescent="0.35">
      <c r="P42466" s="1"/>
    </row>
    <row r="42467" spans="16:16" x14ac:dyDescent="0.35">
      <c r="P42467" s="1"/>
    </row>
    <row r="42468" spans="16:16" x14ac:dyDescent="0.35">
      <c r="P42468" s="1"/>
    </row>
    <row r="42469" spans="16:16" x14ac:dyDescent="0.35">
      <c r="P42469" s="1"/>
    </row>
    <row r="42470" spans="16:16" x14ac:dyDescent="0.35">
      <c r="P42470" s="1"/>
    </row>
    <row r="42472" spans="16:16" x14ac:dyDescent="0.35">
      <c r="P42472" s="1"/>
    </row>
    <row r="42475" spans="16:16" x14ac:dyDescent="0.35">
      <c r="P42475" s="1"/>
    </row>
    <row r="42478" spans="16:16" x14ac:dyDescent="0.35">
      <c r="P42478" s="1"/>
    </row>
    <row r="42479" spans="16:16" x14ac:dyDescent="0.35">
      <c r="P42479" s="1"/>
    </row>
    <row r="42480" spans="16:16" x14ac:dyDescent="0.35">
      <c r="P42480" s="1"/>
    </row>
    <row r="42484" spans="16:16" x14ac:dyDescent="0.35">
      <c r="P42484" s="1"/>
    </row>
    <row r="42485" spans="16:16" x14ac:dyDescent="0.35">
      <c r="P42485" s="1"/>
    </row>
    <row r="42486" spans="16:16" x14ac:dyDescent="0.35">
      <c r="P42486" s="1"/>
    </row>
    <row r="42488" spans="16:16" x14ac:dyDescent="0.35">
      <c r="P42488" s="1"/>
    </row>
    <row r="42492" spans="16:16" x14ac:dyDescent="0.35">
      <c r="P42492" s="1"/>
    </row>
    <row r="42493" spans="16:16" x14ac:dyDescent="0.35">
      <c r="P42493" s="1"/>
    </row>
    <row r="42494" spans="16:16" x14ac:dyDescent="0.35">
      <c r="P42494" s="1"/>
    </row>
    <row r="42495" spans="16:16" x14ac:dyDescent="0.35">
      <c r="P42495" s="1"/>
    </row>
    <row r="42496" spans="16:16" x14ac:dyDescent="0.35">
      <c r="P42496" s="1"/>
    </row>
    <row r="42497" spans="16:16" x14ac:dyDescent="0.35">
      <c r="P42497" s="1"/>
    </row>
    <row r="42498" spans="16:16" x14ac:dyDescent="0.35">
      <c r="P42498" s="1"/>
    </row>
    <row r="42499" spans="16:16" x14ac:dyDescent="0.35">
      <c r="P42499" s="1"/>
    </row>
    <row r="42502" spans="16:16" x14ac:dyDescent="0.35">
      <c r="P42502" s="1"/>
    </row>
    <row r="42503" spans="16:16" x14ac:dyDescent="0.35">
      <c r="P42503" s="1"/>
    </row>
    <row r="42505" spans="16:16" x14ac:dyDescent="0.35">
      <c r="P42505" s="1"/>
    </row>
    <row r="42507" spans="16:16" x14ac:dyDescent="0.35">
      <c r="P42507" s="1"/>
    </row>
    <row r="42508" spans="16:16" x14ac:dyDescent="0.35">
      <c r="P42508" s="1"/>
    </row>
    <row r="42509" spans="16:16" x14ac:dyDescent="0.35">
      <c r="P42509" s="1"/>
    </row>
    <row r="42510" spans="16:16" x14ac:dyDescent="0.35">
      <c r="P42510" s="1"/>
    </row>
    <row r="42511" spans="16:16" x14ac:dyDescent="0.35">
      <c r="P42511" s="1"/>
    </row>
    <row r="42512" spans="16:16" x14ac:dyDescent="0.35">
      <c r="P42512" s="1"/>
    </row>
    <row r="42513" spans="16:17" x14ac:dyDescent="0.35">
      <c r="P42513" s="1"/>
    </row>
    <row r="42514" spans="16:17" x14ac:dyDescent="0.35">
      <c r="P42514" s="1"/>
    </row>
    <row r="42515" spans="16:17" x14ac:dyDescent="0.35">
      <c r="P42515" s="1"/>
    </row>
    <row r="42517" spans="16:17" x14ac:dyDescent="0.35">
      <c r="P42517" s="1"/>
    </row>
    <row r="42518" spans="16:17" x14ac:dyDescent="0.35">
      <c r="P42518" s="1"/>
      <c r="Q42518" s="1"/>
    </row>
    <row r="42519" spans="16:17" x14ac:dyDescent="0.35">
      <c r="P42519" s="1"/>
    </row>
    <row r="42520" spans="16:17" x14ac:dyDescent="0.35">
      <c r="P42520" s="1"/>
    </row>
    <row r="42521" spans="16:17" x14ac:dyDescent="0.35">
      <c r="P42521" s="1"/>
    </row>
    <row r="42522" spans="16:17" x14ac:dyDescent="0.35">
      <c r="Q42522" s="1"/>
    </row>
    <row r="42524" spans="16:17" x14ac:dyDescent="0.35">
      <c r="P42524" s="1"/>
    </row>
    <row r="42525" spans="16:17" x14ac:dyDescent="0.35">
      <c r="P42525" s="1"/>
    </row>
    <row r="42527" spans="16:17" x14ac:dyDescent="0.35">
      <c r="P42527" s="1"/>
    </row>
    <row r="42528" spans="16:17" x14ac:dyDescent="0.35">
      <c r="P42528" s="1"/>
    </row>
    <row r="42530" spans="16:17" x14ac:dyDescent="0.35">
      <c r="P42530" s="1"/>
    </row>
    <row r="42531" spans="16:17" x14ac:dyDescent="0.35">
      <c r="P42531" s="1"/>
    </row>
    <row r="42533" spans="16:17" x14ac:dyDescent="0.35">
      <c r="P42533" s="1"/>
    </row>
    <row r="42534" spans="16:17" x14ac:dyDescent="0.35">
      <c r="P42534" s="1"/>
    </row>
    <row r="42535" spans="16:17" x14ac:dyDescent="0.35">
      <c r="P42535" s="1"/>
    </row>
    <row r="42536" spans="16:17" x14ac:dyDescent="0.35">
      <c r="P42536" s="1"/>
    </row>
    <row r="42537" spans="16:17" x14ac:dyDescent="0.35">
      <c r="P42537" s="1"/>
    </row>
    <row r="42538" spans="16:17" x14ac:dyDescent="0.35">
      <c r="P42538" s="1"/>
    </row>
    <row r="42539" spans="16:17" x14ac:dyDescent="0.35">
      <c r="P42539" s="1"/>
      <c r="Q42539" s="1"/>
    </row>
    <row r="42541" spans="16:17" x14ac:dyDescent="0.35">
      <c r="P42541" s="1"/>
    </row>
    <row r="42542" spans="16:17" x14ac:dyDescent="0.35">
      <c r="P42542" s="1"/>
    </row>
    <row r="42543" spans="16:17" x14ac:dyDescent="0.35">
      <c r="P42543" s="1"/>
    </row>
    <row r="42544" spans="16:17" x14ac:dyDescent="0.35">
      <c r="P42544" s="1"/>
    </row>
    <row r="42545" spans="16:17" x14ac:dyDescent="0.35">
      <c r="P42545" s="1"/>
    </row>
    <row r="42547" spans="16:17" x14ac:dyDescent="0.35">
      <c r="P42547" s="1"/>
    </row>
    <row r="42548" spans="16:17" x14ac:dyDescent="0.35">
      <c r="P42548" s="1"/>
    </row>
    <row r="42549" spans="16:17" x14ac:dyDescent="0.35">
      <c r="P42549" s="1"/>
      <c r="Q42549" s="1"/>
    </row>
    <row r="42550" spans="16:17" x14ac:dyDescent="0.35">
      <c r="P42550" s="1"/>
    </row>
    <row r="42551" spans="16:17" x14ac:dyDescent="0.35">
      <c r="P42551" s="1"/>
    </row>
    <row r="42553" spans="16:17" x14ac:dyDescent="0.35">
      <c r="P42553" s="1"/>
    </row>
    <row r="42556" spans="16:17" x14ac:dyDescent="0.35">
      <c r="P42556" s="1"/>
    </row>
    <row r="42557" spans="16:17" x14ac:dyDescent="0.35">
      <c r="P42557" s="1"/>
    </row>
    <row r="42559" spans="16:17" x14ac:dyDescent="0.35">
      <c r="P42559" s="1"/>
    </row>
    <row r="42560" spans="16:17" x14ac:dyDescent="0.35">
      <c r="P42560" s="1"/>
    </row>
    <row r="42561" spans="16:17" x14ac:dyDescent="0.35">
      <c r="P42561" s="1"/>
    </row>
    <row r="42562" spans="16:17" x14ac:dyDescent="0.35">
      <c r="P42562" s="1"/>
    </row>
    <row r="42563" spans="16:17" x14ac:dyDescent="0.35">
      <c r="P42563" s="1"/>
    </row>
    <row r="42564" spans="16:17" x14ac:dyDescent="0.35">
      <c r="P42564" s="1"/>
    </row>
    <row r="42566" spans="16:17" x14ac:dyDescent="0.35">
      <c r="Q42566" s="1"/>
    </row>
    <row r="42568" spans="16:17" x14ac:dyDescent="0.35">
      <c r="Q42568" s="1"/>
    </row>
    <row r="42569" spans="16:17" x14ac:dyDescent="0.35">
      <c r="P42569" s="1"/>
      <c r="Q42569" s="1"/>
    </row>
    <row r="42571" spans="16:17" x14ac:dyDescent="0.35">
      <c r="P42571" s="1"/>
    </row>
    <row r="42574" spans="16:17" x14ac:dyDescent="0.35">
      <c r="P42574" s="1"/>
    </row>
    <row r="42577" spans="16:16" x14ac:dyDescent="0.35">
      <c r="P42577" s="1"/>
    </row>
    <row r="42578" spans="16:16" x14ac:dyDescent="0.35">
      <c r="P42578" s="1"/>
    </row>
    <row r="42579" spans="16:16" x14ac:dyDescent="0.35">
      <c r="P42579" s="1"/>
    </row>
    <row r="42580" spans="16:16" x14ac:dyDescent="0.35">
      <c r="P42580" s="1"/>
    </row>
    <row r="42581" spans="16:16" x14ac:dyDescent="0.35">
      <c r="P42581" s="1"/>
    </row>
    <row r="42582" spans="16:16" x14ac:dyDescent="0.35">
      <c r="P42582" s="1"/>
    </row>
    <row r="42584" spans="16:16" x14ac:dyDescent="0.35">
      <c r="P42584" s="1"/>
    </row>
    <row r="42585" spans="16:16" x14ac:dyDescent="0.35">
      <c r="P42585" s="1"/>
    </row>
    <row r="42586" spans="16:16" x14ac:dyDescent="0.35">
      <c r="P42586" s="1"/>
    </row>
    <row r="42587" spans="16:16" x14ac:dyDescent="0.35">
      <c r="P42587" s="1"/>
    </row>
    <row r="42588" spans="16:16" x14ac:dyDescent="0.35">
      <c r="P42588" s="1"/>
    </row>
    <row r="42589" spans="16:16" x14ac:dyDescent="0.35">
      <c r="P42589" s="1"/>
    </row>
    <row r="42590" spans="16:16" x14ac:dyDescent="0.35">
      <c r="P42590" s="1"/>
    </row>
    <row r="42591" spans="16:16" x14ac:dyDescent="0.35">
      <c r="P42591" s="1"/>
    </row>
    <row r="42592" spans="16:16" x14ac:dyDescent="0.35">
      <c r="P42592" s="1"/>
    </row>
    <row r="42593" spans="16:16" x14ac:dyDescent="0.35">
      <c r="P42593" s="1"/>
    </row>
    <row r="42594" spans="16:16" x14ac:dyDescent="0.35">
      <c r="P42594" s="1"/>
    </row>
    <row r="42596" spans="16:16" x14ac:dyDescent="0.35">
      <c r="P42596" s="1"/>
    </row>
    <row r="42597" spans="16:16" x14ac:dyDescent="0.35">
      <c r="P42597" s="1"/>
    </row>
    <row r="42600" spans="16:16" x14ac:dyDescent="0.35">
      <c r="P42600" s="1"/>
    </row>
    <row r="42601" spans="16:16" x14ac:dyDescent="0.35">
      <c r="P42601" s="1"/>
    </row>
    <row r="42602" spans="16:16" x14ac:dyDescent="0.35">
      <c r="P42602" s="1"/>
    </row>
    <row r="42603" spans="16:16" x14ac:dyDescent="0.35">
      <c r="P42603" s="1"/>
    </row>
    <row r="42604" spans="16:16" x14ac:dyDescent="0.35">
      <c r="P42604" s="1"/>
    </row>
    <row r="42605" spans="16:16" x14ac:dyDescent="0.35">
      <c r="P42605" s="1"/>
    </row>
    <row r="42606" spans="16:16" x14ac:dyDescent="0.35">
      <c r="P42606" s="1"/>
    </row>
    <row r="42608" spans="16:16" x14ac:dyDescent="0.35">
      <c r="P42608" s="1"/>
    </row>
    <row r="42610" spans="16:16" x14ac:dyDescent="0.35">
      <c r="P42610" s="1"/>
    </row>
    <row r="42611" spans="16:16" x14ac:dyDescent="0.35">
      <c r="P42611" s="1"/>
    </row>
    <row r="42613" spans="16:16" x14ac:dyDescent="0.35">
      <c r="P42613" s="1"/>
    </row>
    <row r="42614" spans="16:16" x14ac:dyDescent="0.35">
      <c r="P42614" s="1"/>
    </row>
    <row r="42615" spans="16:16" x14ac:dyDescent="0.35">
      <c r="P42615" s="1"/>
    </row>
    <row r="42616" spans="16:16" x14ac:dyDescent="0.35">
      <c r="P42616" s="1"/>
    </row>
    <row r="42618" spans="16:16" x14ac:dyDescent="0.35">
      <c r="P42618" s="1"/>
    </row>
    <row r="42619" spans="16:16" x14ac:dyDescent="0.35">
      <c r="P42619" s="1"/>
    </row>
    <row r="42620" spans="16:16" x14ac:dyDescent="0.35">
      <c r="P42620" s="1"/>
    </row>
    <row r="42623" spans="16:16" x14ac:dyDescent="0.35">
      <c r="P42623" s="1"/>
    </row>
    <row r="42624" spans="16:16" x14ac:dyDescent="0.35">
      <c r="P42624" s="1"/>
    </row>
    <row r="42625" spans="16:17" x14ac:dyDescent="0.35">
      <c r="P42625" s="1"/>
    </row>
    <row r="42626" spans="16:17" x14ac:dyDescent="0.35">
      <c r="P42626" s="1"/>
    </row>
    <row r="42627" spans="16:17" x14ac:dyDescent="0.35">
      <c r="P42627" s="1"/>
    </row>
    <row r="42628" spans="16:17" x14ac:dyDescent="0.35">
      <c r="P42628" s="1"/>
    </row>
    <row r="42631" spans="16:17" x14ac:dyDescent="0.35">
      <c r="P42631" s="1"/>
    </row>
    <row r="42632" spans="16:17" x14ac:dyDescent="0.35">
      <c r="P42632" s="1"/>
    </row>
    <row r="42633" spans="16:17" x14ac:dyDescent="0.35">
      <c r="P42633" s="1"/>
    </row>
    <row r="42634" spans="16:17" x14ac:dyDescent="0.35">
      <c r="P42634" s="1"/>
    </row>
    <row r="42635" spans="16:17" x14ac:dyDescent="0.35">
      <c r="P42635" s="1"/>
    </row>
    <row r="42636" spans="16:17" x14ac:dyDescent="0.35">
      <c r="Q42636" s="1"/>
    </row>
    <row r="42637" spans="16:17" x14ac:dyDescent="0.35">
      <c r="P42637" s="1"/>
    </row>
    <row r="42638" spans="16:17" x14ac:dyDescent="0.35">
      <c r="P42638" s="1"/>
      <c r="Q42638" s="1"/>
    </row>
    <row r="42639" spans="16:17" x14ac:dyDescent="0.35">
      <c r="P42639" s="1"/>
    </row>
    <row r="42640" spans="16:17" x14ac:dyDescent="0.35">
      <c r="P42640" s="1"/>
    </row>
    <row r="42642" spans="16:17" x14ac:dyDescent="0.35">
      <c r="P42642" s="1"/>
      <c r="Q42642" s="1"/>
    </row>
    <row r="42644" spans="16:17" x14ac:dyDescent="0.35">
      <c r="P42644" s="1"/>
    </row>
    <row r="42646" spans="16:17" x14ac:dyDescent="0.35">
      <c r="P42646" s="1"/>
    </row>
    <row r="42647" spans="16:17" x14ac:dyDescent="0.35">
      <c r="P42647" s="1"/>
    </row>
    <row r="42648" spans="16:17" x14ac:dyDescent="0.35">
      <c r="P42648" s="1"/>
    </row>
    <row r="42652" spans="16:17" x14ac:dyDescent="0.35">
      <c r="P42652" s="1"/>
    </row>
    <row r="42653" spans="16:17" x14ac:dyDescent="0.35">
      <c r="P42653" s="1"/>
    </row>
    <row r="42654" spans="16:17" x14ac:dyDescent="0.35">
      <c r="P42654" s="1"/>
    </row>
    <row r="42656" spans="16:17" x14ac:dyDescent="0.35">
      <c r="P42656" s="1"/>
    </row>
    <row r="42658" spans="16:16" x14ac:dyDescent="0.35">
      <c r="P42658" s="1"/>
    </row>
    <row r="42659" spans="16:16" x14ac:dyDescent="0.35">
      <c r="P42659" s="1"/>
    </row>
    <row r="42660" spans="16:16" x14ac:dyDescent="0.35">
      <c r="P42660" s="1"/>
    </row>
    <row r="42662" spans="16:16" x14ac:dyDescent="0.35">
      <c r="P42662" s="1"/>
    </row>
    <row r="42663" spans="16:16" x14ac:dyDescent="0.35">
      <c r="P42663" s="1"/>
    </row>
    <row r="42665" spans="16:16" x14ac:dyDescent="0.35">
      <c r="P42665" s="1"/>
    </row>
    <row r="42666" spans="16:16" x14ac:dyDescent="0.35">
      <c r="P42666" s="1"/>
    </row>
    <row r="42669" spans="16:16" x14ac:dyDescent="0.35">
      <c r="P42669" s="1"/>
    </row>
    <row r="42671" spans="16:16" x14ac:dyDescent="0.35">
      <c r="P42671" s="1"/>
    </row>
    <row r="42672" spans="16:16" x14ac:dyDescent="0.35">
      <c r="P42672" s="1"/>
    </row>
    <row r="42673" spans="16:16" x14ac:dyDescent="0.35">
      <c r="P42673" s="1"/>
    </row>
    <row r="42675" spans="16:16" x14ac:dyDescent="0.35">
      <c r="P42675" s="1"/>
    </row>
    <row r="42676" spans="16:16" x14ac:dyDescent="0.35">
      <c r="P42676" s="1"/>
    </row>
    <row r="42677" spans="16:16" x14ac:dyDescent="0.35">
      <c r="P42677" s="1"/>
    </row>
    <row r="42678" spans="16:16" x14ac:dyDescent="0.35">
      <c r="P42678" s="1"/>
    </row>
    <row r="42679" spans="16:16" x14ac:dyDescent="0.35">
      <c r="P42679" s="1"/>
    </row>
    <row r="42681" spans="16:16" x14ac:dyDescent="0.35">
      <c r="P42681" s="1"/>
    </row>
    <row r="42682" spans="16:16" x14ac:dyDescent="0.35">
      <c r="P42682" s="1"/>
    </row>
    <row r="42683" spans="16:16" x14ac:dyDescent="0.35">
      <c r="P42683" s="1"/>
    </row>
    <row r="42684" spans="16:16" x14ac:dyDescent="0.35">
      <c r="P42684" s="1"/>
    </row>
    <row r="42685" spans="16:16" x14ac:dyDescent="0.35">
      <c r="P42685" s="1"/>
    </row>
    <row r="42687" spans="16:16" x14ac:dyDescent="0.35">
      <c r="P42687" s="1"/>
    </row>
    <row r="42689" spans="16:17" x14ac:dyDescent="0.35">
      <c r="P42689" s="1"/>
    </row>
    <row r="42690" spans="16:17" x14ac:dyDescent="0.35">
      <c r="Q42690" s="1"/>
    </row>
    <row r="42692" spans="16:17" x14ac:dyDescent="0.35">
      <c r="P42692" s="1"/>
    </row>
    <row r="42694" spans="16:17" x14ac:dyDescent="0.35">
      <c r="Q42694" s="1"/>
    </row>
    <row r="42695" spans="16:17" x14ac:dyDescent="0.35">
      <c r="P42695" s="1"/>
    </row>
    <row r="42696" spans="16:17" x14ac:dyDescent="0.35">
      <c r="P42696" s="1"/>
    </row>
    <row r="42698" spans="16:17" x14ac:dyDescent="0.35">
      <c r="P42698" s="1"/>
    </row>
    <row r="42699" spans="16:17" x14ac:dyDescent="0.35">
      <c r="Q42699" s="1"/>
    </row>
    <row r="42700" spans="16:17" x14ac:dyDescent="0.35">
      <c r="P42700" s="1"/>
    </row>
    <row r="42701" spans="16:17" x14ac:dyDescent="0.35">
      <c r="P42701" s="1"/>
    </row>
    <row r="42706" spans="16:16" x14ac:dyDescent="0.35">
      <c r="P42706" s="1"/>
    </row>
    <row r="42708" spans="16:16" x14ac:dyDescent="0.35">
      <c r="P42708" s="1"/>
    </row>
    <row r="42710" spans="16:16" x14ac:dyDescent="0.35">
      <c r="P42710" s="1"/>
    </row>
    <row r="42711" spans="16:16" x14ac:dyDescent="0.35">
      <c r="P42711" s="1"/>
    </row>
    <row r="42712" spans="16:16" x14ac:dyDescent="0.35">
      <c r="P42712" s="1"/>
    </row>
    <row r="42713" spans="16:16" x14ac:dyDescent="0.35">
      <c r="P42713" s="1"/>
    </row>
    <row r="42714" spans="16:16" x14ac:dyDescent="0.35">
      <c r="P42714" s="1"/>
    </row>
    <row r="42716" spans="16:16" x14ac:dyDescent="0.35">
      <c r="P42716" s="1"/>
    </row>
    <row r="42717" spans="16:16" x14ac:dyDescent="0.35">
      <c r="P42717" s="1"/>
    </row>
    <row r="42718" spans="16:16" x14ac:dyDescent="0.35">
      <c r="P42718" s="1"/>
    </row>
    <row r="42719" spans="16:16" x14ac:dyDescent="0.35">
      <c r="P42719" s="1"/>
    </row>
    <row r="42721" spans="16:16" x14ac:dyDescent="0.35">
      <c r="P42721" s="1"/>
    </row>
    <row r="42722" spans="16:16" x14ac:dyDescent="0.35">
      <c r="P42722" s="1"/>
    </row>
    <row r="42723" spans="16:16" x14ac:dyDescent="0.35">
      <c r="P42723" s="1"/>
    </row>
    <row r="42724" spans="16:16" x14ac:dyDescent="0.35">
      <c r="P42724" s="1"/>
    </row>
    <row r="42726" spans="16:16" x14ac:dyDescent="0.35">
      <c r="P42726" s="1"/>
    </row>
    <row r="42727" spans="16:16" x14ac:dyDescent="0.35">
      <c r="P42727" s="1"/>
    </row>
    <row r="42728" spans="16:16" x14ac:dyDescent="0.35">
      <c r="P42728" s="1"/>
    </row>
    <row r="42729" spans="16:16" x14ac:dyDescent="0.35">
      <c r="P42729" s="1"/>
    </row>
    <row r="42730" spans="16:16" x14ac:dyDescent="0.35">
      <c r="P42730" s="1"/>
    </row>
    <row r="42732" spans="16:16" x14ac:dyDescent="0.35">
      <c r="P42732" s="1"/>
    </row>
    <row r="42736" spans="16:16" x14ac:dyDescent="0.35">
      <c r="P42736" s="1"/>
    </row>
    <row r="42737" spans="16:16" x14ac:dyDescent="0.35">
      <c r="P42737" s="1"/>
    </row>
    <row r="42738" spans="16:16" x14ac:dyDescent="0.35">
      <c r="P42738" s="1"/>
    </row>
    <row r="42742" spans="16:16" x14ac:dyDescent="0.35">
      <c r="P42742" s="1"/>
    </row>
    <row r="42744" spans="16:16" x14ac:dyDescent="0.35">
      <c r="P42744" s="1"/>
    </row>
    <row r="42745" spans="16:16" x14ac:dyDescent="0.35">
      <c r="P42745" s="1"/>
    </row>
    <row r="42746" spans="16:16" x14ac:dyDescent="0.35">
      <c r="P42746" s="1"/>
    </row>
    <row r="42749" spans="16:16" x14ac:dyDescent="0.35">
      <c r="P42749" s="1"/>
    </row>
    <row r="42750" spans="16:16" x14ac:dyDescent="0.35">
      <c r="P42750" s="1"/>
    </row>
    <row r="42751" spans="16:16" x14ac:dyDescent="0.35">
      <c r="P42751" s="1"/>
    </row>
    <row r="42752" spans="16:16" x14ac:dyDescent="0.35">
      <c r="P42752" s="1"/>
    </row>
    <row r="42754" spans="16:17" x14ac:dyDescent="0.35">
      <c r="P42754" s="1"/>
    </row>
    <row r="42755" spans="16:17" x14ac:dyDescent="0.35">
      <c r="P42755" s="1"/>
    </row>
    <row r="42756" spans="16:17" x14ac:dyDescent="0.35">
      <c r="P42756" s="1"/>
    </row>
    <row r="42757" spans="16:17" x14ac:dyDescent="0.35">
      <c r="P42757" s="1"/>
    </row>
    <row r="42758" spans="16:17" x14ac:dyDescent="0.35">
      <c r="P42758" s="1"/>
    </row>
    <row r="42761" spans="16:17" x14ac:dyDescent="0.35">
      <c r="P42761" s="1"/>
    </row>
    <row r="42764" spans="16:17" x14ac:dyDescent="0.35">
      <c r="P42764" s="1"/>
    </row>
    <row r="42766" spans="16:17" x14ac:dyDescent="0.35">
      <c r="P42766" s="1"/>
      <c r="Q42766" s="1"/>
    </row>
    <row r="42767" spans="16:17" x14ac:dyDescent="0.35">
      <c r="P42767" s="1"/>
    </row>
    <row r="42768" spans="16:17" x14ac:dyDescent="0.35">
      <c r="P42768" s="1"/>
    </row>
    <row r="42769" spans="16:16" x14ac:dyDescent="0.35">
      <c r="P42769" s="1"/>
    </row>
    <row r="42771" spans="16:16" x14ac:dyDescent="0.35">
      <c r="P42771" s="1"/>
    </row>
    <row r="42772" spans="16:16" x14ac:dyDescent="0.35">
      <c r="P42772" s="1"/>
    </row>
    <row r="42773" spans="16:16" x14ac:dyDescent="0.35">
      <c r="P42773" s="1"/>
    </row>
    <row r="42774" spans="16:16" x14ac:dyDescent="0.35">
      <c r="P42774" s="1"/>
    </row>
    <row r="42775" spans="16:16" x14ac:dyDescent="0.35">
      <c r="P42775" s="1"/>
    </row>
    <row r="42776" spans="16:16" x14ac:dyDescent="0.35">
      <c r="P42776" s="1"/>
    </row>
    <row r="42777" spans="16:16" x14ac:dyDescent="0.35">
      <c r="P42777" s="1"/>
    </row>
    <row r="42778" spans="16:16" x14ac:dyDescent="0.35">
      <c r="P42778" s="1"/>
    </row>
    <row r="42779" spans="16:16" x14ac:dyDescent="0.35">
      <c r="P42779" s="1"/>
    </row>
    <row r="42780" spans="16:16" x14ac:dyDescent="0.35">
      <c r="P42780" s="1"/>
    </row>
    <row r="42781" spans="16:16" x14ac:dyDescent="0.35">
      <c r="P42781" s="1"/>
    </row>
    <row r="42782" spans="16:16" x14ac:dyDescent="0.35">
      <c r="P42782" s="1"/>
    </row>
    <row r="42784" spans="16:16" x14ac:dyDescent="0.35">
      <c r="P42784" s="1"/>
    </row>
    <row r="42785" spans="16:16" x14ac:dyDescent="0.35">
      <c r="P42785" s="1"/>
    </row>
    <row r="42786" spans="16:16" x14ac:dyDescent="0.35">
      <c r="P42786" s="1"/>
    </row>
    <row r="42787" spans="16:16" x14ac:dyDescent="0.35">
      <c r="P42787" s="1"/>
    </row>
    <row r="42788" spans="16:16" x14ac:dyDescent="0.35">
      <c r="P42788" s="1"/>
    </row>
    <row r="42789" spans="16:16" x14ac:dyDescent="0.35">
      <c r="P42789" s="1"/>
    </row>
    <row r="42790" spans="16:16" x14ac:dyDescent="0.35">
      <c r="P42790" s="1"/>
    </row>
    <row r="42791" spans="16:16" x14ac:dyDescent="0.35">
      <c r="P42791" s="1"/>
    </row>
    <row r="42793" spans="16:16" x14ac:dyDescent="0.35">
      <c r="P42793" s="1"/>
    </row>
    <row r="42794" spans="16:16" x14ac:dyDescent="0.35">
      <c r="P42794" s="1"/>
    </row>
    <row r="42796" spans="16:16" x14ac:dyDescent="0.35">
      <c r="P42796" s="1"/>
    </row>
    <row r="42797" spans="16:16" x14ac:dyDescent="0.35">
      <c r="P42797" s="1"/>
    </row>
    <row r="42798" spans="16:16" x14ac:dyDescent="0.35">
      <c r="P42798" s="1"/>
    </row>
    <row r="42799" spans="16:16" x14ac:dyDescent="0.35">
      <c r="P42799" s="1"/>
    </row>
    <row r="42801" spans="16:16" x14ac:dyDescent="0.35">
      <c r="P42801" s="1"/>
    </row>
    <row r="42802" spans="16:16" x14ac:dyDescent="0.35">
      <c r="P42802" s="1"/>
    </row>
    <row r="42803" spans="16:16" x14ac:dyDescent="0.35">
      <c r="P42803" s="1"/>
    </row>
    <row r="42804" spans="16:16" x14ac:dyDescent="0.35">
      <c r="P42804" s="1"/>
    </row>
    <row r="42805" spans="16:16" x14ac:dyDescent="0.35">
      <c r="P42805" s="1"/>
    </row>
    <row r="42807" spans="16:16" x14ac:dyDescent="0.35">
      <c r="P42807" s="1"/>
    </row>
    <row r="42808" spans="16:16" x14ac:dyDescent="0.35">
      <c r="P42808" s="1"/>
    </row>
    <row r="42810" spans="16:16" x14ac:dyDescent="0.35">
      <c r="P42810" s="1"/>
    </row>
    <row r="42811" spans="16:16" x14ac:dyDescent="0.35">
      <c r="P42811" s="1"/>
    </row>
    <row r="42813" spans="16:16" x14ac:dyDescent="0.35">
      <c r="P42813" s="1"/>
    </row>
    <row r="42816" spans="16:16" x14ac:dyDescent="0.35">
      <c r="P42816" s="1"/>
    </row>
    <row r="42820" spans="16:17" x14ac:dyDescent="0.35">
      <c r="P42820" s="1"/>
    </row>
    <row r="42825" spans="16:17" x14ac:dyDescent="0.35">
      <c r="P42825" s="1"/>
    </row>
    <row r="42826" spans="16:17" x14ac:dyDescent="0.35">
      <c r="Q42826" s="1"/>
    </row>
    <row r="42827" spans="16:17" x14ac:dyDescent="0.35">
      <c r="P42827" s="1"/>
    </row>
    <row r="42828" spans="16:17" x14ac:dyDescent="0.35">
      <c r="P42828" s="1"/>
    </row>
    <row r="42831" spans="16:17" x14ac:dyDescent="0.35">
      <c r="P42831" s="1"/>
    </row>
    <row r="42832" spans="16:17" x14ac:dyDescent="0.35">
      <c r="P42832" s="1"/>
    </row>
    <row r="42833" spans="16:17" x14ac:dyDescent="0.35">
      <c r="P42833" s="1"/>
      <c r="Q42833" s="1"/>
    </row>
    <row r="42834" spans="16:17" x14ac:dyDescent="0.35">
      <c r="P42834" s="1"/>
    </row>
    <row r="42835" spans="16:17" x14ac:dyDescent="0.35">
      <c r="P42835" s="1"/>
    </row>
    <row r="42836" spans="16:17" x14ac:dyDescent="0.35">
      <c r="P42836" s="1"/>
    </row>
    <row r="42838" spans="16:17" x14ac:dyDescent="0.35">
      <c r="P42838" s="1"/>
    </row>
    <row r="42839" spans="16:17" x14ac:dyDescent="0.35">
      <c r="P42839" s="1"/>
    </row>
    <row r="42840" spans="16:17" x14ac:dyDescent="0.35">
      <c r="P42840" s="1"/>
    </row>
    <row r="42841" spans="16:17" x14ac:dyDescent="0.35">
      <c r="P42841" s="1"/>
    </row>
    <row r="42842" spans="16:17" x14ac:dyDescent="0.35">
      <c r="P42842" s="1"/>
    </row>
    <row r="42843" spans="16:17" x14ac:dyDescent="0.35">
      <c r="P42843" s="1"/>
    </row>
    <row r="42844" spans="16:17" x14ac:dyDescent="0.35">
      <c r="P42844" s="1"/>
    </row>
    <row r="42845" spans="16:17" x14ac:dyDescent="0.35">
      <c r="P42845" s="1"/>
    </row>
    <row r="42846" spans="16:17" x14ac:dyDescent="0.35">
      <c r="P42846" s="1"/>
    </row>
    <row r="42847" spans="16:17" x14ac:dyDescent="0.35">
      <c r="P42847" s="1"/>
    </row>
    <row r="42849" spans="16:16" x14ac:dyDescent="0.35">
      <c r="P42849" s="1"/>
    </row>
    <row r="42850" spans="16:16" x14ac:dyDescent="0.35">
      <c r="P42850" s="1"/>
    </row>
    <row r="42852" spans="16:16" x14ac:dyDescent="0.35">
      <c r="P42852" s="1"/>
    </row>
    <row r="42854" spans="16:16" x14ac:dyDescent="0.35">
      <c r="P42854" s="1"/>
    </row>
    <row r="42856" spans="16:16" x14ac:dyDescent="0.35">
      <c r="P42856" s="1"/>
    </row>
    <row r="42857" spans="16:16" x14ac:dyDescent="0.35">
      <c r="P42857" s="1"/>
    </row>
    <row r="42859" spans="16:16" x14ac:dyDescent="0.35">
      <c r="P42859" s="1"/>
    </row>
    <row r="42860" spans="16:16" x14ac:dyDescent="0.35">
      <c r="P42860" s="1"/>
    </row>
    <row r="42861" spans="16:16" x14ac:dyDescent="0.35">
      <c r="P42861" s="1"/>
    </row>
    <row r="42863" spans="16:16" x14ac:dyDescent="0.35">
      <c r="P42863" s="1"/>
    </row>
    <row r="42864" spans="16:16" x14ac:dyDescent="0.35">
      <c r="P42864" s="1"/>
    </row>
    <row r="42866" spans="16:16" x14ac:dyDescent="0.35">
      <c r="P42866" s="1"/>
    </row>
    <row r="42868" spans="16:16" x14ac:dyDescent="0.35">
      <c r="P42868" s="1"/>
    </row>
    <row r="42869" spans="16:16" x14ac:dyDescent="0.35">
      <c r="P42869" s="1"/>
    </row>
    <row r="42870" spans="16:16" x14ac:dyDescent="0.35">
      <c r="P42870" s="1"/>
    </row>
    <row r="42871" spans="16:16" x14ac:dyDescent="0.35">
      <c r="P42871" s="1"/>
    </row>
    <row r="42872" spans="16:16" x14ac:dyDescent="0.35">
      <c r="P42872" s="1"/>
    </row>
    <row r="42873" spans="16:16" x14ac:dyDescent="0.35">
      <c r="P42873" s="1"/>
    </row>
    <row r="42874" spans="16:16" x14ac:dyDescent="0.35">
      <c r="P42874" s="1"/>
    </row>
    <row r="42875" spans="16:16" x14ac:dyDescent="0.35">
      <c r="P42875" s="1"/>
    </row>
    <row r="42876" spans="16:16" x14ac:dyDescent="0.35">
      <c r="P42876" s="1"/>
    </row>
    <row r="42877" spans="16:16" x14ac:dyDescent="0.35">
      <c r="P42877" s="1"/>
    </row>
    <row r="42878" spans="16:16" x14ac:dyDescent="0.35">
      <c r="P42878" s="1"/>
    </row>
    <row r="42879" spans="16:16" x14ac:dyDescent="0.35">
      <c r="P42879" s="1"/>
    </row>
    <row r="42881" spans="16:17" x14ac:dyDescent="0.35">
      <c r="P42881" s="1"/>
    </row>
    <row r="42882" spans="16:17" x14ac:dyDescent="0.35">
      <c r="P42882" s="1"/>
      <c r="Q42882" s="1"/>
    </row>
    <row r="42883" spans="16:17" x14ac:dyDescent="0.35">
      <c r="P42883" s="1"/>
    </row>
    <row r="42884" spans="16:17" x14ac:dyDescent="0.35">
      <c r="P42884" s="1"/>
    </row>
    <row r="42886" spans="16:17" x14ac:dyDescent="0.35">
      <c r="P42886" s="1"/>
    </row>
    <row r="42887" spans="16:17" x14ac:dyDescent="0.35">
      <c r="P42887" s="1"/>
    </row>
    <row r="42888" spans="16:17" x14ac:dyDescent="0.35">
      <c r="P42888" s="1"/>
    </row>
    <row r="42889" spans="16:17" x14ac:dyDescent="0.35">
      <c r="P42889" s="1"/>
    </row>
    <row r="42890" spans="16:17" x14ac:dyDescent="0.35">
      <c r="P42890" s="1"/>
    </row>
    <row r="42891" spans="16:17" x14ac:dyDescent="0.35">
      <c r="P42891" s="1"/>
    </row>
    <row r="42893" spans="16:17" x14ac:dyDescent="0.35">
      <c r="P42893" s="1"/>
    </row>
    <row r="42894" spans="16:17" x14ac:dyDescent="0.35">
      <c r="P42894" s="1"/>
    </row>
    <row r="42895" spans="16:17" x14ac:dyDescent="0.35">
      <c r="P42895" s="1"/>
    </row>
    <row r="42897" spans="16:16" x14ac:dyDescent="0.35">
      <c r="P42897" s="1"/>
    </row>
    <row r="42898" spans="16:16" x14ac:dyDescent="0.35">
      <c r="P42898" s="1"/>
    </row>
    <row r="42899" spans="16:16" x14ac:dyDescent="0.35">
      <c r="P42899" s="1"/>
    </row>
    <row r="42900" spans="16:16" x14ac:dyDescent="0.35">
      <c r="P42900" s="1"/>
    </row>
    <row r="42902" spans="16:16" x14ac:dyDescent="0.35">
      <c r="P42902" s="1"/>
    </row>
    <row r="42904" spans="16:16" x14ac:dyDescent="0.35">
      <c r="P42904" s="1"/>
    </row>
    <row r="42905" spans="16:16" x14ac:dyDescent="0.35">
      <c r="P42905" s="1"/>
    </row>
    <row r="42907" spans="16:16" x14ac:dyDescent="0.35">
      <c r="P42907" s="1"/>
    </row>
    <row r="42908" spans="16:16" x14ac:dyDescent="0.35">
      <c r="P42908" s="1"/>
    </row>
    <row r="42910" spans="16:16" x14ac:dyDescent="0.35">
      <c r="P42910" s="1"/>
    </row>
    <row r="42911" spans="16:16" x14ac:dyDescent="0.35">
      <c r="P42911" s="1"/>
    </row>
    <row r="42914" spans="16:17" x14ac:dyDescent="0.35">
      <c r="P42914" s="1"/>
    </row>
    <row r="42917" spans="16:17" x14ac:dyDescent="0.35">
      <c r="P42917" s="1"/>
      <c r="Q42917" s="1"/>
    </row>
    <row r="42918" spans="16:17" x14ac:dyDescent="0.35">
      <c r="P42918" s="1"/>
    </row>
    <row r="42919" spans="16:17" x14ac:dyDescent="0.35">
      <c r="P42919" s="1"/>
    </row>
    <row r="42920" spans="16:17" x14ac:dyDescent="0.35">
      <c r="P42920" s="1"/>
      <c r="Q42920" s="1"/>
    </row>
    <row r="42922" spans="16:17" x14ac:dyDescent="0.35">
      <c r="P42922" s="1"/>
    </row>
    <row r="42923" spans="16:17" x14ac:dyDescent="0.35">
      <c r="P42923" s="1"/>
    </row>
    <row r="42926" spans="16:17" x14ac:dyDescent="0.35">
      <c r="P42926" s="1"/>
    </row>
    <row r="42928" spans="16:17" x14ac:dyDescent="0.35">
      <c r="P42928" s="1"/>
    </row>
    <row r="42930" spans="16:17" x14ac:dyDescent="0.35">
      <c r="P42930" s="1"/>
    </row>
    <row r="42931" spans="16:17" x14ac:dyDescent="0.35">
      <c r="P42931" s="1"/>
      <c r="Q42931" s="1"/>
    </row>
    <row r="42933" spans="16:17" x14ac:dyDescent="0.35">
      <c r="P42933" s="1"/>
    </row>
    <row r="42934" spans="16:17" x14ac:dyDescent="0.35">
      <c r="P42934" s="1"/>
    </row>
    <row r="42935" spans="16:17" x14ac:dyDescent="0.35">
      <c r="P42935" s="1"/>
    </row>
    <row r="42936" spans="16:17" x14ac:dyDescent="0.35">
      <c r="P42936" s="1"/>
    </row>
    <row r="42937" spans="16:17" x14ac:dyDescent="0.35">
      <c r="P42937" s="1"/>
    </row>
    <row r="42938" spans="16:17" x14ac:dyDescent="0.35">
      <c r="P42938" s="1"/>
      <c r="Q42938" s="1"/>
    </row>
    <row r="42940" spans="16:17" x14ac:dyDescent="0.35">
      <c r="P42940" s="1"/>
    </row>
    <row r="42941" spans="16:17" x14ac:dyDescent="0.35">
      <c r="P42941" s="1"/>
    </row>
    <row r="42942" spans="16:17" x14ac:dyDescent="0.35">
      <c r="P42942" s="1"/>
    </row>
    <row r="42943" spans="16:17" x14ac:dyDescent="0.35">
      <c r="P42943" s="1"/>
    </row>
    <row r="42944" spans="16:17" x14ac:dyDescent="0.35">
      <c r="P42944" s="1"/>
    </row>
    <row r="42945" spans="16:16" x14ac:dyDescent="0.35">
      <c r="P42945" s="1"/>
    </row>
    <row r="42947" spans="16:16" x14ac:dyDescent="0.35">
      <c r="P42947" s="1"/>
    </row>
    <row r="42948" spans="16:16" x14ac:dyDescent="0.35">
      <c r="P42948" s="1"/>
    </row>
    <row r="42949" spans="16:16" x14ac:dyDescent="0.35">
      <c r="P42949" s="1"/>
    </row>
    <row r="42950" spans="16:16" x14ac:dyDescent="0.35">
      <c r="P42950" s="1"/>
    </row>
    <row r="42951" spans="16:16" x14ac:dyDescent="0.35">
      <c r="P42951" s="1"/>
    </row>
    <row r="42952" spans="16:16" x14ac:dyDescent="0.35">
      <c r="P42952" s="1"/>
    </row>
    <row r="42955" spans="16:16" x14ac:dyDescent="0.35">
      <c r="P42955" s="1"/>
    </row>
    <row r="42956" spans="16:16" x14ac:dyDescent="0.35">
      <c r="P42956" s="1"/>
    </row>
    <row r="42957" spans="16:16" x14ac:dyDescent="0.35">
      <c r="P42957" s="1"/>
    </row>
    <row r="42958" spans="16:16" x14ac:dyDescent="0.35">
      <c r="P42958" s="1"/>
    </row>
    <row r="42959" spans="16:16" x14ac:dyDescent="0.35">
      <c r="P42959" s="1"/>
    </row>
    <row r="42961" spans="16:16" x14ac:dyDescent="0.35">
      <c r="P42961" s="1"/>
    </row>
    <row r="42962" spans="16:16" x14ac:dyDescent="0.35">
      <c r="P42962" s="1"/>
    </row>
    <row r="42963" spans="16:16" x14ac:dyDescent="0.35">
      <c r="P42963" s="1"/>
    </row>
    <row r="42964" spans="16:16" x14ac:dyDescent="0.35">
      <c r="P42964" s="1"/>
    </row>
    <row r="42965" spans="16:16" x14ac:dyDescent="0.35">
      <c r="P42965" s="1"/>
    </row>
    <row r="42968" spans="16:16" x14ac:dyDescent="0.35">
      <c r="P42968" s="1"/>
    </row>
    <row r="42969" spans="16:16" x14ac:dyDescent="0.35">
      <c r="P42969" s="1"/>
    </row>
    <row r="42970" spans="16:16" x14ac:dyDescent="0.35">
      <c r="P42970" s="1"/>
    </row>
    <row r="42974" spans="16:16" x14ac:dyDescent="0.35">
      <c r="P42974" s="1"/>
    </row>
    <row r="42975" spans="16:16" x14ac:dyDescent="0.35">
      <c r="P42975" s="1"/>
    </row>
    <row r="42976" spans="16:16" x14ac:dyDescent="0.35">
      <c r="P42976" s="1"/>
    </row>
    <row r="42977" spans="16:17" x14ac:dyDescent="0.35">
      <c r="P42977" s="1"/>
    </row>
    <row r="42978" spans="16:17" x14ac:dyDescent="0.35">
      <c r="P42978" s="1"/>
    </row>
    <row r="42979" spans="16:17" x14ac:dyDescent="0.35">
      <c r="P42979" s="1"/>
    </row>
    <row r="42982" spans="16:17" x14ac:dyDescent="0.35">
      <c r="P42982" s="1"/>
    </row>
    <row r="42985" spans="16:17" x14ac:dyDescent="0.35">
      <c r="P42985" s="1"/>
    </row>
    <row r="42986" spans="16:17" x14ac:dyDescent="0.35">
      <c r="P42986" s="1"/>
    </row>
    <row r="42987" spans="16:17" x14ac:dyDescent="0.35">
      <c r="P42987" s="1"/>
    </row>
    <row r="42988" spans="16:17" x14ac:dyDescent="0.35">
      <c r="P42988" s="1"/>
    </row>
    <row r="42989" spans="16:17" x14ac:dyDescent="0.35">
      <c r="P42989" s="1"/>
    </row>
    <row r="42990" spans="16:17" x14ac:dyDescent="0.35">
      <c r="P42990" s="1"/>
      <c r="Q42990" s="1"/>
    </row>
    <row r="42991" spans="16:17" x14ac:dyDescent="0.35">
      <c r="P42991" s="1"/>
    </row>
    <row r="42992" spans="16:17" x14ac:dyDescent="0.35">
      <c r="P42992" s="1"/>
    </row>
    <row r="42995" spans="16:17" x14ac:dyDescent="0.35">
      <c r="P42995" s="1"/>
    </row>
    <row r="42996" spans="16:17" x14ac:dyDescent="0.35">
      <c r="P42996" s="1"/>
    </row>
    <row r="42998" spans="16:17" x14ac:dyDescent="0.35">
      <c r="P42998" s="1"/>
    </row>
    <row r="43002" spans="16:17" x14ac:dyDescent="0.35">
      <c r="Q43002" s="1"/>
    </row>
    <row r="43003" spans="16:17" x14ac:dyDescent="0.35">
      <c r="Q43003" s="1"/>
    </row>
    <row r="43009" spans="17:17" x14ac:dyDescent="0.35">
      <c r="Q43009" s="1"/>
    </row>
    <row r="43011" spans="17:17" x14ac:dyDescent="0.35">
      <c r="Q43011" s="1"/>
    </row>
    <row r="43012" spans="17:17" x14ac:dyDescent="0.35">
      <c r="Q43012" s="1"/>
    </row>
    <row r="43013" spans="17:17" x14ac:dyDescent="0.35">
      <c r="Q43013" s="1"/>
    </row>
    <row r="43016" spans="17:17" x14ac:dyDescent="0.35">
      <c r="Q43016" s="1"/>
    </row>
    <row r="43018" spans="17:17" x14ac:dyDescent="0.35">
      <c r="Q43018" s="1"/>
    </row>
    <row r="43019" spans="17:17" x14ac:dyDescent="0.35">
      <c r="Q43019" s="1"/>
    </row>
    <row r="43020" spans="17:17" x14ac:dyDescent="0.35">
      <c r="Q43020" s="1"/>
    </row>
    <row r="43022" spans="17:17" x14ac:dyDescent="0.35">
      <c r="Q43022" s="1"/>
    </row>
    <row r="43023" spans="17:17" x14ac:dyDescent="0.35">
      <c r="Q43023" s="1"/>
    </row>
    <row r="43025" spans="16:17" x14ac:dyDescent="0.35">
      <c r="Q43025" s="1"/>
    </row>
    <row r="43026" spans="16:17" x14ac:dyDescent="0.35">
      <c r="Q43026" s="1"/>
    </row>
    <row r="43029" spans="16:17" x14ac:dyDescent="0.35">
      <c r="Q43029" s="1"/>
    </row>
    <row r="43037" spans="16:17" x14ac:dyDescent="0.35">
      <c r="P43037" s="1"/>
    </row>
    <row r="43041" spans="16:16" x14ac:dyDescent="0.35">
      <c r="P43041" s="1"/>
    </row>
    <row r="43043" spans="16:16" x14ac:dyDescent="0.35">
      <c r="P43043" s="1"/>
    </row>
    <row r="43046" spans="16:16" x14ac:dyDescent="0.35">
      <c r="P43046" s="1"/>
    </row>
    <row r="43048" spans="16:16" x14ac:dyDescent="0.35">
      <c r="P43048" s="1"/>
    </row>
    <row r="43066" spans="16:16" x14ac:dyDescent="0.35">
      <c r="P43066" s="1"/>
    </row>
    <row r="43067" spans="16:16" x14ac:dyDescent="0.35">
      <c r="P43067" s="1"/>
    </row>
    <row r="43080" spans="17:17" x14ac:dyDescent="0.35">
      <c r="Q43080" s="1"/>
    </row>
    <row r="43089" spans="16:17" x14ac:dyDescent="0.35">
      <c r="P43089" s="1"/>
    </row>
    <row r="43091" spans="16:17" x14ac:dyDescent="0.35">
      <c r="P43091" s="1"/>
    </row>
    <row r="43093" spans="16:17" x14ac:dyDescent="0.35">
      <c r="P43093" s="1"/>
    </row>
    <row r="43097" spans="16:17" x14ac:dyDescent="0.35">
      <c r="P43097" s="1"/>
    </row>
    <row r="43099" spans="16:17" x14ac:dyDescent="0.35">
      <c r="P43099" s="1"/>
    </row>
    <row r="43103" spans="16:17" x14ac:dyDescent="0.35">
      <c r="Q43103" s="1"/>
    </row>
    <row r="43113" spans="17:17" x14ac:dyDescent="0.35">
      <c r="Q43113" s="1"/>
    </row>
    <row r="43115" spans="17:17" x14ac:dyDescent="0.35">
      <c r="Q43115" s="1"/>
    </row>
    <row r="43123" spans="16:17" x14ac:dyDescent="0.35">
      <c r="Q43123" s="1"/>
    </row>
    <row r="43125" spans="16:17" x14ac:dyDescent="0.35">
      <c r="P43125" s="1"/>
    </row>
    <row r="43127" spans="16:17" x14ac:dyDescent="0.35">
      <c r="P43127" s="1"/>
    </row>
    <row r="43129" spans="16:17" x14ac:dyDescent="0.35">
      <c r="P43129" s="1"/>
    </row>
    <row r="43131" spans="16:17" x14ac:dyDescent="0.35">
      <c r="Q43131" s="1"/>
    </row>
    <row r="43133" spans="16:17" x14ac:dyDescent="0.35">
      <c r="Q43133" s="1"/>
    </row>
    <row r="43134" spans="16:17" x14ac:dyDescent="0.35">
      <c r="P43134" s="1"/>
    </row>
    <row r="43141" spans="17:17" x14ac:dyDescent="0.35">
      <c r="Q43141" s="1"/>
    </row>
    <row r="43149" spans="17:17" x14ac:dyDescent="0.35">
      <c r="Q43149" s="1"/>
    </row>
    <row r="43150" spans="17:17" x14ac:dyDescent="0.35">
      <c r="Q43150" s="1"/>
    </row>
    <row r="43156" spans="16:17" x14ac:dyDescent="0.35">
      <c r="Q43156" s="1"/>
    </row>
    <row r="43158" spans="16:17" x14ac:dyDescent="0.35">
      <c r="P43158" s="1"/>
    </row>
    <row r="43162" spans="16:17" x14ac:dyDescent="0.35">
      <c r="P43162" s="1"/>
    </row>
    <row r="43167" spans="16:17" x14ac:dyDescent="0.35">
      <c r="Q43167" s="1"/>
    </row>
    <row r="43169" spans="16:17" x14ac:dyDescent="0.35">
      <c r="P43169" s="1"/>
    </row>
    <row r="43172" spans="16:17" x14ac:dyDescent="0.35">
      <c r="Q43172" s="1"/>
    </row>
    <row r="43173" spans="16:17" x14ac:dyDescent="0.35">
      <c r="P43173" s="1"/>
    </row>
    <row r="43174" spans="16:17" x14ac:dyDescent="0.35">
      <c r="P43174" s="1"/>
    </row>
    <row r="43178" spans="16:17" x14ac:dyDescent="0.35">
      <c r="P43178" s="1"/>
    </row>
    <row r="43180" spans="16:17" x14ac:dyDescent="0.35">
      <c r="P43180" s="1"/>
    </row>
    <row r="43181" spans="16:17" x14ac:dyDescent="0.35">
      <c r="P43181" s="1"/>
    </row>
    <row r="43183" spans="16:17" x14ac:dyDescent="0.35">
      <c r="Q43183" s="1"/>
    </row>
    <row r="43187" spans="17:17" x14ac:dyDescent="0.35">
      <c r="Q43187" s="1"/>
    </row>
    <row r="43191" spans="17:17" x14ac:dyDescent="0.35">
      <c r="Q43191" s="1"/>
    </row>
    <row r="43192" spans="17:17" x14ac:dyDescent="0.35">
      <c r="Q43192" s="1"/>
    </row>
    <row r="43200" spans="17:17" x14ac:dyDescent="0.35">
      <c r="Q43200" s="1"/>
    </row>
    <row r="43205" spans="16:17" x14ac:dyDescent="0.35">
      <c r="P43205" s="1"/>
    </row>
    <row r="43214" spans="16:17" x14ac:dyDescent="0.35">
      <c r="Q43214" s="1"/>
    </row>
    <row r="43215" spans="16:17" x14ac:dyDescent="0.35">
      <c r="P43215" s="1"/>
    </row>
    <row r="43223" spans="16:17" x14ac:dyDescent="0.35">
      <c r="P43223" s="1"/>
    </row>
    <row r="43225" spans="16:17" x14ac:dyDescent="0.35">
      <c r="P43225" s="1"/>
    </row>
    <row r="43226" spans="16:17" x14ac:dyDescent="0.35">
      <c r="Q43226" s="1"/>
    </row>
    <row r="43232" spans="16:17" x14ac:dyDescent="0.35">
      <c r="Q43232" s="1"/>
    </row>
    <row r="43242" spans="16:17" x14ac:dyDescent="0.35">
      <c r="Q43242" s="1"/>
    </row>
    <row r="43244" spans="16:17" x14ac:dyDescent="0.35">
      <c r="P43244" s="1"/>
    </row>
    <row r="43250" spans="17:17" x14ac:dyDescent="0.35">
      <c r="Q43250" s="1"/>
    </row>
    <row r="43251" spans="17:17" x14ac:dyDescent="0.35">
      <c r="Q43251" s="1"/>
    </row>
    <row r="43258" spans="17:17" x14ac:dyDescent="0.35">
      <c r="Q43258" s="1"/>
    </row>
    <row r="43261" spans="17:17" x14ac:dyDescent="0.35">
      <c r="Q43261" s="1"/>
    </row>
    <row r="43267" spans="16:17" x14ac:dyDescent="0.35">
      <c r="P43267" s="1"/>
      <c r="Q43267" s="1"/>
    </row>
    <row r="43274" spans="16:17" x14ac:dyDescent="0.35">
      <c r="Q43274" s="1"/>
    </row>
    <row r="43279" spans="16:17" x14ac:dyDescent="0.35">
      <c r="Q43279" s="1"/>
    </row>
    <row r="43290" spans="16:17" x14ac:dyDescent="0.35">
      <c r="P43290" s="1"/>
    </row>
    <row r="43294" spans="16:17" x14ac:dyDescent="0.35">
      <c r="Q43294" s="1"/>
    </row>
    <row r="43298" spans="16:17" x14ac:dyDescent="0.35">
      <c r="Q43298" s="1"/>
    </row>
    <row r="43300" spans="16:17" x14ac:dyDescent="0.35">
      <c r="Q43300" s="1"/>
    </row>
    <row r="43301" spans="16:17" x14ac:dyDescent="0.35">
      <c r="P43301" s="1"/>
    </row>
    <row r="43304" spans="16:17" x14ac:dyDescent="0.35">
      <c r="Q43304" s="1"/>
    </row>
    <row r="43306" spans="16:17" x14ac:dyDescent="0.35">
      <c r="Q43306" s="1"/>
    </row>
    <row r="43316" spans="16:17" x14ac:dyDescent="0.35">
      <c r="Q43316" s="1"/>
    </row>
    <row r="43328" spans="16:17" x14ac:dyDescent="0.35">
      <c r="P43328" s="1"/>
    </row>
    <row r="43334" spans="16:17" x14ac:dyDescent="0.35">
      <c r="Q43334" s="1"/>
    </row>
    <row r="43335" spans="16:17" x14ac:dyDescent="0.35">
      <c r="Q43335" s="1"/>
    </row>
    <row r="43337" spans="16:17" x14ac:dyDescent="0.35">
      <c r="Q43337" s="1"/>
    </row>
    <row r="43341" spans="16:17" x14ac:dyDescent="0.35">
      <c r="P43341" s="1"/>
    </row>
    <row r="43342" spans="16:17" x14ac:dyDescent="0.35">
      <c r="P43342" s="1"/>
    </row>
    <row r="43344" spans="16:17" x14ac:dyDescent="0.35">
      <c r="P43344" s="1"/>
    </row>
    <row r="43347" spans="17:17" x14ac:dyDescent="0.35">
      <c r="Q43347" s="1"/>
    </row>
    <row r="43351" spans="17:17" x14ac:dyDescent="0.35">
      <c r="Q43351" s="1"/>
    </row>
    <row r="43352" spans="17:17" x14ac:dyDescent="0.35">
      <c r="Q43352" s="1"/>
    </row>
    <row r="43357" spans="17:17" x14ac:dyDescent="0.35">
      <c r="Q43357" s="1"/>
    </row>
    <row r="43367" spans="16:17" x14ac:dyDescent="0.35">
      <c r="P43367" s="1"/>
    </row>
    <row r="43368" spans="16:17" x14ac:dyDescent="0.35">
      <c r="P43368" s="1"/>
    </row>
    <row r="43370" spans="16:17" x14ac:dyDescent="0.35">
      <c r="P43370" s="1"/>
    </row>
    <row r="43375" spans="16:17" x14ac:dyDescent="0.35">
      <c r="Q43375" s="1"/>
    </row>
    <row r="43381" spans="16:17" x14ac:dyDescent="0.35">
      <c r="P43381" s="1"/>
    </row>
    <row r="43384" spans="16:17" x14ac:dyDescent="0.35">
      <c r="Q43384" s="1"/>
    </row>
    <row r="43391" spans="16:17" x14ac:dyDescent="0.35">
      <c r="Q43391" s="1"/>
    </row>
    <row r="43392" spans="16:17" x14ac:dyDescent="0.35">
      <c r="Q43392" s="1"/>
    </row>
    <row r="43393" spans="17:17" x14ac:dyDescent="0.35">
      <c r="Q43393" s="1"/>
    </row>
    <row r="43396" spans="17:17" x14ac:dyDescent="0.35">
      <c r="Q43396" s="1"/>
    </row>
    <row r="43400" spans="17:17" x14ac:dyDescent="0.35">
      <c r="Q43400" s="1"/>
    </row>
    <row r="43411" spans="16:17" x14ac:dyDescent="0.35">
      <c r="Q43411" s="1"/>
    </row>
    <row r="43414" spans="16:17" x14ac:dyDescent="0.35">
      <c r="Q43414" s="1"/>
    </row>
    <row r="43420" spans="16:17" x14ac:dyDescent="0.35">
      <c r="P43420" s="1"/>
    </row>
    <row r="43427" spans="16:17" x14ac:dyDescent="0.35">
      <c r="P43427" s="1"/>
    </row>
    <row r="43428" spans="16:17" x14ac:dyDescent="0.35">
      <c r="Q43428" s="1"/>
    </row>
    <row r="43429" spans="16:17" x14ac:dyDescent="0.35">
      <c r="P43429" s="1"/>
    </row>
    <row r="43434" spans="16:17" x14ac:dyDescent="0.35">
      <c r="Q43434" s="1"/>
    </row>
    <row r="43438" spans="16:17" x14ac:dyDescent="0.35">
      <c r="P43438" s="1"/>
    </row>
    <row r="43440" spans="16:17" x14ac:dyDescent="0.35">
      <c r="P43440" s="1"/>
    </row>
    <row r="43447" spans="17:17" x14ac:dyDescent="0.35">
      <c r="Q43447" s="1"/>
    </row>
    <row r="43450" spans="17:17" x14ac:dyDescent="0.35">
      <c r="Q43450" s="1"/>
    </row>
    <row r="43458" spans="16:16" x14ac:dyDescent="0.35">
      <c r="P43458" s="1"/>
    </row>
    <row r="43468" spans="16:16" x14ac:dyDescent="0.35">
      <c r="P43468" s="1"/>
    </row>
    <row r="43469" spans="16:16" x14ac:dyDescent="0.35">
      <c r="P43469" s="1"/>
    </row>
    <row r="43476" spans="16:17" x14ac:dyDescent="0.35">
      <c r="P43476" s="1"/>
    </row>
    <row r="43478" spans="16:17" x14ac:dyDescent="0.35">
      <c r="Q43478" s="1"/>
    </row>
    <row r="43479" spans="16:17" x14ac:dyDescent="0.35">
      <c r="Q43479" s="1"/>
    </row>
    <row r="43482" spans="16:17" x14ac:dyDescent="0.35">
      <c r="Q43482" s="1"/>
    </row>
    <row r="43483" spans="16:17" x14ac:dyDescent="0.35">
      <c r="Q43483" s="1"/>
    </row>
    <row r="43484" spans="16:17" x14ac:dyDescent="0.35">
      <c r="P43484" s="1"/>
    </row>
    <row r="43485" spans="16:17" x14ac:dyDescent="0.35">
      <c r="Q43485" s="1"/>
    </row>
    <row r="43487" spans="16:17" x14ac:dyDescent="0.35">
      <c r="Q43487" s="1"/>
    </row>
    <row r="43496" spans="16:17" x14ac:dyDescent="0.35">
      <c r="P43496" s="1"/>
    </row>
    <row r="43498" spans="16:17" x14ac:dyDescent="0.35">
      <c r="P43498" s="1"/>
    </row>
    <row r="43500" spans="16:17" x14ac:dyDescent="0.35">
      <c r="Q43500" s="1"/>
    </row>
    <row r="43503" spans="16:17" x14ac:dyDescent="0.35">
      <c r="Q43503" s="1"/>
    </row>
    <row r="43512" spans="17:17" x14ac:dyDescent="0.35">
      <c r="Q43512" s="1"/>
    </row>
    <row r="43518" spans="17:17" x14ac:dyDescent="0.35">
      <c r="Q43518" s="1"/>
    </row>
    <row r="43531" spans="16:16" x14ac:dyDescent="0.35">
      <c r="P43531" s="1"/>
    </row>
    <row r="43543" spans="16:17" x14ac:dyDescent="0.35">
      <c r="P43543" s="1"/>
    </row>
    <row r="43549" spans="16:17" x14ac:dyDescent="0.35">
      <c r="Q43549" s="1"/>
    </row>
    <row r="43551" spans="16:17" x14ac:dyDescent="0.35">
      <c r="Q43551" s="1"/>
    </row>
    <row r="43553" spans="17:17" x14ac:dyDescent="0.35">
      <c r="Q43553" s="1"/>
    </row>
    <row r="43555" spans="17:17" x14ac:dyDescent="0.35">
      <c r="Q43555" s="1"/>
    </row>
    <row r="43562" spans="17:17" x14ac:dyDescent="0.35">
      <c r="Q43562" s="1"/>
    </row>
    <row r="43564" spans="17:17" x14ac:dyDescent="0.35">
      <c r="Q43564" s="1"/>
    </row>
    <row r="43570" spans="16:17" x14ac:dyDescent="0.35">
      <c r="Q43570" s="1"/>
    </row>
    <row r="43571" spans="16:17" x14ac:dyDescent="0.35">
      <c r="Q43571" s="1"/>
    </row>
    <row r="43574" spans="16:17" x14ac:dyDescent="0.35">
      <c r="P43574" s="1"/>
    </row>
    <row r="43576" spans="16:17" x14ac:dyDescent="0.35">
      <c r="P43576" s="1"/>
    </row>
    <row r="43577" spans="16:17" x14ac:dyDescent="0.35">
      <c r="P43577" s="1"/>
    </row>
    <row r="43578" spans="16:17" x14ac:dyDescent="0.35">
      <c r="P43578" s="1"/>
    </row>
    <row r="43579" spans="16:17" x14ac:dyDescent="0.35">
      <c r="P43579" s="1"/>
    </row>
    <row r="43580" spans="16:17" x14ac:dyDescent="0.35">
      <c r="Q43580" s="1"/>
    </row>
    <row r="43585" spans="16:17" x14ac:dyDescent="0.35">
      <c r="P43585" s="1"/>
    </row>
    <row r="43587" spans="16:17" x14ac:dyDescent="0.35">
      <c r="P43587" s="1"/>
    </row>
    <row r="43593" spans="16:17" x14ac:dyDescent="0.35">
      <c r="Q43593" s="1"/>
    </row>
    <row r="43595" spans="16:17" x14ac:dyDescent="0.35">
      <c r="P43595" s="1"/>
    </row>
    <row r="43600" spans="16:17" x14ac:dyDescent="0.35">
      <c r="Q43600" s="1"/>
    </row>
    <row r="43615" spans="17:17" x14ac:dyDescent="0.35">
      <c r="Q43615" s="1"/>
    </row>
    <row r="43620" spans="16:17" x14ac:dyDescent="0.35">
      <c r="P43620" s="1"/>
    </row>
    <row r="43623" spans="16:17" x14ac:dyDescent="0.35">
      <c r="Q43623" s="1"/>
    </row>
    <row r="43625" spans="16:17" x14ac:dyDescent="0.35">
      <c r="Q43625" s="1"/>
    </row>
    <row r="43626" spans="16:17" x14ac:dyDescent="0.35">
      <c r="Q43626" s="1"/>
    </row>
    <row r="43627" spans="16:17" x14ac:dyDescent="0.35">
      <c r="P43627" s="1"/>
    </row>
    <row r="43629" spans="16:17" x14ac:dyDescent="0.35">
      <c r="P43629" s="1"/>
      <c r="Q43629" s="1"/>
    </row>
    <row r="43630" spans="16:17" x14ac:dyDescent="0.35">
      <c r="P43630" s="1"/>
    </row>
    <row r="43632" spans="16:17" x14ac:dyDescent="0.35">
      <c r="Q43632" s="1"/>
    </row>
    <row r="43633" spans="16:17" x14ac:dyDescent="0.35">
      <c r="Q43633" s="1"/>
    </row>
    <row r="43636" spans="16:17" x14ac:dyDescent="0.35">
      <c r="Q43636" s="1"/>
    </row>
    <row r="43639" spans="16:17" x14ac:dyDescent="0.35">
      <c r="Q43639" s="1"/>
    </row>
    <row r="43642" spans="16:17" x14ac:dyDescent="0.35">
      <c r="P43642" s="1"/>
    </row>
    <row r="43643" spans="16:17" x14ac:dyDescent="0.35">
      <c r="Q43643" s="1"/>
    </row>
    <row r="43659" spans="17:17" x14ac:dyDescent="0.35">
      <c r="Q43659" s="1"/>
    </row>
    <row r="43674" spans="16:17" x14ac:dyDescent="0.35">
      <c r="P43674" s="1"/>
    </row>
    <row r="43676" spans="16:17" x14ac:dyDescent="0.35">
      <c r="Q43676" s="1"/>
    </row>
    <row r="43678" spans="16:17" x14ac:dyDescent="0.35">
      <c r="P43678" s="1"/>
      <c r="Q43678" s="1"/>
    </row>
    <row r="43679" spans="16:17" x14ac:dyDescent="0.35">
      <c r="P43679" s="1"/>
    </row>
    <row r="43680" spans="16:17" x14ac:dyDescent="0.35">
      <c r="Q43680" s="1"/>
    </row>
    <row r="43683" spans="16:17" x14ac:dyDescent="0.35">
      <c r="P43683" s="1"/>
    </row>
    <row r="43686" spans="16:17" x14ac:dyDescent="0.35">
      <c r="Q43686" s="1"/>
    </row>
    <row r="43688" spans="16:17" x14ac:dyDescent="0.35">
      <c r="P43688" s="1"/>
    </row>
    <row r="43689" spans="16:17" x14ac:dyDescent="0.35">
      <c r="Q43689" s="1"/>
    </row>
    <row r="43690" spans="16:17" x14ac:dyDescent="0.35">
      <c r="P43690" s="1"/>
    </row>
    <row r="43695" spans="16:17" x14ac:dyDescent="0.35">
      <c r="Q43695" s="1"/>
    </row>
    <row r="43697" spans="17:17" x14ac:dyDescent="0.35">
      <c r="Q43697" s="1"/>
    </row>
    <row r="43704" spans="17:17" x14ac:dyDescent="0.35">
      <c r="Q43704" s="1"/>
    </row>
    <row r="43722" spans="16:17" x14ac:dyDescent="0.35">
      <c r="P43722" s="1"/>
    </row>
    <row r="43723" spans="16:17" x14ac:dyDescent="0.35">
      <c r="Q43723" s="1"/>
    </row>
    <row r="43725" spans="16:17" x14ac:dyDescent="0.35">
      <c r="Q43725" s="1"/>
    </row>
    <row r="43726" spans="16:17" x14ac:dyDescent="0.35">
      <c r="P43726" s="1"/>
      <c r="Q43726" s="1"/>
    </row>
    <row r="43727" spans="16:17" x14ac:dyDescent="0.35">
      <c r="P43727" s="1"/>
    </row>
    <row r="43730" spans="16:17" x14ac:dyDescent="0.35">
      <c r="Q43730" s="1"/>
    </row>
    <row r="43732" spans="16:17" x14ac:dyDescent="0.35">
      <c r="P43732" s="1"/>
    </row>
    <row r="43733" spans="16:17" x14ac:dyDescent="0.35">
      <c r="P43733" s="1"/>
    </row>
    <row r="43741" spans="16:17" x14ac:dyDescent="0.35">
      <c r="Q43741" s="1"/>
    </row>
    <row r="43744" spans="16:17" x14ac:dyDescent="0.35">
      <c r="Q43744" s="1"/>
    </row>
    <row r="43746" spans="17:17" x14ac:dyDescent="0.35">
      <c r="Q43746" s="1"/>
    </row>
    <row r="43747" spans="17:17" x14ac:dyDescent="0.35">
      <c r="Q43747" s="1"/>
    </row>
    <row r="43750" spans="17:17" x14ac:dyDescent="0.35">
      <c r="Q43750" s="1"/>
    </row>
    <row r="43757" spans="17:17" x14ac:dyDescent="0.35">
      <c r="Q43757" s="1"/>
    </row>
    <row r="43762" spans="17:17" x14ac:dyDescent="0.35">
      <c r="Q43762" s="1"/>
    </row>
    <row r="43769" spans="17:17" x14ac:dyDescent="0.35">
      <c r="Q43769" s="1"/>
    </row>
    <row r="43775" spans="17:17" x14ac:dyDescent="0.35">
      <c r="Q43775" s="1"/>
    </row>
    <row r="43778" spans="16:17" x14ac:dyDescent="0.35">
      <c r="P43778" s="1"/>
    </row>
    <row r="43785" spans="16:17" x14ac:dyDescent="0.35">
      <c r="Q43785" s="1"/>
    </row>
    <row r="43787" spans="16:17" x14ac:dyDescent="0.35">
      <c r="Q43787" s="1"/>
    </row>
    <row r="43788" spans="16:17" x14ac:dyDescent="0.35">
      <c r="P43788" s="1"/>
    </row>
    <row r="43789" spans="16:17" x14ac:dyDescent="0.35">
      <c r="P43789" s="1"/>
    </row>
    <row r="43791" spans="16:17" x14ac:dyDescent="0.35">
      <c r="P43791" s="1"/>
    </row>
    <row r="43797" spans="16:17" x14ac:dyDescent="0.35">
      <c r="Q43797" s="1"/>
    </row>
    <row r="43800" spans="16:17" x14ac:dyDescent="0.35">
      <c r="Q43800" s="1"/>
    </row>
    <row r="43803" spans="16:17" x14ac:dyDescent="0.35">
      <c r="Q43803" s="1"/>
    </row>
    <row r="43808" spans="16:17" x14ac:dyDescent="0.35">
      <c r="P43808" s="1"/>
    </row>
    <row r="43812" spans="16:17" x14ac:dyDescent="0.35">
      <c r="Q43812" s="1"/>
    </row>
    <row r="43813" spans="16:17" x14ac:dyDescent="0.35">
      <c r="Q43813" s="1"/>
    </row>
    <row r="43815" spans="16:17" x14ac:dyDescent="0.35">
      <c r="P43815" s="1"/>
    </row>
    <row r="43821" spans="16:17" x14ac:dyDescent="0.35">
      <c r="Q43821" s="1"/>
    </row>
    <row r="43827" spans="16:17" x14ac:dyDescent="0.35">
      <c r="P43827" s="1"/>
    </row>
    <row r="43828" spans="16:17" x14ac:dyDescent="0.35">
      <c r="P43828" s="1"/>
    </row>
    <row r="43829" spans="16:17" x14ac:dyDescent="0.35">
      <c r="Q43829" s="1"/>
    </row>
    <row r="43830" spans="16:17" x14ac:dyDescent="0.35">
      <c r="P43830" s="1"/>
    </row>
    <row r="43833" spans="16:17" x14ac:dyDescent="0.35">
      <c r="Q43833" s="1"/>
    </row>
    <row r="43835" spans="16:17" x14ac:dyDescent="0.35">
      <c r="Q43835" s="1"/>
    </row>
    <row r="43837" spans="16:17" x14ac:dyDescent="0.35">
      <c r="Q43837" s="1"/>
    </row>
    <row r="43840" spans="16:17" x14ac:dyDescent="0.35">
      <c r="P43840" s="1"/>
    </row>
    <row r="43841" spans="16:17" x14ac:dyDescent="0.35">
      <c r="P43841" s="1"/>
    </row>
    <row r="43842" spans="16:17" x14ac:dyDescent="0.35">
      <c r="Q43842" s="1"/>
    </row>
    <row r="43844" spans="16:17" x14ac:dyDescent="0.35">
      <c r="Q43844" s="1"/>
    </row>
    <row r="43846" spans="16:17" x14ac:dyDescent="0.35">
      <c r="P43846" s="1"/>
    </row>
    <row r="43851" spans="16:17" x14ac:dyDescent="0.35">
      <c r="P43851" s="1"/>
    </row>
    <row r="43859" spans="16:17" x14ac:dyDescent="0.35">
      <c r="Q43859" s="1"/>
    </row>
    <row r="43868" spans="16:17" x14ac:dyDescent="0.35">
      <c r="Q43868" s="1"/>
    </row>
    <row r="43869" spans="16:17" x14ac:dyDescent="0.35">
      <c r="P43869" s="1"/>
    </row>
    <row r="43871" spans="16:17" x14ac:dyDescent="0.35">
      <c r="P43871" s="1"/>
    </row>
    <row r="43873" spans="16:17" x14ac:dyDescent="0.35">
      <c r="Q43873" s="1"/>
    </row>
    <row r="43875" spans="16:17" x14ac:dyDescent="0.35">
      <c r="Q43875" s="1"/>
    </row>
    <row r="43876" spans="16:17" x14ac:dyDescent="0.35">
      <c r="P43876" s="1"/>
    </row>
    <row r="43877" spans="16:17" x14ac:dyDescent="0.35">
      <c r="P43877" s="1"/>
    </row>
    <row r="43879" spans="16:17" x14ac:dyDescent="0.35">
      <c r="Q43879" s="1"/>
    </row>
    <row r="43881" spans="16:17" x14ac:dyDescent="0.35">
      <c r="Q43881" s="1"/>
    </row>
    <row r="43883" spans="16:17" x14ac:dyDescent="0.35">
      <c r="Q43883" s="1"/>
    </row>
    <row r="43885" spans="16:17" x14ac:dyDescent="0.35">
      <c r="P43885" s="1"/>
      <c r="Q43885" s="1"/>
    </row>
    <row r="43886" spans="16:17" x14ac:dyDescent="0.35">
      <c r="P43886" s="1"/>
    </row>
    <row r="43888" spans="16:17" x14ac:dyDescent="0.35">
      <c r="P43888" s="1"/>
    </row>
    <row r="43890" spans="16:17" x14ac:dyDescent="0.35">
      <c r="P43890" s="1"/>
    </row>
    <row r="43903" spans="16:17" x14ac:dyDescent="0.35">
      <c r="Q43903" s="1"/>
    </row>
    <row r="43919" spans="16:17" x14ac:dyDescent="0.35">
      <c r="P43919" s="1"/>
      <c r="Q43919" s="1"/>
    </row>
    <row r="43921" spans="16:17" x14ac:dyDescent="0.35">
      <c r="Q43921" s="1"/>
    </row>
    <row r="43923" spans="16:17" x14ac:dyDescent="0.35">
      <c r="Q43923" s="1"/>
    </row>
    <row r="43924" spans="16:17" x14ac:dyDescent="0.35">
      <c r="Q43924" s="1"/>
    </row>
    <row r="43927" spans="16:17" x14ac:dyDescent="0.35">
      <c r="P43927" s="1"/>
    </row>
    <row r="43928" spans="16:17" x14ac:dyDescent="0.35">
      <c r="P43928" s="1"/>
    </row>
    <row r="43929" spans="16:17" x14ac:dyDescent="0.35">
      <c r="P43929" s="1"/>
    </row>
    <row r="43931" spans="16:17" x14ac:dyDescent="0.35">
      <c r="P43931" s="1"/>
    </row>
    <row r="43932" spans="16:17" x14ac:dyDescent="0.35">
      <c r="Q43932" s="1"/>
    </row>
    <row r="43933" spans="16:17" x14ac:dyDescent="0.35">
      <c r="P43933" s="1"/>
    </row>
    <row r="43936" spans="16:17" x14ac:dyDescent="0.35">
      <c r="P43936" s="1"/>
    </row>
    <row r="43938" spans="17:17" x14ac:dyDescent="0.35">
      <c r="Q43938" s="1"/>
    </row>
    <row r="43946" spans="17:17" x14ac:dyDescent="0.35">
      <c r="Q43946" s="1"/>
    </row>
    <row r="43951" spans="17:17" x14ac:dyDescent="0.35">
      <c r="Q43951" s="1"/>
    </row>
    <row r="43963" spans="16:17" x14ac:dyDescent="0.35">
      <c r="Q43963" s="1"/>
    </row>
    <row r="43965" spans="16:17" x14ac:dyDescent="0.35">
      <c r="Q43965" s="1"/>
    </row>
    <row r="43967" spans="16:17" x14ac:dyDescent="0.35">
      <c r="P43967" s="1"/>
    </row>
    <row r="43974" spans="17:17" x14ac:dyDescent="0.35">
      <c r="Q43974" s="1"/>
    </row>
    <row r="43988" spans="16:17" x14ac:dyDescent="0.35">
      <c r="Q43988" s="1"/>
    </row>
    <row r="43992" spans="16:17" x14ac:dyDescent="0.35">
      <c r="Q43992" s="1"/>
    </row>
    <row r="43995" spans="16:17" x14ac:dyDescent="0.35">
      <c r="Q43995" s="1"/>
    </row>
    <row r="43997" spans="16:17" x14ac:dyDescent="0.35">
      <c r="P43997" s="1"/>
    </row>
    <row r="43998" spans="16:17" x14ac:dyDescent="0.35">
      <c r="Q43998" s="1"/>
    </row>
    <row r="44005" spans="16:17" x14ac:dyDescent="0.35">
      <c r="Q44005" s="1"/>
    </row>
    <row r="44009" spans="16:17" x14ac:dyDescent="0.35">
      <c r="Q44009" s="1"/>
    </row>
    <row r="44015" spans="16:17" x14ac:dyDescent="0.35">
      <c r="P44015" s="1"/>
    </row>
    <row r="44018" spans="17:17" x14ac:dyDescent="0.35">
      <c r="Q44018" s="1"/>
    </row>
    <row r="44019" spans="17:17" x14ac:dyDescent="0.35">
      <c r="Q44019" s="1"/>
    </row>
    <row r="44021" spans="17:17" x14ac:dyDescent="0.35">
      <c r="Q44021" s="1"/>
    </row>
    <row r="44022" spans="17:17" x14ac:dyDescent="0.35">
      <c r="Q44022" s="1"/>
    </row>
    <row r="44030" spans="17:17" x14ac:dyDescent="0.35">
      <c r="Q44030" s="1"/>
    </row>
    <row r="44032" spans="17:17" x14ac:dyDescent="0.35">
      <c r="Q44032" s="1"/>
    </row>
    <row r="44033" spans="16:17" x14ac:dyDescent="0.35">
      <c r="P44033" s="1"/>
    </row>
    <row r="44034" spans="16:17" x14ac:dyDescent="0.35">
      <c r="P44034" s="1"/>
    </row>
    <row r="44035" spans="16:17" x14ac:dyDescent="0.35">
      <c r="Q44035" s="1"/>
    </row>
    <row r="44036" spans="16:17" x14ac:dyDescent="0.35">
      <c r="P44036" s="1"/>
      <c r="Q44036" s="1"/>
    </row>
    <row r="44037" spans="16:17" x14ac:dyDescent="0.35">
      <c r="Q44037" s="1"/>
    </row>
    <row r="44038" spans="16:17" x14ac:dyDescent="0.35">
      <c r="P44038" s="1"/>
    </row>
    <row r="44039" spans="16:17" x14ac:dyDescent="0.35">
      <c r="P44039" s="1"/>
    </row>
    <row r="44041" spans="16:17" x14ac:dyDescent="0.35">
      <c r="P44041" s="1"/>
    </row>
    <row r="44042" spans="16:17" x14ac:dyDescent="0.35">
      <c r="P44042" s="1"/>
    </row>
    <row r="44044" spans="16:17" x14ac:dyDescent="0.35">
      <c r="P44044" s="1"/>
    </row>
    <row r="44045" spans="16:17" x14ac:dyDescent="0.35">
      <c r="P44045" s="1"/>
    </row>
    <row r="44046" spans="16:17" x14ac:dyDescent="0.35">
      <c r="P44046" s="1"/>
    </row>
    <row r="44048" spans="16:17" x14ac:dyDescent="0.35">
      <c r="P44048" s="1"/>
    </row>
    <row r="44065" spans="16:17" x14ac:dyDescent="0.35">
      <c r="Q44065" s="1"/>
    </row>
    <row r="44066" spans="16:17" x14ac:dyDescent="0.35">
      <c r="Q44066" s="1"/>
    </row>
    <row r="44071" spans="16:17" x14ac:dyDescent="0.35">
      <c r="Q44071" s="1"/>
    </row>
    <row r="44074" spans="16:17" x14ac:dyDescent="0.35">
      <c r="Q44074" s="1"/>
    </row>
    <row r="44076" spans="16:17" x14ac:dyDescent="0.35">
      <c r="P44076" s="1"/>
    </row>
    <row r="44077" spans="16:17" x14ac:dyDescent="0.35">
      <c r="P44077" s="1"/>
      <c r="Q44077" s="1"/>
    </row>
    <row r="44078" spans="16:17" x14ac:dyDescent="0.35">
      <c r="P44078" s="1"/>
    </row>
    <row r="44080" spans="16:17" x14ac:dyDescent="0.35">
      <c r="P44080" s="1"/>
    </row>
    <row r="44086" spans="16:17" x14ac:dyDescent="0.35">
      <c r="Q44086" s="1"/>
    </row>
    <row r="44089" spans="16:17" x14ac:dyDescent="0.35">
      <c r="Q44089" s="1"/>
    </row>
    <row r="44090" spans="16:17" x14ac:dyDescent="0.35">
      <c r="Q44090" s="1"/>
    </row>
    <row r="44091" spans="16:17" x14ac:dyDescent="0.35">
      <c r="P44091" s="1"/>
    </row>
    <row r="44092" spans="16:17" x14ac:dyDescent="0.35">
      <c r="P44092" s="1"/>
    </row>
    <row r="44094" spans="16:17" x14ac:dyDescent="0.35">
      <c r="P44094" s="1"/>
    </row>
    <row r="44097" spans="17:17" x14ac:dyDescent="0.35">
      <c r="Q44097" s="1"/>
    </row>
    <row r="44112" spans="17:17" x14ac:dyDescent="0.35">
      <c r="Q44112" s="1"/>
    </row>
    <row r="44119" spans="17:17" x14ac:dyDescent="0.35">
      <c r="Q44119" s="1"/>
    </row>
    <row r="44123" spans="17:17" x14ac:dyDescent="0.35">
      <c r="Q44123" s="1"/>
    </row>
    <row r="44127" spans="17:17" x14ac:dyDescent="0.35">
      <c r="Q44127" s="1"/>
    </row>
    <row r="44133" spans="16:17" x14ac:dyDescent="0.35">
      <c r="P44133" s="1"/>
    </row>
    <row r="44135" spans="16:17" x14ac:dyDescent="0.35">
      <c r="Q44135" s="1"/>
    </row>
    <row r="44139" spans="16:17" x14ac:dyDescent="0.35">
      <c r="Q44139" s="1"/>
    </row>
    <row r="44144" spans="16:17" x14ac:dyDescent="0.35">
      <c r="P44144" s="1"/>
      <c r="Q44144" s="1"/>
    </row>
    <row r="44153" spans="17:17" x14ac:dyDescent="0.35">
      <c r="Q44153" s="1"/>
    </row>
    <row r="44154" spans="17:17" x14ac:dyDescent="0.35">
      <c r="Q44154" s="1"/>
    </row>
    <row r="44161" spans="16:17" x14ac:dyDescent="0.35">
      <c r="Q44161" s="1"/>
    </row>
    <row r="44162" spans="16:17" x14ac:dyDescent="0.35">
      <c r="P44162" s="1"/>
    </row>
    <row r="44165" spans="16:17" x14ac:dyDescent="0.35">
      <c r="Q44165" s="1"/>
    </row>
    <row r="44167" spans="16:17" x14ac:dyDescent="0.35">
      <c r="Q44167" s="1"/>
    </row>
    <row r="44170" spans="16:17" x14ac:dyDescent="0.35">
      <c r="Q44170" s="1"/>
    </row>
    <row r="44174" spans="16:17" x14ac:dyDescent="0.35">
      <c r="P44174" s="1"/>
    </row>
    <row r="44176" spans="16:17" x14ac:dyDescent="0.35">
      <c r="P44176" s="1"/>
    </row>
    <row r="44178" spans="16:17" x14ac:dyDescent="0.35">
      <c r="Q44178" s="1"/>
    </row>
    <row r="44179" spans="16:17" x14ac:dyDescent="0.35">
      <c r="P44179" s="1"/>
    </row>
    <row r="44180" spans="16:17" x14ac:dyDescent="0.35">
      <c r="P44180" s="1"/>
    </row>
    <row r="44181" spans="16:17" x14ac:dyDescent="0.35">
      <c r="Q44181" s="1"/>
    </row>
    <row r="44182" spans="16:17" x14ac:dyDescent="0.35">
      <c r="P44182" s="1"/>
    </row>
    <row r="44183" spans="16:17" x14ac:dyDescent="0.35">
      <c r="Q44183" s="1"/>
    </row>
    <row r="44185" spans="16:17" x14ac:dyDescent="0.35">
      <c r="Q44185" s="1"/>
    </row>
    <row r="44188" spans="16:17" x14ac:dyDescent="0.35">
      <c r="Q44188" s="1"/>
    </row>
    <row r="44190" spans="16:17" x14ac:dyDescent="0.35">
      <c r="Q44190" s="1"/>
    </row>
    <row r="44196" spans="16:17" x14ac:dyDescent="0.35">
      <c r="Q44196" s="1"/>
    </row>
    <row r="44197" spans="16:17" x14ac:dyDescent="0.35">
      <c r="Q44197" s="1"/>
    </row>
    <row r="44200" spans="16:17" x14ac:dyDescent="0.35">
      <c r="Q44200" s="1"/>
    </row>
    <row r="44202" spans="16:17" x14ac:dyDescent="0.35">
      <c r="P44202" s="1"/>
    </row>
    <row r="44203" spans="16:17" x14ac:dyDescent="0.35">
      <c r="Q44203" s="1"/>
    </row>
    <row r="44210" spans="16:17" x14ac:dyDescent="0.35">
      <c r="P44210" s="1"/>
    </row>
    <row r="44216" spans="16:17" x14ac:dyDescent="0.35">
      <c r="Q44216" s="1"/>
    </row>
    <row r="44217" spans="16:17" x14ac:dyDescent="0.35">
      <c r="Q44217" s="1"/>
    </row>
    <row r="44218" spans="16:17" x14ac:dyDescent="0.35">
      <c r="Q44218" s="1"/>
    </row>
    <row r="44221" spans="16:17" x14ac:dyDescent="0.35">
      <c r="Q44221" s="1"/>
    </row>
    <row r="44223" spans="16:17" x14ac:dyDescent="0.35">
      <c r="Q44223" s="1"/>
    </row>
    <row r="44226" spans="16:17" x14ac:dyDescent="0.35">
      <c r="P44226" s="1"/>
    </row>
    <row r="44227" spans="16:17" x14ac:dyDescent="0.35">
      <c r="P44227" s="1"/>
      <c r="Q44227" s="1"/>
    </row>
    <row r="44229" spans="16:17" x14ac:dyDescent="0.35">
      <c r="Q44229" s="1"/>
    </row>
    <row r="44231" spans="16:17" x14ac:dyDescent="0.35">
      <c r="P44231" s="1"/>
      <c r="Q44231" s="1"/>
    </row>
    <row r="44235" spans="16:17" x14ac:dyDescent="0.35">
      <c r="Q44235" s="1"/>
    </row>
    <row r="44236" spans="16:17" x14ac:dyDescent="0.35">
      <c r="P44236" s="1"/>
      <c r="Q44236" s="1"/>
    </row>
    <row r="44237" spans="16:17" x14ac:dyDescent="0.35">
      <c r="Q44237" s="1"/>
    </row>
    <row r="44241" spans="16:17" x14ac:dyDescent="0.35">
      <c r="P44241" s="1"/>
    </row>
    <row r="44244" spans="16:17" x14ac:dyDescent="0.35">
      <c r="P44244" s="1"/>
    </row>
    <row r="44245" spans="16:17" x14ac:dyDescent="0.35">
      <c r="Q44245" s="1"/>
    </row>
    <row r="44246" spans="16:17" x14ac:dyDescent="0.35">
      <c r="Q44246" s="1"/>
    </row>
    <row r="44247" spans="16:17" x14ac:dyDescent="0.35">
      <c r="Q44247" s="1"/>
    </row>
    <row r="44248" spans="16:17" x14ac:dyDescent="0.35">
      <c r="Q44248" s="1"/>
    </row>
    <row r="44249" spans="16:17" x14ac:dyDescent="0.35">
      <c r="Q44249" s="1"/>
    </row>
    <row r="44251" spans="16:17" x14ac:dyDescent="0.35">
      <c r="Q44251" s="1"/>
    </row>
    <row r="44255" spans="16:17" x14ac:dyDescent="0.35">
      <c r="Q44255" s="1"/>
    </row>
    <row r="44256" spans="16:17" x14ac:dyDescent="0.35">
      <c r="Q44256" s="1"/>
    </row>
    <row r="44259" spans="16:17" x14ac:dyDescent="0.35">
      <c r="Q44259" s="1"/>
    </row>
    <row r="44260" spans="16:17" x14ac:dyDescent="0.35">
      <c r="Q44260" s="1"/>
    </row>
    <row r="44265" spans="16:17" x14ac:dyDescent="0.35">
      <c r="Q44265" s="1"/>
    </row>
    <row r="44266" spans="16:17" x14ac:dyDescent="0.35">
      <c r="P44266" s="1"/>
    </row>
    <row r="44267" spans="16:17" x14ac:dyDescent="0.35">
      <c r="Q44267" s="1"/>
    </row>
    <row r="44268" spans="16:17" x14ac:dyDescent="0.35">
      <c r="P44268" s="1"/>
      <c r="Q44268" s="1"/>
    </row>
    <row r="44269" spans="16:17" x14ac:dyDescent="0.35">
      <c r="P44269" s="1"/>
      <c r="Q44269" s="1"/>
    </row>
    <row r="44271" spans="16:17" x14ac:dyDescent="0.35">
      <c r="P44271" s="1"/>
    </row>
    <row r="44272" spans="16:17" x14ac:dyDescent="0.35">
      <c r="Q44272" s="1"/>
    </row>
    <row r="44276" spans="16:17" x14ac:dyDescent="0.35">
      <c r="Q44276" s="1"/>
    </row>
    <row r="44278" spans="16:17" x14ac:dyDescent="0.35">
      <c r="Q44278" s="1"/>
    </row>
    <row r="44280" spans="16:17" x14ac:dyDescent="0.35">
      <c r="P44280" s="1"/>
    </row>
    <row r="44281" spans="16:17" x14ac:dyDescent="0.35">
      <c r="P44281" s="1"/>
    </row>
    <row r="44282" spans="16:17" x14ac:dyDescent="0.35">
      <c r="Q44282" s="1"/>
    </row>
    <row r="44284" spans="16:17" x14ac:dyDescent="0.35">
      <c r="Q44284" s="1"/>
    </row>
    <row r="44294" spans="16:17" x14ac:dyDescent="0.35">
      <c r="P44294" s="1"/>
      <c r="Q44294" s="1"/>
    </row>
    <row r="44295" spans="16:17" x14ac:dyDescent="0.35">
      <c r="Q44295" s="1"/>
    </row>
    <row r="44296" spans="16:17" x14ac:dyDescent="0.35">
      <c r="P44296" s="1"/>
    </row>
    <row r="44297" spans="16:17" x14ac:dyDescent="0.35">
      <c r="P44297" s="1"/>
    </row>
    <row r="44298" spans="16:17" x14ac:dyDescent="0.35">
      <c r="P44298" s="1"/>
    </row>
    <row r="44300" spans="16:17" x14ac:dyDescent="0.35">
      <c r="Q44300" s="1"/>
    </row>
    <row r="44301" spans="16:17" x14ac:dyDescent="0.35">
      <c r="P44301" s="1"/>
    </row>
    <row r="44305" spans="16:17" x14ac:dyDescent="0.35">
      <c r="Q44305" s="1"/>
    </row>
    <row r="44307" spans="16:17" x14ac:dyDescent="0.35">
      <c r="Q44307" s="1"/>
    </row>
    <row r="44308" spans="16:17" x14ac:dyDescent="0.35">
      <c r="Q44308" s="1"/>
    </row>
    <row r="44314" spans="16:17" x14ac:dyDescent="0.35">
      <c r="P44314" s="1"/>
    </row>
    <row r="44315" spans="16:17" x14ac:dyDescent="0.35">
      <c r="P44315" s="1"/>
    </row>
    <row r="44321" spans="5:17" x14ac:dyDescent="0.35">
      <c r="P44321" s="1"/>
    </row>
    <row r="44322" spans="5:17" x14ac:dyDescent="0.35">
      <c r="Q44322" s="1"/>
    </row>
    <row r="44328" spans="5:17" x14ac:dyDescent="0.35">
      <c r="Q44328" s="1"/>
    </row>
    <row r="44330" spans="5:17" x14ac:dyDescent="0.35">
      <c r="E44330" s="1"/>
    </row>
    <row r="44331" spans="5:17" x14ac:dyDescent="0.35">
      <c r="Q44331" s="1"/>
    </row>
    <row r="44337" spans="16:17" x14ac:dyDescent="0.35">
      <c r="P44337" s="1"/>
    </row>
    <row r="44338" spans="16:17" x14ac:dyDescent="0.35">
      <c r="P44338" s="1"/>
      <c r="Q44338" s="1"/>
    </row>
    <row r="44339" spans="16:17" x14ac:dyDescent="0.35">
      <c r="Q44339" s="1"/>
    </row>
    <row r="44340" spans="16:17" x14ac:dyDescent="0.35">
      <c r="Q44340" s="1"/>
    </row>
    <row r="44341" spans="16:17" x14ac:dyDescent="0.35">
      <c r="P44341" s="1"/>
    </row>
    <row r="44343" spans="16:17" x14ac:dyDescent="0.35">
      <c r="Q44343" s="1"/>
    </row>
    <row r="44344" spans="16:17" x14ac:dyDescent="0.35">
      <c r="P44344" s="1"/>
    </row>
    <row r="44346" spans="16:17" x14ac:dyDescent="0.35">
      <c r="P44346" s="1"/>
    </row>
    <row r="44347" spans="16:17" x14ac:dyDescent="0.35">
      <c r="P44347" s="1"/>
      <c r="Q44347" s="1"/>
    </row>
    <row r="44348" spans="16:17" x14ac:dyDescent="0.35">
      <c r="Q44348" s="1"/>
    </row>
    <row r="44349" spans="16:17" x14ac:dyDescent="0.35">
      <c r="P44349" s="1"/>
    </row>
    <row r="44350" spans="16:17" x14ac:dyDescent="0.35">
      <c r="P44350" s="1"/>
      <c r="Q44350" s="1"/>
    </row>
    <row r="44351" spans="16:17" x14ac:dyDescent="0.35">
      <c r="P44351" s="1"/>
      <c r="Q44351" s="1"/>
    </row>
    <row r="44353" spans="16:17" x14ac:dyDescent="0.35">
      <c r="Q44353" s="1"/>
    </row>
    <row r="44358" spans="16:17" x14ac:dyDescent="0.35">
      <c r="P44358" s="1"/>
    </row>
    <row r="44359" spans="16:17" x14ac:dyDescent="0.35">
      <c r="Q44359" s="1"/>
    </row>
    <row r="44360" spans="16:17" x14ac:dyDescent="0.35">
      <c r="Q44360" s="1"/>
    </row>
    <row r="44366" spans="16:17" x14ac:dyDescent="0.35">
      <c r="Q44366" s="1"/>
    </row>
    <row r="44369" spans="16:17" x14ac:dyDescent="0.35">
      <c r="P44369" s="1"/>
    </row>
    <row r="44373" spans="16:17" x14ac:dyDescent="0.35">
      <c r="Q44373" s="1"/>
    </row>
    <row r="44377" spans="16:17" x14ac:dyDescent="0.35">
      <c r="P44377" s="1"/>
      <c r="Q44377" s="1"/>
    </row>
    <row r="44379" spans="16:17" x14ac:dyDescent="0.35">
      <c r="Q44379" s="1"/>
    </row>
    <row r="44380" spans="16:17" x14ac:dyDescent="0.35">
      <c r="Q44380" s="1"/>
    </row>
    <row r="44383" spans="16:17" x14ac:dyDescent="0.35">
      <c r="Q44383" s="1"/>
    </row>
    <row r="44385" spans="16:17" x14ac:dyDescent="0.35">
      <c r="Q44385" s="1"/>
    </row>
    <row r="44387" spans="16:17" x14ac:dyDescent="0.35">
      <c r="P44387" s="1"/>
    </row>
    <row r="44395" spans="16:17" x14ac:dyDescent="0.35">
      <c r="Q44395" s="1"/>
    </row>
    <row r="44399" spans="16:17" x14ac:dyDescent="0.35">
      <c r="Q44399" s="1"/>
    </row>
    <row r="44403" spans="17:17" x14ac:dyDescent="0.35">
      <c r="Q44403" s="1"/>
    </row>
    <row r="44406" spans="17:17" x14ac:dyDescent="0.35">
      <c r="Q44406" s="1"/>
    </row>
    <row r="44407" spans="17:17" x14ac:dyDescent="0.35">
      <c r="Q44407" s="1"/>
    </row>
    <row r="44409" spans="17:17" x14ac:dyDescent="0.35">
      <c r="Q44409" s="1"/>
    </row>
    <row r="44414" spans="17:17" x14ac:dyDescent="0.35">
      <c r="Q44414" s="1"/>
    </row>
    <row r="44418" spans="16:17" x14ac:dyDescent="0.35">
      <c r="Q44418" s="1"/>
    </row>
    <row r="44420" spans="16:17" x14ac:dyDescent="0.35">
      <c r="Q44420" s="1"/>
    </row>
    <row r="44421" spans="16:17" x14ac:dyDescent="0.35">
      <c r="Q44421" s="1"/>
    </row>
    <row r="44427" spans="16:17" x14ac:dyDescent="0.35">
      <c r="P44427" s="1"/>
    </row>
    <row r="44433" spans="16:17" x14ac:dyDescent="0.35">
      <c r="P44433" s="1"/>
    </row>
    <row r="44435" spans="16:17" x14ac:dyDescent="0.35">
      <c r="Q44435" s="1"/>
    </row>
    <row r="44436" spans="16:17" x14ac:dyDescent="0.35">
      <c r="P44436" s="1"/>
    </row>
    <row r="44441" spans="16:17" x14ac:dyDescent="0.35">
      <c r="P44441" s="1"/>
      <c r="Q44441" s="1"/>
    </row>
    <row r="44442" spans="16:17" x14ac:dyDescent="0.35">
      <c r="P44442" s="1"/>
    </row>
    <row r="44443" spans="16:17" x14ac:dyDescent="0.35">
      <c r="P44443" s="1"/>
    </row>
    <row r="44445" spans="16:17" x14ac:dyDescent="0.35">
      <c r="P44445" s="1"/>
      <c r="Q44445" s="1"/>
    </row>
    <row r="44446" spans="16:17" x14ac:dyDescent="0.35">
      <c r="Q44446" s="1"/>
    </row>
    <row r="44447" spans="16:17" x14ac:dyDescent="0.35">
      <c r="P44447" s="1"/>
    </row>
    <row r="44448" spans="16:17" x14ac:dyDescent="0.35">
      <c r="Q44448" s="1"/>
    </row>
    <row r="44450" spans="16:17" x14ac:dyDescent="0.35">
      <c r="Q44450" s="1"/>
    </row>
    <row r="44453" spans="16:17" x14ac:dyDescent="0.35">
      <c r="Q44453" s="1"/>
    </row>
    <row r="44464" spans="16:17" x14ac:dyDescent="0.35">
      <c r="P44464" s="1"/>
    </row>
    <row r="44472" spans="16:17" x14ac:dyDescent="0.35">
      <c r="P44472" s="1"/>
    </row>
    <row r="44476" spans="16:17" x14ac:dyDescent="0.35">
      <c r="Q44476" s="1"/>
    </row>
    <row r="44477" spans="16:17" x14ac:dyDescent="0.35">
      <c r="P44477" s="1"/>
    </row>
    <row r="44481" spans="16:17" x14ac:dyDescent="0.35">
      <c r="P44481" s="1"/>
      <c r="Q44481" s="1"/>
    </row>
    <row r="44483" spans="16:17" x14ac:dyDescent="0.35">
      <c r="Q44483" s="1"/>
    </row>
    <row r="44486" spans="16:17" x14ac:dyDescent="0.35">
      <c r="Q44486" s="1"/>
    </row>
    <row r="44487" spans="16:17" x14ac:dyDescent="0.35">
      <c r="P44487" s="1"/>
    </row>
    <row r="44488" spans="16:17" x14ac:dyDescent="0.35">
      <c r="P44488" s="1"/>
      <c r="Q44488" s="1"/>
    </row>
    <row r="44493" spans="16:17" x14ac:dyDescent="0.35">
      <c r="P44493" s="1"/>
    </row>
    <row r="44494" spans="16:17" x14ac:dyDescent="0.35">
      <c r="P44494" s="1"/>
      <c r="Q44494" s="1"/>
    </row>
    <row r="44496" spans="16:17" x14ac:dyDescent="0.35">
      <c r="P44496" s="1"/>
    </row>
    <row r="44498" spans="16:17" x14ac:dyDescent="0.35">
      <c r="Q44498" s="1"/>
    </row>
    <row r="44499" spans="16:17" x14ac:dyDescent="0.35">
      <c r="Q44499" s="1"/>
    </row>
    <row r="44500" spans="16:17" x14ac:dyDescent="0.35">
      <c r="Q44500" s="1"/>
    </row>
    <row r="44501" spans="16:17" x14ac:dyDescent="0.35">
      <c r="P44501" s="1"/>
    </row>
    <row r="44503" spans="16:17" x14ac:dyDescent="0.35">
      <c r="Q44503" s="1"/>
    </row>
    <row r="44508" spans="16:17" x14ac:dyDescent="0.35">
      <c r="P44508" s="1"/>
    </row>
    <row r="44510" spans="16:17" x14ac:dyDescent="0.35">
      <c r="Q44510" s="1"/>
    </row>
    <row r="44525" spans="16:17" x14ac:dyDescent="0.35">
      <c r="P44525" s="1"/>
    </row>
    <row r="44526" spans="16:17" x14ac:dyDescent="0.35">
      <c r="Q44526" s="1"/>
    </row>
    <row r="44528" spans="16:17" x14ac:dyDescent="0.35">
      <c r="Q44528" s="1"/>
    </row>
    <row r="44529" spans="16:17" x14ac:dyDescent="0.35">
      <c r="Q44529" s="1"/>
    </row>
    <row r="44531" spans="16:17" x14ac:dyDescent="0.35">
      <c r="P44531" s="1"/>
      <c r="Q44531" s="1"/>
    </row>
    <row r="44533" spans="16:17" x14ac:dyDescent="0.35">
      <c r="Q44533" s="1"/>
    </row>
    <row r="44535" spans="16:17" x14ac:dyDescent="0.35">
      <c r="Q44535" s="1"/>
    </row>
    <row r="44536" spans="16:17" x14ac:dyDescent="0.35">
      <c r="Q44536" s="1"/>
    </row>
    <row r="44537" spans="16:17" x14ac:dyDescent="0.35">
      <c r="P44537" s="1"/>
    </row>
    <row r="44539" spans="16:17" x14ac:dyDescent="0.35">
      <c r="P44539" s="1"/>
    </row>
    <row r="44540" spans="16:17" x14ac:dyDescent="0.35">
      <c r="P44540" s="1"/>
    </row>
    <row r="44541" spans="16:17" x14ac:dyDescent="0.35">
      <c r="Q44541" s="1"/>
    </row>
    <row r="44543" spans="16:17" x14ac:dyDescent="0.35">
      <c r="Q44543" s="1"/>
    </row>
    <row r="44547" spans="16:17" x14ac:dyDescent="0.35">
      <c r="Q44547" s="1"/>
    </row>
    <row r="44548" spans="16:17" x14ac:dyDescent="0.35">
      <c r="P44548" s="1"/>
    </row>
    <row r="44550" spans="16:17" x14ac:dyDescent="0.35">
      <c r="P44550" s="1"/>
    </row>
    <row r="44552" spans="16:17" x14ac:dyDescent="0.35">
      <c r="Q44552" s="1"/>
    </row>
    <row r="44553" spans="16:17" x14ac:dyDescent="0.35">
      <c r="Q44553" s="1"/>
    </row>
    <row r="44556" spans="16:17" x14ac:dyDescent="0.35">
      <c r="Q44556" s="1"/>
    </row>
    <row r="44557" spans="16:17" x14ac:dyDescent="0.35">
      <c r="P44557" s="1"/>
    </row>
    <row r="44558" spans="16:17" x14ac:dyDescent="0.35">
      <c r="P44558" s="1"/>
    </row>
    <row r="44560" spans="16:17" x14ac:dyDescent="0.35">
      <c r="Q44560" s="1"/>
    </row>
    <row r="44562" spans="17:17" x14ac:dyDescent="0.35">
      <c r="Q44562" s="1"/>
    </row>
    <row r="44563" spans="17:17" x14ac:dyDescent="0.35">
      <c r="Q44563" s="1"/>
    </row>
    <row r="44565" spans="17:17" x14ac:dyDescent="0.35">
      <c r="Q44565" s="1"/>
    </row>
    <row r="44569" spans="17:17" x14ac:dyDescent="0.35">
      <c r="Q44569" s="1"/>
    </row>
    <row r="44571" spans="17:17" x14ac:dyDescent="0.35">
      <c r="Q44571" s="1"/>
    </row>
    <row r="44572" spans="17:17" x14ac:dyDescent="0.35">
      <c r="Q44572" s="1"/>
    </row>
    <row r="44579" spans="16:17" x14ac:dyDescent="0.35">
      <c r="P44579" s="1"/>
    </row>
    <row r="44583" spans="16:17" x14ac:dyDescent="0.35">
      <c r="P44583" s="1"/>
    </row>
    <row r="44584" spans="16:17" x14ac:dyDescent="0.35">
      <c r="P44584" s="1"/>
      <c r="Q44584" s="1"/>
    </row>
    <row r="44585" spans="16:17" x14ac:dyDescent="0.35">
      <c r="Q44585" s="1"/>
    </row>
    <row r="44587" spans="16:17" x14ac:dyDescent="0.35">
      <c r="Q44587" s="1"/>
    </row>
    <row r="44590" spans="16:17" x14ac:dyDescent="0.35">
      <c r="Q44590" s="1"/>
    </row>
    <row r="44591" spans="16:17" x14ac:dyDescent="0.35">
      <c r="P44591" s="1"/>
    </row>
    <row r="44593" spans="16:17" x14ac:dyDescent="0.35">
      <c r="P44593" s="1"/>
    </row>
    <row r="44596" spans="16:17" x14ac:dyDescent="0.35">
      <c r="P44596" s="1"/>
      <c r="Q44596" s="1"/>
    </row>
    <row r="44597" spans="16:17" x14ac:dyDescent="0.35">
      <c r="Q44597" s="1"/>
    </row>
    <row r="44600" spans="16:17" x14ac:dyDescent="0.35">
      <c r="P44600" s="1"/>
    </row>
    <row r="44601" spans="16:17" x14ac:dyDescent="0.35">
      <c r="Q44601" s="1"/>
    </row>
    <row r="44603" spans="16:17" x14ac:dyDescent="0.35">
      <c r="P44603" s="1"/>
      <c r="Q44603" s="1"/>
    </row>
    <row r="44604" spans="16:17" x14ac:dyDescent="0.35">
      <c r="Q44604" s="1"/>
    </row>
    <row r="44607" spans="16:17" x14ac:dyDescent="0.35">
      <c r="Q44607" s="1"/>
    </row>
    <row r="44613" spans="17:17" x14ac:dyDescent="0.35">
      <c r="Q44613" s="1"/>
    </row>
    <row r="44617" spans="17:17" x14ac:dyDescent="0.35">
      <c r="Q44617" s="1"/>
    </row>
    <row r="44618" spans="17:17" x14ac:dyDescent="0.35">
      <c r="Q44618" s="1"/>
    </row>
    <row r="44625" spans="16:17" x14ac:dyDescent="0.35">
      <c r="Q44625" s="1"/>
    </row>
    <row r="44629" spans="16:17" x14ac:dyDescent="0.35">
      <c r="P44629" s="1"/>
      <c r="Q44629" s="1"/>
    </row>
    <row r="44633" spans="16:17" x14ac:dyDescent="0.35">
      <c r="Q44633" s="1"/>
    </row>
    <row r="44634" spans="16:17" x14ac:dyDescent="0.35">
      <c r="Q44634" s="1"/>
    </row>
    <row r="44636" spans="16:17" x14ac:dyDescent="0.35">
      <c r="Q44636" s="1"/>
    </row>
    <row r="44637" spans="16:17" x14ac:dyDescent="0.35">
      <c r="P44637" s="1"/>
    </row>
    <row r="44638" spans="16:17" x14ac:dyDescent="0.35">
      <c r="Q44638" s="1"/>
    </row>
    <row r="44640" spans="16:17" x14ac:dyDescent="0.35">
      <c r="Q44640" s="1"/>
    </row>
    <row r="44643" spans="17:17" x14ac:dyDescent="0.35">
      <c r="Q44643" s="1"/>
    </row>
    <row r="44645" spans="17:17" x14ac:dyDescent="0.35">
      <c r="Q44645" s="1"/>
    </row>
    <row r="44652" spans="17:17" x14ac:dyDescent="0.35">
      <c r="Q44652" s="1"/>
    </row>
    <row r="44655" spans="17:17" x14ac:dyDescent="0.35">
      <c r="Q44655" s="1"/>
    </row>
    <row r="44659" spans="16:17" x14ac:dyDescent="0.35">
      <c r="Q44659" s="1"/>
    </row>
    <row r="44663" spans="16:17" x14ac:dyDescent="0.35">
      <c r="Q44663" s="1"/>
    </row>
    <row r="44666" spans="16:17" x14ac:dyDescent="0.35">
      <c r="Q44666" s="1"/>
    </row>
    <row r="44668" spans="16:17" x14ac:dyDescent="0.35">
      <c r="P44668" s="1"/>
    </row>
    <row r="44671" spans="16:17" x14ac:dyDescent="0.35">
      <c r="Q44671" s="1"/>
    </row>
    <row r="44672" spans="16:17" x14ac:dyDescent="0.35">
      <c r="P44672" s="1"/>
    </row>
    <row r="44674" spans="16:17" x14ac:dyDescent="0.35">
      <c r="Q44674" s="1"/>
    </row>
    <row r="44675" spans="16:17" x14ac:dyDescent="0.35">
      <c r="Q44675" s="1"/>
    </row>
    <row r="44678" spans="16:17" x14ac:dyDescent="0.35">
      <c r="P44678" s="1"/>
    </row>
    <row r="44680" spans="16:17" x14ac:dyDescent="0.35">
      <c r="Q44680" s="1"/>
    </row>
    <row r="44682" spans="16:17" x14ac:dyDescent="0.35">
      <c r="P44682" s="1"/>
    </row>
    <row r="44683" spans="16:17" x14ac:dyDescent="0.35">
      <c r="Q44683" s="1"/>
    </row>
    <row r="44684" spans="16:17" x14ac:dyDescent="0.35">
      <c r="P44684" s="1"/>
      <c r="Q44684" s="1"/>
    </row>
    <row r="44689" spans="16:17" x14ac:dyDescent="0.35">
      <c r="Q44689" s="1"/>
    </row>
    <row r="44691" spans="16:17" x14ac:dyDescent="0.35">
      <c r="P44691" s="1"/>
    </row>
    <row r="44693" spans="16:17" x14ac:dyDescent="0.35">
      <c r="Q44693" s="1"/>
    </row>
    <row r="44706" spans="16:17" x14ac:dyDescent="0.35">
      <c r="Q44706" s="1"/>
    </row>
    <row r="44708" spans="16:17" x14ac:dyDescent="0.35">
      <c r="Q44708" s="1"/>
    </row>
    <row r="44714" spans="16:17" x14ac:dyDescent="0.35">
      <c r="P44714" s="1"/>
      <c r="Q44714" s="1"/>
    </row>
    <row r="44718" spans="16:17" x14ac:dyDescent="0.35">
      <c r="Q44718" s="1"/>
    </row>
    <row r="44719" spans="16:17" x14ac:dyDescent="0.35">
      <c r="P44719" s="1"/>
    </row>
    <row r="44726" spans="16:17" x14ac:dyDescent="0.35">
      <c r="P44726" s="1"/>
    </row>
    <row r="44727" spans="16:17" x14ac:dyDescent="0.35">
      <c r="Q44727" s="1"/>
    </row>
    <row r="44729" spans="16:17" x14ac:dyDescent="0.35">
      <c r="P44729" s="1"/>
      <c r="Q44729" s="1"/>
    </row>
    <row r="44731" spans="16:17" x14ac:dyDescent="0.35">
      <c r="Q44731" s="1"/>
    </row>
    <row r="44735" spans="16:17" x14ac:dyDescent="0.35">
      <c r="P44735" s="1"/>
    </row>
    <row r="44736" spans="16:17" x14ac:dyDescent="0.35">
      <c r="Q44736" s="1"/>
    </row>
    <row r="44737" spans="6:17" x14ac:dyDescent="0.35">
      <c r="P44737" s="1"/>
      <c r="Q44737" s="1"/>
    </row>
    <row r="44739" spans="6:17" x14ac:dyDescent="0.35">
      <c r="F44739" s="5"/>
      <c r="Q44739" s="1"/>
    </row>
    <row r="44742" spans="6:17" x14ac:dyDescent="0.35">
      <c r="Q44742" s="1"/>
    </row>
    <row r="44743" spans="6:17" x14ac:dyDescent="0.35">
      <c r="Q44743" s="1"/>
    </row>
    <row r="44744" spans="6:17" x14ac:dyDescent="0.35">
      <c r="P44744" s="1"/>
    </row>
    <row r="44745" spans="6:17" x14ac:dyDescent="0.35">
      <c r="P44745" s="1"/>
    </row>
    <row r="44746" spans="6:17" x14ac:dyDescent="0.35">
      <c r="P44746" s="1"/>
    </row>
    <row r="44748" spans="6:17" x14ac:dyDescent="0.35">
      <c r="P44748" s="1"/>
    </row>
    <row r="44750" spans="6:17" x14ac:dyDescent="0.35">
      <c r="Q44750" s="1"/>
    </row>
    <row r="44751" spans="6:17" x14ac:dyDescent="0.35">
      <c r="Q44751" s="1"/>
    </row>
    <row r="44753" spans="16:17" x14ac:dyDescent="0.35">
      <c r="P44753" s="1"/>
      <c r="Q44753" s="1"/>
    </row>
    <row r="44754" spans="16:17" x14ac:dyDescent="0.35">
      <c r="Q44754" s="1"/>
    </row>
    <row r="44756" spans="16:17" x14ac:dyDescent="0.35">
      <c r="P44756" s="1"/>
    </row>
    <row r="44757" spans="16:17" x14ac:dyDescent="0.35">
      <c r="Q44757" s="1"/>
    </row>
    <row r="44760" spans="16:17" x14ac:dyDescent="0.35">
      <c r="Q44760" s="1"/>
    </row>
    <row r="44761" spans="16:17" x14ac:dyDescent="0.35">
      <c r="P44761" s="1"/>
    </row>
    <row r="44764" spans="16:17" x14ac:dyDescent="0.35">
      <c r="P44764" s="1"/>
    </row>
    <row r="44767" spans="16:17" x14ac:dyDescent="0.35">
      <c r="Q44767" s="1"/>
    </row>
    <row r="44768" spans="16:17" x14ac:dyDescent="0.35">
      <c r="P44768" s="1"/>
    </row>
    <row r="44773" spans="16:17" x14ac:dyDescent="0.35">
      <c r="Q44773" s="1"/>
    </row>
    <row r="44774" spans="16:17" x14ac:dyDescent="0.35">
      <c r="Q44774" s="1"/>
    </row>
    <row r="44775" spans="16:17" x14ac:dyDescent="0.35">
      <c r="Q44775" s="1"/>
    </row>
    <row r="44776" spans="16:17" x14ac:dyDescent="0.35">
      <c r="Q44776" s="1"/>
    </row>
    <row r="44777" spans="16:17" x14ac:dyDescent="0.35">
      <c r="P44777" s="1"/>
      <c r="Q44777" s="1"/>
    </row>
    <row r="44778" spans="16:17" x14ac:dyDescent="0.35">
      <c r="P44778" s="1"/>
    </row>
    <row r="44780" spans="16:17" x14ac:dyDescent="0.35">
      <c r="Q44780" s="1"/>
    </row>
    <row r="44781" spans="16:17" x14ac:dyDescent="0.35">
      <c r="Q44781" s="1"/>
    </row>
    <row r="44783" spans="16:17" x14ac:dyDescent="0.35">
      <c r="Q44783" s="1"/>
    </row>
    <row r="44784" spans="16:17" x14ac:dyDescent="0.35">
      <c r="Q44784" s="1"/>
    </row>
    <row r="44786" spans="16:17" x14ac:dyDescent="0.35">
      <c r="Q44786" s="1"/>
    </row>
    <row r="44789" spans="16:17" x14ac:dyDescent="0.35">
      <c r="P44789" s="1"/>
    </row>
    <row r="44791" spans="16:17" x14ac:dyDescent="0.35">
      <c r="Q44791" s="1"/>
    </row>
    <row r="44792" spans="16:17" x14ac:dyDescent="0.35">
      <c r="Q44792" s="1"/>
    </row>
    <row r="44794" spans="16:17" x14ac:dyDescent="0.35">
      <c r="P44794" s="1"/>
    </row>
    <row r="44795" spans="16:17" x14ac:dyDescent="0.35">
      <c r="Q44795" s="1"/>
    </row>
    <row r="44796" spans="16:17" x14ac:dyDescent="0.35">
      <c r="P44796" s="1"/>
    </row>
    <row r="44800" spans="16:17" x14ac:dyDescent="0.35">
      <c r="Q44800" s="1"/>
    </row>
    <row r="44809" spans="16:17" x14ac:dyDescent="0.35">
      <c r="P44809" s="1"/>
      <c r="Q44809" s="1"/>
    </row>
    <row r="44814" spans="16:17" x14ac:dyDescent="0.35">
      <c r="P44814" s="1"/>
    </row>
    <row r="44816" spans="16:17" x14ac:dyDescent="0.35">
      <c r="Q44816" s="1"/>
    </row>
    <row r="44819" spans="16:17" x14ac:dyDescent="0.35">
      <c r="P44819" s="1"/>
    </row>
    <row r="44820" spans="16:17" x14ac:dyDescent="0.35">
      <c r="Q44820" s="1"/>
    </row>
    <row r="44822" spans="16:17" x14ac:dyDescent="0.35">
      <c r="Q44822" s="1"/>
    </row>
    <row r="44825" spans="16:17" x14ac:dyDescent="0.35">
      <c r="Q44825" s="1"/>
    </row>
    <row r="44826" spans="16:17" x14ac:dyDescent="0.35">
      <c r="Q44826" s="1"/>
    </row>
    <row r="44829" spans="16:17" x14ac:dyDescent="0.35">
      <c r="Q44829" s="1"/>
    </row>
    <row r="44830" spans="16:17" x14ac:dyDescent="0.35">
      <c r="Q44830" s="1"/>
    </row>
    <row r="44831" spans="16:17" x14ac:dyDescent="0.35">
      <c r="P44831" s="1"/>
      <c r="Q44831" s="1"/>
    </row>
    <row r="44834" spans="16:17" x14ac:dyDescent="0.35">
      <c r="Q44834" s="1"/>
    </row>
    <row r="44835" spans="16:17" x14ac:dyDescent="0.35">
      <c r="P44835" s="1"/>
    </row>
    <row r="44836" spans="16:17" x14ac:dyDescent="0.35">
      <c r="P44836" s="1"/>
    </row>
    <row r="44839" spans="16:17" x14ac:dyDescent="0.35">
      <c r="Q44839" s="1"/>
    </row>
    <row r="44843" spans="16:17" x14ac:dyDescent="0.35">
      <c r="Q44843" s="1"/>
    </row>
    <row r="44848" spans="16:17" x14ac:dyDescent="0.35">
      <c r="P44848" s="1"/>
    </row>
    <row r="44849" spans="16:17" x14ac:dyDescent="0.35">
      <c r="Q44849" s="1"/>
    </row>
    <row r="44850" spans="16:17" x14ac:dyDescent="0.35">
      <c r="Q44850" s="1"/>
    </row>
    <row r="44854" spans="16:17" x14ac:dyDescent="0.35">
      <c r="Q44854" s="1"/>
    </row>
    <row r="44859" spans="16:17" x14ac:dyDescent="0.35">
      <c r="P44859" s="1"/>
    </row>
    <row r="44860" spans="16:17" x14ac:dyDescent="0.35">
      <c r="Q44860" s="1"/>
    </row>
    <row r="44861" spans="16:17" x14ac:dyDescent="0.35">
      <c r="P44861" s="1"/>
    </row>
    <row r="44869" spans="16:17" x14ac:dyDescent="0.35">
      <c r="P44869" s="1"/>
    </row>
    <row r="44872" spans="16:17" x14ac:dyDescent="0.35">
      <c r="Q44872" s="1"/>
    </row>
    <row r="44873" spans="16:17" x14ac:dyDescent="0.35">
      <c r="P44873" s="1"/>
    </row>
    <row r="44877" spans="16:17" x14ac:dyDescent="0.35">
      <c r="P44877" s="1"/>
    </row>
    <row r="44879" spans="16:17" x14ac:dyDescent="0.35">
      <c r="Q44879" s="1"/>
    </row>
    <row r="44881" spans="16:17" x14ac:dyDescent="0.35">
      <c r="Q44881" s="1"/>
    </row>
    <row r="44885" spans="16:17" x14ac:dyDescent="0.35">
      <c r="Q44885" s="1"/>
    </row>
    <row r="44889" spans="16:17" x14ac:dyDescent="0.35">
      <c r="Q44889" s="1"/>
    </row>
    <row r="44891" spans="16:17" x14ac:dyDescent="0.35">
      <c r="Q44891" s="1"/>
    </row>
    <row r="44892" spans="16:17" x14ac:dyDescent="0.35">
      <c r="P44892" s="1"/>
    </row>
    <row r="44901" spans="16:17" x14ac:dyDescent="0.35">
      <c r="P44901" s="1"/>
    </row>
    <row r="44904" spans="16:17" x14ac:dyDescent="0.35">
      <c r="Q44904" s="1"/>
    </row>
    <row r="44910" spans="16:17" x14ac:dyDescent="0.35">
      <c r="Q44910" s="1"/>
    </row>
    <row r="44912" spans="16:17" x14ac:dyDescent="0.35">
      <c r="Q44912" s="1"/>
    </row>
    <row r="44913" spans="16:17" x14ac:dyDescent="0.35">
      <c r="P44913" s="1"/>
    </row>
    <row r="44919" spans="16:17" x14ac:dyDescent="0.35">
      <c r="P44919" s="1"/>
    </row>
    <row r="44921" spans="16:17" x14ac:dyDescent="0.35">
      <c r="P44921" s="1"/>
    </row>
    <row r="44924" spans="16:17" x14ac:dyDescent="0.35">
      <c r="Q44924" s="1"/>
    </row>
    <row r="44926" spans="16:17" x14ac:dyDescent="0.35">
      <c r="P44926" s="1"/>
    </row>
    <row r="44927" spans="16:17" x14ac:dyDescent="0.35">
      <c r="Q44927" s="1"/>
    </row>
    <row r="44931" spans="16:17" x14ac:dyDescent="0.35">
      <c r="Q44931" s="1"/>
    </row>
    <row r="44932" spans="16:17" x14ac:dyDescent="0.35">
      <c r="Q44932" s="1"/>
    </row>
    <row r="44935" spans="16:17" x14ac:dyDescent="0.35">
      <c r="Q44935" s="1"/>
    </row>
    <row r="44938" spans="16:17" x14ac:dyDescent="0.35">
      <c r="P44938" s="1"/>
    </row>
    <row r="44939" spans="16:17" x14ac:dyDescent="0.35">
      <c r="Q44939" s="1"/>
    </row>
    <row r="44941" spans="16:17" x14ac:dyDescent="0.35">
      <c r="Q44941" s="1"/>
    </row>
    <row r="44942" spans="16:17" x14ac:dyDescent="0.35">
      <c r="P44942" s="1"/>
    </row>
    <row r="44946" spans="16:17" x14ac:dyDescent="0.35">
      <c r="Q44946" s="1"/>
    </row>
    <row r="44947" spans="16:17" x14ac:dyDescent="0.35">
      <c r="Q44947" s="1"/>
    </row>
    <row r="44950" spans="16:17" x14ac:dyDescent="0.35">
      <c r="P44950" s="1"/>
      <c r="Q44950" s="1"/>
    </row>
    <row r="44951" spans="16:17" x14ac:dyDescent="0.35">
      <c r="Q44951" s="1"/>
    </row>
    <row r="44956" spans="16:17" x14ac:dyDescent="0.35">
      <c r="Q44956" s="1"/>
    </row>
    <row r="44963" spans="16:17" x14ac:dyDescent="0.35">
      <c r="Q44963" s="1"/>
    </row>
    <row r="44965" spans="16:17" x14ac:dyDescent="0.35">
      <c r="P44965" s="1"/>
    </row>
    <row r="44966" spans="16:17" x14ac:dyDescent="0.35">
      <c r="Q44966" s="1"/>
    </row>
    <row r="44967" spans="16:17" x14ac:dyDescent="0.35">
      <c r="P44967" s="1"/>
    </row>
    <row r="44968" spans="16:17" x14ac:dyDescent="0.35">
      <c r="Q44968" s="1"/>
    </row>
    <row r="44972" spans="16:17" x14ac:dyDescent="0.35">
      <c r="Q44972" s="1"/>
    </row>
    <row r="44973" spans="16:17" x14ac:dyDescent="0.35">
      <c r="Q44973" s="1"/>
    </row>
    <row r="44975" spans="16:17" x14ac:dyDescent="0.35">
      <c r="Q44975" s="1"/>
    </row>
    <row r="44976" spans="16:17" x14ac:dyDescent="0.35">
      <c r="P44976" s="1"/>
    </row>
    <row r="44977" spans="16:17" x14ac:dyDescent="0.35">
      <c r="P44977" s="1"/>
      <c r="Q44977" s="1"/>
    </row>
    <row r="44979" spans="16:17" x14ac:dyDescent="0.35">
      <c r="Q44979" s="1"/>
    </row>
    <row r="44985" spans="16:17" x14ac:dyDescent="0.35">
      <c r="P44985" s="1"/>
    </row>
    <row r="44986" spans="16:17" x14ac:dyDescent="0.35">
      <c r="P44986" s="1"/>
    </row>
    <row r="44991" spans="16:17" x14ac:dyDescent="0.35">
      <c r="P44991" s="1"/>
    </row>
    <row r="44995" spans="16:17" x14ac:dyDescent="0.35">
      <c r="P44995" s="1"/>
    </row>
    <row r="44996" spans="16:17" x14ac:dyDescent="0.35">
      <c r="Q44996" s="1"/>
    </row>
    <row r="44997" spans="16:17" x14ac:dyDescent="0.35">
      <c r="P44997" s="1"/>
    </row>
    <row r="44999" spans="16:17" x14ac:dyDescent="0.35">
      <c r="Q44999" s="1"/>
    </row>
    <row r="45004" spans="16:17" x14ac:dyDescent="0.35">
      <c r="Q45004" s="1"/>
    </row>
    <row r="45006" spans="16:17" x14ac:dyDescent="0.35">
      <c r="Q45006" s="1"/>
    </row>
    <row r="45029" spans="17:17" x14ac:dyDescent="0.35">
      <c r="Q45029" s="1"/>
    </row>
    <row r="45030" spans="17:17" x14ac:dyDescent="0.35">
      <c r="Q45030" s="1"/>
    </row>
    <row r="45032" spans="17:17" x14ac:dyDescent="0.35">
      <c r="Q45032" s="1"/>
    </row>
    <row r="45036" spans="17:17" x14ac:dyDescent="0.35">
      <c r="Q45036" s="1"/>
    </row>
    <row r="45039" spans="17:17" x14ac:dyDescent="0.35">
      <c r="Q45039" s="1"/>
    </row>
    <row r="45042" spans="17:17" x14ac:dyDescent="0.35">
      <c r="Q45042" s="1"/>
    </row>
    <row r="45044" spans="17:17" x14ac:dyDescent="0.35">
      <c r="Q45044" s="1"/>
    </row>
    <row r="45045" spans="17:17" x14ac:dyDescent="0.35">
      <c r="Q45045" s="1"/>
    </row>
    <row r="45046" spans="17:17" x14ac:dyDescent="0.35">
      <c r="Q45046" s="1"/>
    </row>
    <row r="45068" spans="17:17" x14ac:dyDescent="0.35">
      <c r="Q45068" s="1"/>
    </row>
    <row r="45073" spans="17:17" x14ac:dyDescent="0.35">
      <c r="Q45073" s="1"/>
    </row>
    <row r="45086" spans="17:17" x14ac:dyDescent="0.35">
      <c r="Q45086" s="1"/>
    </row>
    <row r="45090" spans="17:17" x14ac:dyDescent="0.35">
      <c r="Q45090" s="1"/>
    </row>
    <row r="45112" spans="17:17" x14ac:dyDescent="0.35">
      <c r="Q45112" s="1"/>
    </row>
    <row r="45121" spans="17:17" x14ac:dyDescent="0.35">
      <c r="Q45121" s="1"/>
    </row>
    <row r="45124" spans="17:17" x14ac:dyDescent="0.35">
      <c r="Q45124" s="1"/>
    </row>
    <row r="45128" spans="17:17" x14ac:dyDescent="0.35">
      <c r="Q45128" s="1"/>
    </row>
    <row r="45144" spans="17:17" x14ac:dyDescent="0.35">
      <c r="Q45144" s="1"/>
    </row>
    <row r="45145" spans="17:17" x14ac:dyDescent="0.35">
      <c r="Q45145" s="1"/>
    </row>
    <row r="45148" spans="17:17" x14ac:dyDescent="0.35">
      <c r="Q45148" s="1"/>
    </row>
    <row r="45168" spans="17:17" x14ac:dyDescent="0.35">
      <c r="Q45168" s="1"/>
    </row>
    <row r="45178" spans="17:17" x14ac:dyDescent="0.35">
      <c r="Q45178" s="1"/>
    </row>
    <row r="45179" spans="17:17" x14ac:dyDescent="0.35">
      <c r="Q45179" s="1"/>
    </row>
    <row r="45184" spans="17:17" x14ac:dyDescent="0.35">
      <c r="Q45184" s="1"/>
    </row>
    <row r="45189" spans="17:17" x14ac:dyDescent="0.35">
      <c r="Q45189" s="1"/>
    </row>
    <row r="45196" spans="17:17" x14ac:dyDescent="0.35">
      <c r="Q45196" s="1"/>
    </row>
    <row r="45206" spans="17:17" x14ac:dyDescent="0.35">
      <c r="Q45206" s="1"/>
    </row>
    <row r="45207" spans="17:17" x14ac:dyDescent="0.35">
      <c r="Q45207" s="1"/>
    </row>
    <row r="45247" spans="17:17" x14ac:dyDescent="0.35">
      <c r="Q45247" s="1"/>
    </row>
    <row r="45249" spans="17:17" x14ac:dyDescent="0.35">
      <c r="Q45249" s="1"/>
    </row>
    <row r="45250" spans="17:17" x14ac:dyDescent="0.35">
      <c r="Q45250" s="1"/>
    </row>
    <row r="45266" spans="17:17" x14ac:dyDescent="0.35">
      <c r="Q45266" s="1"/>
    </row>
    <row r="45275" spans="17:17" x14ac:dyDescent="0.35">
      <c r="Q45275" s="1"/>
    </row>
    <row r="45293" spans="17:17" x14ac:dyDescent="0.35">
      <c r="Q45293" s="1"/>
    </row>
    <row r="45294" spans="17:17" x14ac:dyDescent="0.35">
      <c r="Q45294" s="1"/>
    </row>
    <row r="45299" spans="17:17" x14ac:dyDescent="0.35">
      <c r="Q45299" s="1"/>
    </row>
    <row r="45300" spans="17:17" x14ac:dyDescent="0.35">
      <c r="Q45300" s="1"/>
    </row>
    <row r="45319" spans="17:17" x14ac:dyDescent="0.35">
      <c r="Q45319" s="1"/>
    </row>
    <row r="45320" spans="17:17" x14ac:dyDescent="0.35">
      <c r="Q45320" s="1"/>
    </row>
    <row r="45325" spans="17:17" x14ac:dyDescent="0.35">
      <c r="Q45325" s="1"/>
    </row>
    <row r="45328" spans="17:17" x14ac:dyDescent="0.35">
      <c r="Q45328" s="1"/>
    </row>
    <row r="45331" spans="17:17" x14ac:dyDescent="0.35">
      <c r="Q45331" s="1"/>
    </row>
    <row r="45333" spans="17:17" x14ac:dyDescent="0.35">
      <c r="Q45333" s="1"/>
    </row>
    <row r="45334" spans="17:17" x14ac:dyDescent="0.35">
      <c r="Q45334" s="1"/>
    </row>
    <row r="45335" spans="17:17" x14ac:dyDescent="0.35">
      <c r="Q45335" s="1"/>
    </row>
    <row r="45337" spans="17:17" x14ac:dyDescent="0.35">
      <c r="Q45337" s="1"/>
    </row>
    <row r="45347" spans="17:17" x14ac:dyDescent="0.35">
      <c r="Q45347" s="1"/>
    </row>
    <row r="45373" spans="16:17" x14ac:dyDescent="0.35">
      <c r="P45373" s="1"/>
    </row>
    <row r="45374" spans="16:17" x14ac:dyDescent="0.35">
      <c r="Q45374" s="1"/>
    </row>
    <row r="45375" spans="16:17" x14ac:dyDescent="0.35">
      <c r="Q45375" s="1"/>
    </row>
    <row r="45381" spans="17:17" x14ac:dyDescent="0.35">
      <c r="Q45381" s="1"/>
    </row>
    <row r="45388" spans="17:17" x14ac:dyDescent="0.35">
      <c r="Q45388" s="1"/>
    </row>
    <row r="45390" spans="17:17" x14ac:dyDescent="0.35">
      <c r="Q45390" s="1"/>
    </row>
    <row r="45397" spans="17:17" x14ac:dyDescent="0.35">
      <c r="Q45397" s="1"/>
    </row>
    <row r="45398" spans="17:17" x14ac:dyDescent="0.35">
      <c r="Q45398" s="1"/>
    </row>
    <row r="45400" spans="17:17" x14ac:dyDescent="0.35">
      <c r="Q45400" s="1"/>
    </row>
    <row r="45411" spans="16:16" x14ac:dyDescent="0.35">
      <c r="P45411" s="1"/>
    </row>
    <row r="45431" spans="17:17" x14ac:dyDescent="0.35">
      <c r="Q45431" s="1"/>
    </row>
    <row r="45433" spans="17:17" x14ac:dyDescent="0.35">
      <c r="Q45433" s="1"/>
    </row>
    <row r="45436" spans="17:17" x14ac:dyDescent="0.35">
      <c r="Q45436" s="1"/>
    </row>
    <row r="45437" spans="17:17" x14ac:dyDescent="0.35">
      <c r="Q45437" s="1"/>
    </row>
    <row r="45444" spans="17:17" x14ac:dyDescent="0.35">
      <c r="Q45444" s="1"/>
    </row>
    <row r="45446" spans="17:17" x14ac:dyDescent="0.35">
      <c r="Q45446" s="1"/>
    </row>
    <row r="45451" spans="17:17" x14ac:dyDescent="0.35">
      <c r="Q45451" s="1"/>
    </row>
    <row r="45466" spans="17:17" x14ac:dyDescent="0.35">
      <c r="Q45466" s="1"/>
    </row>
    <row r="45482" spans="17:17" x14ac:dyDescent="0.35">
      <c r="Q45482" s="1"/>
    </row>
    <row r="45490" spans="17:17" x14ac:dyDescent="0.35">
      <c r="Q45490" s="1"/>
    </row>
    <row r="45492" spans="17:17" x14ac:dyDescent="0.35">
      <c r="Q45492" s="1"/>
    </row>
    <row r="45493" spans="17:17" x14ac:dyDescent="0.35">
      <c r="Q45493" s="1"/>
    </row>
    <row r="45495" spans="17:17" x14ac:dyDescent="0.35">
      <c r="Q45495" s="1"/>
    </row>
    <row r="45496" spans="17:17" x14ac:dyDescent="0.35">
      <c r="Q45496" s="1"/>
    </row>
    <row r="45498" spans="17:17" x14ac:dyDescent="0.35">
      <c r="Q45498" s="1"/>
    </row>
    <row r="45500" spans="17:17" x14ac:dyDescent="0.35">
      <c r="Q45500" s="1"/>
    </row>
    <row r="45501" spans="17:17" x14ac:dyDescent="0.35">
      <c r="Q45501" s="1"/>
    </row>
    <row r="45515" spans="17:17" x14ac:dyDescent="0.35">
      <c r="Q45515" s="1"/>
    </row>
    <row r="45516" spans="17:17" x14ac:dyDescent="0.35">
      <c r="Q45516" s="1"/>
    </row>
    <row r="45524" spans="17:17" x14ac:dyDescent="0.35">
      <c r="Q45524" s="1"/>
    </row>
    <row r="45526" spans="17:17" x14ac:dyDescent="0.35">
      <c r="Q45526" s="1"/>
    </row>
    <row r="45528" spans="17:17" x14ac:dyDescent="0.35">
      <c r="Q45528" s="1"/>
    </row>
    <row r="45534" spans="17:17" x14ac:dyDescent="0.35">
      <c r="Q45534" s="1"/>
    </row>
    <row r="45544" spans="17:17" x14ac:dyDescent="0.35">
      <c r="Q45544" s="1"/>
    </row>
    <row r="45548" spans="17:17" x14ac:dyDescent="0.35">
      <c r="Q45548" s="1"/>
    </row>
    <row r="45558" spans="17:17" x14ac:dyDescent="0.35">
      <c r="Q45558" s="1"/>
    </row>
    <row r="45578" spans="17:17" x14ac:dyDescent="0.35">
      <c r="Q45578" s="1"/>
    </row>
    <row r="45581" spans="17:17" x14ac:dyDescent="0.35">
      <c r="Q45581" s="1"/>
    </row>
    <row r="45583" spans="17:17" x14ac:dyDescent="0.35">
      <c r="Q45583" s="1"/>
    </row>
    <row r="45586" spans="17:17" x14ac:dyDescent="0.35">
      <c r="Q45586" s="1"/>
    </row>
    <row r="45589" spans="17:17" x14ac:dyDescent="0.35">
      <c r="Q45589" s="1"/>
    </row>
    <row r="45598" spans="17:17" x14ac:dyDescent="0.35">
      <c r="Q45598" s="1"/>
    </row>
    <row r="45599" spans="17:17" x14ac:dyDescent="0.35">
      <c r="Q45599" s="1"/>
    </row>
    <row r="45601" spans="17:17" x14ac:dyDescent="0.35">
      <c r="Q45601" s="1"/>
    </row>
    <row r="45619" spans="17:17" x14ac:dyDescent="0.35">
      <c r="Q45619" s="1"/>
    </row>
    <row r="45627" spans="17:17" x14ac:dyDescent="0.35">
      <c r="Q45627" s="1"/>
    </row>
    <row r="45629" spans="17:17" x14ac:dyDescent="0.35">
      <c r="Q45629" s="1"/>
    </row>
    <row r="45635" spans="17:17" x14ac:dyDescent="0.35">
      <c r="Q45635" s="1"/>
    </row>
    <row r="45639" spans="17:17" x14ac:dyDescent="0.35">
      <c r="Q45639" s="1"/>
    </row>
    <row r="45640" spans="17:17" x14ac:dyDescent="0.35">
      <c r="Q45640" s="1"/>
    </row>
    <row r="45644" spans="17:17" x14ac:dyDescent="0.35">
      <c r="Q45644" s="1"/>
    </row>
    <row r="45646" spans="17:17" x14ac:dyDescent="0.35">
      <c r="Q45646" s="1"/>
    </row>
    <row r="45649" spans="17:17" x14ac:dyDescent="0.35">
      <c r="Q45649" s="1"/>
    </row>
    <row r="45650" spans="17:17" x14ac:dyDescent="0.35">
      <c r="Q45650" s="1"/>
    </row>
    <row r="45693" spans="17:17" x14ac:dyDescent="0.35">
      <c r="Q45693" s="1"/>
    </row>
    <row r="45698" spans="17:17" x14ac:dyDescent="0.35">
      <c r="Q45698" s="1"/>
    </row>
    <row r="45700" spans="17:17" x14ac:dyDescent="0.35">
      <c r="Q45700" s="1"/>
    </row>
    <row r="45720" spans="11:17" x14ac:dyDescent="0.35">
      <c r="Q45720" s="1"/>
    </row>
    <row r="45725" spans="11:17" x14ac:dyDescent="0.35">
      <c r="K45725" s="1"/>
    </row>
    <row r="45727" spans="11:17" x14ac:dyDescent="0.35">
      <c r="Q45727" s="1"/>
    </row>
    <row r="45729" spans="11:17" x14ac:dyDescent="0.35">
      <c r="Q45729" s="1"/>
    </row>
    <row r="45730" spans="11:17" x14ac:dyDescent="0.35">
      <c r="Q45730" s="1"/>
    </row>
    <row r="45738" spans="11:17" x14ac:dyDescent="0.35">
      <c r="K45738" s="1"/>
    </row>
    <row r="45750" spans="17:17" x14ac:dyDescent="0.35">
      <c r="Q45750" s="1"/>
    </row>
    <row r="45751" spans="17:17" x14ac:dyDescent="0.35">
      <c r="Q45751" s="1"/>
    </row>
    <row r="45783" spans="17:17" x14ac:dyDescent="0.35">
      <c r="Q45783" s="1"/>
    </row>
    <row r="45785" spans="17:17" x14ac:dyDescent="0.35">
      <c r="Q45785" s="1"/>
    </row>
    <row r="45788" spans="17:17" x14ac:dyDescent="0.35">
      <c r="Q45788" s="1"/>
    </row>
    <row r="45791" spans="17:17" x14ac:dyDescent="0.35">
      <c r="Q45791" s="1"/>
    </row>
    <row r="45798" spans="17:17" x14ac:dyDescent="0.35">
      <c r="Q45798" s="1"/>
    </row>
    <row r="45814" spans="17:17" x14ac:dyDescent="0.35">
      <c r="Q45814" s="1"/>
    </row>
    <row r="45820" spans="17:17" x14ac:dyDescent="0.35">
      <c r="Q45820" s="1"/>
    </row>
    <row r="45828" spans="17:17" x14ac:dyDescent="0.35">
      <c r="Q45828" s="1"/>
    </row>
    <row r="45847" spans="17:17" x14ac:dyDescent="0.35">
      <c r="Q45847" s="1"/>
    </row>
    <row r="45848" spans="17:17" x14ac:dyDescent="0.35">
      <c r="Q45848" s="1"/>
    </row>
    <row r="45851" spans="17:17" x14ac:dyDescent="0.35">
      <c r="Q45851" s="1"/>
    </row>
    <row r="45869" spans="17:17" x14ac:dyDescent="0.35">
      <c r="Q45869" s="1"/>
    </row>
    <row r="45877" spans="17:17" x14ac:dyDescent="0.35">
      <c r="Q45877" s="1"/>
    </row>
    <row r="45886" spans="17:17" x14ac:dyDescent="0.35">
      <c r="Q45886" s="1"/>
    </row>
    <row r="45895" spans="17:17" x14ac:dyDescent="0.35">
      <c r="Q45895" s="1"/>
    </row>
    <row r="45898" spans="17:17" x14ac:dyDescent="0.35">
      <c r="Q45898" s="1"/>
    </row>
    <row r="45921" spans="11:17" x14ac:dyDescent="0.35">
      <c r="K45921" s="1"/>
    </row>
    <row r="45930" spans="11:17" x14ac:dyDescent="0.35">
      <c r="Q45930" s="1"/>
    </row>
    <row r="45937" spans="17:17" x14ac:dyDescent="0.35">
      <c r="Q45937" s="1"/>
    </row>
    <row r="45939" spans="17:17" x14ac:dyDescent="0.35">
      <c r="Q45939" s="1"/>
    </row>
    <row r="45943" spans="17:17" x14ac:dyDescent="0.35">
      <c r="Q45943" s="1"/>
    </row>
    <row r="45947" spans="17:17" x14ac:dyDescent="0.35">
      <c r="Q45947" s="1"/>
    </row>
    <row r="45948" spans="17:17" x14ac:dyDescent="0.35">
      <c r="Q45948" s="1"/>
    </row>
    <row r="45949" spans="17:17" x14ac:dyDescent="0.35">
      <c r="Q45949" s="1"/>
    </row>
    <row r="45965" spans="17:17" x14ac:dyDescent="0.35">
      <c r="Q45965" s="1"/>
    </row>
    <row r="45981" spans="17:17" x14ac:dyDescent="0.35">
      <c r="Q45981" s="1"/>
    </row>
    <row r="45984" spans="17:17" x14ac:dyDescent="0.35">
      <c r="Q45984" s="1"/>
    </row>
    <row r="45988" spans="17:17" x14ac:dyDescent="0.35">
      <c r="Q45988" s="1"/>
    </row>
    <row r="45989" spans="17:17" x14ac:dyDescent="0.35">
      <c r="Q45989" s="1"/>
    </row>
    <row r="45993" spans="17:17" x14ac:dyDescent="0.35">
      <c r="Q45993" s="1"/>
    </row>
    <row r="45997" spans="17:17" x14ac:dyDescent="0.35">
      <c r="Q45997" s="1"/>
    </row>
    <row r="46009" spans="17:17" x14ac:dyDescent="0.35">
      <c r="Q46009" s="1"/>
    </row>
    <row r="46011" spans="17:17" x14ac:dyDescent="0.35">
      <c r="Q46011" s="1"/>
    </row>
    <row r="46015" spans="17:17" x14ac:dyDescent="0.35">
      <c r="Q46015" s="1"/>
    </row>
    <row r="46016" spans="17:17" x14ac:dyDescent="0.35">
      <c r="Q46016" s="1"/>
    </row>
    <row r="46025" spans="17:17" x14ac:dyDescent="0.35">
      <c r="Q46025" s="1"/>
    </row>
    <row r="46032" spans="17:17" x14ac:dyDescent="0.35">
      <c r="Q46032" s="1"/>
    </row>
    <row r="46038" spans="17:17" x14ac:dyDescent="0.35">
      <c r="Q46038" s="1"/>
    </row>
    <row r="46041" spans="17:17" x14ac:dyDescent="0.35">
      <c r="Q46041" s="1"/>
    </row>
    <row r="46048" spans="17:17" x14ac:dyDescent="0.35">
      <c r="Q46048" s="1"/>
    </row>
    <row r="46074" spans="16:17" x14ac:dyDescent="0.35">
      <c r="Q46074" s="1"/>
    </row>
    <row r="46075" spans="16:17" x14ac:dyDescent="0.35">
      <c r="P46075" s="1"/>
    </row>
    <row r="46091" spans="17:17" x14ac:dyDescent="0.35">
      <c r="Q46091" s="1"/>
    </row>
    <row r="46100" spans="17:17" x14ac:dyDescent="0.35">
      <c r="Q46100" s="1"/>
    </row>
    <row r="46101" spans="17:17" x14ac:dyDescent="0.35">
      <c r="Q46101" s="1"/>
    </row>
    <row r="46104" spans="17:17" x14ac:dyDescent="0.35">
      <c r="Q46104" s="1"/>
    </row>
    <row r="46125" spans="16:16" x14ac:dyDescent="0.35">
      <c r="P46125" s="1"/>
    </row>
    <row r="46131" spans="16:17" x14ac:dyDescent="0.35">
      <c r="P46131" s="1"/>
    </row>
    <row r="46133" spans="16:17" x14ac:dyDescent="0.35">
      <c r="Q46133" s="1"/>
    </row>
    <row r="46139" spans="16:17" x14ac:dyDescent="0.35">
      <c r="Q46139" s="1"/>
    </row>
    <row r="46141" spans="16:17" x14ac:dyDescent="0.35">
      <c r="Q46141" s="1"/>
    </row>
    <row r="46142" spans="16:17" x14ac:dyDescent="0.35">
      <c r="Q46142" s="1"/>
    </row>
    <row r="46149" spans="17:17" x14ac:dyDescent="0.35">
      <c r="Q46149" s="1"/>
    </row>
    <row r="46155" spans="17:17" x14ac:dyDescent="0.35">
      <c r="Q46155" s="1"/>
    </row>
    <row r="46179" spans="16:16" x14ac:dyDescent="0.35">
      <c r="P46179" s="1"/>
    </row>
    <row r="46186" spans="16:16" x14ac:dyDescent="0.35">
      <c r="P46186" s="1"/>
    </row>
    <row r="46193" spans="16:17" x14ac:dyDescent="0.35">
      <c r="Q46193" s="1"/>
    </row>
    <row r="46194" spans="16:17" x14ac:dyDescent="0.35">
      <c r="Q46194" s="1"/>
    </row>
    <row r="46195" spans="16:17" x14ac:dyDescent="0.35">
      <c r="P46195" s="1"/>
    </row>
    <row r="46204" spans="16:17" x14ac:dyDescent="0.35">
      <c r="P46204" s="1"/>
    </row>
    <row r="46219" spans="16:16" x14ac:dyDescent="0.35">
      <c r="P46219" s="1"/>
    </row>
    <row r="46235" spans="17:17" x14ac:dyDescent="0.35">
      <c r="Q46235" s="1"/>
    </row>
    <row r="46245" spans="16:16" x14ac:dyDescent="0.35">
      <c r="P46245" s="1"/>
    </row>
    <row r="46260" spans="16:17" x14ac:dyDescent="0.35">
      <c r="Q46260" s="1"/>
    </row>
    <row r="46261" spans="16:17" x14ac:dyDescent="0.35">
      <c r="P46261" s="1"/>
    </row>
    <row r="46267" spans="16:17" x14ac:dyDescent="0.35">
      <c r="Q46267" s="1"/>
    </row>
    <row r="46273" spans="16:17" x14ac:dyDescent="0.35">
      <c r="Q46273" s="1"/>
    </row>
    <row r="46281" spans="16:17" x14ac:dyDescent="0.35">
      <c r="Q46281" s="1"/>
    </row>
    <row r="46284" spans="16:17" x14ac:dyDescent="0.35">
      <c r="P46284" s="1"/>
    </row>
    <row r="46289" spans="16:17" x14ac:dyDescent="0.35">
      <c r="P46289" s="1"/>
    </row>
    <row r="46301" spans="16:17" x14ac:dyDescent="0.35">
      <c r="Q46301" s="1"/>
    </row>
    <row r="46306" spans="16:17" x14ac:dyDescent="0.35">
      <c r="P46306" s="1"/>
    </row>
    <row r="46315" spans="16:17" x14ac:dyDescent="0.35">
      <c r="Q46315" s="1"/>
    </row>
    <row r="46321" spans="17:17" x14ac:dyDescent="0.35">
      <c r="Q46321" s="1"/>
    </row>
    <row r="46333" spans="17:17" x14ac:dyDescent="0.35">
      <c r="Q46333" s="1"/>
    </row>
    <row r="46351" spans="17:17" x14ac:dyDescent="0.35">
      <c r="Q46351" s="1"/>
    </row>
    <row r="46364" spans="17:17" x14ac:dyDescent="0.35">
      <c r="Q46364" s="1"/>
    </row>
    <row r="46368" spans="17:17" x14ac:dyDescent="0.35">
      <c r="Q46368" s="1"/>
    </row>
    <row r="46374" spans="16:17" x14ac:dyDescent="0.35">
      <c r="P46374" s="1"/>
    </row>
    <row r="46380" spans="16:17" x14ac:dyDescent="0.35">
      <c r="Q46380" s="1"/>
    </row>
    <row r="46395" spans="17:17" x14ac:dyDescent="0.35">
      <c r="Q46395" s="1"/>
    </row>
    <row r="46396" spans="17:17" x14ac:dyDescent="0.35">
      <c r="Q46396" s="1"/>
    </row>
    <row r="46400" spans="17:17" x14ac:dyDescent="0.35">
      <c r="Q46400" s="1"/>
    </row>
    <row r="46401" spans="16:17" x14ac:dyDescent="0.35">
      <c r="P46401" s="1"/>
    </row>
    <row r="46403" spans="16:17" x14ac:dyDescent="0.35">
      <c r="P46403" s="1"/>
    </row>
    <row r="46405" spans="16:17" x14ac:dyDescent="0.35">
      <c r="Q46405" s="1"/>
    </row>
    <row r="46426" spans="16:16" x14ac:dyDescent="0.35">
      <c r="P46426" s="1"/>
    </row>
    <row r="46434" spans="16:16" x14ac:dyDescent="0.35">
      <c r="P46434" s="1"/>
    </row>
    <row r="46451" spans="16:17" x14ac:dyDescent="0.35">
      <c r="Q46451" s="1"/>
    </row>
    <row r="46463" spans="16:17" x14ac:dyDescent="0.35">
      <c r="P46463" s="1"/>
    </row>
    <row r="46477" spans="17:17" x14ac:dyDescent="0.35">
      <c r="Q46477" s="1"/>
    </row>
    <row r="46481" spans="17:17" x14ac:dyDescent="0.35">
      <c r="Q46481" s="1"/>
    </row>
    <row r="46513" spans="17:17" x14ac:dyDescent="0.35">
      <c r="Q46513" s="1"/>
    </row>
    <row r="46524" spans="17:17" x14ac:dyDescent="0.35">
      <c r="Q46524" s="1"/>
    </row>
    <row r="46529" spans="17:17" x14ac:dyDescent="0.35">
      <c r="Q46529" s="1"/>
    </row>
    <row r="46540" spans="17:17" x14ac:dyDescent="0.35">
      <c r="Q46540" s="1"/>
    </row>
    <row r="46543" spans="17:17" x14ac:dyDescent="0.35">
      <c r="Q46543" s="1"/>
    </row>
    <row r="46544" spans="17:17" x14ac:dyDescent="0.35">
      <c r="Q46544" s="1"/>
    </row>
    <row r="46550" spans="17:17" x14ac:dyDescent="0.35">
      <c r="Q46550" s="1"/>
    </row>
    <row r="46552" spans="17:17" x14ac:dyDescent="0.35">
      <c r="Q46552" s="1"/>
    </row>
    <row r="46553" spans="17:17" x14ac:dyDescent="0.35">
      <c r="Q46553" s="1"/>
    </row>
    <row r="46554" spans="17:17" x14ac:dyDescent="0.35">
      <c r="Q46554" s="1"/>
    </row>
    <row r="46559" spans="17:17" x14ac:dyDescent="0.35">
      <c r="Q46559" s="1"/>
    </row>
    <row r="46567" spans="16:17" x14ac:dyDescent="0.35">
      <c r="P46567" s="1"/>
    </row>
    <row r="46568" spans="16:17" x14ac:dyDescent="0.35">
      <c r="P46568" s="1"/>
    </row>
    <row r="46569" spans="16:17" x14ac:dyDescent="0.35">
      <c r="Q46569" s="1"/>
    </row>
    <row r="46571" spans="16:17" x14ac:dyDescent="0.35">
      <c r="Q46571" s="1"/>
    </row>
    <row r="46578" spans="17:17" x14ac:dyDescent="0.35">
      <c r="Q46578" s="1"/>
    </row>
    <row r="46587" spans="17:17" x14ac:dyDescent="0.35">
      <c r="Q46587" s="1"/>
    </row>
    <row r="46603" spans="17:17" x14ac:dyDescent="0.35">
      <c r="Q46603" s="1"/>
    </row>
    <row r="46612" spans="16:17" x14ac:dyDescent="0.35">
      <c r="Q46612" s="1"/>
    </row>
    <row r="46617" spans="16:17" x14ac:dyDescent="0.35">
      <c r="P46617" s="1"/>
    </row>
    <row r="46620" spans="16:17" x14ac:dyDescent="0.35">
      <c r="Q46620" s="1"/>
    </row>
    <row r="46622" spans="16:17" x14ac:dyDescent="0.35">
      <c r="Q46622" s="1"/>
    </row>
    <row r="46629" spans="16:17" x14ac:dyDescent="0.35">
      <c r="P46629" s="1"/>
    </row>
    <row r="46633" spans="16:17" x14ac:dyDescent="0.35">
      <c r="Q46633" s="1"/>
    </row>
    <row r="46657" spans="16:17" x14ac:dyDescent="0.35">
      <c r="P46657" s="1"/>
    </row>
    <row r="46666" spans="16:17" x14ac:dyDescent="0.35">
      <c r="Q46666" s="1"/>
    </row>
    <row r="46696" spans="16:17" x14ac:dyDescent="0.35">
      <c r="P46696" s="1"/>
    </row>
    <row r="46701" spans="16:17" x14ac:dyDescent="0.35">
      <c r="Q46701" s="1"/>
    </row>
    <row r="46704" spans="16:17" x14ac:dyDescent="0.35">
      <c r="Q46704" s="1"/>
    </row>
    <row r="46710" spans="17:17" x14ac:dyDescent="0.35">
      <c r="Q46710" s="1"/>
    </row>
    <row r="46723" spans="16:16" x14ac:dyDescent="0.35">
      <c r="P46723" s="1"/>
    </row>
    <row r="46733" spans="16:16" x14ac:dyDescent="0.35">
      <c r="P46733" s="1"/>
    </row>
    <row r="46746" spans="17:17" x14ac:dyDescent="0.35">
      <c r="Q46746" s="1"/>
    </row>
    <row r="46750" spans="17:17" x14ac:dyDescent="0.35">
      <c r="Q46750" s="1"/>
    </row>
    <row r="46758" spans="17:17" x14ac:dyDescent="0.35">
      <c r="Q46758" s="1"/>
    </row>
    <row r="46771" spans="17:17" x14ac:dyDescent="0.35">
      <c r="Q46771" s="1"/>
    </row>
    <row r="46774" spans="17:17" x14ac:dyDescent="0.35">
      <c r="Q46774" s="1"/>
    </row>
    <row r="46776" spans="17:17" x14ac:dyDescent="0.35">
      <c r="Q46776" s="1"/>
    </row>
    <row r="46777" spans="17:17" x14ac:dyDescent="0.35">
      <c r="Q46777" s="1"/>
    </row>
    <row r="46782" spans="17:17" x14ac:dyDescent="0.35">
      <c r="Q46782" s="1"/>
    </row>
    <row r="46792" spans="16:16" x14ac:dyDescent="0.35">
      <c r="P46792" s="1"/>
    </row>
    <row r="46805" spans="16:17" x14ac:dyDescent="0.35">
      <c r="Q46805" s="1"/>
    </row>
    <row r="46815" spans="16:17" x14ac:dyDescent="0.35">
      <c r="P46815" s="1"/>
    </row>
    <row r="46816" spans="16:17" x14ac:dyDescent="0.35">
      <c r="Q46816" s="1"/>
    </row>
    <row r="46817" spans="17:17" x14ac:dyDescent="0.35">
      <c r="Q46817" s="1"/>
    </row>
    <row r="46824" spans="17:17" x14ac:dyDescent="0.35">
      <c r="Q46824" s="1"/>
    </row>
    <row r="46831" spans="17:17" x14ac:dyDescent="0.35">
      <c r="Q46831" s="1"/>
    </row>
    <row r="46838" spans="16:17" x14ac:dyDescent="0.35">
      <c r="P46838" s="1"/>
    </row>
    <row r="46839" spans="16:17" x14ac:dyDescent="0.35">
      <c r="Q46839" s="1"/>
    </row>
    <row r="46841" spans="16:17" x14ac:dyDescent="0.35">
      <c r="P46841" s="1"/>
    </row>
    <row r="46849" spans="6:17" x14ac:dyDescent="0.35">
      <c r="Q46849" s="1"/>
    </row>
    <row r="46853" spans="6:17" x14ac:dyDescent="0.35">
      <c r="P46853" s="1"/>
    </row>
    <row r="46857" spans="6:17" x14ac:dyDescent="0.35">
      <c r="P46857" s="1"/>
    </row>
    <row r="46859" spans="6:17" x14ac:dyDescent="0.35">
      <c r="F46859" s="7"/>
    </row>
    <row r="46860" spans="6:17" x14ac:dyDescent="0.35">
      <c r="Q46860" s="1"/>
    </row>
    <row r="46864" spans="6:17" x14ac:dyDescent="0.35">
      <c r="Q46864" s="1"/>
    </row>
    <row r="46866" spans="16:17" x14ac:dyDescent="0.35">
      <c r="P46866" s="1"/>
    </row>
    <row r="46867" spans="16:17" x14ac:dyDescent="0.35">
      <c r="P46867" s="1"/>
    </row>
    <row r="46872" spans="16:17" x14ac:dyDescent="0.35">
      <c r="Q46872" s="1"/>
    </row>
    <row r="46873" spans="16:17" x14ac:dyDescent="0.35">
      <c r="P46873" s="1"/>
    </row>
    <row r="46878" spans="16:17" x14ac:dyDescent="0.35">
      <c r="P46878" s="1"/>
    </row>
    <row r="46879" spans="16:17" x14ac:dyDescent="0.35">
      <c r="P46879" s="1"/>
    </row>
    <row r="46882" spans="16:17" x14ac:dyDescent="0.35">
      <c r="Q46882" s="1"/>
    </row>
    <row r="46886" spans="16:17" x14ac:dyDescent="0.35">
      <c r="P46886" s="1"/>
    </row>
    <row r="46902" spans="17:17" x14ac:dyDescent="0.35">
      <c r="Q46902" s="1"/>
    </row>
    <row r="46910" spans="17:17" x14ac:dyDescent="0.35">
      <c r="Q46910" s="1"/>
    </row>
    <row r="46929" spans="17:17" x14ac:dyDescent="0.35">
      <c r="Q46929" s="1"/>
    </row>
    <row r="46948" spans="16:17" x14ac:dyDescent="0.35">
      <c r="Q46948" s="1"/>
    </row>
    <row r="46952" spans="16:17" x14ac:dyDescent="0.35">
      <c r="Q46952" s="1"/>
    </row>
    <row r="46957" spans="16:17" x14ac:dyDescent="0.35">
      <c r="P46957" s="1"/>
    </row>
    <row r="46968" spans="17:17" x14ac:dyDescent="0.35">
      <c r="Q46968" s="1"/>
    </row>
    <row r="46972" spans="17:17" x14ac:dyDescent="0.35">
      <c r="Q46972" s="1"/>
    </row>
    <row r="46981" spans="17:17" x14ac:dyDescent="0.35">
      <c r="Q46981" s="1"/>
    </row>
    <row r="46990" spans="17:17" x14ac:dyDescent="0.35">
      <c r="Q46990" s="1"/>
    </row>
    <row r="46997" spans="16:17" x14ac:dyDescent="0.35">
      <c r="Q46997" s="1"/>
    </row>
    <row r="46998" spans="16:17" x14ac:dyDescent="0.35">
      <c r="Q46998" s="1"/>
    </row>
    <row r="47000" spans="16:17" x14ac:dyDescent="0.35">
      <c r="P47000" s="1"/>
    </row>
    <row r="47004" spans="16:17" x14ac:dyDescent="0.35">
      <c r="Q47004" s="1"/>
    </row>
    <row r="47006" spans="16:17" x14ac:dyDescent="0.35">
      <c r="Q47006" s="1"/>
    </row>
    <row r="47027" spans="16:17" x14ac:dyDescent="0.35">
      <c r="P47027" s="1"/>
    </row>
    <row r="47028" spans="16:17" x14ac:dyDescent="0.35">
      <c r="P47028" s="1"/>
    </row>
    <row r="47029" spans="16:17" x14ac:dyDescent="0.35">
      <c r="P47029" s="1"/>
    </row>
    <row r="47031" spans="16:17" x14ac:dyDescent="0.35">
      <c r="P47031" s="1"/>
    </row>
    <row r="47035" spans="16:17" x14ac:dyDescent="0.35">
      <c r="P47035" s="1"/>
    </row>
    <row r="47036" spans="16:17" x14ac:dyDescent="0.35">
      <c r="P47036" s="1"/>
    </row>
    <row r="47037" spans="16:17" x14ac:dyDescent="0.35">
      <c r="P47037" s="1"/>
    </row>
    <row r="47040" spans="16:17" x14ac:dyDescent="0.35">
      <c r="Q47040" s="1"/>
    </row>
    <row r="47043" spans="16:17" x14ac:dyDescent="0.35">
      <c r="Q47043" s="1"/>
    </row>
    <row r="47045" spans="16:17" x14ac:dyDescent="0.35">
      <c r="P47045" s="1"/>
    </row>
    <row r="47056" spans="16:17" x14ac:dyDescent="0.35">
      <c r="Q47056" s="1"/>
    </row>
    <row r="47062" spans="3:17" x14ac:dyDescent="0.35">
      <c r="C47062" s="4"/>
    </row>
    <row r="47064" spans="3:17" x14ac:dyDescent="0.35">
      <c r="Q47064" s="1"/>
    </row>
    <row r="47066" spans="3:17" x14ac:dyDescent="0.35">
      <c r="Q47066" s="1"/>
    </row>
    <row r="47067" spans="3:17" x14ac:dyDescent="0.35">
      <c r="Q47067" s="1"/>
    </row>
    <row r="47070" spans="3:17" x14ac:dyDescent="0.35">
      <c r="P47070" s="1"/>
    </row>
    <row r="47072" spans="3:17" x14ac:dyDescent="0.35">
      <c r="Q47072" s="1"/>
    </row>
    <row r="47074" spans="16:16" x14ac:dyDescent="0.35">
      <c r="P47074" s="1"/>
    </row>
    <row r="47079" spans="16:16" x14ac:dyDescent="0.35">
      <c r="P47079" s="1"/>
    </row>
    <row r="47083" spans="16:16" x14ac:dyDescent="0.35">
      <c r="P47083" s="1"/>
    </row>
    <row r="47086" spans="16:16" x14ac:dyDescent="0.35">
      <c r="P47086" s="1"/>
    </row>
    <row r="47090" spans="16:17" x14ac:dyDescent="0.35">
      <c r="P47090" s="1"/>
    </row>
    <row r="47091" spans="16:17" x14ac:dyDescent="0.35">
      <c r="P47091" s="1"/>
    </row>
    <row r="47093" spans="16:17" x14ac:dyDescent="0.35">
      <c r="P47093" s="1"/>
    </row>
    <row r="47094" spans="16:17" x14ac:dyDescent="0.35">
      <c r="P47094" s="1"/>
    </row>
    <row r="47096" spans="16:17" x14ac:dyDescent="0.35">
      <c r="P47096" s="1"/>
    </row>
    <row r="47097" spans="16:17" x14ac:dyDescent="0.35">
      <c r="Q47097" s="1"/>
    </row>
    <row r="47098" spans="16:17" x14ac:dyDescent="0.35">
      <c r="P47098" s="1"/>
    </row>
    <row r="47102" spans="16:17" x14ac:dyDescent="0.35">
      <c r="P47102" s="1"/>
    </row>
    <row r="47107" spans="16:16" x14ac:dyDescent="0.35">
      <c r="P47107" s="1"/>
    </row>
    <row r="47121" spans="16:17" x14ac:dyDescent="0.35">
      <c r="P47121" s="1"/>
      <c r="Q47121" s="1"/>
    </row>
    <row r="47123" spans="16:17" x14ac:dyDescent="0.35">
      <c r="Q47123" s="1"/>
    </row>
    <row r="47124" spans="16:17" x14ac:dyDescent="0.35">
      <c r="Q47124" s="1"/>
    </row>
    <row r="47127" spans="16:17" x14ac:dyDescent="0.35">
      <c r="Q47127" s="1"/>
    </row>
    <row r="47131" spans="16:17" x14ac:dyDescent="0.35">
      <c r="Q47131" s="1"/>
    </row>
    <row r="47139" spans="17:17" x14ac:dyDescent="0.35">
      <c r="Q47139" s="1"/>
    </row>
    <row r="47140" spans="17:17" x14ac:dyDescent="0.35">
      <c r="Q47140" s="1"/>
    </row>
    <row r="47141" spans="17:17" x14ac:dyDescent="0.35">
      <c r="Q47141" s="1"/>
    </row>
    <row r="47142" spans="17:17" x14ac:dyDescent="0.35">
      <c r="Q47142" s="1"/>
    </row>
    <row r="47143" spans="17:17" x14ac:dyDescent="0.35">
      <c r="Q47143" s="1"/>
    </row>
    <row r="47146" spans="17:17" x14ac:dyDescent="0.35">
      <c r="Q47146" s="1"/>
    </row>
    <row r="47148" spans="17:17" x14ac:dyDescent="0.35">
      <c r="Q47148" s="1"/>
    </row>
    <row r="47149" spans="17:17" x14ac:dyDescent="0.35">
      <c r="Q47149" s="1"/>
    </row>
    <row r="47153" spans="16:17" x14ac:dyDescent="0.35">
      <c r="Q47153" s="1"/>
    </row>
    <row r="47154" spans="16:17" x14ac:dyDescent="0.35">
      <c r="Q47154" s="1"/>
    </row>
    <row r="47155" spans="16:17" x14ac:dyDescent="0.35">
      <c r="Q47155" s="1"/>
    </row>
    <row r="47165" spans="16:17" x14ac:dyDescent="0.35">
      <c r="Q47165" s="1"/>
    </row>
    <row r="47167" spans="16:17" x14ac:dyDescent="0.35">
      <c r="P47167" s="1"/>
    </row>
    <row r="47172" spans="16:17" x14ac:dyDescent="0.35">
      <c r="Q47172" s="1"/>
    </row>
    <row r="47175" spans="16:17" x14ac:dyDescent="0.35">
      <c r="P47175" s="1"/>
    </row>
    <row r="47189" spans="16:17" x14ac:dyDescent="0.35">
      <c r="Q47189" s="1"/>
    </row>
    <row r="47193" spans="16:17" x14ac:dyDescent="0.35">
      <c r="P47193" s="1"/>
    </row>
    <row r="47194" spans="16:17" x14ac:dyDescent="0.35">
      <c r="Q47194" s="1"/>
    </row>
    <row r="47199" spans="16:17" x14ac:dyDescent="0.35">
      <c r="Q47199" s="1"/>
    </row>
    <row r="47205" spans="17:17" x14ac:dyDescent="0.35">
      <c r="Q47205" s="1"/>
    </row>
    <row r="47212" spans="17:17" x14ac:dyDescent="0.35">
      <c r="Q47212" s="1"/>
    </row>
    <row r="47217" spans="17:17" x14ac:dyDescent="0.35">
      <c r="Q47217" s="1"/>
    </row>
    <row r="47220" spans="17:17" x14ac:dyDescent="0.35">
      <c r="Q47220" s="1"/>
    </row>
    <row r="47224" spans="17:17" x14ac:dyDescent="0.35">
      <c r="Q47224" s="1"/>
    </row>
    <row r="47226" spans="17:17" x14ac:dyDescent="0.35">
      <c r="Q47226" s="1"/>
    </row>
    <row r="47236" spans="17:17" x14ac:dyDescent="0.35">
      <c r="Q47236" s="1"/>
    </row>
    <row r="47238" spans="17:17" x14ac:dyDescent="0.35">
      <c r="Q47238" s="1"/>
    </row>
    <row r="47241" spans="17:17" x14ac:dyDescent="0.35">
      <c r="Q47241" s="1"/>
    </row>
    <row r="47251" spans="16:17" x14ac:dyDescent="0.35">
      <c r="Q47251" s="1"/>
    </row>
    <row r="47252" spans="16:17" x14ac:dyDescent="0.35">
      <c r="Q47252" s="1"/>
    </row>
    <row r="47256" spans="16:17" x14ac:dyDescent="0.35">
      <c r="Q47256" s="1"/>
    </row>
    <row r="47257" spans="16:17" x14ac:dyDescent="0.35">
      <c r="Q47257" s="1"/>
    </row>
    <row r="47258" spans="16:17" x14ac:dyDescent="0.35">
      <c r="Q47258" s="1"/>
    </row>
    <row r="47261" spans="16:17" x14ac:dyDescent="0.35">
      <c r="P47261" s="1"/>
    </row>
    <row r="47265" spans="16:17" x14ac:dyDescent="0.35">
      <c r="Q47265" s="1"/>
    </row>
    <row r="47270" spans="16:17" x14ac:dyDescent="0.35">
      <c r="Q47270" s="1"/>
    </row>
    <row r="47276" spans="16:17" x14ac:dyDescent="0.35">
      <c r="Q47276" s="1"/>
    </row>
    <row r="47280" spans="16:17" x14ac:dyDescent="0.35">
      <c r="P47280" s="1"/>
    </row>
    <row r="47281" spans="16:17" x14ac:dyDescent="0.35">
      <c r="P47281" s="1"/>
    </row>
    <row r="47282" spans="16:17" x14ac:dyDescent="0.35">
      <c r="P47282" s="1"/>
    </row>
    <row r="47285" spans="16:17" x14ac:dyDescent="0.35">
      <c r="Q47285" s="1"/>
    </row>
    <row r="47290" spans="16:17" x14ac:dyDescent="0.35">
      <c r="Q47290" s="1"/>
    </row>
    <row r="47291" spans="16:17" x14ac:dyDescent="0.35">
      <c r="P47291" s="1"/>
    </row>
    <row r="47293" spans="16:17" x14ac:dyDescent="0.35">
      <c r="Q47293" s="1"/>
    </row>
    <row r="47299" spans="17:17" x14ac:dyDescent="0.35">
      <c r="Q47299" s="1"/>
    </row>
    <row r="47301" spans="17:17" x14ac:dyDescent="0.35">
      <c r="Q47301" s="1"/>
    </row>
    <row r="47303" spans="17:17" x14ac:dyDescent="0.35">
      <c r="Q47303" s="1"/>
    </row>
    <row r="47304" spans="17:17" x14ac:dyDescent="0.35">
      <c r="Q47304" s="1"/>
    </row>
    <row r="47308" spans="17:17" x14ac:dyDescent="0.35">
      <c r="Q47308" s="1"/>
    </row>
    <row r="47311" spans="17:17" x14ac:dyDescent="0.35">
      <c r="Q47311" s="1"/>
    </row>
    <row r="47323" spans="16:17" x14ac:dyDescent="0.35">
      <c r="Q47323" s="1"/>
    </row>
    <row r="47324" spans="16:17" x14ac:dyDescent="0.35">
      <c r="P47324" s="1"/>
    </row>
    <row r="47328" spans="16:17" x14ac:dyDescent="0.35">
      <c r="Q47328" s="1"/>
    </row>
    <row r="47331" spans="16:17" x14ac:dyDescent="0.35">
      <c r="Q47331" s="1"/>
    </row>
    <row r="47332" spans="16:17" x14ac:dyDescent="0.35">
      <c r="Q47332" s="1"/>
    </row>
    <row r="47337" spans="16:17" x14ac:dyDescent="0.35">
      <c r="Q47337" s="1"/>
    </row>
    <row r="47338" spans="16:17" x14ac:dyDescent="0.35">
      <c r="Q47338" s="1"/>
    </row>
    <row r="47343" spans="16:17" x14ac:dyDescent="0.35">
      <c r="P47343" s="1"/>
    </row>
    <row r="47350" spans="16:17" x14ac:dyDescent="0.35">
      <c r="Q47350" s="1"/>
    </row>
    <row r="47351" spans="16:17" x14ac:dyDescent="0.35">
      <c r="Q47351" s="1"/>
    </row>
    <row r="47353" spans="16:17" x14ac:dyDescent="0.35">
      <c r="Q47353" s="1"/>
    </row>
    <row r="47354" spans="16:17" x14ac:dyDescent="0.35">
      <c r="P47354" s="1"/>
    </row>
    <row r="47358" spans="16:17" x14ac:dyDescent="0.35">
      <c r="P47358" s="1"/>
    </row>
    <row r="47364" spans="17:17" x14ac:dyDescent="0.35">
      <c r="Q47364" s="1"/>
    </row>
    <row r="47368" spans="17:17" x14ac:dyDescent="0.35">
      <c r="Q47368" s="1"/>
    </row>
    <row r="47369" spans="17:17" x14ac:dyDescent="0.35">
      <c r="Q47369" s="1"/>
    </row>
    <row r="47371" spans="17:17" x14ac:dyDescent="0.35">
      <c r="Q47371" s="1"/>
    </row>
    <row r="47373" spans="17:17" x14ac:dyDescent="0.35">
      <c r="Q47373" s="1"/>
    </row>
    <row r="47377" spans="17:17" x14ac:dyDescent="0.35">
      <c r="Q47377" s="1"/>
    </row>
    <row r="47389" spans="17:17" x14ac:dyDescent="0.35">
      <c r="Q47389" s="1"/>
    </row>
    <row r="47393" spans="16:17" x14ac:dyDescent="0.35">
      <c r="P47393" s="1"/>
    </row>
    <row r="47394" spans="16:17" x14ac:dyDescent="0.35">
      <c r="Q47394" s="1"/>
    </row>
    <row r="47395" spans="16:17" x14ac:dyDescent="0.35">
      <c r="Q47395" s="1"/>
    </row>
    <row r="47397" spans="16:17" x14ac:dyDescent="0.35">
      <c r="Q47397" s="1"/>
    </row>
    <row r="47399" spans="16:17" x14ac:dyDescent="0.35">
      <c r="P47399" s="1"/>
    </row>
    <row r="47408" spans="16:17" x14ac:dyDescent="0.35">
      <c r="Q47408" s="1"/>
    </row>
    <row r="47409" spans="17:17" x14ac:dyDescent="0.35">
      <c r="Q47409" s="1"/>
    </row>
    <row r="47414" spans="17:17" x14ac:dyDescent="0.35">
      <c r="Q47414" s="1"/>
    </row>
    <row r="47418" spans="17:17" x14ac:dyDescent="0.35">
      <c r="Q47418" s="1"/>
    </row>
    <row r="47420" spans="17:17" x14ac:dyDescent="0.35">
      <c r="Q47420" s="1"/>
    </row>
    <row r="47429" spans="17:17" x14ac:dyDescent="0.35">
      <c r="Q47429" s="1"/>
    </row>
    <row r="47430" spans="17:17" x14ac:dyDescent="0.35">
      <c r="Q47430" s="1"/>
    </row>
    <row r="47433" spans="17:17" x14ac:dyDescent="0.35">
      <c r="Q47433" s="1"/>
    </row>
    <row r="47438" spans="17:17" x14ac:dyDescent="0.35">
      <c r="Q47438" s="1"/>
    </row>
    <row r="47440" spans="17:17" x14ac:dyDescent="0.35">
      <c r="Q47440" s="1"/>
    </row>
    <row r="47443" spans="17:17" x14ac:dyDescent="0.35">
      <c r="Q47443" s="1"/>
    </row>
    <row r="47447" spans="17:17" x14ac:dyDescent="0.35">
      <c r="Q47447" s="1"/>
    </row>
    <row r="47450" spans="17:17" x14ac:dyDescent="0.35">
      <c r="Q47450" s="1"/>
    </row>
    <row r="47451" spans="17:17" x14ac:dyDescent="0.35">
      <c r="Q47451" s="1"/>
    </row>
    <row r="47454" spans="17:17" x14ac:dyDescent="0.35">
      <c r="Q47454" s="1"/>
    </row>
    <row r="47456" spans="17:17" x14ac:dyDescent="0.35">
      <c r="Q47456" s="1"/>
    </row>
    <row r="47459" spans="16:17" x14ac:dyDescent="0.35">
      <c r="P47459" s="1"/>
    </row>
    <row r="47460" spans="16:17" x14ac:dyDescent="0.35">
      <c r="Q47460" s="1"/>
    </row>
    <row r="47461" spans="16:17" x14ac:dyDescent="0.35">
      <c r="Q47461" s="1"/>
    </row>
    <row r="47464" spans="16:17" x14ac:dyDescent="0.35">
      <c r="Q47464" s="1"/>
    </row>
    <row r="47465" spans="16:17" x14ac:dyDescent="0.35">
      <c r="Q47465" s="1"/>
    </row>
    <row r="47467" spans="16:17" x14ac:dyDescent="0.35">
      <c r="P47467" s="1"/>
    </row>
    <row r="47471" spans="16:17" x14ac:dyDescent="0.35">
      <c r="Q47471" s="1"/>
    </row>
    <row r="47473" spans="17:17" x14ac:dyDescent="0.35">
      <c r="Q47473" s="1"/>
    </row>
    <row r="47474" spans="17:17" x14ac:dyDescent="0.35">
      <c r="Q47474" s="1"/>
    </row>
    <row r="47481" spans="17:17" x14ac:dyDescent="0.35">
      <c r="Q47481" s="1"/>
    </row>
    <row r="47483" spans="17:17" x14ac:dyDescent="0.35">
      <c r="Q47483" s="1"/>
    </row>
    <row r="47489" spans="16:17" x14ac:dyDescent="0.35">
      <c r="P47489" s="1"/>
    </row>
    <row r="47491" spans="16:17" x14ac:dyDescent="0.35">
      <c r="Q47491" s="1"/>
    </row>
    <row r="47492" spans="16:17" x14ac:dyDescent="0.35">
      <c r="Q47492" s="1"/>
    </row>
    <row r="47494" spans="16:17" x14ac:dyDescent="0.35">
      <c r="Q47494" s="1"/>
    </row>
    <row r="47496" spans="16:17" x14ac:dyDescent="0.35">
      <c r="Q47496" s="1"/>
    </row>
    <row r="47498" spans="16:17" x14ac:dyDescent="0.35">
      <c r="P47498" s="1"/>
    </row>
    <row r="47501" spans="16:17" x14ac:dyDescent="0.35">
      <c r="Q47501" s="1"/>
    </row>
    <row r="47503" spans="16:17" x14ac:dyDescent="0.35">
      <c r="Q47503" s="1"/>
    </row>
    <row r="47507" spans="16:17" x14ac:dyDescent="0.35">
      <c r="Q47507" s="1"/>
    </row>
    <row r="47519" spans="16:17" x14ac:dyDescent="0.35">
      <c r="P47519" s="1"/>
    </row>
    <row r="47520" spans="16:17" x14ac:dyDescent="0.35">
      <c r="Q47520" s="1"/>
    </row>
    <row r="47521" spans="16:17" x14ac:dyDescent="0.35">
      <c r="P47521" s="1"/>
      <c r="Q47521" s="1"/>
    </row>
    <row r="47525" spans="16:17" x14ac:dyDescent="0.35">
      <c r="Q47525" s="1"/>
    </row>
    <row r="47526" spans="16:17" x14ac:dyDescent="0.35">
      <c r="Q47526" s="1"/>
    </row>
    <row r="47527" spans="16:17" x14ac:dyDescent="0.35">
      <c r="Q47527" s="1"/>
    </row>
    <row r="47530" spans="16:17" x14ac:dyDescent="0.35">
      <c r="Q47530" s="1"/>
    </row>
    <row r="47531" spans="16:17" x14ac:dyDescent="0.35">
      <c r="Q47531" s="1"/>
    </row>
    <row r="47535" spans="16:17" x14ac:dyDescent="0.35">
      <c r="Q47535" s="1"/>
    </row>
    <row r="47536" spans="16:17" x14ac:dyDescent="0.35">
      <c r="P47536" s="1"/>
    </row>
    <row r="47542" spans="17:17" x14ac:dyDescent="0.35">
      <c r="Q47542" s="1"/>
    </row>
    <row r="47544" spans="17:17" x14ac:dyDescent="0.35">
      <c r="Q47544" s="1"/>
    </row>
    <row r="47546" spans="17:17" x14ac:dyDescent="0.35">
      <c r="Q47546" s="1"/>
    </row>
    <row r="47547" spans="17:17" x14ac:dyDescent="0.35">
      <c r="Q47547" s="1"/>
    </row>
    <row r="47548" spans="17:17" x14ac:dyDescent="0.35">
      <c r="Q47548" s="1"/>
    </row>
    <row r="47550" spans="17:17" x14ac:dyDescent="0.35">
      <c r="Q47550" s="1"/>
    </row>
    <row r="47557" spans="16:17" x14ac:dyDescent="0.35">
      <c r="Q47557" s="1"/>
    </row>
    <row r="47558" spans="16:17" x14ac:dyDescent="0.35">
      <c r="Q47558" s="1"/>
    </row>
    <row r="47561" spans="16:17" x14ac:dyDescent="0.35">
      <c r="Q47561" s="1"/>
    </row>
    <row r="47562" spans="16:17" x14ac:dyDescent="0.35">
      <c r="P47562" s="1"/>
    </row>
    <row r="47570" spans="16:17" x14ac:dyDescent="0.35">
      <c r="P47570" s="1"/>
    </row>
    <row r="47571" spans="16:17" x14ac:dyDescent="0.35">
      <c r="Q47571" s="1"/>
    </row>
    <row r="47576" spans="16:17" x14ac:dyDescent="0.35">
      <c r="P47576" s="1"/>
    </row>
    <row r="47580" spans="16:17" x14ac:dyDescent="0.35">
      <c r="Q47580" s="1"/>
    </row>
    <row r="47582" spans="16:17" x14ac:dyDescent="0.35">
      <c r="Q47582" s="1"/>
    </row>
    <row r="47588" spans="16:17" x14ac:dyDescent="0.35">
      <c r="Q47588" s="1"/>
    </row>
    <row r="47590" spans="16:17" x14ac:dyDescent="0.35">
      <c r="P47590" s="1"/>
    </row>
    <row r="47593" spans="16:17" x14ac:dyDescent="0.35">
      <c r="Q47593" s="1"/>
    </row>
    <row r="47597" spans="16:17" x14ac:dyDescent="0.35">
      <c r="Q47597" s="1"/>
    </row>
    <row r="47598" spans="16:17" x14ac:dyDescent="0.35">
      <c r="Q47598" s="1"/>
    </row>
    <row r="47599" spans="16:17" x14ac:dyDescent="0.35">
      <c r="P47599" s="1"/>
    </row>
    <row r="47604" spans="16:17" x14ac:dyDescent="0.35">
      <c r="P47604" s="1"/>
      <c r="Q47604" s="1"/>
    </row>
    <row r="47608" spans="16:17" x14ac:dyDescent="0.35">
      <c r="Q47608" s="1"/>
    </row>
    <row r="47614" spans="16:17" x14ac:dyDescent="0.35">
      <c r="Q47614" s="1"/>
    </row>
    <row r="47617" spans="16:17" x14ac:dyDescent="0.35">
      <c r="P47617" s="1"/>
    </row>
    <row r="47623" spans="16:17" x14ac:dyDescent="0.35">
      <c r="Q47623" s="1"/>
    </row>
    <row r="47627" spans="16:17" x14ac:dyDescent="0.35">
      <c r="Q47627" s="1"/>
    </row>
    <row r="47628" spans="16:17" x14ac:dyDescent="0.35">
      <c r="P47628" s="1"/>
    </row>
    <row r="47632" spans="16:17" x14ac:dyDescent="0.35">
      <c r="Q47632" s="1"/>
    </row>
    <row r="47633" spans="16:17" x14ac:dyDescent="0.35">
      <c r="Q47633" s="1"/>
    </row>
    <row r="47638" spans="16:17" x14ac:dyDescent="0.35">
      <c r="Q47638" s="1"/>
    </row>
    <row r="47639" spans="16:17" x14ac:dyDescent="0.35">
      <c r="P47639" s="1"/>
      <c r="Q47639" s="1"/>
    </row>
    <row r="47641" spans="16:17" x14ac:dyDescent="0.35">
      <c r="Q47641" s="1"/>
    </row>
    <row r="47643" spans="16:17" x14ac:dyDescent="0.35">
      <c r="P47643" s="1"/>
      <c r="Q47643" s="1"/>
    </row>
    <row r="47645" spans="16:17" x14ac:dyDescent="0.35">
      <c r="P47645" s="1"/>
    </row>
    <row r="47647" spans="16:17" x14ac:dyDescent="0.35">
      <c r="Q47647" s="1"/>
    </row>
    <row r="47654" spans="16:17" x14ac:dyDescent="0.35">
      <c r="Q47654" s="1"/>
    </row>
    <row r="47656" spans="16:17" x14ac:dyDescent="0.35">
      <c r="Q47656" s="1"/>
    </row>
    <row r="47659" spans="16:17" x14ac:dyDescent="0.35">
      <c r="P47659" s="1"/>
    </row>
    <row r="47660" spans="16:17" x14ac:dyDescent="0.35">
      <c r="Q47660" s="1"/>
    </row>
    <row r="47662" spans="16:17" x14ac:dyDescent="0.35">
      <c r="P47662" s="1"/>
    </row>
    <row r="47666" spans="17:17" x14ac:dyDescent="0.35">
      <c r="Q47666" s="1"/>
    </row>
    <row r="47669" spans="17:17" x14ac:dyDescent="0.35">
      <c r="Q47669" s="1"/>
    </row>
    <row r="47670" spans="17:17" x14ac:dyDescent="0.35">
      <c r="Q47670" s="1"/>
    </row>
    <row r="47674" spans="17:17" x14ac:dyDescent="0.35">
      <c r="Q47674" s="1"/>
    </row>
    <row r="47682" spans="16:17" x14ac:dyDescent="0.35">
      <c r="P47682" s="1"/>
      <c r="Q47682" s="1"/>
    </row>
    <row r="47685" spans="16:17" x14ac:dyDescent="0.35">
      <c r="Q47685" s="1"/>
    </row>
    <row r="47686" spans="16:17" x14ac:dyDescent="0.35">
      <c r="Q47686" s="1"/>
    </row>
    <row r="47687" spans="16:17" x14ac:dyDescent="0.35">
      <c r="P47687" s="1"/>
    </row>
    <row r="47696" spans="16:17" x14ac:dyDescent="0.35">
      <c r="Q47696" s="1"/>
    </row>
    <row r="47697" spans="16:17" x14ac:dyDescent="0.35">
      <c r="Q47697" s="1"/>
    </row>
    <row r="47698" spans="16:17" x14ac:dyDescent="0.35">
      <c r="Q47698" s="1"/>
    </row>
    <row r="47703" spans="16:17" x14ac:dyDescent="0.35">
      <c r="Q47703" s="1"/>
    </row>
    <row r="47705" spans="16:17" x14ac:dyDescent="0.35">
      <c r="P47705" s="1"/>
    </row>
    <row r="47707" spans="16:17" x14ac:dyDescent="0.35">
      <c r="Q47707" s="1"/>
    </row>
    <row r="47714" spans="16:17" x14ac:dyDescent="0.35">
      <c r="P47714" s="1"/>
    </row>
    <row r="47724" spans="16:17" x14ac:dyDescent="0.35">
      <c r="Q47724" s="1"/>
    </row>
    <row r="47727" spans="16:17" x14ac:dyDescent="0.35">
      <c r="Q47727" s="1"/>
    </row>
    <row r="47730" spans="16:17" x14ac:dyDescent="0.35">
      <c r="Q47730" s="1"/>
    </row>
    <row r="47732" spans="16:17" x14ac:dyDescent="0.35">
      <c r="P47732" s="1"/>
    </row>
    <row r="47737" spans="16:17" x14ac:dyDescent="0.35">
      <c r="Q47737" s="1"/>
    </row>
    <row r="47738" spans="16:17" x14ac:dyDescent="0.35">
      <c r="Q47738" s="1"/>
    </row>
    <row r="47739" spans="16:17" x14ac:dyDescent="0.35">
      <c r="Q47739" s="1"/>
    </row>
    <row r="47744" spans="16:17" x14ac:dyDescent="0.35">
      <c r="Q47744" s="1"/>
    </row>
    <row r="47745" spans="17:17" x14ac:dyDescent="0.35">
      <c r="Q47745" s="1"/>
    </row>
    <row r="47747" spans="17:17" x14ac:dyDescent="0.35">
      <c r="Q47747" s="1"/>
    </row>
    <row r="47749" spans="17:17" x14ac:dyDescent="0.35">
      <c r="Q47749" s="1"/>
    </row>
    <row r="47751" spans="17:17" x14ac:dyDescent="0.35">
      <c r="Q47751" s="1"/>
    </row>
    <row r="47753" spans="17:17" x14ac:dyDescent="0.35">
      <c r="Q47753" s="1"/>
    </row>
    <row r="47755" spans="17:17" x14ac:dyDescent="0.35">
      <c r="Q47755" s="1"/>
    </row>
    <row r="47759" spans="17:17" x14ac:dyDescent="0.35">
      <c r="Q47759" s="1"/>
    </row>
    <row r="47761" spans="16:17" x14ac:dyDescent="0.35">
      <c r="Q47761" s="1"/>
    </row>
    <row r="47763" spans="16:17" x14ac:dyDescent="0.35">
      <c r="Q47763" s="1"/>
    </row>
    <row r="47765" spans="16:17" x14ac:dyDescent="0.35">
      <c r="P47765" s="1"/>
    </row>
    <row r="47766" spans="16:17" x14ac:dyDescent="0.35">
      <c r="Q47766" s="1"/>
    </row>
    <row r="47775" spans="16:17" x14ac:dyDescent="0.35">
      <c r="P47775" s="1"/>
    </row>
    <row r="47779" spans="16:17" x14ac:dyDescent="0.35">
      <c r="Q47779" s="1"/>
    </row>
    <row r="47783" spans="16:17" x14ac:dyDescent="0.35">
      <c r="Q47783" s="1"/>
    </row>
    <row r="47784" spans="16:17" x14ac:dyDescent="0.35">
      <c r="Q47784" s="1"/>
    </row>
    <row r="47787" spans="16:17" x14ac:dyDescent="0.35">
      <c r="P47787" s="1"/>
    </row>
    <row r="47789" spans="16:17" x14ac:dyDescent="0.35">
      <c r="Q47789" s="1"/>
    </row>
    <row r="47797" spans="16:17" x14ac:dyDescent="0.35">
      <c r="Q47797" s="1"/>
    </row>
    <row r="47798" spans="16:17" x14ac:dyDescent="0.35">
      <c r="P47798" s="1"/>
    </row>
    <row r="47800" spans="16:17" x14ac:dyDescent="0.35">
      <c r="Q47800" s="1"/>
    </row>
    <row r="47806" spans="16:17" x14ac:dyDescent="0.35">
      <c r="Q47806" s="1"/>
    </row>
    <row r="47808" spans="16:17" x14ac:dyDescent="0.35">
      <c r="P47808" s="1"/>
    </row>
    <row r="47815" spans="16:17" x14ac:dyDescent="0.35">
      <c r="Q47815" s="1"/>
    </row>
    <row r="47819" spans="16:17" x14ac:dyDescent="0.35">
      <c r="Q47819" s="1"/>
    </row>
    <row r="47821" spans="16:17" x14ac:dyDescent="0.35">
      <c r="P47821" s="1"/>
    </row>
    <row r="47822" spans="16:17" x14ac:dyDescent="0.35">
      <c r="Q47822" s="1"/>
    </row>
    <row r="47828" spans="16:17" x14ac:dyDescent="0.35">
      <c r="Q47828" s="1"/>
    </row>
    <row r="47829" spans="16:17" x14ac:dyDescent="0.35">
      <c r="P47829" s="1"/>
    </row>
    <row r="47830" spans="16:17" x14ac:dyDescent="0.35">
      <c r="Q47830" s="1"/>
    </row>
    <row r="47835" spans="16:17" x14ac:dyDescent="0.35">
      <c r="Q47835" s="1"/>
    </row>
    <row r="47836" spans="16:17" x14ac:dyDescent="0.35">
      <c r="Q47836" s="1"/>
    </row>
    <row r="47843" spans="16:17" x14ac:dyDescent="0.35">
      <c r="P47843" s="1"/>
      <c r="Q47843" s="1"/>
    </row>
    <row r="47844" spans="16:17" x14ac:dyDescent="0.35">
      <c r="P47844" s="1"/>
    </row>
    <row r="47845" spans="16:17" x14ac:dyDescent="0.35">
      <c r="P47845" s="1"/>
      <c r="Q47845" s="1"/>
    </row>
    <row r="47849" spans="16:17" x14ac:dyDescent="0.35">
      <c r="Q47849" s="1"/>
    </row>
    <row r="47851" spans="16:17" x14ac:dyDescent="0.35">
      <c r="Q47851" s="1"/>
    </row>
    <row r="47852" spans="16:17" x14ac:dyDescent="0.35">
      <c r="Q47852" s="1"/>
    </row>
    <row r="47856" spans="16:17" x14ac:dyDescent="0.35">
      <c r="P47856" s="1"/>
      <c r="Q47856" s="1"/>
    </row>
    <row r="47857" spans="16:17" x14ac:dyDescent="0.35">
      <c r="Q47857" s="1"/>
    </row>
    <row r="47863" spans="16:17" x14ac:dyDescent="0.35">
      <c r="Q47863" s="1"/>
    </row>
    <row r="47864" spans="16:17" x14ac:dyDescent="0.35">
      <c r="Q47864" s="1"/>
    </row>
    <row r="47866" spans="16:17" x14ac:dyDescent="0.35">
      <c r="Q47866" s="1"/>
    </row>
    <row r="47868" spans="16:17" x14ac:dyDescent="0.35">
      <c r="Q47868" s="1"/>
    </row>
    <row r="47870" spans="16:17" x14ac:dyDescent="0.35">
      <c r="Q47870" s="1"/>
    </row>
    <row r="47872" spans="16:17" x14ac:dyDescent="0.35">
      <c r="P47872" s="1"/>
    </row>
    <row r="47874" spans="16:17" x14ac:dyDescent="0.35">
      <c r="P47874" s="1"/>
    </row>
    <row r="47880" spans="16:17" x14ac:dyDescent="0.35">
      <c r="Q47880" s="1"/>
    </row>
    <row r="47881" spans="16:17" x14ac:dyDescent="0.35">
      <c r="P47881" s="1"/>
    </row>
    <row r="47882" spans="16:17" x14ac:dyDescent="0.35">
      <c r="Q47882" s="1"/>
    </row>
    <row r="47884" spans="16:17" x14ac:dyDescent="0.35">
      <c r="P47884" s="1"/>
    </row>
    <row r="47887" spans="16:17" x14ac:dyDescent="0.35">
      <c r="Q47887" s="1"/>
    </row>
    <row r="47891" spans="16:17" x14ac:dyDescent="0.35">
      <c r="Q47891" s="1"/>
    </row>
    <row r="47892" spans="16:17" x14ac:dyDescent="0.35">
      <c r="Q47892" s="1"/>
    </row>
    <row r="47896" spans="16:17" x14ac:dyDescent="0.35">
      <c r="P47896" s="1"/>
      <c r="Q47896" s="1"/>
    </row>
    <row r="47898" spans="16:17" x14ac:dyDescent="0.35">
      <c r="Q47898" s="1"/>
    </row>
    <row r="47902" spans="16:17" x14ac:dyDescent="0.35">
      <c r="Q47902" s="1"/>
    </row>
    <row r="47906" spans="16:17" x14ac:dyDescent="0.35">
      <c r="Q47906" s="1"/>
    </row>
    <row r="47908" spans="16:17" x14ac:dyDescent="0.35">
      <c r="P47908" s="1"/>
    </row>
    <row r="47909" spans="16:17" x14ac:dyDescent="0.35">
      <c r="Q47909" s="1"/>
    </row>
    <row r="47922" spans="17:17" x14ac:dyDescent="0.35">
      <c r="Q47922" s="1"/>
    </row>
    <row r="47930" spans="17:17" x14ac:dyDescent="0.35">
      <c r="Q47930" s="1"/>
    </row>
    <row r="47932" spans="17:17" x14ac:dyDescent="0.35">
      <c r="Q47932" s="1"/>
    </row>
    <row r="47934" spans="17:17" x14ac:dyDescent="0.35">
      <c r="Q47934" s="1"/>
    </row>
    <row r="47943" spans="17:17" x14ac:dyDescent="0.35">
      <c r="Q47943" s="1"/>
    </row>
    <row r="47944" spans="17:17" x14ac:dyDescent="0.35">
      <c r="Q47944" s="1"/>
    </row>
    <row r="47947" spans="17:17" x14ac:dyDescent="0.35">
      <c r="Q47947" s="1"/>
    </row>
    <row r="47948" spans="17:17" x14ac:dyDescent="0.35">
      <c r="Q47948" s="1"/>
    </row>
    <row r="47951" spans="17:17" x14ac:dyDescent="0.35">
      <c r="Q47951" s="1"/>
    </row>
    <row r="47956" spans="16:17" x14ac:dyDescent="0.35">
      <c r="P47956" s="1"/>
      <c r="Q47956" s="1"/>
    </row>
    <row r="47958" spans="16:17" x14ac:dyDescent="0.35">
      <c r="Q47958" s="1"/>
    </row>
    <row r="47960" spans="16:17" x14ac:dyDescent="0.35">
      <c r="Q47960" s="1"/>
    </row>
    <row r="47961" spans="16:17" x14ac:dyDescent="0.35">
      <c r="Q47961" s="1"/>
    </row>
    <row r="47964" spans="16:17" x14ac:dyDescent="0.35">
      <c r="Q47964" s="1"/>
    </row>
    <row r="47966" spans="16:17" x14ac:dyDescent="0.35">
      <c r="Q47966" s="1"/>
    </row>
    <row r="47972" spans="16:17" x14ac:dyDescent="0.35">
      <c r="Q47972" s="1"/>
    </row>
    <row r="47973" spans="16:17" x14ac:dyDescent="0.35">
      <c r="Q47973" s="1"/>
    </row>
    <row r="47980" spans="16:17" x14ac:dyDescent="0.35">
      <c r="Q47980" s="1"/>
    </row>
    <row r="47982" spans="16:17" x14ac:dyDescent="0.35">
      <c r="P47982" s="1"/>
    </row>
    <row r="47985" spans="17:17" x14ac:dyDescent="0.35">
      <c r="Q47985" s="1"/>
    </row>
    <row r="47988" spans="17:17" x14ac:dyDescent="0.35">
      <c r="Q47988" s="1"/>
    </row>
    <row r="47990" spans="17:17" x14ac:dyDescent="0.35">
      <c r="Q47990" s="1"/>
    </row>
    <row r="47994" spans="17:17" x14ac:dyDescent="0.35">
      <c r="Q47994" s="1"/>
    </row>
    <row r="47995" spans="17:17" x14ac:dyDescent="0.35">
      <c r="Q47995" s="1"/>
    </row>
    <row r="47997" spans="17:17" x14ac:dyDescent="0.35">
      <c r="Q47997" s="1"/>
    </row>
    <row r="47999" spans="17:17" x14ac:dyDescent="0.35">
      <c r="Q47999" s="1"/>
    </row>
    <row r="48000" spans="17:17" x14ac:dyDescent="0.35">
      <c r="Q48000" s="1"/>
    </row>
    <row r="48007" spans="17:17" x14ac:dyDescent="0.35">
      <c r="Q48007" s="1"/>
    </row>
    <row r="48011" spans="17:17" x14ac:dyDescent="0.35">
      <c r="Q48011" s="1"/>
    </row>
    <row r="48013" spans="17:17" x14ac:dyDescent="0.35">
      <c r="Q48013" s="1"/>
    </row>
    <row r="48014" spans="17:17" x14ac:dyDescent="0.35">
      <c r="Q48014" s="1"/>
    </row>
    <row r="48018" spans="16:17" x14ac:dyDescent="0.35">
      <c r="Q48018" s="1"/>
    </row>
    <row r="48023" spans="16:17" x14ac:dyDescent="0.35">
      <c r="Q48023" s="1"/>
    </row>
    <row r="48031" spans="16:17" x14ac:dyDescent="0.35">
      <c r="P48031" s="1"/>
    </row>
    <row r="48032" spans="16:17" x14ac:dyDescent="0.35">
      <c r="P48032" s="1"/>
    </row>
    <row r="48034" spans="16:17" x14ac:dyDescent="0.35">
      <c r="P48034" s="1"/>
    </row>
    <row r="48042" spans="16:17" x14ac:dyDescent="0.35">
      <c r="Q48042" s="1"/>
    </row>
    <row r="48044" spans="16:17" x14ac:dyDescent="0.35">
      <c r="Q48044" s="1"/>
    </row>
    <row r="48047" spans="16:17" x14ac:dyDescent="0.35">
      <c r="Q48047" s="1"/>
    </row>
    <row r="48048" spans="16:17" x14ac:dyDescent="0.35">
      <c r="Q48048" s="1"/>
    </row>
    <row r="48050" spans="17:17" x14ac:dyDescent="0.35">
      <c r="Q48050" s="1"/>
    </row>
    <row r="48052" spans="17:17" x14ac:dyDescent="0.35">
      <c r="Q48052" s="1"/>
    </row>
    <row r="48058" spans="17:17" x14ac:dyDescent="0.35">
      <c r="Q48058" s="1"/>
    </row>
    <row r="48059" spans="17:17" x14ac:dyDescent="0.35">
      <c r="Q48059" s="1"/>
    </row>
    <row r="48063" spans="17:17" x14ac:dyDescent="0.35">
      <c r="Q48063" s="1"/>
    </row>
    <row r="48067" spans="16:17" x14ac:dyDescent="0.35">
      <c r="Q48067" s="1"/>
    </row>
    <row r="48070" spans="16:17" x14ac:dyDescent="0.35">
      <c r="Q48070" s="1"/>
    </row>
    <row r="48071" spans="16:17" x14ac:dyDescent="0.35">
      <c r="P48071" s="1"/>
    </row>
    <row r="48076" spans="16:17" x14ac:dyDescent="0.35">
      <c r="Q48076" s="1"/>
    </row>
    <row r="48077" spans="16:17" x14ac:dyDescent="0.35">
      <c r="Q48077" s="1"/>
    </row>
    <row r="48092" spans="17:17" x14ac:dyDescent="0.35">
      <c r="Q48092" s="1"/>
    </row>
    <row r="48094" spans="17:17" x14ac:dyDescent="0.35">
      <c r="Q48094" s="1"/>
    </row>
    <row r="48096" spans="17:17" x14ac:dyDescent="0.35">
      <c r="Q48096" s="1"/>
    </row>
    <row r="48102" spans="17:17" x14ac:dyDescent="0.35">
      <c r="Q48102" s="1"/>
    </row>
    <row r="48103" spans="17:17" x14ac:dyDescent="0.35">
      <c r="Q48103" s="1"/>
    </row>
    <row r="48105" spans="17:17" x14ac:dyDescent="0.35">
      <c r="Q48105" s="1"/>
    </row>
    <row r="48106" spans="17:17" x14ac:dyDescent="0.35">
      <c r="Q48106" s="1"/>
    </row>
    <row r="48107" spans="17:17" x14ac:dyDescent="0.35">
      <c r="Q48107" s="1"/>
    </row>
    <row r="48108" spans="17:17" x14ac:dyDescent="0.35">
      <c r="Q48108" s="1"/>
    </row>
    <row r="48109" spans="17:17" x14ac:dyDescent="0.35">
      <c r="Q48109" s="1"/>
    </row>
    <row r="48110" spans="17:17" x14ac:dyDescent="0.35">
      <c r="Q48110" s="1"/>
    </row>
    <row r="48112" spans="17:17" x14ac:dyDescent="0.35">
      <c r="Q48112" s="1"/>
    </row>
    <row r="48113" spans="17:17" x14ac:dyDescent="0.35">
      <c r="Q48113" s="1"/>
    </row>
    <row r="48115" spans="17:17" x14ac:dyDescent="0.35">
      <c r="Q48115" s="1"/>
    </row>
    <row r="48122" spans="17:17" x14ac:dyDescent="0.35">
      <c r="Q48122" s="1"/>
    </row>
    <row r="48126" spans="17:17" x14ac:dyDescent="0.35">
      <c r="Q48126" s="1"/>
    </row>
    <row r="48129" spans="16:17" x14ac:dyDescent="0.35">
      <c r="Q48129" s="1"/>
    </row>
    <row r="48130" spans="16:17" x14ac:dyDescent="0.35">
      <c r="Q48130" s="1"/>
    </row>
    <row r="48131" spans="16:17" x14ac:dyDescent="0.35">
      <c r="Q48131" s="1"/>
    </row>
    <row r="48132" spans="16:17" x14ac:dyDescent="0.35">
      <c r="Q48132" s="1"/>
    </row>
    <row r="48135" spans="16:17" x14ac:dyDescent="0.35">
      <c r="Q48135" s="1"/>
    </row>
    <row r="48136" spans="16:17" x14ac:dyDescent="0.35">
      <c r="P48136" s="1"/>
    </row>
    <row r="48137" spans="16:17" x14ac:dyDescent="0.35">
      <c r="P48137" s="1"/>
    </row>
    <row r="48139" spans="16:17" x14ac:dyDescent="0.35">
      <c r="P48139" s="1"/>
    </row>
    <row r="48145" spans="16:17" x14ac:dyDescent="0.35">
      <c r="Q48145" s="1"/>
    </row>
    <row r="48146" spans="16:17" x14ac:dyDescent="0.35">
      <c r="P48146" s="1"/>
    </row>
    <row r="48149" spans="16:17" x14ac:dyDescent="0.35">
      <c r="Q48149" s="1"/>
    </row>
    <row r="48150" spans="16:17" x14ac:dyDescent="0.35">
      <c r="Q48150" s="1"/>
    </row>
    <row r="48155" spans="16:17" x14ac:dyDescent="0.35">
      <c r="Q48155" s="1"/>
    </row>
    <row r="48156" spans="16:17" x14ac:dyDescent="0.35">
      <c r="Q48156" s="1"/>
    </row>
    <row r="48157" spans="16:17" x14ac:dyDescent="0.35">
      <c r="Q48157" s="1"/>
    </row>
    <row r="48158" spans="16:17" x14ac:dyDescent="0.35">
      <c r="Q48158" s="1"/>
    </row>
    <row r="48162" spans="17:17" x14ac:dyDescent="0.35">
      <c r="Q48162" s="1"/>
    </row>
    <row r="48163" spans="17:17" x14ac:dyDescent="0.35">
      <c r="Q48163" s="1"/>
    </row>
    <row r="48166" spans="17:17" x14ac:dyDescent="0.35">
      <c r="Q48166" s="1"/>
    </row>
    <row r="48168" spans="17:17" x14ac:dyDescent="0.35">
      <c r="Q48168" s="1"/>
    </row>
    <row r="48170" spans="17:17" x14ac:dyDescent="0.35">
      <c r="Q48170" s="1"/>
    </row>
    <row r="48174" spans="17:17" x14ac:dyDescent="0.35">
      <c r="Q48174" s="1"/>
    </row>
    <row r="48177" spans="16:17" x14ac:dyDescent="0.35">
      <c r="Q48177" s="1"/>
    </row>
    <row r="48183" spans="16:17" x14ac:dyDescent="0.35">
      <c r="Q48183" s="1"/>
    </row>
    <row r="48190" spans="16:17" x14ac:dyDescent="0.35">
      <c r="P48190" s="1"/>
    </row>
    <row r="48195" spans="16:17" x14ac:dyDescent="0.35">
      <c r="Q48195" s="1"/>
    </row>
    <row r="48196" spans="16:17" x14ac:dyDescent="0.35">
      <c r="Q48196" s="1"/>
    </row>
    <row r="48197" spans="16:17" x14ac:dyDescent="0.35">
      <c r="Q48197" s="1"/>
    </row>
    <row r="48200" spans="16:17" x14ac:dyDescent="0.35">
      <c r="P48200" s="1"/>
    </row>
    <row r="48207" spans="16:17" x14ac:dyDescent="0.35">
      <c r="Q48207" s="1"/>
    </row>
    <row r="48208" spans="16:17" x14ac:dyDescent="0.35">
      <c r="P48208" s="1"/>
    </row>
    <row r="48217" spans="17:17" x14ac:dyDescent="0.35">
      <c r="Q48217" s="1"/>
    </row>
    <row r="48224" spans="17:17" x14ac:dyDescent="0.35">
      <c r="Q48224" s="1"/>
    </row>
    <row r="48226" spans="16:17" x14ac:dyDescent="0.35">
      <c r="Q48226" s="1"/>
    </row>
    <row r="48237" spans="16:17" x14ac:dyDescent="0.35">
      <c r="Q48237" s="1"/>
    </row>
    <row r="48238" spans="16:17" x14ac:dyDescent="0.35">
      <c r="P48238" s="1"/>
      <c r="Q48238" s="1"/>
    </row>
    <row r="48239" spans="16:17" x14ac:dyDescent="0.35">
      <c r="Q48239" s="1"/>
    </row>
    <row r="48242" spans="17:17" x14ac:dyDescent="0.35">
      <c r="Q48242" s="1"/>
    </row>
    <row r="48249" spans="17:17" x14ac:dyDescent="0.35">
      <c r="Q48249" s="1"/>
    </row>
    <row r="48256" spans="17:17" x14ac:dyDescent="0.35">
      <c r="Q48256" s="1"/>
    </row>
    <row r="48261" spans="17:17" x14ac:dyDescent="0.35">
      <c r="Q48261" s="1"/>
    </row>
    <row r="48262" spans="17:17" x14ac:dyDescent="0.35">
      <c r="Q48262" s="1"/>
    </row>
    <row r="48265" spans="17:17" x14ac:dyDescent="0.35">
      <c r="Q48265" s="1"/>
    </row>
    <row r="48266" spans="17:17" x14ac:dyDescent="0.35">
      <c r="Q48266" s="1"/>
    </row>
    <row r="48270" spans="17:17" x14ac:dyDescent="0.35">
      <c r="Q48270" s="1"/>
    </row>
    <row r="48273" spans="16:17" x14ac:dyDescent="0.35">
      <c r="P48273" s="1"/>
    </row>
    <row r="48274" spans="16:17" x14ac:dyDescent="0.35">
      <c r="Q48274" s="1"/>
    </row>
    <row r="48284" spans="16:17" x14ac:dyDescent="0.35">
      <c r="Q48284" s="1"/>
    </row>
    <row r="48285" spans="16:17" x14ac:dyDescent="0.35">
      <c r="P48285" s="1"/>
      <c r="Q48285" s="1"/>
    </row>
    <row r="48286" spans="16:17" x14ac:dyDescent="0.35">
      <c r="Q48286" s="1"/>
    </row>
    <row r="48290" spans="16:17" x14ac:dyDescent="0.35">
      <c r="Q48290" s="1"/>
    </row>
    <row r="48295" spans="16:17" x14ac:dyDescent="0.35">
      <c r="Q48295" s="1"/>
    </row>
    <row r="48298" spans="16:17" x14ac:dyDescent="0.35">
      <c r="P48298" s="1"/>
      <c r="Q48298" s="1"/>
    </row>
    <row r="48305" spans="16:17" x14ac:dyDescent="0.35">
      <c r="Q48305" s="1"/>
    </row>
    <row r="48306" spans="16:17" x14ac:dyDescent="0.35">
      <c r="Q48306" s="1"/>
    </row>
    <row r="48310" spans="16:17" x14ac:dyDescent="0.35">
      <c r="P48310" s="1"/>
    </row>
    <row r="48314" spans="16:17" x14ac:dyDescent="0.35">
      <c r="Q48314" s="1"/>
    </row>
    <row r="48316" spans="16:17" x14ac:dyDescent="0.35">
      <c r="Q48316" s="1"/>
    </row>
    <row r="48320" spans="16:17" x14ac:dyDescent="0.35">
      <c r="Q48320" s="1"/>
    </row>
    <row r="48325" spans="16:17" x14ac:dyDescent="0.35">
      <c r="P48325" s="1"/>
    </row>
    <row r="48326" spans="16:17" x14ac:dyDescent="0.35">
      <c r="P48326" s="1"/>
    </row>
    <row r="48329" spans="16:17" x14ac:dyDescent="0.35">
      <c r="Q48329" s="1"/>
    </row>
    <row r="48330" spans="16:17" x14ac:dyDescent="0.35">
      <c r="P48330" s="1"/>
    </row>
    <row r="48337" spans="16:17" x14ac:dyDescent="0.35">
      <c r="P48337" s="1"/>
    </row>
    <row r="48341" spans="16:17" x14ac:dyDescent="0.35">
      <c r="Q48341" s="1"/>
    </row>
    <row r="48347" spans="16:17" x14ac:dyDescent="0.35">
      <c r="Q48347" s="1"/>
    </row>
    <row r="48350" spans="16:17" x14ac:dyDescent="0.35">
      <c r="Q48350" s="1"/>
    </row>
    <row r="48355" spans="17:17" x14ac:dyDescent="0.35">
      <c r="Q48355" s="1"/>
    </row>
    <row r="48356" spans="17:17" x14ac:dyDescent="0.35">
      <c r="Q48356" s="1"/>
    </row>
    <row r="48360" spans="17:17" x14ac:dyDescent="0.35">
      <c r="Q48360" s="1"/>
    </row>
    <row r="48365" spans="17:17" x14ac:dyDescent="0.35">
      <c r="Q48365" s="1"/>
    </row>
    <row r="48366" spans="17:17" x14ac:dyDescent="0.35">
      <c r="Q48366" s="1"/>
    </row>
    <row r="48370" spans="16:17" x14ac:dyDescent="0.35">
      <c r="P48370" s="1"/>
      <c r="Q48370" s="1"/>
    </row>
    <row r="48371" spans="16:17" x14ac:dyDescent="0.35">
      <c r="P48371" s="1"/>
    </row>
    <row r="48374" spans="16:17" x14ac:dyDescent="0.35">
      <c r="P48374" s="1"/>
    </row>
    <row r="48375" spans="16:17" x14ac:dyDescent="0.35">
      <c r="Q48375" s="1"/>
    </row>
    <row r="48380" spans="16:17" x14ac:dyDescent="0.35">
      <c r="Q48380" s="1"/>
    </row>
    <row r="48382" spans="16:17" x14ac:dyDescent="0.35">
      <c r="Q48382" s="1"/>
    </row>
    <row r="48385" spans="16:17" x14ac:dyDescent="0.35">
      <c r="P48385" s="1"/>
      <c r="Q48385" s="1"/>
    </row>
    <row r="48386" spans="16:17" x14ac:dyDescent="0.35">
      <c r="Q48386" s="1"/>
    </row>
    <row r="48388" spans="16:17" x14ac:dyDescent="0.35">
      <c r="Q48388" s="1"/>
    </row>
    <row r="48395" spans="16:17" x14ac:dyDescent="0.35">
      <c r="Q48395" s="1"/>
    </row>
    <row r="48396" spans="16:17" x14ac:dyDescent="0.35">
      <c r="Q48396" s="1"/>
    </row>
    <row r="48398" spans="16:17" x14ac:dyDescent="0.35">
      <c r="P48398" s="1"/>
      <c r="Q48398" s="1"/>
    </row>
    <row r="48400" spans="16:17" x14ac:dyDescent="0.35">
      <c r="Q48400" s="1"/>
    </row>
    <row r="48401" spans="17:17" x14ac:dyDescent="0.35">
      <c r="Q48401" s="1"/>
    </row>
    <row r="48412" spans="17:17" x14ac:dyDescent="0.35">
      <c r="Q48412" s="1"/>
    </row>
    <row r="48419" spans="16:17" x14ac:dyDescent="0.35">
      <c r="Q48419" s="1"/>
    </row>
    <row r="48420" spans="16:17" x14ac:dyDescent="0.35">
      <c r="Q48420" s="1"/>
    </row>
    <row r="48421" spans="16:17" x14ac:dyDescent="0.35">
      <c r="P48421" s="1"/>
      <c r="Q48421" s="1"/>
    </row>
    <row r="48425" spans="16:17" x14ac:dyDescent="0.35">
      <c r="Q48425" s="1"/>
    </row>
    <row r="48428" spans="16:17" x14ac:dyDescent="0.35">
      <c r="P48428" s="1"/>
    </row>
    <row r="48434" spans="16:17" x14ac:dyDescent="0.35">
      <c r="Q48434" s="1"/>
    </row>
    <row r="48435" spans="16:17" x14ac:dyDescent="0.35">
      <c r="P48435" s="1"/>
    </row>
    <row r="48439" spans="16:17" x14ac:dyDescent="0.35">
      <c r="Q48439" s="1"/>
    </row>
    <row r="48440" spans="16:17" x14ac:dyDescent="0.35">
      <c r="Q48440" s="1"/>
    </row>
    <row r="48442" spans="16:17" x14ac:dyDescent="0.35">
      <c r="P48442" s="1"/>
      <c r="Q48442" s="1"/>
    </row>
    <row r="48444" spans="16:17" x14ac:dyDescent="0.35">
      <c r="P48444" s="1"/>
      <c r="Q48444" s="1"/>
    </row>
    <row r="48448" spans="16:17" x14ac:dyDescent="0.35">
      <c r="P48448" s="1"/>
      <c r="Q48448" s="1"/>
    </row>
    <row r="48451" spans="16:17" x14ac:dyDescent="0.35">
      <c r="Q48451" s="1"/>
    </row>
    <row r="48452" spans="16:17" x14ac:dyDescent="0.35">
      <c r="Q48452" s="1"/>
    </row>
    <row r="48458" spans="16:17" x14ac:dyDescent="0.35">
      <c r="Q48458" s="1"/>
    </row>
    <row r="48461" spans="16:17" x14ac:dyDescent="0.35">
      <c r="Q48461" s="1"/>
    </row>
    <row r="48462" spans="16:17" x14ac:dyDescent="0.35">
      <c r="Q48462" s="1"/>
    </row>
    <row r="48463" spans="16:17" x14ac:dyDescent="0.35">
      <c r="P48463" s="1"/>
    </row>
    <row r="48464" spans="16:17" x14ac:dyDescent="0.35">
      <c r="Q48464" s="1"/>
    </row>
    <row r="48466" spans="16:17" x14ac:dyDescent="0.35">
      <c r="Q48466" s="1"/>
    </row>
    <row r="48469" spans="16:17" x14ac:dyDescent="0.35">
      <c r="P48469" s="1"/>
    </row>
    <row r="48473" spans="16:17" x14ac:dyDescent="0.35">
      <c r="Q48473" s="1"/>
    </row>
    <row r="48474" spans="16:17" x14ac:dyDescent="0.35">
      <c r="Q48474" s="1"/>
    </row>
    <row r="48478" spans="16:17" x14ac:dyDescent="0.35">
      <c r="P48478" s="1"/>
    </row>
    <row r="48479" spans="16:17" x14ac:dyDescent="0.35">
      <c r="Q48479" s="1"/>
    </row>
    <row r="48480" spans="16:17" x14ac:dyDescent="0.35">
      <c r="P48480" s="1"/>
    </row>
    <row r="48484" spans="17:17" x14ac:dyDescent="0.35">
      <c r="Q48484" s="1"/>
    </row>
    <row r="48490" spans="17:17" x14ac:dyDescent="0.35">
      <c r="Q48490" s="1"/>
    </row>
    <row r="48492" spans="17:17" x14ac:dyDescent="0.35">
      <c r="Q48492" s="1"/>
    </row>
    <row r="48494" spans="17:17" x14ac:dyDescent="0.35">
      <c r="Q48494" s="1"/>
    </row>
    <row r="48495" spans="17:17" x14ac:dyDescent="0.35">
      <c r="Q48495" s="1"/>
    </row>
    <row r="48497" spans="16:17" x14ac:dyDescent="0.35">
      <c r="P48497" s="1"/>
    </row>
    <row r="48500" spans="16:17" x14ac:dyDescent="0.35">
      <c r="P48500" s="1"/>
    </row>
    <row r="48502" spans="16:17" x14ac:dyDescent="0.35">
      <c r="Q48502" s="1"/>
    </row>
    <row r="48508" spans="16:17" x14ac:dyDescent="0.35">
      <c r="Q48508" s="1"/>
    </row>
    <row r="48513" spans="16:17" x14ac:dyDescent="0.35">
      <c r="Q48513" s="1"/>
    </row>
    <row r="48516" spans="16:17" x14ac:dyDescent="0.35">
      <c r="Q48516" s="1"/>
    </row>
    <row r="48517" spans="16:17" x14ac:dyDescent="0.35">
      <c r="P48517" s="1"/>
    </row>
    <row r="48523" spans="16:17" x14ac:dyDescent="0.35">
      <c r="Q48523" s="1"/>
    </row>
    <row r="48524" spans="16:17" x14ac:dyDescent="0.35">
      <c r="Q48524" s="1"/>
    </row>
    <row r="48526" spans="16:17" x14ac:dyDescent="0.35">
      <c r="P48526" s="1"/>
    </row>
    <row r="48529" spans="16:17" x14ac:dyDescent="0.35">
      <c r="Q48529" s="1"/>
    </row>
    <row r="48530" spans="16:17" x14ac:dyDescent="0.35">
      <c r="P48530" s="1"/>
    </row>
    <row r="48531" spans="16:17" x14ac:dyDescent="0.35">
      <c r="Q48531" s="1"/>
    </row>
    <row r="48537" spans="16:17" x14ac:dyDescent="0.35">
      <c r="Q48537" s="1"/>
    </row>
    <row r="48541" spans="16:17" x14ac:dyDescent="0.35">
      <c r="P48541" s="1"/>
    </row>
    <row r="48546" spans="17:17" x14ac:dyDescent="0.35">
      <c r="Q48546" s="1"/>
    </row>
    <row r="48547" spans="17:17" x14ac:dyDescent="0.35">
      <c r="Q48547" s="1"/>
    </row>
    <row r="48549" spans="17:17" x14ac:dyDescent="0.35">
      <c r="Q48549" s="1"/>
    </row>
    <row r="48551" spans="17:17" x14ac:dyDescent="0.35">
      <c r="Q48551" s="1"/>
    </row>
    <row r="48554" spans="17:17" x14ac:dyDescent="0.35">
      <c r="Q48554" s="1"/>
    </row>
    <row r="48559" spans="17:17" x14ac:dyDescent="0.35">
      <c r="Q48559" s="1"/>
    </row>
    <row r="48565" spans="16:17" x14ac:dyDescent="0.35">
      <c r="P48565" s="1"/>
    </row>
    <row r="48566" spans="16:17" x14ac:dyDescent="0.35">
      <c r="P48566" s="1"/>
    </row>
    <row r="48568" spans="16:17" x14ac:dyDescent="0.35">
      <c r="P48568" s="1"/>
    </row>
    <row r="48570" spans="16:17" x14ac:dyDescent="0.35">
      <c r="Q48570" s="1"/>
    </row>
    <row r="48575" spans="16:17" x14ac:dyDescent="0.35">
      <c r="Q48575" s="1"/>
    </row>
    <row r="48577" spans="16:17" x14ac:dyDescent="0.35">
      <c r="Q48577" s="1"/>
    </row>
    <row r="48578" spans="16:17" x14ac:dyDescent="0.35">
      <c r="P48578" s="1"/>
    </row>
    <row r="48579" spans="16:17" x14ac:dyDescent="0.35">
      <c r="P48579" s="1"/>
    </row>
    <row r="48580" spans="16:17" x14ac:dyDescent="0.35">
      <c r="P48580" s="1"/>
    </row>
    <row r="48584" spans="16:17" x14ac:dyDescent="0.35">
      <c r="P48584" s="1"/>
    </row>
    <row r="48587" spans="16:17" x14ac:dyDescent="0.35">
      <c r="Q48587" s="1"/>
    </row>
    <row r="48588" spans="16:17" x14ac:dyDescent="0.35">
      <c r="P48588" s="1"/>
      <c r="Q48588" s="1"/>
    </row>
    <row r="48590" spans="16:17" x14ac:dyDescent="0.35">
      <c r="Q48590" s="1"/>
    </row>
    <row r="48591" spans="16:17" x14ac:dyDescent="0.35">
      <c r="Q48591" s="1"/>
    </row>
    <row r="48594" spans="16:17" x14ac:dyDescent="0.35">
      <c r="P48594" s="1"/>
    </row>
    <row r="48604" spans="16:17" x14ac:dyDescent="0.35">
      <c r="Q48604" s="1"/>
    </row>
    <row r="48606" spans="16:17" x14ac:dyDescent="0.35">
      <c r="Q48606" s="1"/>
    </row>
    <row r="48614" spans="16:17" x14ac:dyDescent="0.35">
      <c r="P48614" s="1"/>
    </row>
    <row r="48615" spans="16:17" x14ac:dyDescent="0.35">
      <c r="Q48615" s="1"/>
    </row>
    <row r="48620" spans="16:17" x14ac:dyDescent="0.35">
      <c r="P48620" s="1"/>
    </row>
    <row r="48622" spans="16:17" x14ac:dyDescent="0.35">
      <c r="Q48622" s="1"/>
    </row>
    <row r="48625" spans="16:17" x14ac:dyDescent="0.35">
      <c r="P48625" s="1"/>
    </row>
    <row r="48628" spans="16:17" x14ac:dyDescent="0.35">
      <c r="Q48628" s="1"/>
    </row>
    <row r="48629" spans="16:17" x14ac:dyDescent="0.35">
      <c r="P48629" s="1"/>
    </row>
    <row r="48631" spans="16:17" x14ac:dyDescent="0.35">
      <c r="Q48631" s="1"/>
    </row>
    <row r="48638" spans="16:17" x14ac:dyDescent="0.35">
      <c r="Q48638" s="1"/>
    </row>
    <row r="48640" spans="16:17" x14ac:dyDescent="0.35">
      <c r="Q48640" s="1"/>
    </row>
    <row r="48642" spans="16:17" x14ac:dyDescent="0.35">
      <c r="Q48642" s="1"/>
    </row>
    <row r="48646" spans="16:17" x14ac:dyDescent="0.35">
      <c r="P48646" s="1"/>
    </row>
    <row r="48647" spans="16:17" x14ac:dyDescent="0.35">
      <c r="P48647" s="1"/>
    </row>
    <row r="48649" spans="16:17" x14ac:dyDescent="0.35">
      <c r="Q48649" s="1"/>
    </row>
    <row r="48653" spans="16:17" x14ac:dyDescent="0.35">
      <c r="Q48653" s="1"/>
    </row>
    <row r="48654" spans="16:17" x14ac:dyDescent="0.35">
      <c r="P48654" s="1"/>
    </row>
    <row r="48662" spans="16:17" x14ac:dyDescent="0.35">
      <c r="Q48662" s="1"/>
    </row>
    <row r="48663" spans="16:17" x14ac:dyDescent="0.35">
      <c r="Q48663" s="1"/>
    </row>
    <row r="48664" spans="16:17" x14ac:dyDescent="0.35">
      <c r="P48664" s="1"/>
      <c r="Q48664" s="1"/>
    </row>
    <row r="48665" spans="16:17" x14ac:dyDescent="0.35">
      <c r="Q48665" s="1"/>
    </row>
    <row r="48674" spans="16:17" x14ac:dyDescent="0.35">
      <c r="P48674" s="1"/>
    </row>
    <row r="48675" spans="16:17" x14ac:dyDescent="0.35">
      <c r="Q48675" s="1"/>
    </row>
    <row r="48677" spans="16:17" x14ac:dyDescent="0.35">
      <c r="Q48677" s="1"/>
    </row>
    <row r="48678" spans="16:17" x14ac:dyDescent="0.35">
      <c r="Q48678" s="1"/>
    </row>
    <row r="48681" spans="16:17" x14ac:dyDescent="0.35">
      <c r="P48681" s="1"/>
    </row>
    <row r="48683" spans="16:17" x14ac:dyDescent="0.35">
      <c r="Q48683" s="1"/>
    </row>
    <row r="48686" spans="16:17" x14ac:dyDescent="0.35">
      <c r="P48686" s="1"/>
      <c r="Q48686" s="1"/>
    </row>
    <row r="48690" spans="16:17" x14ac:dyDescent="0.35">
      <c r="Q48690" s="1"/>
    </row>
    <row r="48693" spans="16:17" x14ac:dyDescent="0.35">
      <c r="P48693" s="1"/>
    </row>
    <row r="48694" spans="16:17" x14ac:dyDescent="0.35">
      <c r="Q48694" s="1"/>
    </row>
    <row r="48695" spans="16:17" x14ac:dyDescent="0.35">
      <c r="Q48695" s="1"/>
    </row>
    <row r="48697" spans="16:17" x14ac:dyDescent="0.35">
      <c r="P48697" s="1"/>
    </row>
    <row r="48698" spans="16:17" x14ac:dyDescent="0.35">
      <c r="Q48698" s="1"/>
    </row>
    <row r="48700" spans="16:17" x14ac:dyDescent="0.35">
      <c r="Q48700" s="1"/>
    </row>
    <row r="48701" spans="16:17" x14ac:dyDescent="0.35">
      <c r="Q48701" s="1"/>
    </row>
    <row r="48709" spans="16:17" x14ac:dyDescent="0.35">
      <c r="P48709" s="1"/>
    </row>
    <row r="48710" spans="16:17" x14ac:dyDescent="0.35">
      <c r="P48710" s="1"/>
      <c r="Q48710" s="1"/>
    </row>
    <row r="48712" spans="16:17" x14ac:dyDescent="0.35">
      <c r="Q48712" s="1"/>
    </row>
    <row r="48713" spans="16:17" x14ac:dyDescent="0.35">
      <c r="P48713" s="1"/>
    </row>
    <row r="48714" spans="16:17" x14ac:dyDescent="0.35">
      <c r="Q48714" s="1"/>
    </row>
    <row r="48721" spans="16:17" x14ac:dyDescent="0.35">
      <c r="Q48721" s="1"/>
    </row>
    <row r="48725" spans="16:17" x14ac:dyDescent="0.35">
      <c r="P48725" s="1"/>
    </row>
    <row r="48728" spans="16:17" x14ac:dyDescent="0.35">
      <c r="Q48728" s="1"/>
    </row>
    <row r="48729" spans="16:17" x14ac:dyDescent="0.35">
      <c r="P48729" s="1"/>
    </row>
    <row r="48730" spans="16:17" x14ac:dyDescent="0.35">
      <c r="Q48730" s="1"/>
    </row>
    <row r="48731" spans="16:17" x14ac:dyDescent="0.35">
      <c r="Q48731" s="1"/>
    </row>
    <row r="48733" spans="16:17" x14ac:dyDescent="0.35">
      <c r="Q48733" s="1"/>
    </row>
    <row r="48741" spans="16:17" x14ac:dyDescent="0.35">
      <c r="P48741" s="1"/>
    </row>
    <row r="48742" spans="16:17" x14ac:dyDescent="0.35">
      <c r="Q48742" s="1"/>
    </row>
    <row r="48749" spans="16:17" x14ac:dyDescent="0.35">
      <c r="P48749" s="1"/>
    </row>
    <row r="48754" spans="16:17" x14ac:dyDescent="0.35">
      <c r="Q48754" s="1"/>
    </row>
    <row r="48755" spans="16:17" x14ac:dyDescent="0.35">
      <c r="Q48755" s="1"/>
    </row>
    <row r="48758" spans="16:17" x14ac:dyDescent="0.35">
      <c r="Q48758" s="1"/>
    </row>
    <row r="48765" spans="16:17" x14ac:dyDescent="0.35">
      <c r="P48765" s="1"/>
    </row>
    <row r="48770" spans="16:17" x14ac:dyDescent="0.35">
      <c r="P48770" s="1"/>
    </row>
    <row r="48772" spans="16:17" x14ac:dyDescent="0.35">
      <c r="P48772" s="1"/>
      <c r="Q48772" s="1"/>
    </row>
    <row r="48775" spans="16:17" x14ac:dyDescent="0.35">
      <c r="Q48775" s="1"/>
    </row>
    <row r="48777" spans="16:17" x14ac:dyDescent="0.35">
      <c r="Q48777" s="1"/>
    </row>
    <row r="48782" spans="16:17" x14ac:dyDescent="0.35">
      <c r="Q48782" s="1"/>
    </row>
    <row r="48785" spans="16:17" x14ac:dyDescent="0.35">
      <c r="Q48785" s="1"/>
    </row>
    <row r="48786" spans="16:17" x14ac:dyDescent="0.35">
      <c r="Q48786" s="1"/>
    </row>
    <row r="48789" spans="16:17" x14ac:dyDescent="0.35">
      <c r="P48789" s="1"/>
      <c r="Q48789" s="1"/>
    </row>
    <row r="48791" spans="16:17" x14ac:dyDescent="0.35">
      <c r="P48791" s="1"/>
    </row>
    <row r="48793" spans="16:17" x14ac:dyDescent="0.35">
      <c r="P48793" s="1"/>
    </row>
    <row r="48795" spans="16:17" x14ac:dyDescent="0.35">
      <c r="Q48795" s="1"/>
    </row>
    <row r="48798" spans="16:17" x14ac:dyDescent="0.35">
      <c r="P48798" s="1"/>
    </row>
    <row r="48799" spans="16:17" x14ac:dyDescent="0.35">
      <c r="Q48799" s="1"/>
    </row>
    <row r="48805" spans="16:17" x14ac:dyDescent="0.35">
      <c r="Q48805" s="1"/>
    </row>
    <row r="48807" spans="16:17" x14ac:dyDescent="0.35">
      <c r="Q48807" s="1"/>
    </row>
    <row r="48814" spans="16:17" x14ac:dyDescent="0.35">
      <c r="P48814" s="1"/>
    </row>
    <row r="48822" spans="16:17" x14ac:dyDescent="0.35">
      <c r="P48822" s="1"/>
    </row>
    <row r="48823" spans="16:17" x14ac:dyDescent="0.35">
      <c r="P48823" s="1"/>
    </row>
    <row r="48825" spans="16:17" x14ac:dyDescent="0.35">
      <c r="P48825" s="1"/>
    </row>
    <row r="48827" spans="16:17" x14ac:dyDescent="0.35">
      <c r="Q48827" s="1"/>
    </row>
    <row r="48828" spans="16:17" x14ac:dyDescent="0.35">
      <c r="P48828" s="1"/>
    </row>
    <row r="48838" spans="16:17" x14ac:dyDescent="0.35">
      <c r="P48838" s="1"/>
    </row>
    <row r="48840" spans="16:17" x14ac:dyDescent="0.35">
      <c r="P48840" s="1"/>
    </row>
    <row r="48841" spans="16:17" x14ac:dyDescent="0.35">
      <c r="Q48841" s="1"/>
    </row>
    <row r="48843" spans="16:17" x14ac:dyDescent="0.35">
      <c r="Q48843" s="1"/>
    </row>
    <row r="48846" spans="16:17" x14ac:dyDescent="0.35">
      <c r="P48846" s="1"/>
    </row>
    <row r="48847" spans="16:17" x14ac:dyDescent="0.35">
      <c r="Q48847" s="1"/>
    </row>
    <row r="48848" spans="16:17" x14ac:dyDescent="0.35">
      <c r="Q48848" s="1"/>
    </row>
    <row r="48850" spans="17:17" x14ac:dyDescent="0.35">
      <c r="Q48850" s="1"/>
    </row>
    <row r="48851" spans="17:17" x14ac:dyDescent="0.35">
      <c r="Q48851" s="1"/>
    </row>
    <row r="48862" spans="17:17" x14ac:dyDescent="0.35">
      <c r="Q48862" s="1"/>
    </row>
    <row r="48864" spans="17:17" x14ac:dyDescent="0.35">
      <c r="Q48864" s="1"/>
    </row>
    <row r="48865" spans="16:17" x14ac:dyDescent="0.35">
      <c r="P48865" s="1"/>
    </row>
    <row r="48869" spans="16:17" x14ac:dyDescent="0.35">
      <c r="Q48869" s="1"/>
    </row>
    <row r="48873" spans="16:17" x14ac:dyDescent="0.35">
      <c r="Q48873" s="1"/>
    </row>
    <row r="48878" spans="16:17" x14ac:dyDescent="0.35">
      <c r="P48878" s="1"/>
    </row>
    <row r="48879" spans="16:17" x14ac:dyDescent="0.35">
      <c r="P48879" s="1"/>
      <c r="Q48879" s="1"/>
    </row>
    <row r="48883" spans="16:17" x14ac:dyDescent="0.35">
      <c r="Q48883" s="1"/>
    </row>
    <row r="48886" spans="16:17" x14ac:dyDescent="0.35">
      <c r="Q48886" s="1"/>
    </row>
    <row r="48887" spans="16:17" x14ac:dyDescent="0.35">
      <c r="Q48887" s="1"/>
    </row>
    <row r="48890" spans="16:17" x14ac:dyDescent="0.35">
      <c r="Q48890" s="1"/>
    </row>
    <row r="48892" spans="16:17" x14ac:dyDescent="0.35">
      <c r="P48892" s="1"/>
    </row>
    <row r="48896" spans="16:17" x14ac:dyDescent="0.35">
      <c r="P48896" s="1"/>
    </row>
    <row r="48900" spans="16:17" x14ac:dyDescent="0.35">
      <c r="P48900" s="1"/>
    </row>
    <row r="48909" spans="16:17" x14ac:dyDescent="0.35">
      <c r="P48909" s="1"/>
    </row>
    <row r="48912" spans="16:17" x14ac:dyDescent="0.35">
      <c r="Q48912" s="1"/>
    </row>
    <row r="48923" spans="16:17" x14ac:dyDescent="0.35">
      <c r="P48923" s="1"/>
    </row>
    <row r="48925" spans="16:17" x14ac:dyDescent="0.35">
      <c r="Q48925" s="1"/>
    </row>
    <row r="48926" spans="16:17" x14ac:dyDescent="0.35">
      <c r="Q48926" s="1"/>
    </row>
    <row r="48929" spans="16:17" x14ac:dyDescent="0.35">
      <c r="Q48929" s="1"/>
    </row>
    <row r="48931" spans="16:17" x14ac:dyDescent="0.35">
      <c r="P48931" s="1"/>
    </row>
    <row r="48932" spans="16:17" x14ac:dyDescent="0.35">
      <c r="P48932" s="1"/>
      <c r="Q48932" s="1"/>
    </row>
    <row r="48935" spans="16:17" x14ac:dyDescent="0.35">
      <c r="Q48935" s="1"/>
    </row>
    <row r="48937" spans="16:17" x14ac:dyDescent="0.35">
      <c r="Q48937" s="1"/>
    </row>
    <row r="48938" spans="16:17" x14ac:dyDescent="0.35">
      <c r="Q48938" s="1"/>
    </row>
    <row r="48941" spans="16:17" x14ac:dyDescent="0.35">
      <c r="P48941" s="1"/>
      <c r="Q48941" s="1"/>
    </row>
    <row r="48944" spans="16:17" x14ac:dyDescent="0.35">
      <c r="P48944" s="1"/>
      <c r="Q48944" s="1"/>
    </row>
    <row r="48945" spans="16:17" x14ac:dyDescent="0.35">
      <c r="P48945" s="1"/>
      <c r="Q48945" s="1"/>
    </row>
    <row r="48948" spans="16:17" x14ac:dyDescent="0.35">
      <c r="P48948" s="1"/>
    </row>
    <row r="48949" spans="16:17" x14ac:dyDescent="0.35">
      <c r="P48949" s="1"/>
    </row>
    <row r="48959" spans="16:17" x14ac:dyDescent="0.35">
      <c r="Q48959" s="1"/>
    </row>
    <row r="48961" spans="16:17" x14ac:dyDescent="0.35">
      <c r="Q48961" s="1"/>
    </row>
    <row r="48962" spans="16:17" x14ac:dyDescent="0.35">
      <c r="Q48962" s="1"/>
    </row>
    <row r="48963" spans="16:17" x14ac:dyDescent="0.35">
      <c r="P48963" s="1"/>
      <c r="Q48963" s="1"/>
    </row>
    <row r="48964" spans="16:17" x14ac:dyDescent="0.35">
      <c r="P48964" s="1"/>
    </row>
    <row r="48965" spans="16:17" x14ac:dyDescent="0.35">
      <c r="P48965" s="1"/>
    </row>
    <row r="48967" spans="16:17" x14ac:dyDescent="0.35">
      <c r="Q48967" s="1"/>
    </row>
    <row r="48968" spans="16:17" x14ac:dyDescent="0.35">
      <c r="P48968" s="1"/>
      <c r="Q48968" s="1"/>
    </row>
    <row r="48970" spans="16:17" x14ac:dyDescent="0.35">
      <c r="P48970" s="1"/>
    </row>
    <row r="48971" spans="16:17" x14ac:dyDescent="0.35">
      <c r="Q48971" s="1"/>
    </row>
    <row r="48974" spans="16:17" x14ac:dyDescent="0.35">
      <c r="P48974" s="1"/>
    </row>
    <row r="48976" spans="16:17" x14ac:dyDescent="0.35">
      <c r="Q48976" s="1"/>
    </row>
    <row r="48978" spans="16:17" x14ac:dyDescent="0.35">
      <c r="Q48978" s="1"/>
    </row>
    <row r="48980" spans="16:17" x14ac:dyDescent="0.35">
      <c r="Q48980" s="1"/>
    </row>
    <row r="48982" spans="16:17" x14ac:dyDescent="0.35">
      <c r="P48982" s="1"/>
      <c r="Q48982" s="1"/>
    </row>
    <row r="48983" spans="16:17" x14ac:dyDescent="0.35">
      <c r="Q48983" s="1"/>
    </row>
    <row r="48986" spans="16:17" x14ac:dyDescent="0.35">
      <c r="Q48986" s="1"/>
    </row>
    <row r="48989" spans="16:17" x14ac:dyDescent="0.35">
      <c r="Q48989" s="1"/>
    </row>
    <row r="48993" spans="16:17" x14ac:dyDescent="0.35">
      <c r="Q48993" s="1"/>
    </row>
    <row r="48996" spans="16:17" x14ac:dyDescent="0.35">
      <c r="Q48996" s="1"/>
    </row>
    <row r="48998" spans="16:17" x14ac:dyDescent="0.35">
      <c r="P48998" s="1"/>
    </row>
    <row r="48999" spans="16:17" x14ac:dyDescent="0.35">
      <c r="P48999" s="1"/>
    </row>
    <row r="49000" spans="16:17" x14ac:dyDescent="0.35">
      <c r="Q49000" s="1"/>
    </row>
    <row r="49006" spans="16:17" x14ac:dyDescent="0.35">
      <c r="Q49006" s="1"/>
    </row>
    <row r="49008" spans="16:17" x14ac:dyDescent="0.35">
      <c r="Q49008" s="1"/>
    </row>
    <row r="49009" spans="17:17" x14ac:dyDescent="0.35">
      <c r="Q49009" s="1"/>
    </row>
    <row r="49010" spans="17:17" x14ac:dyDescent="0.35">
      <c r="Q49010" s="1"/>
    </row>
    <row r="49011" spans="17:17" x14ac:dyDescent="0.35">
      <c r="Q49011" s="1"/>
    </row>
    <row r="49013" spans="17:17" x14ac:dyDescent="0.35">
      <c r="Q49013" s="1"/>
    </row>
    <row r="49016" spans="17:17" x14ac:dyDescent="0.35">
      <c r="Q49016" s="1"/>
    </row>
    <row r="49018" spans="17:17" x14ac:dyDescent="0.35">
      <c r="Q49018" s="1"/>
    </row>
    <row r="49019" spans="17:17" x14ac:dyDescent="0.35">
      <c r="Q49019" s="1"/>
    </row>
    <row r="49022" spans="17:17" x14ac:dyDescent="0.35">
      <c r="Q49022" s="1"/>
    </row>
    <row r="49024" spans="17:17" x14ac:dyDescent="0.35">
      <c r="Q49024" s="1"/>
    </row>
    <row r="49025" spans="16:17" x14ac:dyDescent="0.35">
      <c r="Q49025" s="1"/>
    </row>
    <row r="49027" spans="16:17" x14ac:dyDescent="0.35">
      <c r="Q49027" s="1"/>
    </row>
    <row r="49030" spans="16:17" x14ac:dyDescent="0.35">
      <c r="P49030" s="1"/>
    </row>
    <row r="49031" spans="16:17" x14ac:dyDescent="0.35">
      <c r="Q49031" s="1"/>
    </row>
    <row r="49034" spans="16:17" x14ac:dyDescent="0.35">
      <c r="Q49034" s="1"/>
    </row>
    <row r="49038" spans="16:17" x14ac:dyDescent="0.35">
      <c r="Q49038" s="1"/>
    </row>
    <row r="49039" spans="16:17" x14ac:dyDescent="0.35">
      <c r="Q49039" s="1"/>
    </row>
    <row r="49043" spans="17:17" x14ac:dyDescent="0.35">
      <c r="Q49043" s="1"/>
    </row>
    <row r="49045" spans="17:17" x14ac:dyDescent="0.35">
      <c r="Q49045" s="1"/>
    </row>
    <row r="49046" spans="17:17" x14ac:dyDescent="0.35">
      <c r="Q49046" s="1"/>
    </row>
    <row r="49048" spans="17:17" x14ac:dyDescent="0.35">
      <c r="Q49048" s="1"/>
    </row>
    <row r="49049" spans="17:17" x14ac:dyDescent="0.35">
      <c r="Q49049" s="1"/>
    </row>
    <row r="49051" spans="17:17" x14ac:dyDescent="0.35">
      <c r="Q49051" s="1"/>
    </row>
    <row r="49054" spans="17:17" x14ac:dyDescent="0.35">
      <c r="Q49054" s="1"/>
    </row>
    <row r="49055" spans="17:17" x14ac:dyDescent="0.35">
      <c r="Q49055" s="1"/>
    </row>
    <row r="49056" spans="17:17" x14ac:dyDescent="0.35">
      <c r="Q49056" s="1"/>
    </row>
    <row r="49075" spans="17:17" x14ac:dyDescent="0.35">
      <c r="Q49075" s="1"/>
    </row>
    <row r="49078" spans="17:17" x14ac:dyDescent="0.35">
      <c r="Q49078" s="1"/>
    </row>
    <row r="49092" spans="17:17" x14ac:dyDescent="0.35">
      <c r="Q49092" s="1"/>
    </row>
    <row r="49094" spans="17:17" x14ac:dyDescent="0.35">
      <c r="Q49094" s="1"/>
    </row>
    <row r="49095" spans="17:17" x14ac:dyDescent="0.35">
      <c r="Q49095" s="1"/>
    </row>
    <row r="49097" spans="17:17" x14ac:dyDescent="0.35">
      <c r="Q49097" s="1"/>
    </row>
    <row r="49098" spans="17:17" x14ac:dyDescent="0.35">
      <c r="Q49098" s="1"/>
    </row>
    <row r="49108" spans="17:17" x14ac:dyDescent="0.35">
      <c r="Q49108" s="1"/>
    </row>
    <row r="49112" spans="17:17" x14ac:dyDescent="0.35">
      <c r="Q49112" s="1"/>
    </row>
    <row r="49115" spans="17:17" x14ac:dyDescent="0.35">
      <c r="Q49115" s="1"/>
    </row>
    <row r="49131" spans="17:17" x14ac:dyDescent="0.35">
      <c r="Q49131" s="1"/>
    </row>
    <row r="49136" spans="17:17" x14ac:dyDescent="0.35">
      <c r="Q49136" s="1"/>
    </row>
    <row r="49138" spans="17:17" x14ac:dyDescent="0.35">
      <c r="Q49138" s="1"/>
    </row>
    <row r="49139" spans="17:17" x14ac:dyDescent="0.35">
      <c r="Q49139" s="1"/>
    </row>
    <row r="49143" spans="17:17" x14ac:dyDescent="0.35">
      <c r="Q49143" s="1"/>
    </row>
    <row r="49145" spans="17:17" x14ac:dyDescent="0.35">
      <c r="Q49145" s="1"/>
    </row>
    <row r="49149" spans="17:17" x14ac:dyDescent="0.35">
      <c r="Q49149" s="1"/>
    </row>
    <row r="49151" spans="17:17" x14ac:dyDescent="0.35">
      <c r="Q49151" s="1"/>
    </row>
    <row r="49154" spans="17:17" x14ac:dyDescent="0.35">
      <c r="Q49154" s="1"/>
    </row>
    <row r="49157" spans="17:17" x14ac:dyDescent="0.35">
      <c r="Q49157" s="1"/>
    </row>
    <row r="49176" spans="17:17" x14ac:dyDescent="0.35">
      <c r="Q49176" s="1"/>
    </row>
    <row r="49177" spans="17:17" x14ac:dyDescent="0.35">
      <c r="Q49177" s="1"/>
    </row>
    <row r="49187" spans="17:17" x14ac:dyDescent="0.35">
      <c r="Q49187" s="1"/>
    </row>
    <row r="49197" spans="17:17" x14ac:dyDescent="0.35">
      <c r="Q49197" s="1"/>
    </row>
    <row r="49198" spans="17:17" x14ac:dyDescent="0.35">
      <c r="Q49198" s="1"/>
    </row>
    <row r="49200" spans="17:17" x14ac:dyDescent="0.35">
      <c r="Q49200" s="1"/>
    </row>
    <row r="49204" spans="17:17" x14ac:dyDescent="0.35">
      <c r="Q49204" s="1"/>
    </row>
    <row r="49205" spans="17:17" x14ac:dyDescent="0.35">
      <c r="Q49205" s="1"/>
    </row>
    <row r="49206" spans="17:17" x14ac:dyDescent="0.35">
      <c r="Q49206" s="1"/>
    </row>
    <row r="49208" spans="17:17" x14ac:dyDescent="0.35">
      <c r="Q49208" s="1"/>
    </row>
    <row r="49213" spans="17:17" x14ac:dyDescent="0.35">
      <c r="Q49213" s="1"/>
    </row>
    <row r="49217" spans="17:17" x14ac:dyDescent="0.35">
      <c r="Q49217" s="1"/>
    </row>
    <row r="49229" spans="17:17" x14ac:dyDescent="0.35">
      <c r="Q49229" s="1"/>
    </row>
    <row r="49233" spans="17:17" x14ac:dyDescent="0.35">
      <c r="Q49233" s="1"/>
    </row>
    <row r="49235" spans="17:17" x14ac:dyDescent="0.35">
      <c r="Q49235" s="1"/>
    </row>
    <row r="49236" spans="17:17" x14ac:dyDescent="0.35">
      <c r="Q49236" s="1"/>
    </row>
    <row r="49240" spans="17:17" x14ac:dyDescent="0.35">
      <c r="Q49240" s="1"/>
    </row>
    <row r="49243" spans="17:17" x14ac:dyDescent="0.35">
      <c r="Q49243" s="1"/>
    </row>
    <row r="49252" spans="17:17" x14ac:dyDescent="0.35">
      <c r="Q49252" s="1"/>
    </row>
    <row r="49253" spans="17:17" x14ac:dyDescent="0.35">
      <c r="Q49253" s="1"/>
    </row>
    <row r="49292" spans="17:17" x14ac:dyDescent="0.35">
      <c r="Q49292" s="1"/>
    </row>
    <row r="49299" spans="17:17" x14ac:dyDescent="0.35">
      <c r="Q49299" s="1"/>
    </row>
    <row r="49300" spans="17:17" x14ac:dyDescent="0.35">
      <c r="Q49300" s="1"/>
    </row>
    <row r="49307" spans="17:17" x14ac:dyDescent="0.35">
      <c r="Q49307" s="1"/>
    </row>
    <row r="49309" spans="17:17" x14ac:dyDescent="0.35">
      <c r="Q49309" s="1"/>
    </row>
    <row r="49311" spans="17:17" x14ac:dyDescent="0.35">
      <c r="Q49311" s="1"/>
    </row>
    <row r="49313" spans="17:17" x14ac:dyDescent="0.35">
      <c r="Q49313" s="1"/>
    </row>
    <row r="49318" spans="17:17" x14ac:dyDescent="0.35">
      <c r="Q49318" s="1"/>
    </row>
    <row r="49321" spans="17:17" x14ac:dyDescent="0.35">
      <c r="Q49321" s="1"/>
    </row>
    <row r="49323" spans="17:17" x14ac:dyDescent="0.35">
      <c r="Q49323" s="1"/>
    </row>
    <row r="49331" spans="17:17" x14ac:dyDescent="0.35">
      <c r="Q49331" s="1"/>
    </row>
    <row r="49339" spans="17:17" x14ac:dyDescent="0.35">
      <c r="Q49339" s="1"/>
    </row>
    <row r="49341" spans="17:17" x14ac:dyDescent="0.35">
      <c r="Q49341" s="1"/>
    </row>
    <row r="49344" spans="17:17" x14ac:dyDescent="0.35">
      <c r="Q49344" s="1"/>
    </row>
    <row r="49355" spans="17:17" x14ac:dyDescent="0.35">
      <c r="Q49355" s="1"/>
    </row>
    <row r="49367" spans="17:17" x14ac:dyDescent="0.35">
      <c r="Q49367" s="1"/>
    </row>
    <row r="49369" spans="17:17" x14ac:dyDescent="0.35">
      <c r="Q49369" s="1"/>
    </row>
    <row r="49372" spans="17:17" x14ac:dyDescent="0.35">
      <c r="Q49372" s="1"/>
    </row>
    <row r="49374" spans="17:17" x14ac:dyDescent="0.35">
      <c r="Q49374" s="1"/>
    </row>
    <row r="49386" spans="17:17" x14ac:dyDescent="0.35">
      <c r="Q49386" s="1"/>
    </row>
    <row r="49393" spans="17:17" x14ac:dyDescent="0.35">
      <c r="Q49393" s="1"/>
    </row>
    <row r="49402" spans="17:17" x14ac:dyDescent="0.35">
      <c r="Q49402" s="1"/>
    </row>
    <row r="49403" spans="17:17" x14ac:dyDescent="0.35">
      <c r="Q49403" s="1"/>
    </row>
    <row r="49407" spans="17:17" x14ac:dyDescent="0.35">
      <c r="Q49407" s="1"/>
    </row>
    <row r="49408" spans="17:17" x14ac:dyDescent="0.35">
      <c r="Q49408" s="1"/>
    </row>
    <row r="49413" spans="17:17" x14ac:dyDescent="0.35">
      <c r="Q49413" s="1"/>
    </row>
    <row r="49414" spans="17:17" x14ac:dyDescent="0.35">
      <c r="Q49414" s="1"/>
    </row>
    <row r="49417" spans="17:17" x14ac:dyDescent="0.35">
      <c r="Q49417" s="1"/>
    </row>
    <row r="49424" spans="17:17" x14ac:dyDescent="0.35">
      <c r="Q49424" s="1"/>
    </row>
    <row r="49433" spans="17:17" x14ac:dyDescent="0.35">
      <c r="Q49433" s="1"/>
    </row>
    <row r="49438" spans="17:17" x14ac:dyDescent="0.35">
      <c r="Q49438" s="1"/>
    </row>
    <row r="49441" spans="17:17" x14ac:dyDescent="0.35">
      <c r="Q49441" s="1"/>
    </row>
    <row r="49442" spans="17:17" x14ac:dyDescent="0.35">
      <c r="Q49442" s="1"/>
    </row>
    <row r="49451" spans="17:17" x14ac:dyDescent="0.35">
      <c r="Q49451" s="1"/>
    </row>
    <row r="49454" spans="17:17" x14ac:dyDescent="0.35">
      <c r="Q49454" s="1"/>
    </row>
    <row r="49455" spans="17:17" x14ac:dyDescent="0.35">
      <c r="Q49455" s="1"/>
    </row>
    <row r="49460" spans="17:17" x14ac:dyDescent="0.35">
      <c r="Q49460" s="1"/>
    </row>
    <row r="49461" spans="17:17" x14ac:dyDescent="0.35">
      <c r="Q49461" s="1"/>
    </row>
    <row r="49464" spans="17:17" x14ac:dyDescent="0.35">
      <c r="Q49464" s="1"/>
    </row>
    <row r="49467" spans="17:17" x14ac:dyDescent="0.35">
      <c r="Q49467" s="1"/>
    </row>
    <row r="49469" spans="17:17" x14ac:dyDescent="0.35">
      <c r="Q49469" s="1"/>
    </row>
    <row r="49473" spans="17:17" x14ac:dyDescent="0.35">
      <c r="Q49473" s="1"/>
    </row>
    <row r="49476" spans="17:17" x14ac:dyDescent="0.35">
      <c r="Q49476" s="1"/>
    </row>
    <row r="49487" spans="17:17" x14ac:dyDescent="0.35">
      <c r="Q49487" s="1"/>
    </row>
    <row r="49493" spans="17:17" x14ac:dyDescent="0.35">
      <c r="Q49493" s="1"/>
    </row>
    <row r="49503" spans="17:17" x14ac:dyDescent="0.35">
      <c r="Q49503" s="1"/>
    </row>
    <row r="49504" spans="17:17" x14ac:dyDescent="0.35">
      <c r="Q49504" s="1"/>
    </row>
    <row r="49505" spans="17:17" x14ac:dyDescent="0.35">
      <c r="Q49505" s="1"/>
    </row>
    <row r="49509" spans="17:17" x14ac:dyDescent="0.35">
      <c r="Q49509" s="1"/>
    </row>
    <row r="49510" spans="17:17" x14ac:dyDescent="0.35">
      <c r="Q49510" s="1"/>
    </row>
    <row r="49522" spans="17:17" x14ac:dyDescent="0.35">
      <c r="Q49522" s="1"/>
    </row>
    <row r="49524" spans="17:17" x14ac:dyDescent="0.35">
      <c r="Q49524" s="1"/>
    </row>
    <row r="49525" spans="17:17" x14ac:dyDescent="0.35">
      <c r="Q49525" s="1"/>
    </row>
    <row r="49532" spans="17:17" x14ac:dyDescent="0.35">
      <c r="Q49532" s="1"/>
    </row>
    <row r="49539" spans="16:17" x14ac:dyDescent="0.35">
      <c r="Q49539" s="1"/>
    </row>
    <row r="49544" spans="16:17" x14ac:dyDescent="0.35">
      <c r="Q49544" s="1"/>
    </row>
    <row r="49547" spans="16:17" x14ac:dyDescent="0.35">
      <c r="P49547" s="1"/>
    </row>
    <row r="49552" spans="16:17" x14ac:dyDescent="0.35">
      <c r="Q49552" s="1"/>
    </row>
    <row r="49554" spans="17:17" x14ac:dyDescent="0.35">
      <c r="Q49554" s="1"/>
    </row>
    <row r="49556" spans="17:17" x14ac:dyDescent="0.35">
      <c r="Q49556" s="1"/>
    </row>
    <row r="49564" spans="17:17" x14ac:dyDescent="0.35">
      <c r="Q49564" s="1"/>
    </row>
    <row r="49567" spans="17:17" x14ac:dyDescent="0.35">
      <c r="Q49567" s="1"/>
    </row>
    <row r="49587" spans="17:17" x14ac:dyDescent="0.35">
      <c r="Q49587" s="1"/>
    </row>
    <row r="49594" spans="17:17" x14ac:dyDescent="0.35">
      <c r="Q49594" s="1"/>
    </row>
    <row r="49597" spans="17:17" x14ac:dyDescent="0.35">
      <c r="Q49597" s="1"/>
    </row>
    <row r="49602" spans="17:17" x14ac:dyDescent="0.35">
      <c r="Q49602" s="1"/>
    </row>
    <row r="49605" spans="17:17" x14ac:dyDescent="0.35">
      <c r="Q49605" s="1"/>
    </row>
    <row r="49607" spans="17:17" x14ac:dyDescent="0.35">
      <c r="Q49607" s="1"/>
    </row>
    <row r="49608" spans="17:17" x14ac:dyDescent="0.35">
      <c r="Q49608" s="1"/>
    </row>
    <row r="49615" spans="17:17" x14ac:dyDescent="0.35">
      <c r="Q49615" s="1"/>
    </row>
    <row r="49616" spans="17:17" x14ac:dyDescent="0.35">
      <c r="Q49616" s="1"/>
    </row>
    <row r="49619" spans="17:17" x14ac:dyDescent="0.35">
      <c r="Q49619" s="1"/>
    </row>
    <row r="49622" spans="17:17" x14ac:dyDescent="0.35">
      <c r="Q49622" s="1"/>
    </row>
    <row r="49625" spans="17:17" x14ac:dyDescent="0.35">
      <c r="Q49625" s="1"/>
    </row>
    <row r="49628" spans="17:17" x14ac:dyDescent="0.35">
      <c r="Q49628" s="1"/>
    </row>
    <row r="49641" spans="17:17" x14ac:dyDescent="0.35">
      <c r="Q49641" s="1"/>
    </row>
    <row r="49642" spans="17:17" x14ac:dyDescent="0.35">
      <c r="Q49642" s="1"/>
    </row>
    <row r="49648" spans="17:17" x14ac:dyDescent="0.35">
      <c r="Q49648" s="1"/>
    </row>
    <row r="49653" spans="17:17" x14ac:dyDescent="0.35">
      <c r="Q49653" s="1"/>
    </row>
    <row r="49654" spans="17:17" x14ac:dyDescent="0.35">
      <c r="Q49654" s="1"/>
    </row>
    <row r="49658" spans="17:17" x14ac:dyDescent="0.35">
      <c r="Q49658" s="1"/>
    </row>
    <row r="49660" spans="17:17" x14ac:dyDescent="0.35">
      <c r="Q49660" s="1"/>
    </row>
    <row r="49672" spans="17:17" x14ac:dyDescent="0.35">
      <c r="Q49672" s="1"/>
    </row>
    <row r="49678" spans="17:17" x14ac:dyDescent="0.35">
      <c r="Q49678" s="1"/>
    </row>
    <row r="49708" spans="16:17" x14ac:dyDescent="0.35">
      <c r="Q49708" s="1"/>
    </row>
    <row r="49710" spans="16:17" x14ac:dyDescent="0.35">
      <c r="P49710" s="1"/>
    </row>
    <row r="49713" spans="17:17" x14ac:dyDescent="0.35">
      <c r="Q49713" s="1"/>
    </row>
    <row r="49720" spans="17:17" x14ac:dyDescent="0.35">
      <c r="Q49720" s="1"/>
    </row>
    <row r="49725" spans="17:17" x14ac:dyDescent="0.35">
      <c r="Q49725" s="1"/>
    </row>
    <row r="49730" spans="16:17" x14ac:dyDescent="0.35">
      <c r="Q49730" s="1"/>
    </row>
    <row r="49736" spans="16:17" x14ac:dyDescent="0.35">
      <c r="P49736" s="1"/>
    </row>
    <row r="49743" spans="16:17" x14ac:dyDescent="0.35">
      <c r="P49743" s="1"/>
    </row>
    <row r="49757" spans="17:17" x14ac:dyDescent="0.35">
      <c r="Q49757" s="1"/>
    </row>
    <row r="49764" spans="16:17" x14ac:dyDescent="0.35">
      <c r="Q49764" s="1"/>
    </row>
    <row r="49766" spans="16:17" x14ac:dyDescent="0.35">
      <c r="P49766" s="1"/>
    </row>
    <row r="49797" spans="16:17" x14ac:dyDescent="0.35">
      <c r="Q49797" s="1"/>
    </row>
    <row r="49803" spans="16:17" x14ac:dyDescent="0.35">
      <c r="P49803" s="1"/>
    </row>
    <row r="49804" spans="16:17" x14ac:dyDescent="0.35">
      <c r="Q49804" s="1"/>
    </row>
    <row r="49811" spans="17:17" x14ac:dyDescent="0.35">
      <c r="Q49811" s="1"/>
    </row>
    <row r="49812" spans="17:17" x14ac:dyDescent="0.35">
      <c r="Q49812" s="1"/>
    </row>
    <row r="49814" spans="17:17" x14ac:dyDescent="0.35">
      <c r="Q49814" s="1"/>
    </row>
    <row r="49817" spans="17:17" x14ac:dyDescent="0.35">
      <c r="Q49817" s="1"/>
    </row>
    <row r="49818" spans="17:17" x14ac:dyDescent="0.35">
      <c r="Q49818" s="1"/>
    </row>
    <row r="49822" spans="17:17" x14ac:dyDescent="0.35">
      <c r="Q49822" s="1"/>
    </row>
    <row r="49823" spans="17:17" x14ac:dyDescent="0.35">
      <c r="Q49823" s="1"/>
    </row>
    <row r="49830" spans="17:17" x14ac:dyDescent="0.35">
      <c r="Q49830" s="1"/>
    </row>
    <row r="49835" spans="17:17" x14ac:dyDescent="0.35">
      <c r="Q49835" s="1"/>
    </row>
    <row r="49837" spans="17:17" x14ac:dyDescent="0.35">
      <c r="Q49837" s="1"/>
    </row>
    <row r="49838" spans="17:17" x14ac:dyDescent="0.35">
      <c r="Q49838" s="1"/>
    </row>
    <row r="49848" spans="17:17" x14ac:dyDescent="0.35">
      <c r="Q49848" s="1"/>
    </row>
    <row r="49856" spans="17:17" x14ac:dyDescent="0.35">
      <c r="Q49856" s="1"/>
    </row>
    <row r="49861" spans="17:17" x14ac:dyDescent="0.35">
      <c r="Q49861" s="1"/>
    </row>
    <row r="49867" spans="17:17" x14ac:dyDescent="0.35">
      <c r="Q49867" s="1"/>
    </row>
    <row r="49869" spans="17:17" x14ac:dyDescent="0.35">
      <c r="Q49869" s="1"/>
    </row>
    <row r="49870" spans="17:17" x14ac:dyDescent="0.35">
      <c r="Q49870" s="1"/>
    </row>
    <row r="49872" spans="17:17" x14ac:dyDescent="0.35">
      <c r="Q49872" s="1"/>
    </row>
    <row r="49879" spans="17:17" x14ac:dyDescent="0.35">
      <c r="Q49879" s="1"/>
    </row>
    <row r="49892" spans="17:17" x14ac:dyDescent="0.35">
      <c r="Q49892" s="1"/>
    </row>
    <row r="49893" spans="17:17" x14ac:dyDescent="0.35">
      <c r="Q49893" s="1"/>
    </row>
    <row r="49895" spans="17:17" x14ac:dyDescent="0.35">
      <c r="Q49895" s="1"/>
    </row>
    <row r="49903" spans="17:17" x14ac:dyDescent="0.35">
      <c r="Q49903" s="1"/>
    </row>
    <row r="49905" spans="5:17" x14ac:dyDescent="0.35">
      <c r="Q49905" s="1"/>
    </row>
    <row r="49909" spans="5:17" x14ac:dyDescent="0.35">
      <c r="E49909" s="7"/>
      <c r="F49909" s="7"/>
    </row>
    <row r="49910" spans="5:17" x14ac:dyDescent="0.35">
      <c r="Q49910" s="1"/>
    </row>
    <row r="49915" spans="5:17" x14ac:dyDescent="0.35">
      <c r="P49915" s="1"/>
      <c r="Q49915" s="1"/>
    </row>
    <row r="49921" spans="17:17" x14ac:dyDescent="0.35">
      <c r="Q49921" s="1"/>
    </row>
    <row r="49922" spans="17:17" x14ac:dyDescent="0.35">
      <c r="Q49922" s="1"/>
    </row>
    <row r="49924" spans="17:17" x14ac:dyDescent="0.35">
      <c r="Q49924" s="1"/>
    </row>
    <row r="49925" spans="17:17" x14ac:dyDescent="0.35">
      <c r="Q49925" s="1"/>
    </row>
    <row r="49927" spans="17:17" x14ac:dyDescent="0.35">
      <c r="Q49927" s="1"/>
    </row>
    <row r="49933" spans="17:17" x14ac:dyDescent="0.35">
      <c r="Q49933" s="1"/>
    </row>
    <row r="49937" spans="16:17" x14ac:dyDescent="0.35">
      <c r="Q49937" s="1"/>
    </row>
    <row r="49941" spans="16:17" x14ac:dyDescent="0.35">
      <c r="P49941" s="1"/>
    </row>
    <row r="49946" spans="16:17" x14ac:dyDescent="0.35">
      <c r="Q49946" s="1"/>
    </row>
    <row r="49951" spans="16:17" x14ac:dyDescent="0.35">
      <c r="Q49951" s="1"/>
    </row>
    <row r="49953" spans="17:17" x14ac:dyDescent="0.35">
      <c r="Q49953" s="1"/>
    </row>
    <row r="49964" spans="17:17" x14ac:dyDescent="0.35">
      <c r="Q49964" s="1"/>
    </row>
    <row r="49966" spans="17:17" x14ac:dyDescent="0.35">
      <c r="Q49966" s="1"/>
    </row>
    <row r="49969" spans="17:17" x14ac:dyDescent="0.35">
      <c r="Q49969" s="1"/>
    </row>
    <row r="49972" spans="17:17" x14ac:dyDescent="0.35">
      <c r="Q49972" s="1"/>
    </row>
    <row r="49990" spans="17:17" x14ac:dyDescent="0.35">
      <c r="Q49990" s="1"/>
    </row>
    <row r="49993" spans="17:17" x14ac:dyDescent="0.35">
      <c r="Q49993" s="1"/>
    </row>
    <row r="49994" spans="17:17" x14ac:dyDescent="0.35">
      <c r="Q49994" s="1"/>
    </row>
    <row r="49996" spans="17:17" x14ac:dyDescent="0.35">
      <c r="Q49996" s="1"/>
    </row>
    <row r="50000" spans="17:17" x14ac:dyDescent="0.35">
      <c r="Q50000" s="1"/>
    </row>
    <row r="50001" spans="16:17" x14ac:dyDescent="0.35">
      <c r="Q50001" s="1"/>
    </row>
    <row r="50003" spans="16:17" x14ac:dyDescent="0.35">
      <c r="Q50003" s="1"/>
    </row>
    <row r="50004" spans="16:17" x14ac:dyDescent="0.35">
      <c r="P50004" s="1"/>
    </row>
    <row r="50006" spans="16:17" x14ac:dyDescent="0.35">
      <c r="P50006" s="1"/>
    </row>
    <row r="50007" spans="16:17" x14ac:dyDescent="0.35">
      <c r="Q50007" s="1"/>
    </row>
    <row r="50010" spans="16:17" x14ac:dyDescent="0.35">
      <c r="P50010" s="1"/>
    </row>
    <row r="50013" spans="16:17" x14ac:dyDescent="0.35">
      <c r="Q50013" s="1"/>
    </row>
    <row r="50014" spans="16:17" x14ac:dyDescent="0.35">
      <c r="Q50014" s="1"/>
    </row>
    <row r="50015" spans="16:17" x14ac:dyDescent="0.35">
      <c r="Q50015" s="1"/>
    </row>
    <row r="50018" spans="16:17" x14ac:dyDescent="0.35">
      <c r="Q50018" s="1"/>
    </row>
    <row r="50019" spans="16:17" x14ac:dyDescent="0.35">
      <c r="Q50019" s="1"/>
    </row>
    <row r="50020" spans="16:17" x14ac:dyDescent="0.35">
      <c r="P50020" s="1"/>
    </row>
    <row r="50022" spans="16:17" x14ac:dyDescent="0.35">
      <c r="P50022" s="1"/>
      <c r="Q50022" s="1"/>
    </row>
    <row r="50023" spans="16:17" x14ac:dyDescent="0.35">
      <c r="Q50023" s="1"/>
    </row>
    <row r="50024" spans="16:17" x14ac:dyDescent="0.35">
      <c r="P50024" s="1"/>
    </row>
    <row r="50025" spans="16:17" x14ac:dyDescent="0.35">
      <c r="Q50025" s="1"/>
    </row>
    <row r="50026" spans="16:17" x14ac:dyDescent="0.35">
      <c r="P50026" s="1"/>
    </row>
    <row r="50028" spans="16:17" x14ac:dyDescent="0.35">
      <c r="P50028" s="1"/>
      <c r="Q50028" s="1"/>
    </row>
    <row r="50029" spans="16:17" x14ac:dyDescent="0.35">
      <c r="Q50029" s="1"/>
    </row>
    <row r="50031" spans="16:17" x14ac:dyDescent="0.35">
      <c r="Q50031" s="1"/>
    </row>
    <row r="50035" spans="17:17" x14ac:dyDescent="0.35">
      <c r="Q50035" s="1"/>
    </row>
    <row r="50037" spans="17:17" x14ac:dyDescent="0.35">
      <c r="Q50037" s="1"/>
    </row>
    <row r="50039" spans="17:17" x14ac:dyDescent="0.35">
      <c r="Q50039" s="1"/>
    </row>
    <row r="50041" spans="17:17" x14ac:dyDescent="0.35">
      <c r="Q50041" s="1"/>
    </row>
    <row r="50044" spans="17:17" x14ac:dyDescent="0.35">
      <c r="Q50044" s="1"/>
    </row>
    <row r="50045" spans="17:17" x14ac:dyDescent="0.35">
      <c r="Q50045" s="1"/>
    </row>
    <row r="50048" spans="17:17" x14ac:dyDescent="0.35">
      <c r="Q50048" s="1"/>
    </row>
    <row r="50050" spans="16:17" x14ac:dyDescent="0.35">
      <c r="P50050" s="1"/>
    </row>
    <row r="50051" spans="16:17" x14ac:dyDescent="0.35">
      <c r="Q50051" s="1"/>
    </row>
    <row r="50055" spans="16:17" x14ac:dyDescent="0.35">
      <c r="P50055" s="1"/>
    </row>
    <row r="50056" spans="16:17" x14ac:dyDescent="0.35">
      <c r="P50056" s="1"/>
    </row>
    <row r="50058" spans="16:17" x14ac:dyDescent="0.35">
      <c r="P50058" s="1"/>
    </row>
    <row r="50059" spans="16:17" x14ac:dyDescent="0.35">
      <c r="Q50059" s="1"/>
    </row>
    <row r="50061" spans="16:17" x14ac:dyDescent="0.35">
      <c r="P50061" s="1"/>
    </row>
    <row r="50064" spans="16:17" x14ac:dyDescent="0.35">
      <c r="P50064" s="1"/>
    </row>
    <row r="50065" spans="16:17" x14ac:dyDescent="0.35">
      <c r="P50065" s="1"/>
    </row>
    <row r="50066" spans="16:17" x14ac:dyDescent="0.35">
      <c r="Q50066" s="1"/>
    </row>
    <row r="50067" spans="16:17" x14ac:dyDescent="0.35">
      <c r="P50067" s="1"/>
    </row>
    <row r="50069" spans="16:17" x14ac:dyDescent="0.35">
      <c r="Q50069" s="1"/>
    </row>
    <row r="50070" spans="16:17" x14ac:dyDescent="0.35">
      <c r="P50070" s="1"/>
    </row>
    <row r="50072" spans="16:17" x14ac:dyDescent="0.35">
      <c r="Q50072" s="1"/>
    </row>
    <row r="50073" spans="16:17" x14ac:dyDescent="0.35">
      <c r="Q50073" s="1"/>
    </row>
    <row r="50075" spans="16:17" x14ac:dyDescent="0.35">
      <c r="P50075" s="1"/>
    </row>
    <row r="50078" spans="16:17" x14ac:dyDescent="0.35">
      <c r="P50078" s="1"/>
    </row>
    <row r="50079" spans="16:17" x14ac:dyDescent="0.35">
      <c r="P50079" s="1"/>
    </row>
    <row r="50093" spans="16:17" x14ac:dyDescent="0.35">
      <c r="Q50093" s="1"/>
    </row>
    <row r="50094" spans="16:17" x14ac:dyDescent="0.35">
      <c r="Q50094" s="1"/>
    </row>
    <row r="50095" spans="16:17" x14ac:dyDescent="0.35">
      <c r="P50095" s="1"/>
      <c r="Q50095" s="1"/>
    </row>
    <row r="50097" spans="16:17" x14ac:dyDescent="0.35">
      <c r="P50097" s="1"/>
    </row>
    <row r="50100" spans="16:17" x14ac:dyDescent="0.35">
      <c r="P50100" s="1"/>
    </row>
    <row r="50101" spans="16:17" x14ac:dyDescent="0.35">
      <c r="P50101" s="1"/>
    </row>
    <row r="50102" spans="16:17" x14ac:dyDescent="0.35">
      <c r="P50102" s="1"/>
    </row>
    <row r="50103" spans="16:17" x14ac:dyDescent="0.35">
      <c r="P50103" s="1"/>
    </row>
    <row r="50107" spans="16:17" x14ac:dyDescent="0.35">
      <c r="P50107" s="1"/>
      <c r="Q50107" s="1"/>
    </row>
    <row r="50112" spans="16:17" x14ac:dyDescent="0.35">
      <c r="P50112" s="1"/>
      <c r="Q50112" s="1"/>
    </row>
    <row r="50116" spans="16:17" x14ac:dyDescent="0.35">
      <c r="Q50116" s="1"/>
    </row>
    <row r="50117" spans="16:17" x14ac:dyDescent="0.35">
      <c r="P50117" s="1"/>
    </row>
    <row r="50118" spans="16:17" x14ac:dyDescent="0.35">
      <c r="Q50118" s="1"/>
    </row>
    <row r="50122" spans="16:17" x14ac:dyDescent="0.35">
      <c r="Q50122" s="1"/>
    </row>
    <row r="50124" spans="16:17" x14ac:dyDescent="0.35">
      <c r="Q50124" s="1"/>
    </row>
    <row r="50127" spans="16:17" x14ac:dyDescent="0.35">
      <c r="Q50127" s="1"/>
    </row>
    <row r="50131" spans="16:17" x14ac:dyDescent="0.35">
      <c r="Q50131" s="1"/>
    </row>
    <row r="50132" spans="16:17" x14ac:dyDescent="0.35">
      <c r="P50132" s="1"/>
    </row>
    <row r="50133" spans="16:17" x14ac:dyDescent="0.35">
      <c r="Q50133" s="1"/>
    </row>
    <row r="50134" spans="16:17" x14ac:dyDescent="0.35">
      <c r="Q50134" s="1"/>
    </row>
    <row r="50136" spans="16:17" x14ac:dyDescent="0.35">
      <c r="Q50136" s="1"/>
    </row>
    <row r="50139" spans="16:17" x14ac:dyDescent="0.35">
      <c r="Q50139" s="1"/>
    </row>
    <row r="50141" spans="16:17" x14ac:dyDescent="0.35">
      <c r="P50141" s="1"/>
      <c r="Q50141" s="1"/>
    </row>
    <row r="50142" spans="16:17" x14ac:dyDescent="0.35">
      <c r="P50142" s="1"/>
    </row>
    <row r="50146" spans="16:17" x14ac:dyDescent="0.35">
      <c r="Q50146" s="1"/>
    </row>
    <row r="50147" spans="16:17" x14ac:dyDescent="0.35">
      <c r="Q50147" s="1"/>
    </row>
    <row r="50149" spans="16:17" x14ac:dyDescent="0.35">
      <c r="Q50149" s="1"/>
    </row>
    <row r="50150" spans="16:17" x14ac:dyDescent="0.35">
      <c r="P50150" s="1"/>
    </row>
    <row r="50151" spans="16:17" x14ac:dyDescent="0.35">
      <c r="Q50151" s="1"/>
    </row>
    <row r="50155" spans="16:17" x14ac:dyDescent="0.35">
      <c r="P50155" s="1"/>
    </row>
    <row r="50156" spans="16:17" x14ac:dyDescent="0.35">
      <c r="Q50156" s="1"/>
    </row>
    <row r="50157" spans="16:17" x14ac:dyDescent="0.35">
      <c r="P50157" s="1"/>
    </row>
    <row r="50159" spans="16:17" x14ac:dyDescent="0.35">
      <c r="P50159" s="1"/>
      <c r="Q50159" s="1"/>
    </row>
    <row r="50161" spans="16:17" x14ac:dyDescent="0.35">
      <c r="P50161" s="1"/>
    </row>
    <row r="50162" spans="16:17" x14ac:dyDescent="0.35">
      <c r="Q50162" s="1"/>
    </row>
    <row r="50163" spans="16:17" x14ac:dyDescent="0.35">
      <c r="Q50163" s="1"/>
    </row>
    <row r="50164" spans="16:17" x14ac:dyDescent="0.35">
      <c r="Q50164" s="1"/>
    </row>
    <row r="50165" spans="16:17" x14ac:dyDescent="0.35">
      <c r="P50165" s="1"/>
    </row>
    <row r="50168" spans="16:17" x14ac:dyDescent="0.35">
      <c r="P50168" s="1"/>
    </row>
    <row r="50169" spans="16:17" x14ac:dyDescent="0.35">
      <c r="Q50169" s="1"/>
    </row>
    <row r="50170" spans="16:17" x14ac:dyDescent="0.35">
      <c r="P50170" s="1"/>
    </row>
    <row r="50171" spans="16:17" x14ac:dyDescent="0.35">
      <c r="P50171" s="1"/>
    </row>
    <row r="50173" spans="16:17" x14ac:dyDescent="0.35">
      <c r="Q50173" s="1"/>
    </row>
    <row r="50175" spans="16:17" x14ac:dyDescent="0.35">
      <c r="P50175" s="1"/>
    </row>
    <row r="50176" spans="16:17" x14ac:dyDescent="0.35">
      <c r="Q50176" s="1"/>
    </row>
    <row r="50177" spans="16:17" x14ac:dyDescent="0.35">
      <c r="Q50177" s="1"/>
    </row>
    <row r="50180" spans="16:17" x14ac:dyDescent="0.35">
      <c r="P50180" s="1"/>
    </row>
    <row r="50182" spans="16:17" x14ac:dyDescent="0.35">
      <c r="P50182" s="1"/>
    </row>
    <row r="50184" spans="16:17" x14ac:dyDescent="0.35">
      <c r="Q50184" s="1"/>
    </row>
    <row r="50185" spans="16:17" x14ac:dyDescent="0.35">
      <c r="P50185" s="1"/>
    </row>
    <row r="50187" spans="16:17" x14ac:dyDescent="0.35">
      <c r="Q50187" s="1"/>
    </row>
    <row r="50189" spans="16:17" x14ac:dyDescent="0.35">
      <c r="Q50189" s="1"/>
    </row>
    <row r="50190" spans="16:17" x14ac:dyDescent="0.35">
      <c r="Q50190" s="1"/>
    </row>
    <row r="50196" spans="16:17" x14ac:dyDescent="0.35">
      <c r="P50196" s="1"/>
    </row>
    <row r="50198" spans="16:17" x14ac:dyDescent="0.35">
      <c r="P50198" s="1"/>
    </row>
    <row r="50203" spans="16:17" x14ac:dyDescent="0.35">
      <c r="P50203" s="1"/>
    </row>
    <row r="50206" spans="16:17" x14ac:dyDescent="0.35">
      <c r="Q50206" s="1"/>
    </row>
    <row r="50207" spans="16:17" x14ac:dyDescent="0.35">
      <c r="P50207" s="1"/>
    </row>
    <row r="50213" spans="16:17" x14ac:dyDescent="0.35">
      <c r="Q50213" s="1"/>
    </row>
    <row r="50216" spans="16:17" x14ac:dyDescent="0.35">
      <c r="P50216" s="1"/>
    </row>
    <row r="50220" spans="16:17" x14ac:dyDescent="0.35">
      <c r="P50220" s="1"/>
    </row>
    <row r="50223" spans="16:17" x14ac:dyDescent="0.35">
      <c r="P50223" s="1"/>
    </row>
    <row r="50227" spans="16:17" x14ac:dyDescent="0.35">
      <c r="P50227" s="1"/>
    </row>
    <row r="50230" spans="16:17" x14ac:dyDescent="0.35">
      <c r="P50230" s="1"/>
    </row>
    <row r="50234" spans="16:17" x14ac:dyDescent="0.35">
      <c r="Q50234" s="1"/>
    </row>
    <row r="50236" spans="16:17" x14ac:dyDescent="0.35">
      <c r="P50236" s="1"/>
    </row>
    <row r="50237" spans="16:17" x14ac:dyDescent="0.35">
      <c r="P50237" s="1"/>
    </row>
    <row r="50238" spans="16:17" x14ac:dyDescent="0.35">
      <c r="P50238" s="1"/>
      <c r="Q50238" s="1"/>
    </row>
    <row r="50239" spans="16:17" x14ac:dyDescent="0.35">
      <c r="Q50239" s="1"/>
    </row>
    <row r="50240" spans="16:17" x14ac:dyDescent="0.35">
      <c r="P50240" s="1"/>
    </row>
    <row r="50242" spans="16:17" x14ac:dyDescent="0.35">
      <c r="Q50242" s="1"/>
    </row>
    <row r="50243" spans="16:17" x14ac:dyDescent="0.35">
      <c r="P50243" s="1"/>
    </row>
    <row r="50248" spans="16:17" x14ac:dyDescent="0.35">
      <c r="Q50248" s="1"/>
    </row>
    <row r="50250" spans="16:17" x14ac:dyDescent="0.35">
      <c r="P50250" s="1"/>
    </row>
    <row r="50251" spans="16:17" x14ac:dyDescent="0.35">
      <c r="P50251" s="1"/>
    </row>
    <row r="50253" spans="16:17" x14ac:dyDescent="0.35">
      <c r="P50253" s="1"/>
    </row>
    <row r="50255" spans="16:17" x14ac:dyDescent="0.35">
      <c r="P50255" s="1"/>
      <c r="Q50255" s="1"/>
    </row>
    <row r="50258" spans="16:17" x14ac:dyDescent="0.35">
      <c r="Q50258" s="1"/>
    </row>
    <row r="50261" spans="16:17" x14ac:dyDescent="0.35">
      <c r="P50261" s="1"/>
      <c r="Q50261" s="1"/>
    </row>
    <row r="50262" spans="16:17" x14ac:dyDescent="0.35">
      <c r="P50262" s="1"/>
    </row>
    <row r="50264" spans="16:17" x14ac:dyDescent="0.35">
      <c r="P50264" s="1"/>
    </row>
    <row r="50265" spans="16:17" x14ac:dyDescent="0.35">
      <c r="Q50265" s="1"/>
    </row>
    <row r="50269" spans="16:17" x14ac:dyDescent="0.35">
      <c r="P50269" s="1"/>
    </row>
    <row r="50272" spans="16:17" x14ac:dyDescent="0.35">
      <c r="P50272" s="1"/>
    </row>
    <row r="50276" spans="16:17" x14ac:dyDescent="0.35">
      <c r="Q50276" s="1"/>
    </row>
    <row r="50277" spans="16:17" x14ac:dyDescent="0.35">
      <c r="P50277" s="1"/>
    </row>
    <row r="50278" spans="16:17" x14ac:dyDescent="0.35">
      <c r="P50278" s="1"/>
    </row>
    <row r="50279" spans="16:17" x14ac:dyDescent="0.35">
      <c r="Q50279" s="1"/>
    </row>
    <row r="50280" spans="16:17" x14ac:dyDescent="0.35">
      <c r="Q50280" s="1"/>
    </row>
    <row r="50283" spans="16:17" x14ac:dyDescent="0.35">
      <c r="P50283" s="1"/>
      <c r="Q50283" s="1"/>
    </row>
    <row r="50285" spans="16:17" x14ac:dyDescent="0.35">
      <c r="P50285" s="1"/>
    </row>
    <row r="50286" spans="16:17" x14ac:dyDescent="0.35">
      <c r="Q50286" s="1"/>
    </row>
    <row r="50287" spans="16:17" x14ac:dyDescent="0.35">
      <c r="P50287" s="1"/>
    </row>
    <row r="50288" spans="16:17" x14ac:dyDescent="0.35">
      <c r="Q50288" s="1"/>
    </row>
    <row r="50289" spans="16:17" x14ac:dyDescent="0.35">
      <c r="P50289" s="1"/>
    </row>
    <row r="50290" spans="16:17" x14ac:dyDescent="0.35">
      <c r="Q50290" s="1"/>
    </row>
    <row r="50292" spans="16:17" x14ac:dyDescent="0.35">
      <c r="P50292" s="1"/>
    </row>
    <row r="50293" spans="16:17" x14ac:dyDescent="0.35">
      <c r="P50293" s="1"/>
    </row>
    <row r="50294" spans="16:17" x14ac:dyDescent="0.35">
      <c r="Q50294" s="1"/>
    </row>
    <row r="50296" spans="16:17" x14ac:dyDescent="0.35">
      <c r="P50296" s="1"/>
    </row>
    <row r="50298" spans="16:17" x14ac:dyDescent="0.35">
      <c r="P50298" s="1"/>
      <c r="Q50298" s="1"/>
    </row>
    <row r="50300" spans="16:17" x14ac:dyDescent="0.35">
      <c r="P50300" s="1"/>
    </row>
    <row r="50301" spans="16:17" x14ac:dyDescent="0.35">
      <c r="Q50301" s="1"/>
    </row>
    <row r="50302" spans="16:17" x14ac:dyDescent="0.35">
      <c r="Q50302" s="1"/>
    </row>
    <row r="50306" spans="16:17" x14ac:dyDescent="0.35">
      <c r="P50306" s="1"/>
    </row>
    <row r="50307" spans="16:17" x14ac:dyDescent="0.35">
      <c r="P50307" s="1"/>
      <c r="Q50307" s="1"/>
    </row>
    <row r="50308" spans="16:17" x14ac:dyDescent="0.35">
      <c r="P50308" s="1"/>
    </row>
    <row r="50309" spans="16:17" x14ac:dyDescent="0.35">
      <c r="Q50309" s="1"/>
    </row>
    <row r="50313" spans="16:17" x14ac:dyDescent="0.35">
      <c r="Q50313" s="1"/>
    </row>
    <row r="50314" spans="16:17" x14ac:dyDescent="0.35">
      <c r="P50314" s="1"/>
    </row>
    <row r="50316" spans="16:17" x14ac:dyDescent="0.35">
      <c r="P50316" s="1"/>
    </row>
    <row r="50317" spans="16:17" x14ac:dyDescent="0.35">
      <c r="P50317" s="1"/>
    </row>
    <row r="50318" spans="16:17" x14ac:dyDescent="0.35">
      <c r="Q50318" s="1"/>
    </row>
    <row r="50319" spans="16:17" x14ac:dyDescent="0.35">
      <c r="P50319" s="1"/>
      <c r="Q50319" s="1"/>
    </row>
    <row r="50320" spans="16:17" x14ac:dyDescent="0.35">
      <c r="P50320" s="1"/>
    </row>
    <row r="50321" spans="16:17" x14ac:dyDescent="0.35">
      <c r="Q50321" s="1"/>
    </row>
    <row r="50322" spans="16:17" x14ac:dyDescent="0.35">
      <c r="P50322" s="1"/>
    </row>
    <row r="50325" spans="16:17" x14ac:dyDescent="0.35">
      <c r="Q50325" s="1"/>
    </row>
    <row r="50326" spans="16:17" x14ac:dyDescent="0.35">
      <c r="P50326" s="1"/>
    </row>
    <row r="50327" spans="16:17" x14ac:dyDescent="0.35">
      <c r="P50327" s="1"/>
    </row>
    <row r="50328" spans="16:17" x14ac:dyDescent="0.35">
      <c r="Q50328" s="1"/>
    </row>
    <row r="50329" spans="16:17" x14ac:dyDescent="0.35">
      <c r="P50329" s="1"/>
    </row>
    <row r="50330" spans="16:17" x14ac:dyDescent="0.35">
      <c r="P50330" s="1"/>
    </row>
    <row r="50337" spans="16:17" x14ac:dyDescent="0.35">
      <c r="Q50337" s="1"/>
    </row>
    <row r="50338" spans="16:17" x14ac:dyDescent="0.35">
      <c r="P50338" s="1"/>
      <c r="Q50338" s="1"/>
    </row>
    <row r="50340" spans="16:17" x14ac:dyDescent="0.35">
      <c r="P50340" s="1"/>
    </row>
    <row r="50341" spans="16:17" x14ac:dyDescent="0.35">
      <c r="P50341" s="1"/>
    </row>
    <row r="50342" spans="16:17" x14ac:dyDescent="0.35">
      <c r="P50342" s="1"/>
      <c r="Q50342" s="1"/>
    </row>
    <row r="50344" spans="16:17" x14ac:dyDescent="0.35">
      <c r="P50344" s="1"/>
    </row>
    <row r="50345" spans="16:17" x14ac:dyDescent="0.35">
      <c r="Q50345" s="1"/>
    </row>
    <row r="50346" spans="16:17" x14ac:dyDescent="0.35">
      <c r="Q50346" s="1"/>
    </row>
    <row r="50349" spans="16:17" x14ac:dyDescent="0.35">
      <c r="P50349" s="1"/>
    </row>
    <row r="50352" spans="16:17" x14ac:dyDescent="0.35">
      <c r="Q50352" s="1"/>
    </row>
    <row r="50354" spans="16:17" x14ac:dyDescent="0.35">
      <c r="P50354" s="1"/>
      <c r="Q50354" s="1"/>
    </row>
    <row r="50355" spans="16:17" x14ac:dyDescent="0.35">
      <c r="Q50355" s="1"/>
    </row>
    <row r="50357" spans="16:17" x14ac:dyDescent="0.35">
      <c r="P50357" s="1"/>
    </row>
    <row r="50358" spans="16:17" x14ac:dyDescent="0.35">
      <c r="Q50358" s="1"/>
    </row>
    <row r="50362" spans="16:17" x14ac:dyDescent="0.35">
      <c r="P50362" s="1"/>
    </row>
    <row r="50363" spans="16:17" x14ac:dyDescent="0.35">
      <c r="P50363" s="1"/>
    </row>
    <row r="50364" spans="16:17" x14ac:dyDescent="0.35">
      <c r="P50364" s="1"/>
      <c r="Q50364" s="1"/>
    </row>
    <row r="50365" spans="16:17" x14ac:dyDescent="0.35">
      <c r="P50365" s="1"/>
    </row>
    <row r="50367" spans="16:17" x14ac:dyDescent="0.35">
      <c r="P50367" s="1"/>
    </row>
    <row r="50368" spans="16:17" x14ac:dyDescent="0.35">
      <c r="P50368" s="1"/>
    </row>
    <row r="50369" spans="16:17" x14ac:dyDescent="0.35">
      <c r="P50369" s="1"/>
    </row>
    <row r="50374" spans="16:17" x14ac:dyDescent="0.35">
      <c r="P50374" s="1"/>
    </row>
    <row r="50375" spans="16:17" x14ac:dyDescent="0.35">
      <c r="P50375" s="1"/>
    </row>
    <row r="50376" spans="16:17" x14ac:dyDescent="0.35">
      <c r="Q50376" s="1"/>
    </row>
    <row r="50377" spans="16:17" x14ac:dyDescent="0.35">
      <c r="P50377" s="1"/>
    </row>
    <row r="50378" spans="16:17" x14ac:dyDescent="0.35">
      <c r="Q50378" s="1"/>
    </row>
    <row r="50379" spans="16:17" x14ac:dyDescent="0.35">
      <c r="Q50379" s="1"/>
    </row>
    <row r="50381" spans="16:17" x14ac:dyDescent="0.35">
      <c r="P50381" s="1"/>
    </row>
    <row r="50382" spans="16:17" x14ac:dyDescent="0.35">
      <c r="Q50382" s="1"/>
    </row>
    <row r="50383" spans="16:17" x14ac:dyDescent="0.35">
      <c r="Q50383" s="1"/>
    </row>
    <row r="50386" spans="16:17" x14ac:dyDescent="0.35">
      <c r="P50386" s="1"/>
    </row>
    <row r="50387" spans="16:17" x14ac:dyDescent="0.35">
      <c r="Q50387" s="1"/>
    </row>
    <row r="50390" spans="16:17" x14ac:dyDescent="0.35">
      <c r="Q50390" s="1"/>
    </row>
    <row r="50392" spans="16:17" x14ac:dyDescent="0.35">
      <c r="P50392" s="1"/>
      <c r="Q50392" s="1"/>
    </row>
    <row r="50393" spans="16:17" x14ac:dyDescent="0.35">
      <c r="P50393" s="1"/>
    </row>
    <row r="50395" spans="16:17" x14ac:dyDescent="0.35">
      <c r="P50395" s="1"/>
    </row>
    <row r="50397" spans="16:17" x14ac:dyDescent="0.35">
      <c r="Q50397" s="1"/>
    </row>
    <row r="50398" spans="16:17" x14ac:dyDescent="0.35">
      <c r="Q50398" s="1"/>
    </row>
    <row r="50403" spans="16:17" x14ac:dyDescent="0.35">
      <c r="P50403" s="1"/>
    </row>
    <row r="50406" spans="16:17" x14ac:dyDescent="0.35">
      <c r="Q50406" s="1"/>
    </row>
    <row r="50407" spans="16:17" x14ac:dyDescent="0.35">
      <c r="Q50407" s="1"/>
    </row>
    <row r="50408" spans="16:17" x14ac:dyDescent="0.35">
      <c r="P50408" s="1"/>
    </row>
    <row r="50410" spans="16:17" x14ac:dyDescent="0.35">
      <c r="P50410" s="1"/>
    </row>
    <row r="50412" spans="16:17" x14ac:dyDescent="0.35">
      <c r="Q50412" s="1"/>
    </row>
    <row r="50413" spans="16:17" x14ac:dyDescent="0.35">
      <c r="P50413" s="1"/>
    </row>
    <row r="50415" spans="16:17" x14ac:dyDescent="0.35">
      <c r="P50415" s="1"/>
      <c r="Q50415" s="1"/>
    </row>
    <row r="50416" spans="16:17" x14ac:dyDescent="0.35">
      <c r="Q50416" s="1"/>
    </row>
    <row r="50417" spans="16:17" x14ac:dyDescent="0.35">
      <c r="Q50417" s="1"/>
    </row>
    <row r="50422" spans="16:17" x14ac:dyDescent="0.35">
      <c r="P50422" s="1"/>
    </row>
    <row r="50423" spans="16:17" x14ac:dyDescent="0.35">
      <c r="P50423" s="1"/>
    </row>
    <row r="50425" spans="16:17" x14ac:dyDescent="0.35">
      <c r="P50425" s="1"/>
    </row>
    <row r="50426" spans="16:17" x14ac:dyDescent="0.35">
      <c r="Q50426" s="1"/>
    </row>
    <row r="50428" spans="16:17" x14ac:dyDescent="0.35">
      <c r="Q50428" s="1"/>
    </row>
    <row r="50429" spans="16:17" x14ac:dyDescent="0.35">
      <c r="P50429" s="1"/>
    </row>
    <row r="50430" spans="16:17" x14ac:dyDescent="0.35">
      <c r="P50430" s="1"/>
    </row>
    <row r="50432" spans="16:17" x14ac:dyDescent="0.35">
      <c r="P50432" s="1"/>
    </row>
    <row r="50434" spans="16:17" x14ac:dyDescent="0.35">
      <c r="Q50434" s="1"/>
    </row>
    <row r="50438" spans="16:17" x14ac:dyDescent="0.35">
      <c r="P50438" s="1"/>
    </row>
    <row r="50439" spans="16:17" x14ac:dyDescent="0.35">
      <c r="P50439" s="1"/>
    </row>
    <row r="50442" spans="16:17" x14ac:dyDescent="0.35">
      <c r="Q50442" s="1"/>
    </row>
    <row r="50443" spans="16:17" x14ac:dyDescent="0.35">
      <c r="P50443" s="1"/>
    </row>
    <row r="50444" spans="16:17" x14ac:dyDescent="0.35">
      <c r="Q50444" s="1"/>
    </row>
    <row r="50448" spans="16:17" x14ac:dyDescent="0.35">
      <c r="P50448" s="1"/>
    </row>
    <row r="50449" spans="16:17" x14ac:dyDescent="0.35">
      <c r="P50449" s="1"/>
    </row>
    <row r="50452" spans="16:17" x14ac:dyDescent="0.35">
      <c r="P50452" s="1"/>
    </row>
    <row r="50454" spans="16:17" x14ac:dyDescent="0.35">
      <c r="Q50454" s="1"/>
    </row>
    <row r="50455" spans="16:17" x14ac:dyDescent="0.35">
      <c r="Q50455" s="1"/>
    </row>
    <row r="50458" spans="16:17" x14ac:dyDescent="0.35">
      <c r="Q50458" s="1"/>
    </row>
    <row r="50460" spans="16:17" x14ac:dyDescent="0.35">
      <c r="Q50460" s="1"/>
    </row>
    <row r="50462" spans="16:17" x14ac:dyDescent="0.35">
      <c r="P50462" s="1"/>
    </row>
    <row r="50465" spans="16:17" x14ac:dyDescent="0.35">
      <c r="P50465" s="1"/>
    </row>
    <row r="50467" spans="16:17" x14ac:dyDescent="0.35">
      <c r="P50467" s="1"/>
      <c r="Q50467" s="1"/>
    </row>
    <row r="50468" spans="16:17" x14ac:dyDescent="0.35">
      <c r="Q50468" s="1"/>
    </row>
    <row r="50470" spans="16:17" x14ac:dyDescent="0.35">
      <c r="P50470" s="1"/>
    </row>
    <row r="50471" spans="16:17" x14ac:dyDescent="0.35">
      <c r="P50471" s="1"/>
    </row>
    <row r="50472" spans="16:17" x14ac:dyDescent="0.35">
      <c r="P50472" s="1"/>
      <c r="Q50472" s="1"/>
    </row>
    <row r="50474" spans="16:17" x14ac:dyDescent="0.35">
      <c r="P50474" s="1"/>
    </row>
    <row r="50477" spans="16:17" x14ac:dyDescent="0.35">
      <c r="P50477" s="1"/>
    </row>
    <row r="50478" spans="16:17" x14ac:dyDescent="0.35">
      <c r="Q50478" s="1"/>
    </row>
    <row r="50482" spans="16:17" x14ac:dyDescent="0.35">
      <c r="Q50482" s="1"/>
    </row>
    <row r="50485" spans="16:17" x14ac:dyDescent="0.35">
      <c r="P50485" s="1"/>
    </row>
    <row r="50488" spans="16:17" x14ac:dyDescent="0.35">
      <c r="Q50488" s="1"/>
    </row>
    <row r="50489" spans="16:17" x14ac:dyDescent="0.35">
      <c r="Q50489" s="1"/>
    </row>
    <row r="50495" spans="16:17" x14ac:dyDescent="0.35">
      <c r="P50495" s="1"/>
    </row>
    <row r="50497" spans="16:17" x14ac:dyDescent="0.35">
      <c r="P50497" s="1"/>
    </row>
    <row r="50500" spans="16:17" x14ac:dyDescent="0.35">
      <c r="P50500" s="1"/>
    </row>
    <row r="50503" spans="16:17" x14ac:dyDescent="0.35">
      <c r="Q50503" s="1"/>
    </row>
    <row r="50506" spans="16:17" x14ac:dyDescent="0.35">
      <c r="P50506" s="1"/>
    </row>
    <row r="50511" spans="16:17" x14ac:dyDescent="0.35">
      <c r="P50511" s="1"/>
    </row>
    <row r="50513" spans="16:17" x14ac:dyDescent="0.35">
      <c r="P50513" s="1"/>
    </row>
    <row r="50517" spans="16:17" x14ac:dyDescent="0.35">
      <c r="P50517" s="1"/>
    </row>
    <row r="50518" spans="16:17" x14ac:dyDescent="0.35">
      <c r="P50518" s="1"/>
    </row>
    <row r="50521" spans="16:17" x14ac:dyDescent="0.35">
      <c r="Q50521" s="1"/>
    </row>
    <row r="50523" spans="16:17" x14ac:dyDescent="0.35">
      <c r="P50523" s="1"/>
      <c r="Q50523" s="1"/>
    </row>
    <row r="50524" spans="16:17" x14ac:dyDescent="0.35">
      <c r="P50524" s="1"/>
    </row>
    <row r="50525" spans="16:17" x14ac:dyDescent="0.35">
      <c r="P50525" s="1"/>
    </row>
    <row r="50527" spans="16:17" x14ac:dyDescent="0.35">
      <c r="P50527" s="1"/>
    </row>
    <row r="50531" spans="16:17" x14ac:dyDescent="0.35">
      <c r="Q50531" s="1"/>
    </row>
    <row r="50534" spans="16:17" x14ac:dyDescent="0.35">
      <c r="P50534" s="1"/>
    </row>
    <row r="50538" spans="16:17" x14ac:dyDescent="0.35">
      <c r="P50538" s="1"/>
      <c r="Q50538" s="1"/>
    </row>
    <row r="50539" spans="16:17" x14ac:dyDescent="0.35">
      <c r="P50539" s="1"/>
    </row>
    <row r="50541" spans="16:17" x14ac:dyDescent="0.35">
      <c r="P50541" s="1"/>
    </row>
    <row r="50542" spans="16:17" x14ac:dyDescent="0.35">
      <c r="P50542" s="1"/>
    </row>
    <row r="50544" spans="16:17" x14ac:dyDescent="0.35">
      <c r="Q50544" s="1"/>
    </row>
    <row r="50548" spans="16:17" x14ac:dyDescent="0.35">
      <c r="P50548" s="1"/>
    </row>
    <row r="50549" spans="16:17" x14ac:dyDescent="0.35">
      <c r="Q50549" s="1"/>
    </row>
    <row r="50551" spans="16:17" x14ac:dyDescent="0.35">
      <c r="P50551" s="1"/>
      <c r="Q50551" s="1"/>
    </row>
    <row r="50554" spans="16:17" x14ac:dyDescent="0.35">
      <c r="P50554" s="1"/>
    </row>
    <row r="50557" spans="16:17" x14ac:dyDescent="0.35">
      <c r="P50557" s="1"/>
    </row>
    <row r="50559" spans="16:17" x14ac:dyDescent="0.35">
      <c r="P50559" s="1"/>
      <c r="Q50559" s="1"/>
    </row>
    <row r="50562" spans="16:17" x14ac:dyDescent="0.35">
      <c r="P50562" s="1"/>
    </row>
    <row r="50568" spans="16:17" x14ac:dyDescent="0.35">
      <c r="P50568" s="1"/>
    </row>
    <row r="50570" spans="16:17" x14ac:dyDescent="0.35">
      <c r="Q50570" s="1"/>
    </row>
    <row r="50571" spans="16:17" x14ac:dyDescent="0.35">
      <c r="P50571" s="1"/>
    </row>
    <row r="50572" spans="16:17" x14ac:dyDescent="0.35">
      <c r="P50572" s="1"/>
    </row>
    <row r="50573" spans="16:17" x14ac:dyDescent="0.35">
      <c r="P50573" s="1"/>
    </row>
    <row r="50574" spans="16:17" x14ac:dyDescent="0.35">
      <c r="Q50574" s="1"/>
    </row>
    <row r="50575" spans="16:17" x14ac:dyDescent="0.35">
      <c r="Q50575" s="1"/>
    </row>
    <row r="50578" spans="16:17" x14ac:dyDescent="0.35">
      <c r="Q50578" s="1"/>
    </row>
    <row r="50580" spans="16:17" x14ac:dyDescent="0.35">
      <c r="P50580" s="1"/>
    </row>
    <row r="50582" spans="16:17" x14ac:dyDescent="0.35">
      <c r="P50582" s="1"/>
    </row>
    <row r="50586" spans="16:17" x14ac:dyDescent="0.35">
      <c r="Q50586" s="1"/>
    </row>
    <row r="50587" spans="16:17" x14ac:dyDescent="0.35">
      <c r="P50587" s="1"/>
    </row>
    <row r="50593" spans="16:17" x14ac:dyDescent="0.35">
      <c r="Q50593" s="1"/>
    </row>
    <row r="50599" spans="16:17" x14ac:dyDescent="0.35">
      <c r="P50599" s="1"/>
    </row>
    <row r="50603" spans="16:17" x14ac:dyDescent="0.35">
      <c r="Q50603" s="1"/>
    </row>
    <row r="50604" spans="16:17" x14ac:dyDescent="0.35">
      <c r="Q50604" s="1"/>
    </row>
    <row r="50605" spans="16:17" x14ac:dyDescent="0.35">
      <c r="P50605" s="1"/>
    </row>
    <row r="50606" spans="16:17" x14ac:dyDescent="0.35">
      <c r="P50606" s="1"/>
      <c r="Q50606" s="1"/>
    </row>
    <row r="50607" spans="16:17" x14ac:dyDescent="0.35">
      <c r="P50607" s="1"/>
    </row>
    <row r="50610" spans="16:17" x14ac:dyDescent="0.35">
      <c r="P50610" s="1"/>
      <c r="Q50610" s="1"/>
    </row>
    <row r="50614" spans="16:17" x14ac:dyDescent="0.35">
      <c r="P50614" s="1"/>
    </row>
    <row r="50616" spans="16:17" x14ac:dyDescent="0.35">
      <c r="P50616" s="1"/>
    </row>
    <row r="50618" spans="16:17" x14ac:dyDescent="0.35">
      <c r="P50618" s="1"/>
    </row>
    <row r="50620" spans="16:17" x14ac:dyDescent="0.35">
      <c r="Q50620" s="1"/>
    </row>
    <row r="50621" spans="16:17" x14ac:dyDescent="0.35">
      <c r="P50621" s="1"/>
    </row>
    <row r="50622" spans="16:17" x14ac:dyDescent="0.35">
      <c r="P50622" s="1"/>
    </row>
    <row r="50624" spans="16:17" x14ac:dyDescent="0.35">
      <c r="Q50624" s="1"/>
    </row>
    <row r="50628" spans="16:17" x14ac:dyDescent="0.35">
      <c r="P50628" s="1"/>
      <c r="Q50628" s="1"/>
    </row>
    <row r="50629" spans="16:17" x14ac:dyDescent="0.35">
      <c r="P50629" s="1"/>
    </row>
    <row r="50630" spans="16:17" x14ac:dyDescent="0.35">
      <c r="Q50630" s="1"/>
    </row>
    <row r="50632" spans="16:17" x14ac:dyDescent="0.35">
      <c r="Q50632" s="1"/>
    </row>
    <row r="50633" spans="16:17" x14ac:dyDescent="0.35">
      <c r="Q50633" s="1"/>
    </row>
    <row r="50634" spans="16:17" x14ac:dyDescent="0.35">
      <c r="Q50634" s="1"/>
    </row>
    <row r="50638" spans="16:17" x14ac:dyDescent="0.35">
      <c r="P50638" s="1"/>
    </row>
    <row r="50642" spans="16:17" x14ac:dyDescent="0.35">
      <c r="P50642" s="1"/>
    </row>
    <row r="50645" spans="16:17" x14ac:dyDescent="0.35">
      <c r="Q50645" s="1"/>
    </row>
    <row r="50649" spans="16:17" x14ac:dyDescent="0.35">
      <c r="P50649" s="1"/>
      <c r="Q50649" s="1"/>
    </row>
    <row r="50650" spans="16:17" x14ac:dyDescent="0.35">
      <c r="P50650" s="1"/>
    </row>
    <row r="50653" spans="16:17" x14ac:dyDescent="0.35">
      <c r="P50653" s="1"/>
    </row>
    <row r="50654" spans="16:17" x14ac:dyDescent="0.35">
      <c r="P50654" s="1"/>
    </row>
    <row r="50656" spans="16:17" x14ac:dyDescent="0.35">
      <c r="Q50656" s="1"/>
    </row>
    <row r="50660" spans="16:17" x14ac:dyDescent="0.35">
      <c r="Q50660" s="1"/>
    </row>
    <row r="50662" spans="16:17" x14ac:dyDescent="0.35">
      <c r="P50662" s="1"/>
    </row>
    <row r="50665" spans="16:17" x14ac:dyDescent="0.35">
      <c r="P50665" s="1"/>
    </row>
    <row r="50667" spans="16:17" x14ac:dyDescent="0.35">
      <c r="P50667" s="1"/>
    </row>
    <row r="50669" spans="16:17" x14ac:dyDescent="0.35">
      <c r="P50669" s="1"/>
    </row>
    <row r="50670" spans="16:17" x14ac:dyDescent="0.35">
      <c r="P50670" s="1"/>
    </row>
    <row r="50673" spans="16:16" x14ac:dyDescent="0.35">
      <c r="P50673" s="1"/>
    </row>
    <row r="50679" spans="16:16" x14ac:dyDescent="0.35">
      <c r="P50679" s="1"/>
    </row>
    <row r="50680" spans="16:16" x14ac:dyDescent="0.35">
      <c r="P50680" s="1"/>
    </row>
    <row r="50685" spans="16:16" x14ac:dyDescent="0.35">
      <c r="P50685" s="1"/>
    </row>
    <row r="50686" spans="16:16" x14ac:dyDescent="0.35">
      <c r="P50686" s="1"/>
    </row>
    <row r="50692" spans="16:17" x14ac:dyDescent="0.35">
      <c r="Q50692" s="1"/>
    </row>
    <row r="50698" spans="16:17" x14ac:dyDescent="0.35">
      <c r="Q50698" s="1"/>
    </row>
    <row r="50699" spans="16:17" x14ac:dyDescent="0.35">
      <c r="P50699" s="1"/>
    </row>
    <row r="50703" spans="16:17" x14ac:dyDescent="0.35">
      <c r="Q50703" s="1"/>
    </row>
    <row r="50705" spans="16:17" x14ac:dyDescent="0.35">
      <c r="P50705" s="1"/>
    </row>
    <row r="50706" spans="16:17" x14ac:dyDescent="0.35">
      <c r="P50706" s="1"/>
    </row>
    <row r="50707" spans="16:17" x14ac:dyDescent="0.35">
      <c r="Q50707" s="1"/>
    </row>
    <row r="50708" spans="16:17" x14ac:dyDescent="0.35">
      <c r="Q50708" s="1"/>
    </row>
    <row r="50713" spans="16:17" x14ac:dyDescent="0.35">
      <c r="P50713" s="1"/>
    </row>
    <row r="50715" spans="16:17" x14ac:dyDescent="0.35">
      <c r="P50715" s="1"/>
    </row>
    <row r="50716" spans="16:17" x14ac:dyDescent="0.35">
      <c r="P50716" s="1"/>
    </row>
    <row r="50717" spans="16:17" x14ac:dyDescent="0.35">
      <c r="P50717" s="1"/>
      <c r="Q50717" s="1"/>
    </row>
    <row r="50719" spans="16:17" x14ac:dyDescent="0.35">
      <c r="P50719" s="1"/>
      <c r="Q50719" s="1"/>
    </row>
    <row r="50720" spans="16:17" x14ac:dyDescent="0.35">
      <c r="P50720" s="1"/>
    </row>
    <row r="50724" spans="16:17" x14ac:dyDescent="0.35">
      <c r="P50724" s="1"/>
    </row>
    <row r="50725" spans="16:17" x14ac:dyDescent="0.35">
      <c r="P50725" s="1"/>
    </row>
    <row r="50726" spans="16:17" x14ac:dyDescent="0.35">
      <c r="P50726" s="1"/>
    </row>
    <row r="50727" spans="16:17" x14ac:dyDescent="0.35">
      <c r="P50727" s="1"/>
    </row>
    <row r="50729" spans="16:17" x14ac:dyDescent="0.35">
      <c r="P50729" s="1"/>
    </row>
    <row r="50731" spans="16:17" x14ac:dyDescent="0.35">
      <c r="Q50731" s="1"/>
    </row>
    <row r="50732" spans="16:17" x14ac:dyDescent="0.35">
      <c r="Q50732" s="1"/>
    </row>
    <row r="50736" spans="16:17" x14ac:dyDescent="0.35">
      <c r="Q50736" s="1"/>
    </row>
    <row r="50739" spans="16:17" x14ac:dyDescent="0.35">
      <c r="P50739" s="1"/>
    </row>
    <row r="50743" spans="16:17" x14ac:dyDescent="0.35">
      <c r="Q50743" s="1"/>
    </row>
    <row r="50745" spans="16:17" x14ac:dyDescent="0.35">
      <c r="Q50745" s="1"/>
    </row>
    <row r="50746" spans="16:17" x14ac:dyDescent="0.35">
      <c r="P50746" s="1"/>
    </row>
    <row r="50756" spans="16:17" x14ac:dyDescent="0.35">
      <c r="Q50756" s="1"/>
    </row>
    <row r="50757" spans="16:17" x14ac:dyDescent="0.35">
      <c r="P50757" s="1"/>
    </row>
    <row r="50759" spans="16:17" x14ac:dyDescent="0.35">
      <c r="Q50759" s="1"/>
    </row>
    <row r="50761" spans="16:17" x14ac:dyDescent="0.35">
      <c r="Q50761" s="1"/>
    </row>
    <row r="50762" spans="16:17" x14ac:dyDescent="0.35">
      <c r="P50762" s="1"/>
    </row>
    <row r="50767" spans="16:17" x14ac:dyDescent="0.35">
      <c r="P50767" s="1"/>
    </row>
    <row r="50769" spans="16:17" x14ac:dyDescent="0.35">
      <c r="Q50769" s="1"/>
    </row>
    <row r="50770" spans="16:17" x14ac:dyDescent="0.35">
      <c r="Q50770" s="1"/>
    </row>
    <row r="50775" spans="16:17" x14ac:dyDescent="0.35">
      <c r="Q50775" s="1"/>
    </row>
    <row r="50776" spans="16:17" x14ac:dyDescent="0.35">
      <c r="P50776" s="1"/>
    </row>
    <row r="50777" spans="16:17" x14ac:dyDescent="0.35">
      <c r="P50777" s="1"/>
      <c r="Q50777" s="1"/>
    </row>
    <row r="50778" spans="16:17" x14ac:dyDescent="0.35">
      <c r="P50778" s="1"/>
    </row>
    <row r="50782" spans="16:17" x14ac:dyDescent="0.35">
      <c r="Q50782" s="1"/>
    </row>
    <row r="50785" spans="16:17" x14ac:dyDescent="0.35">
      <c r="P50785" s="1"/>
    </row>
    <row r="50793" spans="16:17" x14ac:dyDescent="0.35">
      <c r="Q50793" s="1"/>
    </row>
    <row r="50797" spans="16:17" x14ac:dyDescent="0.35">
      <c r="Q50797" s="1"/>
    </row>
    <row r="50799" spans="16:17" x14ac:dyDescent="0.35">
      <c r="Q50799" s="1"/>
    </row>
    <row r="50804" spans="16:17" x14ac:dyDescent="0.35">
      <c r="P50804" s="1"/>
      <c r="Q50804" s="1"/>
    </row>
    <row r="50807" spans="16:17" x14ac:dyDescent="0.35">
      <c r="P50807" s="1"/>
    </row>
    <row r="50809" spans="16:17" x14ac:dyDescent="0.35">
      <c r="P50809" s="1"/>
    </row>
    <row r="50811" spans="16:17" x14ac:dyDescent="0.35">
      <c r="Q50811" s="1"/>
    </row>
    <row r="50813" spans="16:17" x14ac:dyDescent="0.35">
      <c r="P50813" s="1"/>
    </row>
    <row r="50815" spans="16:17" x14ac:dyDescent="0.35">
      <c r="P50815" s="1"/>
    </row>
    <row r="50818" spans="16:17" x14ac:dyDescent="0.35">
      <c r="P50818" s="1"/>
    </row>
    <row r="50819" spans="16:17" x14ac:dyDescent="0.35">
      <c r="Q50819" s="1"/>
    </row>
    <row r="50820" spans="16:17" x14ac:dyDescent="0.35">
      <c r="Q50820" s="1"/>
    </row>
    <row r="50822" spans="16:17" x14ac:dyDescent="0.35">
      <c r="P50822" s="1"/>
    </row>
    <row r="50823" spans="16:17" x14ac:dyDescent="0.35">
      <c r="P50823" s="1"/>
    </row>
    <row r="50827" spans="16:17" x14ac:dyDescent="0.35">
      <c r="P50827" s="1"/>
    </row>
    <row r="50829" spans="16:17" x14ac:dyDescent="0.35">
      <c r="P50829" s="1"/>
    </row>
    <row r="50830" spans="16:17" x14ac:dyDescent="0.35">
      <c r="P50830" s="1"/>
    </row>
    <row r="50831" spans="16:17" x14ac:dyDescent="0.35">
      <c r="P50831" s="1"/>
    </row>
    <row r="50832" spans="16:17" x14ac:dyDescent="0.35">
      <c r="P50832" s="1"/>
    </row>
    <row r="50833" spans="16:17" x14ac:dyDescent="0.35">
      <c r="P50833" s="1"/>
    </row>
    <row r="50834" spans="16:17" x14ac:dyDescent="0.35">
      <c r="P50834" s="1"/>
    </row>
    <row r="50835" spans="16:17" x14ac:dyDescent="0.35">
      <c r="Q50835" s="1"/>
    </row>
    <row r="50836" spans="16:17" x14ac:dyDescent="0.35">
      <c r="P50836" s="1"/>
    </row>
    <row r="50837" spans="16:17" x14ac:dyDescent="0.35">
      <c r="Q50837" s="1"/>
    </row>
    <row r="50839" spans="16:17" x14ac:dyDescent="0.35">
      <c r="P50839" s="1"/>
    </row>
    <row r="50840" spans="16:17" x14ac:dyDescent="0.35">
      <c r="P50840" s="1"/>
    </row>
    <row r="50841" spans="16:17" x14ac:dyDescent="0.35">
      <c r="Q50841" s="1"/>
    </row>
    <row r="50847" spans="16:17" x14ac:dyDescent="0.35">
      <c r="Q50847" s="1"/>
    </row>
    <row r="50849" spans="16:17" x14ac:dyDescent="0.35">
      <c r="P50849" s="1"/>
    </row>
    <row r="50851" spans="16:17" x14ac:dyDescent="0.35">
      <c r="P50851" s="1"/>
      <c r="Q50851" s="1"/>
    </row>
    <row r="50856" spans="16:17" x14ac:dyDescent="0.35">
      <c r="P50856" s="1"/>
    </row>
    <row r="50857" spans="16:17" x14ac:dyDescent="0.35">
      <c r="P50857" s="1"/>
    </row>
    <row r="50858" spans="16:17" x14ac:dyDescent="0.35">
      <c r="Q50858" s="1"/>
    </row>
    <row r="50859" spans="16:17" x14ac:dyDescent="0.35">
      <c r="P50859" s="1"/>
    </row>
    <row r="50861" spans="16:17" x14ac:dyDescent="0.35">
      <c r="P50861" s="1"/>
    </row>
    <row r="50862" spans="16:17" x14ac:dyDescent="0.35">
      <c r="P50862" s="1"/>
      <c r="Q50862" s="1"/>
    </row>
    <row r="50863" spans="16:17" x14ac:dyDescent="0.35">
      <c r="P50863" s="1"/>
    </row>
    <row r="50865" spans="16:17" x14ac:dyDescent="0.35">
      <c r="P50865" s="1"/>
    </row>
    <row r="50866" spans="16:17" x14ac:dyDescent="0.35">
      <c r="P50866" s="1"/>
    </row>
    <row r="50867" spans="16:17" x14ac:dyDescent="0.35">
      <c r="Q50867" s="1"/>
    </row>
    <row r="50868" spans="16:17" x14ac:dyDescent="0.35">
      <c r="Q50868" s="1"/>
    </row>
    <row r="50870" spans="16:17" x14ac:dyDescent="0.35">
      <c r="Q50870" s="1"/>
    </row>
    <row r="50871" spans="16:17" x14ac:dyDescent="0.35">
      <c r="P50871" s="1"/>
      <c r="Q50871" s="1"/>
    </row>
    <row r="50872" spans="16:17" x14ac:dyDescent="0.35">
      <c r="P50872" s="1"/>
    </row>
    <row r="50875" spans="16:17" x14ac:dyDescent="0.35">
      <c r="Q50875" s="1"/>
    </row>
    <row r="50877" spans="16:17" x14ac:dyDescent="0.35">
      <c r="Q50877" s="1"/>
    </row>
    <row r="50878" spans="16:17" x14ac:dyDescent="0.35">
      <c r="P50878" s="1"/>
    </row>
    <row r="50879" spans="16:17" x14ac:dyDescent="0.35">
      <c r="P50879" s="1"/>
    </row>
    <row r="50880" spans="16:17" x14ac:dyDescent="0.35">
      <c r="P50880" s="1"/>
    </row>
    <row r="50881" spans="16:17" x14ac:dyDescent="0.35">
      <c r="P50881" s="1"/>
      <c r="Q50881" s="1"/>
    </row>
    <row r="50886" spans="16:17" x14ac:dyDescent="0.35">
      <c r="P50886" s="1"/>
    </row>
    <row r="50887" spans="16:17" x14ac:dyDescent="0.35">
      <c r="Q50887" s="1"/>
    </row>
    <row r="50890" spans="16:17" x14ac:dyDescent="0.35">
      <c r="P50890" s="1"/>
    </row>
    <row r="50891" spans="16:17" x14ac:dyDescent="0.35">
      <c r="Q50891" s="1"/>
    </row>
    <row r="50893" spans="16:17" x14ac:dyDescent="0.35">
      <c r="P50893" s="1"/>
    </row>
    <row r="50894" spans="16:17" x14ac:dyDescent="0.35">
      <c r="P50894" s="1"/>
    </row>
    <row r="50895" spans="16:17" x14ac:dyDescent="0.35">
      <c r="P50895" s="1"/>
    </row>
    <row r="50901" spans="16:17" x14ac:dyDescent="0.35">
      <c r="P50901" s="1"/>
    </row>
    <row r="50902" spans="16:17" x14ac:dyDescent="0.35">
      <c r="Q50902" s="1"/>
    </row>
    <row r="50903" spans="16:17" x14ac:dyDescent="0.35">
      <c r="P50903" s="1"/>
    </row>
    <row r="50904" spans="16:17" x14ac:dyDescent="0.35">
      <c r="Q50904" s="1"/>
    </row>
    <row r="50907" spans="16:17" x14ac:dyDescent="0.35">
      <c r="P50907" s="1"/>
    </row>
    <row r="50909" spans="16:17" x14ac:dyDescent="0.35">
      <c r="Q50909" s="1"/>
    </row>
    <row r="50910" spans="16:17" x14ac:dyDescent="0.35">
      <c r="Q50910" s="1"/>
    </row>
    <row r="50911" spans="16:17" x14ac:dyDescent="0.35">
      <c r="P50911" s="1"/>
    </row>
    <row r="50913" spans="16:17" x14ac:dyDescent="0.35">
      <c r="P50913" s="1"/>
      <c r="Q50913" s="1"/>
    </row>
    <row r="50917" spans="16:17" x14ac:dyDescent="0.35">
      <c r="P50917" s="1"/>
      <c r="Q50917" s="1"/>
    </row>
    <row r="50919" spans="16:17" x14ac:dyDescent="0.35">
      <c r="P50919" s="1"/>
    </row>
    <row r="50922" spans="16:17" x14ac:dyDescent="0.35">
      <c r="P50922" s="1"/>
    </row>
    <row r="50928" spans="16:17" x14ac:dyDescent="0.35">
      <c r="P50928" s="1"/>
    </row>
    <row r="50931" spans="16:17" x14ac:dyDescent="0.35">
      <c r="Q50931" s="1"/>
    </row>
    <row r="50934" spans="16:17" x14ac:dyDescent="0.35">
      <c r="P50934" s="1"/>
    </row>
    <row r="50935" spans="16:17" x14ac:dyDescent="0.35">
      <c r="P50935" s="1"/>
    </row>
    <row r="50936" spans="16:17" x14ac:dyDescent="0.35">
      <c r="P50936" s="1"/>
    </row>
    <row r="50938" spans="16:17" x14ac:dyDescent="0.35">
      <c r="P50938" s="1"/>
    </row>
    <row r="50943" spans="16:17" x14ac:dyDescent="0.35">
      <c r="Q50943" s="1"/>
    </row>
    <row r="50945" spans="16:17" x14ac:dyDescent="0.35">
      <c r="P50945" s="1"/>
    </row>
    <row r="50947" spans="16:17" x14ac:dyDescent="0.35">
      <c r="P50947" s="1"/>
    </row>
    <row r="50951" spans="16:17" x14ac:dyDescent="0.35">
      <c r="P50951" s="1"/>
    </row>
    <row r="50952" spans="16:17" x14ac:dyDescent="0.35">
      <c r="Q50952" s="1"/>
    </row>
    <row r="50953" spans="16:17" x14ac:dyDescent="0.35">
      <c r="Q50953" s="1"/>
    </row>
    <row r="50955" spans="16:17" x14ac:dyDescent="0.35">
      <c r="P50955" s="1"/>
    </row>
    <row r="50959" spans="16:17" x14ac:dyDescent="0.35">
      <c r="Q50959" s="1"/>
    </row>
    <row r="50960" spans="16:17" x14ac:dyDescent="0.35">
      <c r="Q50960" s="1"/>
    </row>
    <row r="50962" spans="16:17" x14ac:dyDescent="0.35">
      <c r="Q50962" s="1"/>
    </row>
    <row r="50963" spans="16:17" x14ac:dyDescent="0.35">
      <c r="P50963" s="1"/>
    </row>
    <row r="50964" spans="16:17" x14ac:dyDescent="0.35">
      <c r="P50964" s="1"/>
      <c r="Q50964" s="1"/>
    </row>
    <row r="50965" spans="16:17" x14ac:dyDescent="0.35">
      <c r="Q50965" s="1"/>
    </row>
    <row r="50966" spans="16:17" x14ac:dyDescent="0.35">
      <c r="P50966" s="1"/>
      <c r="Q50966" s="1"/>
    </row>
    <row r="50968" spans="16:17" x14ac:dyDescent="0.35">
      <c r="Q50968" s="1"/>
    </row>
    <row r="50969" spans="16:17" x14ac:dyDescent="0.35">
      <c r="Q50969" s="1"/>
    </row>
    <row r="50972" spans="16:17" x14ac:dyDescent="0.35">
      <c r="P50972" s="1"/>
    </row>
    <row r="50974" spans="16:17" x14ac:dyDescent="0.35">
      <c r="Q50974" s="1"/>
    </row>
    <row r="50976" spans="16:17" x14ac:dyDescent="0.35">
      <c r="P50976" s="1"/>
    </row>
    <row r="50981" spans="16:17" x14ac:dyDescent="0.35">
      <c r="P50981" s="1"/>
      <c r="Q50981" s="1"/>
    </row>
    <row r="50987" spans="16:17" x14ac:dyDescent="0.35">
      <c r="P50987" s="1"/>
    </row>
    <row r="50988" spans="16:17" x14ac:dyDescent="0.35">
      <c r="P50988" s="1"/>
    </row>
    <row r="50989" spans="16:17" x14ac:dyDescent="0.35">
      <c r="P50989" s="1"/>
      <c r="Q50989" s="1"/>
    </row>
    <row r="50990" spans="16:17" x14ac:dyDescent="0.35">
      <c r="P50990" s="1"/>
    </row>
    <row r="50991" spans="16:17" x14ac:dyDescent="0.35">
      <c r="P50991" s="1"/>
    </row>
    <row r="50993" spans="16:17" x14ac:dyDescent="0.35">
      <c r="P50993" s="1"/>
    </row>
    <row r="50997" spans="16:17" x14ac:dyDescent="0.35">
      <c r="P50997" s="1"/>
    </row>
    <row r="50998" spans="16:17" x14ac:dyDescent="0.35">
      <c r="Q50998" s="1"/>
    </row>
    <row r="51000" spans="16:17" x14ac:dyDescent="0.35">
      <c r="Q51000" s="1"/>
    </row>
    <row r="51001" spans="16:17" x14ac:dyDescent="0.35">
      <c r="P51001" s="1"/>
    </row>
    <row r="51005" spans="16:17" x14ac:dyDescent="0.35">
      <c r="Q51005" s="1"/>
    </row>
    <row r="51008" spans="16:17" x14ac:dyDescent="0.35">
      <c r="Q51008" s="1"/>
    </row>
    <row r="51009" spans="17:17" x14ac:dyDescent="0.35">
      <c r="Q51009" s="1"/>
    </row>
    <row r="51010" spans="17:17" x14ac:dyDescent="0.35">
      <c r="Q51010" s="1"/>
    </row>
    <row r="51013" spans="17:17" x14ac:dyDescent="0.35">
      <c r="Q51013" s="1"/>
    </row>
    <row r="51015" spans="17:17" x14ac:dyDescent="0.35">
      <c r="Q51015" s="1"/>
    </row>
    <row r="51016" spans="17:17" x14ac:dyDescent="0.35">
      <c r="Q51016" s="1"/>
    </row>
    <row r="51036" spans="17:17" x14ac:dyDescent="0.35">
      <c r="Q51036" s="1"/>
    </row>
    <row r="51040" spans="17:17" x14ac:dyDescent="0.35">
      <c r="Q51040" s="1"/>
    </row>
    <row r="51045" spans="17:17" x14ac:dyDescent="0.35">
      <c r="Q51045" s="1"/>
    </row>
    <row r="51050" spans="17:17" x14ac:dyDescent="0.35">
      <c r="Q51050" s="1"/>
    </row>
    <row r="51051" spans="17:17" x14ac:dyDescent="0.35">
      <c r="Q51051" s="1"/>
    </row>
    <row r="51054" spans="17:17" x14ac:dyDescent="0.35">
      <c r="Q51054" s="1"/>
    </row>
    <row r="51061" spans="6:17" x14ac:dyDescent="0.35">
      <c r="Q51061" s="1"/>
    </row>
    <row r="51062" spans="6:17" x14ac:dyDescent="0.35">
      <c r="Q51062" s="1"/>
    </row>
    <row r="51064" spans="6:17" x14ac:dyDescent="0.35">
      <c r="Q51064" s="1"/>
    </row>
    <row r="51066" spans="6:17" x14ac:dyDescent="0.35">
      <c r="F51066" s="7"/>
    </row>
    <row r="51068" spans="6:17" x14ac:dyDescent="0.35">
      <c r="Q51068" s="1"/>
    </row>
    <row r="51074" spans="17:17" x14ac:dyDescent="0.35">
      <c r="Q51074" s="1"/>
    </row>
    <row r="51076" spans="17:17" x14ac:dyDescent="0.35">
      <c r="Q51076" s="1"/>
    </row>
    <row r="51096" spans="17:17" x14ac:dyDescent="0.35">
      <c r="Q51096" s="1"/>
    </row>
    <row r="51099" spans="17:17" x14ac:dyDescent="0.35">
      <c r="Q51099" s="1"/>
    </row>
    <row r="51100" spans="17:17" x14ac:dyDescent="0.35">
      <c r="Q51100" s="1"/>
    </row>
    <row r="51101" spans="17:17" x14ac:dyDescent="0.35">
      <c r="Q51101" s="1"/>
    </row>
    <row r="51108" spans="17:17" x14ac:dyDescent="0.35">
      <c r="Q51108" s="1"/>
    </row>
    <row r="51118" spans="17:17" x14ac:dyDescent="0.35">
      <c r="Q51118" s="1"/>
    </row>
    <row r="51123" spans="17:17" x14ac:dyDescent="0.35">
      <c r="Q51123" s="1"/>
    </row>
    <row r="51124" spans="17:17" x14ac:dyDescent="0.35">
      <c r="Q51124" s="1"/>
    </row>
    <row r="51128" spans="17:17" x14ac:dyDescent="0.35">
      <c r="Q51128" s="1"/>
    </row>
    <row r="51131" spans="17:17" x14ac:dyDescent="0.35">
      <c r="Q51131" s="1"/>
    </row>
    <row r="51142" spans="17:17" x14ac:dyDescent="0.35">
      <c r="Q51142" s="1"/>
    </row>
    <row r="51157" spans="17:17" x14ac:dyDescent="0.35">
      <c r="Q51157" s="1"/>
    </row>
    <row r="51162" spans="17:17" x14ac:dyDescent="0.35">
      <c r="Q51162" s="1"/>
    </row>
    <row r="51165" spans="17:17" x14ac:dyDescent="0.35">
      <c r="Q51165" s="1"/>
    </row>
    <row r="51166" spans="17:17" x14ac:dyDescent="0.35">
      <c r="Q51166" s="1"/>
    </row>
    <row r="51169" spans="17:17" x14ac:dyDescent="0.35">
      <c r="Q51169" s="1"/>
    </row>
    <row r="51173" spans="17:17" x14ac:dyDescent="0.35">
      <c r="Q51173" s="1"/>
    </row>
    <row r="51176" spans="17:17" x14ac:dyDescent="0.35">
      <c r="Q51176" s="1"/>
    </row>
    <row r="51177" spans="17:17" x14ac:dyDescent="0.35">
      <c r="Q51177" s="1"/>
    </row>
    <row r="51184" spans="17:17" x14ac:dyDescent="0.35">
      <c r="Q51184" s="1"/>
    </row>
    <row r="51185" spans="17:17" x14ac:dyDescent="0.35">
      <c r="Q51185" s="1"/>
    </row>
    <row r="51203" spans="17:17" x14ac:dyDescent="0.35">
      <c r="Q51203" s="1"/>
    </row>
    <row r="51205" spans="17:17" x14ac:dyDescent="0.35">
      <c r="Q51205" s="1"/>
    </row>
    <row r="51206" spans="17:17" x14ac:dyDescent="0.35">
      <c r="Q51206" s="1"/>
    </row>
    <row r="51212" spans="17:17" x14ac:dyDescent="0.35">
      <c r="Q51212" s="1"/>
    </row>
    <row r="51214" spans="17:17" x14ac:dyDescent="0.35">
      <c r="Q51214" s="1"/>
    </row>
    <row r="51223" spans="17:17" x14ac:dyDescent="0.35">
      <c r="Q51223" s="1"/>
    </row>
    <row r="51232" spans="17:17" x14ac:dyDescent="0.35">
      <c r="Q51232" s="1"/>
    </row>
    <row r="51236" spans="17:17" x14ac:dyDescent="0.35">
      <c r="Q51236" s="1"/>
    </row>
    <row r="51245" spans="17:17" x14ac:dyDescent="0.35">
      <c r="Q51245" s="1"/>
    </row>
    <row r="51248" spans="17:17" x14ac:dyDescent="0.35">
      <c r="Q51248" s="1"/>
    </row>
    <row r="51250" spans="17:17" x14ac:dyDescent="0.35">
      <c r="Q51250" s="1"/>
    </row>
    <row r="51251" spans="17:17" x14ac:dyDescent="0.35">
      <c r="Q51251" s="1"/>
    </row>
    <row r="51252" spans="17:17" x14ac:dyDescent="0.35">
      <c r="Q51252" s="1"/>
    </row>
    <row r="51253" spans="17:17" x14ac:dyDescent="0.35">
      <c r="Q51253" s="1"/>
    </row>
    <row r="51270" spans="17:17" x14ac:dyDescent="0.35">
      <c r="Q51270" s="1"/>
    </row>
    <row r="51272" spans="17:17" x14ac:dyDescent="0.35">
      <c r="Q51272" s="1"/>
    </row>
    <row r="51273" spans="17:17" x14ac:dyDescent="0.35">
      <c r="Q51273" s="1"/>
    </row>
    <row r="51280" spans="17:17" x14ac:dyDescent="0.35">
      <c r="Q51280" s="1"/>
    </row>
    <row r="51281" spans="17:17" x14ac:dyDescent="0.35">
      <c r="Q51281" s="1"/>
    </row>
    <row r="51287" spans="17:17" x14ac:dyDescent="0.35">
      <c r="Q51287" s="1"/>
    </row>
    <row r="51294" spans="17:17" x14ac:dyDescent="0.35">
      <c r="Q51294" s="1"/>
    </row>
    <row r="51297" spans="17:17" x14ac:dyDescent="0.35">
      <c r="Q51297" s="1"/>
    </row>
    <row r="51303" spans="17:17" x14ac:dyDescent="0.35">
      <c r="Q51303" s="1"/>
    </row>
    <row r="51307" spans="17:17" x14ac:dyDescent="0.35">
      <c r="Q51307" s="1"/>
    </row>
    <row r="51313" spans="17:17" x14ac:dyDescent="0.35">
      <c r="Q51313" s="1"/>
    </row>
    <row r="51326" spans="17:17" x14ac:dyDescent="0.35">
      <c r="Q51326" s="1"/>
    </row>
    <row r="51327" spans="17:17" x14ac:dyDescent="0.35">
      <c r="Q51327" s="1"/>
    </row>
    <row r="51330" spans="17:17" x14ac:dyDescent="0.35">
      <c r="Q51330" s="1"/>
    </row>
    <row r="51331" spans="17:17" x14ac:dyDescent="0.35">
      <c r="Q51331" s="1"/>
    </row>
    <row r="51333" spans="17:17" x14ac:dyDescent="0.35">
      <c r="Q51333" s="1"/>
    </row>
    <row r="51341" spans="17:17" x14ac:dyDescent="0.35">
      <c r="Q51341" s="1"/>
    </row>
    <row r="51346" spans="17:17" x14ac:dyDescent="0.35">
      <c r="Q51346" s="1"/>
    </row>
    <row r="51348" spans="17:17" x14ac:dyDescent="0.35">
      <c r="Q51348" s="1"/>
    </row>
    <row r="51355" spans="17:17" x14ac:dyDescent="0.35">
      <c r="Q51355" s="1"/>
    </row>
    <row r="51362" spans="17:17" x14ac:dyDescent="0.35">
      <c r="Q51362" s="1"/>
    </row>
    <row r="51364" spans="17:17" x14ac:dyDescent="0.35">
      <c r="Q51364" s="1"/>
    </row>
    <row r="51366" spans="17:17" x14ac:dyDescent="0.35">
      <c r="Q51366" s="1"/>
    </row>
    <row r="51376" spans="17:17" x14ac:dyDescent="0.35">
      <c r="Q51376" s="1"/>
    </row>
    <row r="51380" spans="17:17" x14ac:dyDescent="0.35">
      <c r="Q51380" s="1"/>
    </row>
    <row r="51382" spans="17:17" x14ac:dyDescent="0.35">
      <c r="Q51382" s="1"/>
    </row>
    <row r="51383" spans="17:17" x14ac:dyDescent="0.35">
      <c r="Q51383" s="1"/>
    </row>
    <row r="51385" spans="17:17" x14ac:dyDescent="0.35">
      <c r="Q51385" s="1"/>
    </row>
    <row r="51391" spans="17:17" x14ac:dyDescent="0.35">
      <c r="Q51391" s="1"/>
    </row>
    <row r="51396" spans="17:17" x14ac:dyDescent="0.35">
      <c r="Q51396" s="1"/>
    </row>
    <row r="51397" spans="17:17" x14ac:dyDescent="0.35">
      <c r="Q51397" s="1"/>
    </row>
    <row r="51400" spans="17:17" x14ac:dyDescent="0.35">
      <c r="Q51400" s="1"/>
    </row>
    <row r="51404" spans="17:17" x14ac:dyDescent="0.35">
      <c r="Q51404" s="1"/>
    </row>
    <row r="51406" spans="17:17" x14ac:dyDescent="0.35">
      <c r="Q51406" s="1"/>
    </row>
    <row r="51407" spans="17:17" x14ac:dyDescent="0.35">
      <c r="Q51407" s="1"/>
    </row>
    <row r="51408" spans="17:17" x14ac:dyDescent="0.35">
      <c r="Q51408" s="1"/>
    </row>
    <row r="51409" spans="17:17" x14ac:dyDescent="0.35">
      <c r="Q51409" s="1"/>
    </row>
    <row r="51412" spans="17:17" x14ac:dyDescent="0.35">
      <c r="Q51412" s="1"/>
    </row>
    <row r="51413" spans="17:17" x14ac:dyDescent="0.35">
      <c r="Q51413" s="1"/>
    </row>
    <row r="51414" spans="17:17" x14ac:dyDescent="0.35">
      <c r="Q51414" s="1"/>
    </row>
    <row r="51417" spans="17:17" x14ac:dyDescent="0.35">
      <c r="Q51417" s="1"/>
    </row>
    <row r="51418" spans="17:17" x14ac:dyDescent="0.35">
      <c r="Q51418" s="1"/>
    </row>
    <row r="51422" spans="17:17" x14ac:dyDescent="0.35">
      <c r="Q51422" s="1"/>
    </row>
    <row r="51424" spans="17:17" x14ac:dyDescent="0.35">
      <c r="Q51424" s="1"/>
    </row>
    <row r="51425" spans="17:17" x14ac:dyDescent="0.35">
      <c r="Q51425" s="1"/>
    </row>
    <row r="51426" spans="17:17" x14ac:dyDescent="0.35">
      <c r="Q51426" s="1"/>
    </row>
    <row r="51439" spans="17:17" x14ac:dyDescent="0.35">
      <c r="Q51439" s="1"/>
    </row>
    <row r="51440" spans="17:17" x14ac:dyDescent="0.35">
      <c r="Q51440" s="1"/>
    </row>
    <row r="51441" spans="17:17" x14ac:dyDescent="0.35">
      <c r="Q51441" s="1"/>
    </row>
    <row r="51442" spans="17:17" x14ac:dyDescent="0.35">
      <c r="Q51442" s="1"/>
    </row>
    <row r="51444" spans="17:17" x14ac:dyDescent="0.35">
      <c r="Q51444" s="1"/>
    </row>
    <row r="51450" spans="17:17" x14ac:dyDescent="0.35">
      <c r="Q51450" s="1"/>
    </row>
    <row r="51453" spans="17:17" x14ac:dyDescent="0.35">
      <c r="Q51453" s="1"/>
    </row>
    <row r="51455" spans="17:17" x14ac:dyDescent="0.35">
      <c r="Q51455" s="1"/>
    </row>
    <row r="51460" spans="17:17" x14ac:dyDescent="0.35">
      <c r="Q51460" s="1"/>
    </row>
    <row r="51463" spans="17:17" x14ac:dyDescent="0.35">
      <c r="Q51463" s="1"/>
    </row>
    <row r="51467" spans="17:17" x14ac:dyDescent="0.35">
      <c r="Q51467" s="1"/>
    </row>
    <row r="51474" spans="17:17" x14ac:dyDescent="0.35">
      <c r="Q51474" s="1"/>
    </row>
    <row r="51475" spans="17:17" x14ac:dyDescent="0.35">
      <c r="Q51475" s="1"/>
    </row>
    <row r="51481" spans="17:17" x14ac:dyDescent="0.35">
      <c r="Q51481" s="1"/>
    </row>
    <row r="51482" spans="17:17" x14ac:dyDescent="0.35">
      <c r="Q51482" s="1"/>
    </row>
    <row r="51492" spans="17:17" x14ac:dyDescent="0.35">
      <c r="Q51492" s="1"/>
    </row>
    <row r="51493" spans="17:17" x14ac:dyDescent="0.35">
      <c r="Q51493" s="1"/>
    </row>
    <row r="51498" spans="17:17" x14ac:dyDescent="0.35">
      <c r="Q51498" s="1"/>
    </row>
    <row r="51501" spans="17:17" x14ac:dyDescent="0.35">
      <c r="Q51501" s="1"/>
    </row>
    <row r="51502" spans="17:17" x14ac:dyDescent="0.35">
      <c r="Q51502" s="1"/>
    </row>
    <row r="51503" spans="17:17" x14ac:dyDescent="0.35">
      <c r="Q51503" s="1"/>
    </row>
    <row r="51514" spans="17:17" x14ac:dyDescent="0.35">
      <c r="Q51514" s="1"/>
    </row>
    <row r="51516" spans="17:17" x14ac:dyDescent="0.35">
      <c r="Q51516" s="1"/>
    </row>
    <row r="51520" spans="17:17" x14ac:dyDescent="0.35">
      <c r="Q51520" s="1"/>
    </row>
    <row r="51523" spans="17:17" x14ac:dyDescent="0.35">
      <c r="Q51523" s="1"/>
    </row>
    <row r="51528" spans="17:17" x14ac:dyDescent="0.35">
      <c r="Q51528" s="1"/>
    </row>
    <row r="51533" spans="17:17" x14ac:dyDescent="0.35">
      <c r="Q51533" s="1"/>
    </row>
    <row r="51537" spans="17:17" x14ac:dyDescent="0.35">
      <c r="Q51537" s="1"/>
    </row>
    <row r="51542" spans="17:17" x14ac:dyDescent="0.35">
      <c r="Q51542" s="1"/>
    </row>
    <row r="51550" spans="17:17" x14ac:dyDescent="0.35">
      <c r="Q51550" s="1"/>
    </row>
    <row r="51555" spans="17:17" x14ac:dyDescent="0.35">
      <c r="Q51555" s="1"/>
    </row>
    <row r="51556" spans="17:17" x14ac:dyDescent="0.35">
      <c r="Q51556" s="1"/>
    </row>
    <row r="51559" spans="17:17" x14ac:dyDescent="0.35">
      <c r="Q51559" s="1"/>
    </row>
    <row r="51560" spans="17:17" x14ac:dyDescent="0.35">
      <c r="Q51560" s="1"/>
    </row>
    <row r="51561" spans="17:17" x14ac:dyDescent="0.35">
      <c r="Q51561" s="1"/>
    </row>
    <row r="51583" spans="17:17" x14ac:dyDescent="0.35">
      <c r="Q51583" s="1"/>
    </row>
    <row r="51592" spans="17:17" x14ac:dyDescent="0.35">
      <c r="Q51592" s="1"/>
    </row>
    <row r="51599" spans="17:17" x14ac:dyDescent="0.35">
      <c r="Q51599" s="1"/>
    </row>
    <row r="51602" spans="17:17" x14ac:dyDescent="0.35">
      <c r="Q51602" s="1"/>
    </row>
    <row r="51603" spans="17:17" x14ac:dyDescent="0.35">
      <c r="Q51603" s="1"/>
    </row>
    <row r="51606" spans="17:17" x14ac:dyDescent="0.35">
      <c r="Q51606" s="1"/>
    </row>
    <row r="51608" spans="17:17" x14ac:dyDescent="0.35">
      <c r="Q51608" s="1"/>
    </row>
    <row r="51613" spans="17:17" x14ac:dyDescent="0.35">
      <c r="Q51613" s="1"/>
    </row>
    <row r="51623" spans="17:17" x14ac:dyDescent="0.35">
      <c r="Q51623" s="1"/>
    </row>
    <row r="51635" spans="17:17" x14ac:dyDescent="0.35">
      <c r="Q51635" s="1"/>
    </row>
    <row r="51638" spans="17:17" x14ac:dyDescent="0.35">
      <c r="Q51638" s="1"/>
    </row>
    <row r="51639" spans="17:17" x14ac:dyDescent="0.35">
      <c r="Q51639" s="1"/>
    </row>
    <row r="51640" spans="17:17" x14ac:dyDescent="0.35">
      <c r="Q51640" s="1"/>
    </row>
    <row r="51652" spans="17:17" x14ac:dyDescent="0.35">
      <c r="Q51652" s="1"/>
    </row>
    <row r="51658" spans="17:17" x14ac:dyDescent="0.35">
      <c r="Q51658" s="1"/>
    </row>
    <row r="51659" spans="17:17" x14ac:dyDescent="0.35">
      <c r="Q51659" s="1"/>
    </row>
    <row r="51670" spans="17:17" x14ac:dyDescent="0.35">
      <c r="Q51670" s="1"/>
    </row>
    <row r="51675" spans="17:17" x14ac:dyDescent="0.35">
      <c r="Q51675" s="1"/>
    </row>
    <row r="51681" spans="17:17" x14ac:dyDescent="0.35">
      <c r="Q51681" s="1"/>
    </row>
    <row r="51685" spans="17:17" x14ac:dyDescent="0.35">
      <c r="Q51685" s="1"/>
    </row>
    <row r="51689" spans="17:17" x14ac:dyDescent="0.35">
      <c r="Q51689" s="1"/>
    </row>
    <row r="51692" spans="17:17" x14ac:dyDescent="0.35">
      <c r="Q51692" s="1"/>
    </row>
    <row r="51697" spans="17:17" x14ac:dyDescent="0.35">
      <c r="Q51697" s="1"/>
    </row>
    <row r="51700" spans="17:17" x14ac:dyDescent="0.35">
      <c r="Q51700" s="1"/>
    </row>
    <row r="51703" spans="17:17" x14ac:dyDescent="0.35">
      <c r="Q51703" s="1"/>
    </row>
    <row r="51704" spans="17:17" x14ac:dyDescent="0.35">
      <c r="Q51704" s="1"/>
    </row>
    <row r="51710" spans="17:17" x14ac:dyDescent="0.35">
      <c r="Q51710" s="1"/>
    </row>
    <row r="51714" spans="17:17" x14ac:dyDescent="0.35">
      <c r="Q51714" s="1"/>
    </row>
    <row r="51715" spans="17:17" x14ac:dyDescent="0.35">
      <c r="Q51715" s="1"/>
    </row>
    <row r="51719" spans="17:17" x14ac:dyDescent="0.35">
      <c r="Q51719" s="1"/>
    </row>
    <row r="51723" spans="17:17" x14ac:dyDescent="0.35">
      <c r="Q51723" s="1"/>
    </row>
    <row r="51727" spans="17:17" x14ac:dyDescent="0.35">
      <c r="Q51727" s="1"/>
    </row>
    <row r="51733" spans="17:17" x14ac:dyDescent="0.35">
      <c r="Q51733" s="1"/>
    </row>
    <row r="51735" spans="17:17" x14ac:dyDescent="0.35">
      <c r="Q51735" s="1"/>
    </row>
    <row r="51736" spans="17:17" x14ac:dyDescent="0.35">
      <c r="Q51736" s="1"/>
    </row>
    <row r="51737" spans="17:17" x14ac:dyDescent="0.35">
      <c r="Q51737" s="1"/>
    </row>
    <row r="51742" spans="17:17" x14ac:dyDescent="0.35">
      <c r="Q51742" s="1"/>
    </row>
    <row r="51743" spans="17:17" x14ac:dyDescent="0.35">
      <c r="Q51743" s="1"/>
    </row>
    <row r="51744" spans="17:17" x14ac:dyDescent="0.35">
      <c r="Q51744" s="1"/>
    </row>
    <row r="51745" spans="17:17" x14ac:dyDescent="0.35">
      <c r="Q51745" s="1"/>
    </row>
    <row r="51746" spans="17:17" x14ac:dyDescent="0.35">
      <c r="Q51746" s="1"/>
    </row>
    <row r="51748" spans="17:17" x14ac:dyDescent="0.35">
      <c r="Q51748" s="1"/>
    </row>
    <row r="51751" spans="17:17" x14ac:dyDescent="0.35">
      <c r="Q51751" s="1"/>
    </row>
    <row r="51757" spans="17:17" x14ac:dyDescent="0.35">
      <c r="Q51757" s="1"/>
    </row>
    <row r="51770" spans="17:17" x14ac:dyDescent="0.35">
      <c r="Q51770" s="1"/>
    </row>
    <row r="51771" spans="17:17" x14ac:dyDescent="0.35">
      <c r="Q51771" s="1"/>
    </row>
    <row r="51774" spans="17:17" x14ac:dyDescent="0.35">
      <c r="Q51774" s="1"/>
    </row>
    <row r="51776" spans="17:17" x14ac:dyDescent="0.35">
      <c r="Q51776" s="1"/>
    </row>
    <row r="51778" spans="17:17" x14ac:dyDescent="0.35">
      <c r="Q51778" s="1"/>
    </row>
    <row r="51787" spans="17:17" x14ac:dyDescent="0.35">
      <c r="Q51787" s="1"/>
    </row>
    <row r="51790" spans="17:17" x14ac:dyDescent="0.35">
      <c r="Q51790" s="1"/>
    </row>
    <row r="51792" spans="17:17" x14ac:dyDescent="0.35">
      <c r="Q51792" s="1"/>
    </row>
    <row r="51797" spans="17:17" x14ac:dyDescent="0.35">
      <c r="Q51797" s="1"/>
    </row>
    <row r="51810" spans="17:17" x14ac:dyDescent="0.35">
      <c r="Q51810" s="1"/>
    </row>
    <row r="51830" spans="17:17" x14ac:dyDescent="0.35">
      <c r="Q51830" s="1"/>
    </row>
    <row r="51862" spans="17:17" x14ac:dyDescent="0.35">
      <c r="Q51862" s="1"/>
    </row>
    <row r="51882" spans="17:17" x14ac:dyDescent="0.35">
      <c r="Q51882" s="1"/>
    </row>
    <row r="51896" spans="17:17" x14ac:dyDescent="0.35">
      <c r="Q51896" s="1"/>
    </row>
    <row r="51904" spans="17:17" x14ac:dyDescent="0.35">
      <c r="Q51904" s="1"/>
    </row>
    <row r="51907" spans="17:17" x14ac:dyDescent="0.35">
      <c r="Q51907" s="1"/>
    </row>
    <row r="51924" spans="17:17" x14ac:dyDescent="0.35">
      <c r="Q51924" s="1"/>
    </row>
    <row r="51927" spans="17:17" x14ac:dyDescent="0.35">
      <c r="Q51927" s="1"/>
    </row>
    <row r="51946" spans="17:17" x14ac:dyDescent="0.35">
      <c r="Q51946" s="1"/>
    </row>
    <row r="51955" spans="17:17" x14ac:dyDescent="0.35">
      <c r="Q51955" s="1"/>
    </row>
    <row r="51958" spans="17:17" x14ac:dyDescent="0.35">
      <c r="Q51958" s="1"/>
    </row>
    <row r="51962" spans="17:17" x14ac:dyDescent="0.35">
      <c r="Q51962" s="1"/>
    </row>
    <row r="51965" spans="17:17" x14ac:dyDescent="0.35">
      <c r="Q51965" s="1"/>
    </row>
    <row r="51970" spans="17:17" x14ac:dyDescent="0.35">
      <c r="Q51970" s="1"/>
    </row>
    <row r="51972" spans="17:17" x14ac:dyDescent="0.35">
      <c r="Q51972" s="1"/>
    </row>
    <row r="51977" spans="17:17" x14ac:dyDescent="0.35">
      <c r="Q51977" s="1"/>
    </row>
    <row r="51984" spans="17:17" x14ac:dyDescent="0.35">
      <c r="Q51984" s="1"/>
    </row>
    <row r="51988" spans="17:17" x14ac:dyDescent="0.35">
      <c r="Q51988" s="1"/>
    </row>
    <row r="51991" spans="17:17" x14ac:dyDescent="0.35">
      <c r="Q51991" s="1"/>
    </row>
    <row r="51992" spans="17:17" x14ac:dyDescent="0.35">
      <c r="Q51992" s="1"/>
    </row>
    <row r="51995" spans="17:17" x14ac:dyDescent="0.35">
      <c r="Q51995" s="1"/>
    </row>
    <row r="52007" spans="17:17" x14ac:dyDescent="0.35">
      <c r="Q52007" s="1"/>
    </row>
    <row r="52008" spans="17:17" x14ac:dyDescent="0.35">
      <c r="Q52008" s="1"/>
    </row>
    <row r="52012" spans="17:17" x14ac:dyDescent="0.35">
      <c r="Q52012" s="1"/>
    </row>
    <row r="52013" spans="17:17" x14ac:dyDescent="0.35">
      <c r="Q52013" s="1"/>
    </row>
    <row r="52015" spans="17:17" x14ac:dyDescent="0.35">
      <c r="Q52015" s="1"/>
    </row>
    <row r="52016" spans="17:17" x14ac:dyDescent="0.35">
      <c r="Q52016" s="1"/>
    </row>
    <row r="52019" spans="17:17" x14ac:dyDescent="0.35">
      <c r="Q52019" s="1"/>
    </row>
    <row r="52024" spans="17:17" x14ac:dyDescent="0.35">
      <c r="Q52024" s="1"/>
    </row>
    <row r="52026" spans="17:17" x14ac:dyDescent="0.35">
      <c r="Q52026" s="1"/>
    </row>
    <row r="52030" spans="17:17" x14ac:dyDescent="0.35">
      <c r="Q52030" s="1"/>
    </row>
    <row r="52031" spans="17:17" x14ac:dyDescent="0.35">
      <c r="Q52031" s="1"/>
    </row>
    <row r="52032" spans="17:17" x14ac:dyDescent="0.35">
      <c r="Q52032" s="1"/>
    </row>
    <row r="52033" spans="17:17" x14ac:dyDescent="0.35">
      <c r="Q52033" s="1"/>
    </row>
    <row r="52034" spans="17:17" x14ac:dyDescent="0.35">
      <c r="Q52034" s="1"/>
    </row>
    <row r="52036" spans="17:17" x14ac:dyDescent="0.35">
      <c r="Q52036" s="1"/>
    </row>
    <row r="52043" spans="17:17" x14ac:dyDescent="0.35">
      <c r="Q52043" s="1"/>
    </row>
    <row r="52045" spans="17:17" x14ac:dyDescent="0.35">
      <c r="Q52045" s="1"/>
    </row>
    <row r="52046" spans="17:17" x14ac:dyDescent="0.35">
      <c r="Q52046" s="1"/>
    </row>
    <row r="52048" spans="17:17" x14ac:dyDescent="0.35">
      <c r="Q52048" s="1"/>
    </row>
    <row r="52054" spans="17:17" x14ac:dyDescent="0.35">
      <c r="Q52054" s="1"/>
    </row>
    <row r="52057" spans="17:17" x14ac:dyDescent="0.35">
      <c r="Q52057" s="1"/>
    </row>
    <row r="52058" spans="17:17" x14ac:dyDescent="0.35">
      <c r="Q52058" s="1"/>
    </row>
    <row r="52070" spans="17:17" x14ac:dyDescent="0.35">
      <c r="Q52070" s="1"/>
    </row>
    <row r="52076" spans="17:17" x14ac:dyDescent="0.35">
      <c r="Q52076" s="1"/>
    </row>
    <row r="52082" spans="17:17" x14ac:dyDescent="0.35">
      <c r="Q52082" s="1"/>
    </row>
    <row r="52084" spans="17:17" x14ac:dyDescent="0.35">
      <c r="Q52084" s="1"/>
    </row>
    <row r="52085" spans="17:17" x14ac:dyDescent="0.35">
      <c r="Q52085" s="1"/>
    </row>
    <row r="52088" spans="17:17" x14ac:dyDescent="0.35">
      <c r="Q52088" s="1"/>
    </row>
    <row r="52092" spans="17:17" x14ac:dyDescent="0.35">
      <c r="Q52092" s="1"/>
    </row>
    <row r="52093" spans="17:17" x14ac:dyDescent="0.35">
      <c r="Q52093" s="1"/>
    </row>
    <row r="52100" spans="17:17" x14ac:dyDescent="0.35">
      <c r="Q52100" s="1"/>
    </row>
    <row r="52101" spans="17:17" x14ac:dyDescent="0.35">
      <c r="Q52101" s="1"/>
    </row>
    <row r="52102" spans="17:17" x14ac:dyDescent="0.35">
      <c r="Q52102" s="1"/>
    </row>
    <row r="52104" spans="17:17" x14ac:dyDescent="0.35">
      <c r="Q52104" s="1"/>
    </row>
    <row r="52106" spans="17:17" x14ac:dyDescent="0.35">
      <c r="Q52106" s="1"/>
    </row>
    <row r="52111" spans="17:17" x14ac:dyDescent="0.35">
      <c r="Q52111" s="1"/>
    </row>
    <row r="52113" spans="17:17" x14ac:dyDescent="0.35">
      <c r="Q52113" s="1"/>
    </row>
    <row r="52117" spans="17:17" x14ac:dyDescent="0.35">
      <c r="Q52117" s="1"/>
    </row>
    <row r="52118" spans="17:17" x14ac:dyDescent="0.35">
      <c r="Q52118" s="1"/>
    </row>
    <row r="52123" spans="17:17" x14ac:dyDescent="0.35">
      <c r="Q52123" s="1"/>
    </row>
    <row r="52124" spans="17:17" x14ac:dyDescent="0.35">
      <c r="Q52124" s="1"/>
    </row>
    <row r="52128" spans="17:17" x14ac:dyDescent="0.35">
      <c r="Q52128" s="1"/>
    </row>
    <row r="52130" spans="17:17" x14ac:dyDescent="0.35">
      <c r="Q52130" s="1"/>
    </row>
    <row r="52133" spans="17:17" x14ac:dyDescent="0.35">
      <c r="Q52133" s="1"/>
    </row>
    <row r="52135" spans="17:17" x14ac:dyDescent="0.35">
      <c r="Q52135" s="1"/>
    </row>
    <row r="52140" spans="17:17" x14ac:dyDescent="0.35">
      <c r="Q52140" s="1"/>
    </row>
    <row r="52143" spans="17:17" x14ac:dyDescent="0.35">
      <c r="Q52143" s="1"/>
    </row>
    <row r="52146" spans="17:17" x14ac:dyDescent="0.35">
      <c r="Q52146" s="1"/>
    </row>
    <row r="52149" spans="17:17" x14ac:dyDescent="0.35">
      <c r="Q52149" s="1"/>
    </row>
    <row r="52150" spans="17:17" x14ac:dyDescent="0.35">
      <c r="Q52150" s="1"/>
    </row>
    <row r="52151" spans="17:17" x14ac:dyDescent="0.35">
      <c r="Q52151" s="1"/>
    </row>
    <row r="52155" spans="17:17" x14ac:dyDescent="0.35">
      <c r="Q52155" s="1"/>
    </row>
    <row r="52163" spans="17:17" x14ac:dyDescent="0.35">
      <c r="Q52163" s="1"/>
    </row>
    <row r="52165" spans="17:17" x14ac:dyDescent="0.35">
      <c r="Q52165" s="1"/>
    </row>
    <row r="52166" spans="17:17" x14ac:dyDescent="0.35">
      <c r="Q52166" s="1"/>
    </row>
    <row r="52168" spans="17:17" x14ac:dyDescent="0.35">
      <c r="Q52168" s="1"/>
    </row>
    <row r="52174" spans="17:17" x14ac:dyDescent="0.35">
      <c r="Q52174" s="1"/>
    </row>
    <row r="52175" spans="17:17" x14ac:dyDescent="0.35">
      <c r="Q52175" s="1"/>
    </row>
    <row r="52177" spans="17:17" x14ac:dyDescent="0.35">
      <c r="Q52177" s="1"/>
    </row>
    <row r="52179" spans="17:17" x14ac:dyDescent="0.35">
      <c r="Q52179" s="1"/>
    </row>
    <row r="52180" spans="17:17" x14ac:dyDescent="0.35">
      <c r="Q52180" s="1"/>
    </row>
    <row r="52181" spans="17:17" x14ac:dyDescent="0.35">
      <c r="Q52181" s="1"/>
    </row>
    <row r="52182" spans="17:17" x14ac:dyDescent="0.35">
      <c r="Q52182" s="1"/>
    </row>
    <row r="52186" spans="17:17" x14ac:dyDescent="0.35">
      <c r="Q52186" s="1"/>
    </row>
    <row r="52187" spans="17:17" x14ac:dyDescent="0.35">
      <c r="Q52187" s="1"/>
    </row>
    <row r="52188" spans="17:17" x14ac:dyDescent="0.35">
      <c r="Q52188" s="1"/>
    </row>
    <row r="52190" spans="17:17" x14ac:dyDescent="0.35">
      <c r="Q52190" s="1"/>
    </row>
    <row r="52191" spans="17:17" x14ac:dyDescent="0.35">
      <c r="Q52191" s="1"/>
    </row>
    <row r="52192" spans="17:17" x14ac:dyDescent="0.35">
      <c r="Q52192" s="1"/>
    </row>
    <row r="52199" spans="17:17" x14ac:dyDescent="0.35">
      <c r="Q52199" s="1"/>
    </row>
    <row r="52201" spans="17:17" x14ac:dyDescent="0.35">
      <c r="Q52201" s="1"/>
    </row>
    <row r="52203" spans="17:17" x14ac:dyDescent="0.35">
      <c r="Q52203" s="1"/>
    </row>
    <row r="52205" spans="17:17" x14ac:dyDescent="0.35">
      <c r="Q52205" s="1"/>
    </row>
    <row r="52207" spans="17:17" x14ac:dyDescent="0.35">
      <c r="Q52207" s="1"/>
    </row>
    <row r="52208" spans="17:17" x14ac:dyDescent="0.35">
      <c r="Q52208" s="1"/>
    </row>
    <row r="52214" spans="17:17" x14ac:dyDescent="0.35">
      <c r="Q52214" s="1"/>
    </row>
    <row r="52219" spans="17:17" x14ac:dyDescent="0.35">
      <c r="Q52219" s="1"/>
    </row>
    <row r="52222" spans="17:17" x14ac:dyDescent="0.35">
      <c r="Q52222" s="1"/>
    </row>
    <row r="52224" spans="17:17" x14ac:dyDescent="0.35">
      <c r="Q52224" s="1"/>
    </row>
    <row r="52225" spans="17:17" x14ac:dyDescent="0.35">
      <c r="Q52225" s="1"/>
    </row>
    <row r="52231" spans="17:17" x14ac:dyDescent="0.35">
      <c r="Q52231" s="1"/>
    </row>
    <row r="52233" spans="17:17" x14ac:dyDescent="0.35">
      <c r="Q52233" s="1"/>
    </row>
    <row r="52234" spans="17:17" x14ac:dyDescent="0.35">
      <c r="Q52234" s="1"/>
    </row>
    <row r="52237" spans="17:17" x14ac:dyDescent="0.35">
      <c r="Q52237" s="1"/>
    </row>
    <row r="52239" spans="17:17" x14ac:dyDescent="0.35">
      <c r="Q52239" s="1"/>
    </row>
    <row r="52252" spans="17:17" x14ac:dyDescent="0.35">
      <c r="Q52252" s="1"/>
    </row>
    <row r="52266" spans="17:17" x14ac:dyDescent="0.35">
      <c r="Q52266" s="1"/>
    </row>
    <row r="52270" spans="17:17" x14ac:dyDescent="0.35">
      <c r="Q52270" s="1"/>
    </row>
    <row r="52272" spans="17:17" x14ac:dyDescent="0.35">
      <c r="Q52272" s="1"/>
    </row>
    <row r="52274" spans="17:17" x14ac:dyDescent="0.35">
      <c r="Q52274" s="1"/>
    </row>
    <row r="52281" spans="17:17" x14ac:dyDescent="0.35">
      <c r="Q52281" s="1"/>
    </row>
    <row r="52290" spans="17:17" x14ac:dyDescent="0.35">
      <c r="Q52290" s="1"/>
    </row>
    <row r="52296" spans="17:17" x14ac:dyDescent="0.35">
      <c r="Q52296" s="1"/>
    </row>
    <row r="52300" spans="17:17" x14ac:dyDescent="0.35">
      <c r="Q52300" s="1"/>
    </row>
    <row r="52301" spans="17:17" x14ac:dyDescent="0.35">
      <c r="Q52301" s="1"/>
    </row>
    <row r="52302" spans="17:17" x14ac:dyDescent="0.35">
      <c r="Q52302" s="1"/>
    </row>
    <row r="52304" spans="17:17" x14ac:dyDescent="0.35">
      <c r="Q52304" s="1"/>
    </row>
    <row r="52311" spans="16:17" x14ac:dyDescent="0.35">
      <c r="P52311" s="1"/>
    </row>
    <row r="52318" spans="16:17" x14ac:dyDescent="0.35">
      <c r="Q52318" s="1"/>
    </row>
    <row r="52323" spans="17:17" x14ac:dyDescent="0.35">
      <c r="Q52323" s="1"/>
    </row>
    <row r="52324" spans="17:17" x14ac:dyDescent="0.35">
      <c r="Q52324" s="1"/>
    </row>
    <row r="52325" spans="17:17" x14ac:dyDescent="0.35">
      <c r="Q52325" s="1"/>
    </row>
    <row r="52328" spans="17:17" x14ac:dyDescent="0.35">
      <c r="Q52328" s="1"/>
    </row>
    <row r="52329" spans="17:17" x14ac:dyDescent="0.35">
      <c r="Q52329" s="1"/>
    </row>
    <row r="52330" spans="17:17" x14ac:dyDescent="0.35">
      <c r="Q52330" s="1"/>
    </row>
    <row r="52333" spans="17:17" x14ac:dyDescent="0.35">
      <c r="Q52333" s="1"/>
    </row>
    <row r="52339" spans="17:17" x14ac:dyDescent="0.35">
      <c r="Q52339" s="1"/>
    </row>
    <row r="52343" spans="17:17" x14ac:dyDescent="0.35">
      <c r="Q52343" s="1"/>
    </row>
    <row r="52347" spans="17:17" x14ac:dyDescent="0.35">
      <c r="Q52347" s="1"/>
    </row>
    <row r="52351" spans="17:17" x14ac:dyDescent="0.35">
      <c r="Q52351" s="1"/>
    </row>
    <row r="52352" spans="17:17" x14ac:dyDescent="0.35">
      <c r="Q52352" s="1"/>
    </row>
    <row r="52353" spans="17:17" x14ac:dyDescent="0.35">
      <c r="Q52353" s="1"/>
    </row>
    <row r="52354" spans="17:17" x14ac:dyDescent="0.35">
      <c r="Q52354" s="1"/>
    </row>
    <row r="52356" spans="17:17" x14ac:dyDescent="0.35">
      <c r="Q52356" s="1"/>
    </row>
    <row r="52363" spans="17:17" x14ac:dyDescent="0.35">
      <c r="Q52363" s="1"/>
    </row>
    <row r="52381" spans="17:17" x14ac:dyDescent="0.35">
      <c r="Q52381" s="1"/>
    </row>
    <row r="52387" spans="17:17" x14ac:dyDescent="0.35">
      <c r="Q52387" s="1"/>
    </row>
    <row r="52388" spans="17:17" x14ac:dyDescent="0.35">
      <c r="Q52388" s="1"/>
    </row>
    <row r="52395" spans="17:17" x14ac:dyDescent="0.35">
      <c r="Q52395" s="1"/>
    </row>
    <row r="52396" spans="17:17" x14ac:dyDescent="0.35">
      <c r="Q52396" s="1"/>
    </row>
    <row r="52398" spans="17:17" x14ac:dyDescent="0.35">
      <c r="Q52398" s="1"/>
    </row>
    <row r="52400" spans="17:17" x14ac:dyDescent="0.35">
      <c r="Q52400" s="1"/>
    </row>
    <row r="52402" spans="17:17" x14ac:dyDescent="0.35">
      <c r="Q52402" s="1"/>
    </row>
    <row r="52404" spans="17:17" x14ac:dyDescent="0.35">
      <c r="Q52404" s="1"/>
    </row>
    <row r="52409" spans="17:17" x14ac:dyDescent="0.35">
      <c r="Q52409" s="1"/>
    </row>
    <row r="52419" spans="17:17" x14ac:dyDescent="0.35">
      <c r="Q52419" s="1"/>
    </row>
    <row r="52420" spans="17:17" x14ac:dyDescent="0.35">
      <c r="Q52420" s="1"/>
    </row>
    <row r="52422" spans="17:17" x14ac:dyDescent="0.35">
      <c r="Q52422" s="1"/>
    </row>
    <row r="52426" spans="17:17" x14ac:dyDescent="0.35">
      <c r="Q52426" s="1"/>
    </row>
    <row r="52428" spans="17:17" x14ac:dyDescent="0.35">
      <c r="Q52428" s="1"/>
    </row>
    <row r="52431" spans="17:17" x14ac:dyDescent="0.35">
      <c r="Q52431" s="1"/>
    </row>
    <row r="52435" spans="17:17" x14ac:dyDescent="0.35">
      <c r="Q52435" s="1"/>
    </row>
    <row r="52439" spans="17:17" x14ac:dyDescent="0.35">
      <c r="Q52439" s="1"/>
    </row>
    <row r="52440" spans="17:17" x14ac:dyDescent="0.35">
      <c r="Q52440" s="1"/>
    </row>
    <row r="52450" spans="17:17" x14ac:dyDescent="0.35">
      <c r="Q52450" s="1"/>
    </row>
    <row r="52452" spans="17:17" x14ac:dyDescent="0.35">
      <c r="Q52452" s="1"/>
    </row>
    <row r="52455" spans="17:17" x14ac:dyDescent="0.35">
      <c r="Q52455" s="1"/>
    </row>
    <row r="52458" spans="17:17" x14ac:dyDescent="0.35">
      <c r="Q52458" s="1"/>
    </row>
    <row r="52465" spans="17:17" x14ac:dyDescent="0.35">
      <c r="Q52465" s="1"/>
    </row>
    <row r="52466" spans="17:17" x14ac:dyDescent="0.35">
      <c r="Q52466" s="1"/>
    </row>
    <row r="52469" spans="17:17" x14ac:dyDescent="0.35">
      <c r="Q52469" s="1"/>
    </row>
    <row r="52474" spans="17:17" x14ac:dyDescent="0.35">
      <c r="Q52474" s="1"/>
    </row>
    <row r="52485" spans="17:17" x14ac:dyDescent="0.35">
      <c r="Q52485" s="1"/>
    </row>
    <row r="52486" spans="17:17" x14ac:dyDescent="0.35">
      <c r="Q52486" s="1"/>
    </row>
    <row r="52490" spans="17:17" x14ac:dyDescent="0.35">
      <c r="Q52490" s="1"/>
    </row>
    <row r="52501" spans="17:17" x14ac:dyDescent="0.35">
      <c r="Q52501" s="1"/>
    </row>
    <row r="52507" spans="17:17" x14ac:dyDescent="0.35">
      <c r="Q52507" s="1"/>
    </row>
    <row r="52511" spans="17:17" x14ac:dyDescent="0.35">
      <c r="Q52511" s="1"/>
    </row>
    <row r="52512" spans="17:17" x14ac:dyDescent="0.35">
      <c r="Q52512" s="1"/>
    </row>
    <row r="52518" spans="17:17" x14ac:dyDescent="0.35">
      <c r="Q52518" s="1"/>
    </row>
    <row r="52526" spans="17:17" x14ac:dyDescent="0.35">
      <c r="Q52526" s="1"/>
    </row>
    <row r="52528" spans="17:17" x14ac:dyDescent="0.35">
      <c r="Q52528" s="1"/>
    </row>
    <row r="52534" spans="17:17" x14ac:dyDescent="0.35">
      <c r="Q52534" s="1"/>
    </row>
    <row r="52535" spans="17:17" x14ac:dyDescent="0.35">
      <c r="Q52535" s="1"/>
    </row>
    <row r="52538" spans="17:17" x14ac:dyDescent="0.35">
      <c r="Q52538" s="1"/>
    </row>
    <row r="52542" spans="17:17" x14ac:dyDescent="0.35">
      <c r="Q52542" s="1"/>
    </row>
    <row r="52550" spans="17:17" x14ac:dyDescent="0.35">
      <c r="Q52550" s="1"/>
    </row>
    <row r="52551" spans="17:17" x14ac:dyDescent="0.35">
      <c r="Q52551" s="1"/>
    </row>
    <row r="52553" spans="17:17" x14ac:dyDescent="0.35">
      <c r="Q52553" s="1"/>
    </row>
    <row r="52555" spans="17:17" x14ac:dyDescent="0.35">
      <c r="Q52555" s="1"/>
    </row>
    <row r="52556" spans="17:17" x14ac:dyDescent="0.35">
      <c r="Q52556" s="1"/>
    </row>
    <row r="52558" spans="17:17" x14ac:dyDescent="0.35">
      <c r="Q52558" s="1"/>
    </row>
    <row r="52560" spans="17:17" x14ac:dyDescent="0.35">
      <c r="Q52560" s="1"/>
    </row>
    <row r="52564" spans="17:17" x14ac:dyDescent="0.35">
      <c r="Q52564" s="1"/>
    </row>
    <row r="52567" spans="17:17" x14ac:dyDescent="0.35">
      <c r="Q52567" s="1"/>
    </row>
    <row r="52575" spans="17:17" x14ac:dyDescent="0.35">
      <c r="Q52575" s="1"/>
    </row>
    <row r="52577" spans="17:17" x14ac:dyDescent="0.35">
      <c r="Q52577" s="1"/>
    </row>
    <row r="52591" spans="17:17" x14ac:dyDescent="0.35">
      <c r="Q52591" s="1"/>
    </row>
    <row r="52603" spans="17:17" x14ac:dyDescent="0.35">
      <c r="Q52603" s="1"/>
    </row>
    <row r="52605" spans="17:17" x14ac:dyDescent="0.35">
      <c r="Q52605" s="1"/>
    </row>
    <row r="52618" spans="17:17" x14ac:dyDescent="0.35">
      <c r="Q52618" s="1"/>
    </row>
    <row r="52627" spans="17:17" x14ac:dyDescent="0.35">
      <c r="Q52627" s="1"/>
    </row>
    <row r="52632" spans="17:17" x14ac:dyDescent="0.35">
      <c r="Q52632" s="1"/>
    </row>
    <row r="52638" spans="17:17" x14ac:dyDescent="0.35">
      <c r="Q52638" s="1"/>
    </row>
    <row r="52642" spans="17:17" x14ac:dyDescent="0.35">
      <c r="Q52642" s="1"/>
    </row>
    <row r="52643" spans="17:17" x14ac:dyDescent="0.35">
      <c r="Q52643" s="1"/>
    </row>
    <row r="52644" spans="17:17" x14ac:dyDescent="0.35">
      <c r="Q52644" s="1"/>
    </row>
    <row r="52645" spans="17:17" x14ac:dyDescent="0.35">
      <c r="Q52645" s="1"/>
    </row>
    <row r="52646" spans="17:17" x14ac:dyDescent="0.35">
      <c r="Q52646" s="1"/>
    </row>
    <row r="52650" spans="17:17" x14ac:dyDescent="0.35">
      <c r="Q52650" s="1"/>
    </row>
    <row r="52658" spans="17:17" x14ac:dyDescent="0.35">
      <c r="Q52658" s="1"/>
    </row>
    <row r="52659" spans="17:17" x14ac:dyDescent="0.35">
      <c r="Q52659" s="1"/>
    </row>
    <row r="52661" spans="17:17" x14ac:dyDescent="0.35">
      <c r="Q52661" s="1"/>
    </row>
    <row r="52662" spans="17:17" x14ac:dyDescent="0.35">
      <c r="Q52662" s="1"/>
    </row>
    <row r="52665" spans="17:17" x14ac:dyDescent="0.35">
      <c r="Q52665" s="1"/>
    </row>
    <row r="52666" spans="17:17" x14ac:dyDescent="0.35">
      <c r="Q52666" s="1"/>
    </row>
    <row r="52668" spans="17:17" x14ac:dyDescent="0.35">
      <c r="Q52668" s="1"/>
    </row>
    <row r="52669" spans="17:17" x14ac:dyDescent="0.35">
      <c r="Q52669" s="1"/>
    </row>
    <row r="52672" spans="17:17" x14ac:dyDescent="0.35">
      <c r="Q52672" s="1"/>
    </row>
    <row r="52676" spans="17:17" x14ac:dyDescent="0.35">
      <c r="Q52676" s="1"/>
    </row>
    <row r="52690" spans="17:17" x14ac:dyDescent="0.35">
      <c r="Q52690" s="1"/>
    </row>
    <row r="52695" spans="17:17" x14ac:dyDescent="0.35">
      <c r="Q52695" s="1"/>
    </row>
    <row r="52697" spans="17:17" x14ac:dyDescent="0.35">
      <c r="Q52697" s="1"/>
    </row>
    <row r="52703" spans="17:17" x14ac:dyDescent="0.35">
      <c r="Q52703" s="1"/>
    </row>
    <row r="52704" spans="17:17" x14ac:dyDescent="0.35">
      <c r="Q52704" s="1"/>
    </row>
    <row r="52705" spans="17:17" x14ac:dyDescent="0.35">
      <c r="Q52705" s="1"/>
    </row>
    <row r="52715" spans="17:17" x14ac:dyDescent="0.35">
      <c r="Q52715" s="1"/>
    </row>
    <row r="52716" spans="17:17" x14ac:dyDescent="0.35">
      <c r="Q52716" s="1"/>
    </row>
    <row r="52718" spans="17:17" x14ac:dyDescent="0.35">
      <c r="Q52718" s="1"/>
    </row>
    <row r="52721" spans="17:17" x14ac:dyDescent="0.35">
      <c r="Q52721" s="1"/>
    </row>
    <row r="52722" spans="17:17" x14ac:dyDescent="0.35">
      <c r="Q52722" s="1"/>
    </row>
    <row r="52723" spans="17:17" x14ac:dyDescent="0.35">
      <c r="Q52723" s="1"/>
    </row>
    <row r="52728" spans="17:17" x14ac:dyDescent="0.35">
      <c r="Q52728" s="1"/>
    </row>
    <row r="52730" spans="17:17" x14ac:dyDescent="0.35">
      <c r="Q52730" s="1"/>
    </row>
    <row r="52736" spans="17:17" x14ac:dyDescent="0.35">
      <c r="Q52736" s="1"/>
    </row>
    <row r="52740" spans="17:17" x14ac:dyDescent="0.35">
      <c r="Q52740" s="1"/>
    </row>
    <row r="52742" spans="17:17" x14ac:dyDescent="0.35">
      <c r="Q52742" s="1"/>
    </row>
    <row r="52744" spans="17:17" x14ac:dyDescent="0.35">
      <c r="Q52744" s="1"/>
    </row>
    <row r="52745" spans="17:17" x14ac:dyDescent="0.35">
      <c r="Q52745" s="1"/>
    </row>
    <row r="52746" spans="17:17" x14ac:dyDescent="0.35">
      <c r="Q52746" s="1"/>
    </row>
    <row r="52747" spans="17:17" x14ac:dyDescent="0.35">
      <c r="Q52747" s="1"/>
    </row>
    <row r="52748" spans="17:17" x14ac:dyDescent="0.35">
      <c r="Q52748" s="1"/>
    </row>
    <row r="52749" spans="17:17" x14ac:dyDescent="0.35">
      <c r="Q52749" s="1"/>
    </row>
    <row r="52751" spans="17:17" x14ac:dyDescent="0.35">
      <c r="Q52751" s="1"/>
    </row>
    <row r="52753" spans="17:17" x14ac:dyDescent="0.35">
      <c r="Q52753" s="1"/>
    </row>
    <row r="52759" spans="17:17" x14ac:dyDescent="0.35">
      <c r="Q52759" s="1"/>
    </row>
    <row r="52762" spans="17:17" x14ac:dyDescent="0.35">
      <c r="Q52762" s="1"/>
    </row>
    <row r="52763" spans="17:17" x14ac:dyDescent="0.35">
      <c r="Q52763" s="1"/>
    </row>
    <row r="52768" spans="17:17" x14ac:dyDescent="0.35">
      <c r="Q52768" s="1"/>
    </row>
    <row r="52771" spans="17:17" x14ac:dyDescent="0.35">
      <c r="Q52771" s="1"/>
    </row>
    <row r="52772" spans="17:17" x14ac:dyDescent="0.35">
      <c r="Q52772" s="1"/>
    </row>
    <row r="52773" spans="17:17" x14ac:dyDescent="0.35">
      <c r="Q52773" s="1"/>
    </row>
    <row r="52780" spans="17:17" x14ac:dyDescent="0.35">
      <c r="Q52780" s="1"/>
    </row>
    <row r="52781" spans="17:17" x14ac:dyDescent="0.35">
      <c r="Q52781" s="1"/>
    </row>
    <row r="52786" spans="17:17" x14ac:dyDescent="0.35">
      <c r="Q52786" s="1"/>
    </row>
    <row r="52788" spans="17:17" x14ac:dyDescent="0.35">
      <c r="Q52788" s="1"/>
    </row>
    <row r="52790" spans="17:17" x14ac:dyDescent="0.35">
      <c r="Q52790" s="1"/>
    </row>
    <row r="52798" spans="17:17" x14ac:dyDescent="0.35">
      <c r="Q52798" s="1"/>
    </row>
    <row r="52802" spans="17:17" x14ac:dyDescent="0.35">
      <c r="Q52802" s="1"/>
    </row>
    <row r="52803" spans="17:17" x14ac:dyDescent="0.35">
      <c r="Q52803" s="1"/>
    </row>
    <row r="52805" spans="17:17" x14ac:dyDescent="0.35">
      <c r="Q52805" s="1"/>
    </row>
    <row r="52806" spans="17:17" x14ac:dyDescent="0.35">
      <c r="Q52806" s="1"/>
    </row>
    <row r="52808" spans="17:17" x14ac:dyDescent="0.35">
      <c r="Q52808" s="1"/>
    </row>
    <row r="52809" spans="17:17" x14ac:dyDescent="0.35">
      <c r="Q52809" s="1"/>
    </row>
    <row r="52810" spans="17:17" x14ac:dyDescent="0.35">
      <c r="Q52810" s="1"/>
    </row>
    <row r="52811" spans="17:17" x14ac:dyDescent="0.35">
      <c r="Q52811" s="1"/>
    </row>
    <row r="52816" spans="17:17" x14ac:dyDescent="0.35">
      <c r="Q52816" s="1"/>
    </row>
    <row r="52818" spans="17:17" x14ac:dyDescent="0.35">
      <c r="Q52818" s="1"/>
    </row>
    <row r="52819" spans="17:17" x14ac:dyDescent="0.35">
      <c r="Q52819" s="1"/>
    </row>
    <row r="52823" spans="17:17" x14ac:dyDescent="0.35">
      <c r="Q52823" s="1"/>
    </row>
    <row r="52830" spans="17:17" x14ac:dyDescent="0.35">
      <c r="Q52830" s="1"/>
    </row>
    <row r="52832" spans="17:17" x14ac:dyDescent="0.35">
      <c r="Q52832" s="1"/>
    </row>
    <row r="52834" spans="17:17" x14ac:dyDescent="0.35">
      <c r="Q52834" s="1"/>
    </row>
    <row r="52838" spans="17:17" x14ac:dyDescent="0.35">
      <c r="Q52838" s="1"/>
    </row>
    <row r="52842" spans="17:17" x14ac:dyDescent="0.35">
      <c r="Q52842" s="1"/>
    </row>
    <row r="52848" spans="17:17" x14ac:dyDescent="0.35">
      <c r="Q52848" s="1"/>
    </row>
    <row r="52850" spans="17:17" x14ac:dyDescent="0.35">
      <c r="Q52850" s="1"/>
    </row>
    <row r="52864" spans="17:17" x14ac:dyDescent="0.35">
      <c r="Q52864" s="1"/>
    </row>
    <row r="52868" spans="17:17" x14ac:dyDescent="0.35">
      <c r="Q52868" s="1"/>
    </row>
    <row r="52873" spans="17:17" x14ac:dyDescent="0.35">
      <c r="Q52873" s="1"/>
    </row>
    <row r="52875" spans="17:17" x14ac:dyDescent="0.35">
      <c r="Q52875" s="1"/>
    </row>
    <row r="52878" spans="17:17" x14ac:dyDescent="0.35">
      <c r="Q52878" s="1"/>
    </row>
    <row r="52881" spans="17:17" x14ac:dyDescent="0.35">
      <c r="Q52881" s="1"/>
    </row>
    <row r="52883" spans="17:17" x14ac:dyDescent="0.35">
      <c r="Q52883" s="1"/>
    </row>
    <row r="52885" spans="17:17" x14ac:dyDescent="0.35">
      <c r="Q52885" s="1"/>
    </row>
    <row r="52886" spans="17:17" x14ac:dyDescent="0.35">
      <c r="Q52886" s="1"/>
    </row>
    <row r="52893" spans="17:17" x14ac:dyDescent="0.35">
      <c r="Q52893" s="1"/>
    </row>
    <row r="52896" spans="17:17" x14ac:dyDescent="0.35">
      <c r="Q52896" s="1"/>
    </row>
    <row r="52898" spans="17:17" x14ac:dyDescent="0.35">
      <c r="Q52898" s="1"/>
    </row>
    <row r="52900" spans="17:17" x14ac:dyDescent="0.35">
      <c r="Q52900" s="1"/>
    </row>
    <row r="52904" spans="17:17" x14ac:dyDescent="0.35">
      <c r="Q52904" s="1"/>
    </row>
    <row r="52909" spans="17:17" x14ac:dyDescent="0.35">
      <c r="Q52909" s="1"/>
    </row>
    <row r="52912" spans="17:17" x14ac:dyDescent="0.35">
      <c r="Q52912" s="1"/>
    </row>
    <row r="52914" spans="17:17" x14ac:dyDescent="0.35">
      <c r="Q52914" s="1"/>
    </row>
    <row r="52917" spans="17:17" x14ac:dyDescent="0.35">
      <c r="Q52917" s="1"/>
    </row>
    <row r="52918" spans="17:17" x14ac:dyDescent="0.35">
      <c r="Q52918" s="1"/>
    </row>
    <row r="52923" spans="17:17" x14ac:dyDescent="0.35">
      <c r="Q52923" s="1"/>
    </row>
    <row r="52926" spans="17:17" x14ac:dyDescent="0.35">
      <c r="Q52926" s="1"/>
    </row>
    <row r="52928" spans="17:17" x14ac:dyDescent="0.35">
      <c r="Q52928" s="1"/>
    </row>
    <row r="52932" spans="17:17" x14ac:dyDescent="0.35">
      <c r="Q52932" s="1"/>
    </row>
    <row r="52940" spans="17:17" x14ac:dyDescent="0.35">
      <c r="Q52940" s="1"/>
    </row>
    <row r="52943" spans="17:17" x14ac:dyDescent="0.35">
      <c r="Q52943" s="1"/>
    </row>
    <row r="52946" spans="17:17" x14ac:dyDescent="0.35">
      <c r="Q52946" s="1"/>
    </row>
    <row r="52950" spans="17:17" x14ac:dyDescent="0.35">
      <c r="Q52950" s="1"/>
    </row>
    <row r="52952" spans="17:17" x14ac:dyDescent="0.35">
      <c r="Q52952" s="1"/>
    </row>
    <row r="52954" spans="17:17" x14ac:dyDescent="0.35">
      <c r="Q52954" s="1"/>
    </row>
    <row r="52962" spans="17:17" x14ac:dyDescent="0.35">
      <c r="Q52962" s="1"/>
    </row>
    <row r="52965" spans="17:17" x14ac:dyDescent="0.35">
      <c r="Q52965" s="1"/>
    </row>
    <row r="52966" spans="17:17" x14ac:dyDescent="0.35">
      <c r="Q52966" s="1"/>
    </row>
    <row r="52971" spans="17:17" x14ac:dyDescent="0.35">
      <c r="Q52971" s="1"/>
    </row>
    <row r="52974" spans="17:17" x14ac:dyDescent="0.35">
      <c r="Q52974" s="1"/>
    </row>
    <row r="52976" spans="17:17" x14ac:dyDescent="0.35">
      <c r="Q52976" s="1"/>
    </row>
    <row r="52977" spans="17:17" x14ac:dyDescent="0.35">
      <c r="Q52977" s="1"/>
    </row>
    <row r="52979" spans="17:17" x14ac:dyDescent="0.35">
      <c r="Q52979" s="1"/>
    </row>
    <row r="52985" spans="17:17" x14ac:dyDescent="0.35">
      <c r="Q52985" s="1"/>
    </row>
    <row r="52986" spans="17:17" x14ac:dyDescent="0.35">
      <c r="Q52986" s="1"/>
    </row>
    <row r="52989" spans="17:17" x14ac:dyDescent="0.35">
      <c r="Q52989" s="1"/>
    </row>
    <row r="52990" spans="17:17" x14ac:dyDescent="0.35">
      <c r="Q52990" s="1"/>
    </row>
    <row r="52993" spans="17:17" x14ac:dyDescent="0.35">
      <c r="Q52993" s="1"/>
    </row>
    <row r="52998" spans="17:17" x14ac:dyDescent="0.35">
      <c r="Q52998" s="1"/>
    </row>
    <row r="53001" spans="17:17" x14ac:dyDescent="0.35">
      <c r="Q53001" s="1"/>
    </row>
    <row r="53004" spans="17:17" x14ac:dyDescent="0.35">
      <c r="Q53004" s="1"/>
    </row>
    <row r="53013" spans="17:17" x14ac:dyDescent="0.35">
      <c r="Q53013" s="1"/>
    </row>
    <row r="53016" spans="17:17" x14ac:dyDescent="0.35">
      <c r="Q53016" s="1"/>
    </row>
    <row r="53017" spans="17:17" x14ac:dyDescent="0.35">
      <c r="Q53017" s="1"/>
    </row>
    <row r="53018" spans="17:17" x14ac:dyDescent="0.35">
      <c r="Q53018" s="1"/>
    </row>
    <row r="53019" spans="17:17" x14ac:dyDescent="0.35">
      <c r="Q53019" s="1"/>
    </row>
    <row r="53020" spans="17:17" x14ac:dyDescent="0.35">
      <c r="Q53020" s="1"/>
    </row>
    <row r="53021" spans="17:17" x14ac:dyDescent="0.35">
      <c r="Q53021" s="1"/>
    </row>
    <row r="53022" spans="17:17" x14ac:dyDescent="0.35">
      <c r="Q53022" s="1"/>
    </row>
    <row r="53024" spans="17:17" x14ac:dyDescent="0.35">
      <c r="Q53024" s="1"/>
    </row>
    <row r="53025" spans="17:17" x14ac:dyDescent="0.35">
      <c r="Q53025" s="1"/>
    </row>
    <row r="53026" spans="17:17" x14ac:dyDescent="0.35">
      <c r="Q53026" s="1"/>
    </row>
    <row r="53027" spans="17:17" x14ac:dyDescent="0.35">
      <c r="Q53027" s="1"/>
    </row>
    <row r="53028" spans="17:17" x14ac:dyDescent="0.35">
      <c r="Q53028" s="1"/>
    </row>
    <row r="53030" spans="17:17" x14ac:dyDescent="0.35">
      <c r="Q53030" s="1"/>
    </row>
    <row r="53031" spans="17:17" x14ac:dyDescent="0.35">
      <c r="Q53031" s="1"/>
    </row>
    <row r="53032" spans="17:17" x14ac:dyDescent="0.35">
      <c r="Q53032" s="1"/>
    </row>
    <row r="53033" spans="17:17" x14ac:dyDescent="0.35">
      <c r="Q53033" s="1"/>
    </row>
    <row r="53034" spans="17:17" x14ac:dyDescent="0.35">
      <c r="Q53034" s="1"/>
    </row>
    <row r="53035" spans="17:17" x14ac:dyDescent="0.35">
      <c r="Q53035" s="1"/>
    </row>
    <row r="53036" spans="17:17" x14ac:dyDescent="0.35">
      <c r="Q53036" s="1"/>
    </row>
    <row r="53039" spans="17:17" x14ac:dyDescent="0.35">
      <c r="Q53039" s="1"/>
    </row>
    <row r="53040" spans="17:17" x14ac:dyDescent="0.35">
      <c r="Q53040" s="1"/>
    </row>
    <row r="53041" spans="17:17" x14ac:dyDescent="0.35">
      <c r="Q53041" s="1"/>
    </row>
    <row r="53042" spans="17:17" x14ac:dyDescent="0.35">
      <c r="Q53042" s="1"/>
    </row>
    <row r="53050" spans="17:17" x14ac:dyDescent="0.35">
      <c r="Q53050" s="1"/>
    </row>
    <row r="53051" spans="17:17" x14ac:dyDescent="0.35">
      <c r="Q53051" s="1"/>
    </row>
    <row r="53054" spans="17:17" x14ac:dyDescent="0.35">
      <c r="Q53054" s="1"/>
    </row>
    <row r="53055" spans="17:17" x14ac:dyDescent="0.35">
      <c r="Q53055" s="1"/>
    </row>
    <row r="53060" spans="17:17" x14ac:dyDescent="0.35">
      <c r="Q53060" s="1"/>
    </row>
    <row r="53069" spans="17:17" x14ac:dyDescent="0.35">
      <c r="Q53069" s="1"/>
    </row>
    <row r="53072" spans="17:17" x14ac:dyDescent="0.35">
      <c r="Q53072" s="1"/>
    </row>
    <row r="53077" spans="17:17" x14ac:dyDescent="0.35">
      <c r="Q53077" s="1"/>
    </row>
    <row r="53080" spans="17:17" x14ac:dyDescent="0.35">
      <c r="Q53080" s="1"/>
    </row>
    <row r="53081" spans="17:17" x14ac:dyDescent="0.35">
      <c r="Q53081" s="1"/>
    </row>
    <row r="53082" spans="17:17" x14ac:dyDescent="0.35">
      <c r="Q53082" s="1"/>
    </row>
    <row r="53092" spans="17:17" x14ac:dyDescent="0.35">
      <c r="Q53092" s="1"/>
    </row>
    <row r="53097" spans="17:17" x14ac:dyDescent="0.35">
      <c r="Q53097" s="1"/>
    </row>
    <row r="53099" spans="17:17" x14ac:dyDescent="0.35">
      <c r="Q53099" s="1"/>
    </row>
    <row r="53107" spans="17:17" x14ac:dyDescent="0.35">
      <c r="Q53107" s="1"/>
    </row>
    <row r="53110" spans="17:17" x14ac:dyDescent="0.35">
      <c r="Q53110" s="1"/>
    </row>
    <row r="53111" spans="17:17" x14ac:dyDescent="0.35">
      <c r="Q53111" s="1"/>
    </row>
    <row r="53112" spans="17:17" x14ac:dyDescent="0.35">
      <c r="Q53112" s="1"/>
    </row>
    <row r="53113" spans="17:17" x14ac:dyDescent="0.35">
      <c r="Q53113" s="1"/>
    </row>
    <row r="53115" spans="17:17" x14ac:dyDescent="0.35">
      <c r="Q53115" s="1"/>
    </row>
    <row r="53116" spans="17:17" x14ac:dyDescent="0.35">
      <c r="Q53116" s="1"/>
    </row>
    <row r="53119" spans="17:17" x14ac:dyDescent="0.35">
      <c r="Q53119" s="1"/>
    </row>
    <row r="53124" spans="17:17" x14ac:dyDescent="0.35">
      <c r="Q53124" s="1"/>
    </row>
    <row r="53141" spans="17:17" x14ac:dyDescent="0.35">
      <c r="Q53141" s="1"/>
    </row>
    <row r="53150" spans="17:17" x14ac:dyDescent="0.35">
      <c r="Q53150" s="1"/>
    </row>
    <row r="53153" spans="17:17" x14ac:dyDescent="0.35">
      <c r="Q53153" s="1"/>
    </row>
    <row r="53157" spans="17:17" x14ac:dyDescent="0.35">
      <c r="Q53157" s="1"/>
    </row>
    <row r="53166" spans="17:17" x14ac:dyDescent="0.35">
      <c r="Q53166" s="1"/>
    </row>
    <row r="53167" spans="17:17" x14ac:dyDescent="0.35">
      <c r="Q53167" s="1"/>
    </row>
    <row r="53172" spans="17:17" x14ac:dyDescent="0.35">
      <c r="Q53172" s="1"/>
    </row>
    <row r="53174" spans="17:17" x14ac:dyDescent="0.35">
      <c r="Q53174" s="1"/>
    </row>
    <row r="53175" spans="17:17" x14ac:dyDescent="0.35">
      <c r="Q53175" s="1"/>
    </row>
    <row r="53177" spans="17:17" x14ac:dyDescent="0.35">
      <c r="Q53177" s="1"/>
    </row>
    <row r="53178" spans="17:17" x14ac:dyDescent="0.35">
      <c r="Q53178" s="1"/>
    </row>
    <row r="53182" spans="17:17" x14ac:dyDescent="0.35">
      <c r="Q53182" s="1"/>
    </row>
    <row r="53184" spans="17:17" x14ac:dyDescent="0.35">
      <c r="Q53184" s="1"/>
    </row>
    <row r="53186" spans="17:17" x14ac:dyDescent="0.35">
      <c r="Q53186" s="1"/>
    </row>
    <row r="53187" spans="17:17" x14ac:dyDescent="0.35">
      <c r="Q53187" s="1"/>
    </row>
    <row r="53188" spans="17:17" x14ac:dyDescent="0.35">
      <c r="Q53188" s="1"/>
    </row>
    <row r="53189" spans="17:17" x14ac:dyDescent="0.35">
      <c r="Q53189" s="1"/>
    </row>
    <row r="53190" spans="17:17" x14ac:dyDescent="0.35">
      <c r="Q53190" s="1"/>
    </row>
    <row r="53192" spans="17:17" x14ac:dyDescent="0.35">
      <c r="Q53192" s="1"/>
    </row>
    <row r="53203" spans="17:17" x14ac:dyDescent="0.35">
      <c r="Q53203" s="1"/>
    </row>
    <row r="53206" spans="17:17" x14ac:dyDescent="0.35">
      <c r="Q53206" s="1"/>
    </row>
    <row r="53208" spans="17:17" x14ac:dyDescent="0.35">
      <c r="Q53208" s="1"/>
    </row>
    <row r="53210" spans="17:17" x14ac:dyDescent="0.35">
      <c r="Q53210" s="1"/>
    </row>
    <row r="53213" spans="17:17" x14ac:dyDescent="0.35">
      <c r="Q53213" s="1"/>
    </row>
    <row r="53223" spans="17:17" x14ac:dyDescent="0.35">
      <c r="Q53223" s="1"/>
    </row>
    <row r="53225" spans="17:17" x14ac:dyDescent="0.35">
      <c r="Q53225" s="1"/>
    </row>
    <row r="53228" spans="17:17" x14ac:dyDescent="0.35">
      <c r="Q53228" s="1"/>
    </row>
    <row r="53230" spans="17:17" x14ac:dyDescent="0.35">
      <c r="Q53230" s="1"/>
    </row>
    <row r="53231" spans="17:17" x14ac:dyDescent="0.35">
      <c r="Q53231" s="1"/>
    </row>
    <row r="53232" spans="17:17" x14ac:dyDescent="0.35">
      <c r="Q53232" s="1"/>
    </row>
    <row r="53236" spans="17:17" x14ac:dyDescent="0.35">
      <c r="Q53236" s="1"/>
    </row>
    <row r="53239" spans="17:17" x14ac:dyDescent="0.35">
      <c r="Q53239" s="1"/>
    </row>
    <row r="53241" spans="17:17" x14ac:dyDescent="0.35">
      <c r="Q53241" s="1"/>
    </row>
    <row r="53244" spans="17:17" x14ac:dyDescent="0.35">
      <c r="Q53244" s="1"/>
    </row>
    <row r="53247" spans="17:17" x14ac:dyDescent="0.35">
      <c r="Q53247" s="1"/>
    </row>
    <row r="53250" spans="17:17" x14ac:dyDescent="0.35">
      <c r="Q53250" s="1"/>
    </row>
    <row r="53254" spans="17:17" x14ac:dyDescent="0.35">
      <c r="Q53254" s="1"/>
    </row>
    <row r="53255" spans="17:17" x14ac:dyDescent="0.35">
      <c r="Q53255" s="1"/>
    </row>
    <row r="53256" spans="17:17" x14ac:dyDescent="0.35">
      <c r="Q53256" s="1"/>
    </row>
    <row r="53266" spans="17:17" x14ac:dyDescent="0.35">
      <c r="Q53266" s="1"/>
    </row>
    <row r="53268" spans="17:17" x14ac:dyDescent="0.35">
      <c r="Q53268" s="1"/>
    </row>
    <row r="53273" spans="17:17" x14ac:dyDescent="0.35">
      <c r="Q53273" s="1"/>
    </row>
    <row r="53282" spans="17:17" x14ac:dyDescent="0.35">
      <c r="Q53282" s="1"/>
    </row>
    <row r="53286" spans="17:17" x14ac:dyDescent="0.35">
      <c r="Q53286" s="1"/>
    </row>
    <row r="53293" spans="17:17" x14ac:dyDescent="0.35">
      <c r="Q53293" s="1"/>
    </row>
    <row r="53295" spans="17:17" x14ac:dyDescent="0.35">
      <c r="Q53295" s="1"/>
    </row>
    <row r="53298" spans="17:17" x14ac:dyDescent="0.35">
      <c r="Q53298" s="1"/>
    </row>
    <row r="53299" spans="17:17" x14ac:dyDescent="0.35">
      <c r="Q53299" s="1"/>
    </row>
    <row r="53306" spans="17:17" x14ac:dyDescent="0.35">
      <c r="Q53306" s="1"/>
    </row>
    <row r="53307" spans="17:17" x14ac:dyDescent="0.35">
      <c r="Q53307" s="1"/>
    </row>
    <row r="53308" spans="17:17" x14ac:dyDescent="0.35">
      <c r="Q53308" s="1"/>
    </row>
    <row r="53310" spans="17:17" x14ac:dyDescent="0.35">
      <c r="Q53310" s="1"/>
    </row>
    <row r="53319" spans="17:17" x14ac:dyDescent="0.35">
      <c r="Q53319" s="1"/>
    </row>
    <row r="53322" spans="17:17" x14ac:dyDescent="0.35">
      <c r="Q53322" s="1"/>
    </row>
    <row r="53323" spans="17:17" x14ac:dyDescent="0.35">
      <c r="Q53323" s="1"/>
    </row>
    <row r="53324" spans="17:17" x14ac:dyDescent="0.35">
      <c r="Q53324" s="1"/>
    </row>
    <row r="53325" spans="17:17" x14ac:dyDescent="0.35">
      <c r="Q53325" s="1"/>
    </row>
    <row r="53328" spans="17:17" x14ac:dyDescent="0.35">
      <c r="Q53328" s="1"/>
    </row>
    <row r="53335" spans="17:17" x14ac:dyDescent="0.35">
      <c r="Q53335" s="1"/>
    </row>
    <row r="53336" spans="17:17" x14ac:dyDescent="0.35">
      <c r="Q53336" s="1"/>
    </row>
    <row r="53343" spans="17:17" x14ac:dyDescent="0.35">
      <c r="Q53343" s="1"/>
    </row>
    <row r="53344" spans="17:17" x14ac:dyDescent="0.35">
      <c r="Q53344" s="1"/>
    </row>
    <row r="53350" spans="17:17" x14ac:dyDescent="0.35">
      <c r="Q53350" s="1"/>
    </row>
    <row r="53356" spans="17:17" x14ac:dyDescent="0.35">
      <c r="Q53356" s="1"/>
    </row>
    <row r="53357" spans="17:17" x14ac:dyDescent="0.35">
      <c r="Q53357" s="1"/>
    </row>
    <row r="53358" spans="17:17" x14ac:dyDescent="0.35">
      <c r="Q53358" s="1"/>
    </row>
    <row r="53360" spans="17:17" x14ac:dyDescent="0.35">
      <c r="Q53360" s="1"/>
    </row>
    <row r="53363" spans="17:17" x14ac:dyDescent="0.35">
      <c r="Q53363" s="1"/>
    </row>
    <row r="53369" spans="17:17" x14ac:dyDescent="0.35">
      <c r="Q53369" s="1"/>
    </row>
    <row r="53374" spans="17:17" x14ac:dyDescent="0.35">
      <c r="Q53374" s="1"/>
    </row>
    <row r="53376" spans="17:17" x14ac:dyDescent="0.35">
      <c r="Q53376" s="1"/>
    </row>
    <row r="53378" spans="17:17" x14ac:dyDescent="0.35">
      <c r="Q53378" s="1"/>
    </row>
    <row r="53379" spans="17:17" x14ac:dyDescent="0.35">
      <c r="Q53379" s="1"/>
    </row>
    <row r="53382" spans="17:17" x14ac:dyDescent="0.35">
      <c r="Q53382" s="1"/>
    </row>
    <row r="53386" spans="17:17" x14ac:dyDescent="0.35">
      <c r="Q53386" s="1"/>
    </row>
    <row r="53387" spans="17:17" x14ac:dyDescent="0.35">
      <c r="Q53387" s="1"/>
    </row>
    <row r="53397" spans="17:17" x14ac:dyDescent="0.35">
      <c r="Q53397" s="1"/>
    </row>
    <row r="53403" spans="17:17" x14ac:dyDescent="0.35">
      <c r="Q53403" s="1"/>
    </row>
    <row r="53404" spans="17:17" x14ac:dyDescent="0.35">
      <c r="Q53404" s="1"/>
    </row>
    <row r="53405" spans="17:17" x14ac:dyDescent="0.35">
      <c r="Q53405" s="1"/>
    </row>
    <row r="53406" spans="17:17" x14ac:dyDescent="0.35">
      <c r="Q53406" s="1"/>
    </row>
    <row r="53407" spans="17:17" x14ac:dyDescent="0.35">
      <c r="Q53407" s="1"/>
    </row>
    <row r="53409" spans="17:17" x14ac:dyDescent="0.35">
      <c r="Q53409" s="1"/>
    </row>
    <row r="53413" spans="17:17" x14ac:dyDescent="0.35">
      <c r="Q53413" s="1"/>
    </row>
    <row r="53420" spans="17:17" x14ac:dyDescent="0.35">
      <c r="Q53420" s="1"/>
    </row>
    <row r="53425" spans="17:17" x14ac:dyDescent="0.35">
      <c r="Q53425" s="1"/>
    </row>
    <row r="53426" spans="17:17" x14ac:dyDescent="0.35">
      <c r="Q53426" s="1"/>
    </row>
    <row r="53429" spans="17:17" x14ac:dyDescent="0.35">
      <c r="Q53429" s="1"/>
    </row>
    <row r="53430" spans="17:17" x14ac:dyDescent="0.35">
      <c r="Q53430" s="1"/>
    </row>
    <row r="53432" spans="17:17" x14ac:dyDescent="0.35">
      <c r="Q53432" s="1"/>
    </row>
    <row r="53433" spans="17:17" x14ac:dyDescent="0.35">
      <c r="Q53433" s="1"/>
    </row>
    <row r="53435" spans="17:17" x14ac:dyDescent="0.35">
      <c r="Q53435" s="1"/>
    </row>
    <row r="53437" spans="17:17" x14ac:dyDescent="0.35">
      <c r="Q53437" s="1"/>
    </row>
    <row r="53440" spans="17:17" x14ac:dyDescent="0.35">
      <c r="Q53440" s="1"/>
    </row>
    <row r="53441" spans="17:17" x14ac:dyDescent="0.35">
      <c r="Q53441" s="1"/>
    </row>
    <row r="53442" spans="17:17" x14ac:dyDescent="0.35">
      <c r="Q53442" s="1"/>
    </row>
    <row r="53443" spans="17:17" x14ac:dyDescent="0.35">
      <c r="Q53443" s="1"/>
    </row>
    <row r="53444" spans="17:17" x14ac:dyDescent="0.35">
      <c r="Q53444" s="1"/>
    </row>
    <row r="53445" spans="17:17" x14ac:dyDescent="0.35">
      <c r="Q53445" s="1"/>
    </row>
    <row r="53447" spans="17:17" x14ac:dyDescent="0.35">
      <c r="Q53447" s="1"/>
    </row>
    <row r="53450" spans="17:17" x14ac:dyDescent="0.35">
      <c r="Q53450" s="1"/>
    </row>
    <row r="53453" spans="17:17" x14ac:dyDescent="0.35">
      <c r="Q53453" s="1"/>
    </row>
    <row r="53463" spans="17:17" x14ac:dyDescent="0.35">
      <c r="Q53463" s="1"/>
    </row>
    <row r="53466" spans="17:17" x14ac:dyDescent="0.35">
      <c r="Q53466" s="1"/>
    </row>
    <row r="53469" spans="17:17" x14ac:dyDescent="0.35">
      <c r="Q53469" s="1"/>
    </row>
    <row r="53471" spans="17:17" x14ac:dyDescent="0.35">
      <c r="Q53471" s="1"/>
    </row>
    <row r="53479" spans="17:17" x14ac:dyDescent="0.35">
      <c r="Q53479" s="1"/>
    </row>
    <row r="53481" spans="17:17" x14ac:dyDescent="0.35">
      <c r="Q53481" s="1"/>
    </row>
    <row r="53488" spans="17:17" x14ac:dyDescent="0.35">
      <c r="Q53488" s="1"/>
    </row>
    <row r="53505" spans="17:17" x14ac:dyDescent="0.35">
      <c r="Q53505" s="1"/>
    </row>
    <row r="53506" spans="17:17" x14ac:dyDescent="0.35">
      <c r="Q53506" s="1"/>
    </row>
    <row r="53509" spans="17:17" x14ac:dyDescent="0.35">
      <c r="Q53509" s="1"/>
    </row>
    <row r="53510" spans="17:17" x14ac:dyDescent="0.35">
      <c r="Q53510" s="1"/>
    </row>
    <row r="53517" spans="17:17" x14ac:dyDescent="0.35">
      <c r="Q53517" s="1"/>
    </row>
    <row r="53530" spans="17:17" x14ac:dyDescent="0.35">
      <c r="Q53530" s="1"/>
    </row>
    <row r="53533" spans="17:17" x14ac:dyDescent="0.35">
      <c r="Q53533" s="1"/>
    </row>
    <row r="53534" spans="17:17" x14ac:dyDescent="0.35">
      <c r="Q53534" s="1"/>
    </row>
    <row r="53535" spans="17:17" x14ac:dyDescent="0.35">
      <c r="Q53535" s="1"/>
    </row>
    <row r="53536" spans="17:17" x14ac:dyDescent="0.35">
      <c r="Q53536" s="1"/>
    </row>
    <row r="53537" spans="17:17" x14ac:dyDescent="0.35">
      <c r="Q53537" s="1"/>
    </row>
    <row r="53539" spans="17:17" x14ac:dyDescent="0.35">
      <c r="Q53539" s="1"/>
    </row>
    <row r="53544" spans="17:17" x14ac:dyDescent="0.35">
      <c r="Q53544" s="1"/>
    </row>
    <row r="53545" spans="17:17" x14ac:dyDescent="0.35">
      <c r="Q53545" s="1"/>
    </row>
    <row r="53551" spans="17:17" x14ac:dyDescent="0.35">
      <c r="Q53551" s="1"/>
    </row>
    <row r="53554" spans="17:17" x14ac:dyDescent="0.35">
      <c r="Q53554" s="1"/>
    </row>
    <row r="53561" spans="17:17" x14ac:dyDescent="0.35">
      <c r="Q53561" s="1"/>
    </row>
    <row r="53563" spans="17:17" x14ac:dyDescent="0.35">
      <c r="Q53563" s="1"/>
    </row>
    <row r="53564" spans="17:17" x14ac:dyDescent="0.35">
      <c r="Q53564" s="1"/>
    </row>
    <row r="53565" spans="17:17" x14ac:dyDescent="0.35">
      <c r="Q53565" s="1"/>
    </row>
    <row r="53566" spans="17:17" x14ac:dyDescent="0.35">
      <c r="Q53566" s="1"/>
    </row>
    <row r="53571" spans="17:17" x14ac:dyDescent="0.35">
      <c r="Q53571" s="1"/>
    </row>
    <row r="53572" spans="17:17" x14ac:dyDescent="0.35">
      <c r="Q53572" s="1"/>
    </row>
    <row r="53573" spans="17:17" x14ac:dyDescent="0.35">
      <c r="Q53573" s="1"/>
    </row>
    <row r="53576" spans="17:17" x14ac:dyDescent="0.35">
      <c r="Q53576" s="1"/>
    </row>
    <row r="53577" spans="17:17" x14ac:dyDescent="0.35">
      <c r="Q53577" s="1"/>
    </row>
    <row r="53578" spans="17:17" x14ac:dyDescent="0.35">
      <c r="Q53578" s="1"/>
    </row>
    <row r="53579" spans="17:17" x14ac:dyDescent="0.35">
      <c r="Q53579" s="1"/>
    </row>
    <row r="53581" spans="17:17" x14ac:dyDescent="0.35">
      <c r="Q53581" s="1"/>
    </row>
    <row r="53582" spans="17:17" x14ac:dyDescent="0.35">
      <c r="Q53582" s="1"/>
    </row>
    <row r="53583" spans="17:17" x14ac:dyDescent="0.35">
      <c r="Q53583" s="1"/>
    </row>
    <row r="53584" spans="17:17" x14ac:dyDescent="0.35">
      <c r="Q53584" s="1"/>
    </row>
    <row r="53585" spans="17:17" x14ac:dyDescent="0.35">
      <c r="Q53585" s="1"/>
    </row>
    <row r="53586" spans="17:17" x14ac:dyDescent="0.35">
      <c r="Q53586" s="1"/>
    </row>
    <row r="53587" spans="17:17" x14ac:dyDescent="0.35">
      <c r="Q53587" s="1"/>
    </row>
    <row r="53588" spans="17:17" x14ac:dyDescent="0.35">
      <c r="Q53588" s="1"/>
    </row>
    <row r="53589" spans="17:17" x14ac:dyDescent="0.35">
      <c r="Q53589" s="1"/>
    </row>
    <row r="53591" spans="17:17" x14ac:dyDescent="0.35">
      <c r="Q53591" s="1"/>
    </row>
    <row r="53592" spans="17:17" x14ac:dyDescent="0.35">
      <c r="Q53592" s="1"/>
    </row>
    <row r="53593" spans="17:17" x14ac:dyDescent="0.35">
      <c r="Q53593" s="1"/>
    </row>
    <row r="53594" spans="17:17" x14ac:dyDescent="0.35">
      <c r="Q53594" s="1"/>
    </row>
    <row r="53595" spans="17:17" x14ac:dyDescent="0.35">
      <c r="Q53595" s="1"/>
    </row>
    <row r="53596" spans="17:17" x14ac:dyDescent="0.35">
      <c r="Q53596" s="1"/>
    </row>
    <row r="53597" spans="17:17" x14ac:dyDescent="0.35">
      <c r="Q53597" s="1"/>
    </row>
    <row r="53599" spans="17:17" x14ac:dyDescent="0.35">
      <c r="Q53599" s="1"/>
    </row>
    <row r="53601" spans="17:17" x14ac:dyDescent="0.35">
      <c r="Q53601" s="1"/>
    </row>
    <row r="53602" spans="17:17" x14ac:dyDescent="0.35">
      <c r="Q53602" s="1"/>
    </row>
    <row r="53615" spans="17:17" x14ac:dyDescent="0.35">
      <c r="Q53615" s="1"/>
    </row>
    <row r="53616" spans="17:17" x14ac:dyDescent="0.35">
      <c r="Q53616" s="1"/>
    </row>
    <row r="53624" spans="17:17" x14ac:dyDescent="0.35">
      <c r="Q53624" s="1"/>
    </row>
    <row r="53625" spans="17:17" x14ac:dyDescent="0.35">
      <c r="Q53625" s="1"/>
    </row>
    <row r="53639" spans="17:17" x14ac:dyDescent="0.35">
      <c r="Q53639" s="1"/>
    </row>
    <row r="53640" spans="17:17" x14ac:dyDescent="0.35">
      <c r="Q53640" s="1"/>
    </row>
    <row r="53644" spans="17:17" x14ac:dyDescent="0.35">
      <c r="Q53644" s="1"/>
    </row>
    <row r="53645" spans="17:17" x14ac:dyDescent="0.35">
      <c r="Q53645" s="1"/>
    </row>
    <row r="53648" spans="17:17" x14ac:dyDescent="0.35">
      <c r="Q53648" s="1"/>
    </row>
    <row r="53654" spans="17:17" x14ac:dyDescent="0.35">
      <c r="Q53654" s="1"/>
    </row>
    <row r="53657" spans="17:17" x14ac:dyDescent="0.35">
      <c r="Q53657" s="1"/>
    </row>
    <row r="53659" spans="17:17" x14ac:dyDescent="0.35">
      <c r="Q53659" s="1"/>
    </row>
    <row r="53665" spans="6:17" x14ac:dyDescent="0.35">
      <c r="Q53665" s="1"/>
    </row>
    <row r="53666" spans="6:17" x14ac:dyDescent="0.35">
      <c r="F53666" s="5"/>
    </row>
    <row r="53672" spans="6:17" x14ac:dyDescent="0.35">
      <c r="Q53672" s="1"/>
    </row>
    <row r="53674" spans="6:17" x14ac:dyDescent="0.35">
      <c r="Q53674" s="1"/>
    </row>
    <row r="53677" spans="6:17" x14ac:dyDescent="0.35">
      <c r="Q53677" s="1"/>
    </row>
    <row r="53683" spans="17:17" x14ac:dyDescent="0.35">
      <c r="Q53683" s="1"/>
    </row>
    <row r="53696" spans="17:17" x14ac:dyDescent="0.35">
      <c r="Q53696" s="1"/>
    </row>
    <row r="53707" spans="17:17" x14ac:dyDescent="0.35">
      <c r="Q53707" s="1"/>
    </row>
    <row r="53709" spans="17:17" x14ac:dyDescent="0.35">
      <c r="Q53709" s="1"/>
    </row>
    <row r="53712" spans="17:17" x14ac:dyDescent="0.35">
      <c r="Q53712" s="1"/>
    </row>
    <row r="53717" spans="17:17" x14ac:dyDescent="0.35">
      <c r="Q53717" s="1"/>
    </row>
    <row r="53720" spans="17:17" x14ac:dyDescent="0.35">
      <c r="Q53720" s="1"/>
    </row>
    <row r="53721" spans="17:17" x14ac:dyDescent="0.35">
      <c r="Q53721" s="1"/>
    </row>
    <row r="53728" spans="17:17" x14ac:dyDescent="0.35">
      <c r="Q53728" s="1"/>
    </row>
    <row r="53734" spans="17:17" x14ac:dyDescent="0.35">
      <c r="Q53734" s="1"/>
    </row>
    <row r="53750" spans="17:17" x14ac:dyDescent="0.35">
      <c r="Q53750" s="1"/>
    </row>
    <row r="53753" spans="17:17" x14ac:dyDescent="0.35">
      <c r="Q53753" s="1"/>
    </row>
    <row r="53757" spans="17:17" x14ac:dyDescent="0.35">
      <c r="Q53757" s="1"/>
    </row>
    <row r="53759" spans="17:17" x14ac:dyDescent="0.35">
      <c r="Q53759" s="1"/>
    </row>
    <row r="53762" spans="17:17" x14ac:dyDescent="0.35">
      <c r="Q53762" s="1"/>
    </row>
    <row r="53763" spans="17:17" x14ac:dyDescent="0.35">
      <c r="Q53763" s="1"/>
    </row>
    <row r="53766" spans="17:17" x14ac:dyDescent="0.35">
      <c r="Q53766" s="1"/>
    </row>
    <row r="53767" spans="17:17" x14ac:dyDescent="0.35">
      <c r="Q53767" s="1"/>
    </row>
    <row r="53771" spans="17:17" x14ac:dyDescent="0.35">
      <c r="Q53771" s="1"/>
    </row>
    <row r="53773" spans="17:17" x14ac:dyDescent="0.35">
      <c r="Q53773" s="1"/>
    </row>
    <row r="53774" spans="17:17" x14ac:dyDescent="0.35">
      <c r="Q53774" s="1"/>
    </row>
    <row r="53776" spans="17:17" x14ac:dyDescent="0.35">
      <c r="Q53776" s="1"/>
    </row>
    <row r="53779" spans="17:17" x14ac:dyDescent="0.35">
      <c r="Q53779" s="1"/>
    </row>
    <row r="53781" spans="17:17" x14ac:dyDescent="0.35">
      <c r="Q53781" s="1"/>
    </row>
    <row r="53782" spans="17:17" x14ac:dyDescent="0.35">
      <c r="Q53782" s="1"/>
    </row>
    <row r="53784" spans="17:17" x14ac:dyDescent="0.35">
      <c r="Q53784" s="1"/>
    </row>
    <row r="53786" spans="17:17" x14ac:dyDescent="0.35">
      <c r="Q53786" s="1"/>
    </row>
    <row r="53787" spans="17:17" x14ac:dyDescent="0.35">
      <c r="Q53787" s="1"/>
    </row>
    <row r="53790" spans="17:17" x14ac:dyDescent="0.35">
      <c r="Q53790" s="1"/>
    </row>
    <row r="53791" spans="17:17" x14ac:dyDescent="0.35">
      <c r="Q53791" s="1"/>
    </row>
    <row r="53792" spans="17:17" x14ac:dyDescent="0.35">
      <c r="Q53792" s="1"/>
    </row>
    <row r="53795" spans="17:17" x14ac:dyDescent="0.35">
      <c r="Q53795" s="1"/>
    </row>
    <row r="53799" spans="17:17" x14ac:dyDescent="0.35">
      <c r="Q53799" s="1"/>
    </row>
    <row r="53801" spans="17:17" x14ac:dyDescent="0.35">
      <c r="Q53801" s="1"/>
    </row>
    <row r="53803" spans="17:17" x14ac:dyDescent="0.35">
      <c r="Q53803" s="1"/>
    </row>
    <row r="53809" spans="17:17" x14ac:dyDescent="0.35">
      <c r="Q53809" s="1"/>
    </row>
    <row r="53812" spans="17:17" x14ac:dyDescent="0.35">
      <c r="Q53812" s="1"/>
    </row>
    <row r="53815" spans="17:17" x14ac:dyDescent="0.35">
      <c r="Q53815" s="1"/>
    </row>
    <row r="53822" spans="17:17" x14ac:dyDescent="0.35">
      <c r="Q53822" s="1"/>
    </row>
    <row r="53823" spans="17:17" x14ac:dyDescent="0.35">
      <c r="Q53823" s="1"/>
    </row>
    <row r="53827" spans="17:17" x14ac:dyDescent="0.35">
      <c r="Q53827" s="1"/>
    </row>
    <row r="53831" spans="17:17" x14ac:dyDescent="0.35">
      <c r="Q53831" s="1"/>
    </row>
    <row r="53834" spans="17:17" x14ac:dyDescent="0.35">
      <c r="Q53834" s="1"/>
    </row>
    <row r="53836" spans="17:17" x14ac:dyDescent="0.35">
      <c r="Q53836" s="1"/>
    </row>
    <row r="53843" spans="17:17" x14ac:dyDescent="0.35">
      <c r="Q53843" s="1"/>
    </row>
    <row r="53848" spans="17:17" x14ac:dyDescent="0.35">
      <c r="Q53848" s="1"/>
    </row>
    <row r="53859" spans="17:17" x14ac:dyDescent="0.35">
      <c r="Q53859" s="1"/>
    </row>
    <row r="53871" spans="17:17" x14ac:dyDescent="0.35">
      <c r="Q53871" s="1"/>
    </row>
    <row r="53872" spans="17:17" x14ac:dyDescent="0.35">
      <c r="Q53872" s="1"/>
    </row>
    <row r="53888" spans="17:17" x14ac:dyDescent="0.35">
      <c r="Q53888" s="1"/>
    </row>
    <row r="53904" spans="17:17" x14ac:dyDescent="0.35">
      <c r="Q53904" s="1"/>
    </row>
    <row r="53908" spans="17:17" x14ac:dyDescent="0.35">
      <c r="Q53908" s="1"/>
    </row>
    <row r="53922" spans="17:17" x14ac:dyDescent="0.35">
      <c r="Q53922" s="1"/>
    </row>
    <row r="53923" spans="17:17" x14ac:dyDescent="0.35">
      <c r="Q53923" s="1"/>
    </row>
    <row r="53934" spans="17:17" x14ac:dyDescent="0.35">
      <c r="Q53934" s="1"/>
    </row>
    <row r="53935" spans="17:17" x14ac:dyDescent="0.35">
      <c r="Q53935" s="1"/>
    </row>
    <row r="53936" spans="17:17" x14ac:dyDescent="0.35">
      <c r="Q53936" s="1"/>
    </row>
    <row r="53937" spans="17:17" x14ac:dyDescent="0.35">
      <c r="Q53937" s="1"/>
    </row>
    <row r="53939" spans="17:17" x14ac:dyDescent="0.35">
      <c r="Q53939" s="1"/>
    </row>
    <row r="53948" spans="17:17" x14ac:dyDescent="0.35">
      <c r="Q53948" s="1"/>
    </row>
    <row r="53949" spans="17:17" x14ac:dyDescent="0.35">
      <c r="Q53949" s="1"/>
    </row>
    <row r="53954" spans="17:17" x14ac:dyDescent="0.35">
      <c r="Q53954" s="1"/>
    </row>
    <row r="53961" spans="17:17" x14ac:dyDescent="0.35">
      <c r="Q53961" s="1"/>
    </row>
    <row r="53975" spans="17:17" x14ac:dyDescent="0.35">
      <c r="Q53975" s="1"/>
    </row>
    <row r="53978" spans="17:17" x14ac:dyDescent="0.35">
      <c r="Q53978" s="1"/>
    </row>
    <row r="53984" spans="17:17" x14ac:dyDescent="0.35">
      <c r="Q53984" s="1"/>
    </row>
    <row r="53986" spans="17:17" x14ac:dyDescent="0.35">
      <c r="Q53986" s="1"/>
    </row>
    <row r="53990" spans="17:17" x14ac:dyDescent="0.35">
      <c r="Q53990" s="1"/>
    </row>
    <row r="53992" spans="17:17" x14ac:dyDescent="0.35">
      <c r="Q53992" s="1"/>
    </row>
    <row r="53993" spans="17:17" x14ac:dyDescent="0.35">
      <c r="Q53993" s="1"/>
    </row>
    <row r="53995" spans="17:17" x14ac:dyDescent="0.35">
      <c r="Q53995" s="1"/>
    </row>
    <row r="54000" spans="17:17" x14ac:dyDescent="0.35">
      <c r="Q54000" s="1"/>
    </row>
    <row r="54002" spans="17:17" x14ac:dyDescent="0.35">
      <c r="Q54002" s="1"/>
    </row>
    <row r="54019" spans="17:17" x14ac:dyDescent="0.35">
      <c r="Q54019" s="1"/>
    </row>
    <row r="54042" spans="17:17" x14ac:dyDescent="0.35">
      <c r="Q54042" s="1"/>
    </row>
    <row r="54053" spans="17:17" x14ac:dyDescent="0.35">
      <c r="Q54053" s="1"/>
    </row>
    <row r="54081" spans="17:17" x14ac:dyDescent="0.35">
      <c r="Q54081" s="1"/>
    </row>
    <row r="54089" spans="17:17" x14ac:dyDescent="0.35">
      <c r="Q54089" s="1"/>
    </row>
    <row r="54100" spans="17:17" x14ac:dyDescent="0.35">
      <c r="Q54100" s="1"/>
    </row>
    <row r="54150" spans="17:17" x14ac:dyDescent="0.35">
      <c r="Q54150" s="1"/>
    </row>
    <row r="54201" spans="17:17" x14ac:dyDescent="0.35">
      <c r="Q54201" s="1"/>
    </row>
    <row r="54204" spans="17:17" x14ac:dyDescent="0.35">
      <c r="Q54204" s="1"/>
    </row>
    <row r="54233" spans="17:17" x14ac:dyDescent="0.35">
      <c r="Q54233" s="1"/>
    </row>
    <row r="54250" spans="16:16" x14ac:dyDescent="0.35">
      <c r="P54250" s="1"/>
    </row>
    <row r="54300" spans="16:16" x14ac:dyDescent="0.35">
      <c r="P54300" s="1"/>
    </row>
    <row r="54332" spans="16:16" x14ac:dyDescent="0.35">
      <c r="P54332" s="1"/>
    </row>
    <row r="54341" spans="16:17" x14ac:dyDescent="0.35">
      <c r="P54341" s="1"/>
    </row>
    <row r="54352" spans="16:17" x14ac:dyDescent="0.35">
      <c r="Q54352" s="1"/>
    </row>
    <row r="54396" spans="16:16" x14ac:dyDescent="0.35">
      <c r="P54396" s="1"/>
    </row>
    <row r="54440" spans="17:17" x14ac:dyDescent="0.35">
      <c r="Q54440" s="1"/>
    </row>
    <row r="54450" spans="17:17" x14ac:dyDescent="0.35">
      <c r="Q54450" s="1"/>
    </row>
    <row r="54492" spans="17:17" x14ac:dyDescent="0.35">
      <c r="Q54492" s="1"/>
    </row>
    <row r="54534" spans="16:17" x14ac:dyDescent="0.35">
      <c r="Q54534" s="1"/>
    </row>
    <row r="54537" spans="16:17" x14ac:dyDescent="0.35">
      <c r="P54537" s="1"/>
    </row>
    <row r="54549" spans="17:17" x14ac:dyDescent="0.35">
      <c r="Q54549" s="1"/>
    </row>
    <row r="54551" spans="17:17" x14ac:dyDescent="0.35">
      <c r="Q54551" s="1"/>
    </row>
    <row r="54553" spans="17:17" x14ac:dyDescent="0.35">
      <c r="Q54553" s="1"/>
    </row>
    <row r="54577" spans="17:17" x14ac:dyDescent="0.35">
      <c r="Q54577" s="1"/>
    </row>
    <row r="54600" spans="17:17" x14ac:dyDescent="0.35">
      <c r="Q54600" s="1"/>
    </row>
    <row r="54607" spans="17:17" x14ac:dyDescent="0.35">
      <c r="Q54607" s="1"/>
    </row>
    <row r="54690" spans="16:17" x14ac:dyDescent="0.35">
      <c r="P54690" s="1"/>
    </row>
    <row r="54700" spans="16:17" x14ac:dyDescent="0.35">
      <c r="Q54700" s="1"/>
    </row>
    <row r="54701" spans="16:17" x14ac:dyDescent="0.35">
      <c r="Q54701" s="1"/>
    </row>
    <row r="54706" spans="16:16" x14ac:dyDescent="0.35">
      <c r="P54706" s="1"/>
    </row>
    <row r="54728" spans="16:16" x14ac:dyDescent="0.35">
      <c r="P54728" s="1"/>
    </row>
    <row r="54849" spans="16:16" x14ac:dyDescent="0.35">
      <c r="P54849" s="1"/>
    </row>
    <row r="54884" spans="16:16" x14ac:dyDescent="0.35">
      <c r="P54884" s="1"/>
    </row>
    <row r="54891" spans="16:16" x14ac:dyDescent="0.35">
      <c r="P54891" s="1"/>
    </row>
    <row r="54916" spans="16:17" x14ac:dyDescent="0.35">
      <c r="Q54916" s="1"/>
    </row>
    <row r="54926" spans="16:17" x14ac:dyDescent="0.35">
      <c r="P54926" s="1"/>
    </row>
    <row r="54929" spans="17:17" x14ac:dyDescent="0.35">
      <c r="Q54929" s="1"/>
    </row>
    <row r="54951" spans="16:16" x14ac:dyDescent="0.35">
      <c r="P54951" s="1"/>
    </row>
    <row r="54953" spans="16:16" x14ac:dyDescent="0.35">
      <c r="P54953" s="1"/>
    </row>
    <row r="54978" spans="16:16" x14ac:dyDescent="0.35">
      <c r="P54978" s="1"/>
    </row>
    <row r="55002" spans="17:17" x14ac:dyDescent="0.35">
      <c r="Q55002" s="1"/>
    </row>
    <row r="55004" spans="17:17" x14ac:dyDescent="0.35">
      <c r="Q55004" s="1"/>
    </row>
    <row r="55007" spans="17:17" x14ac:dyDescent="0.35">
      <c r="Q55007" s="1"/>
    </row>
    <row r="55011" spans="17:17" x14ac:dyDescent="0.35">
      <c r="Q55011" s="1"/>
    </row>
    <row r="55015" spans="17:17" x14ac:dyDescent="0.35">
      <c r="Q55015" s="1"/>
    </row>
    <row r="55020" spans="17:17" x14ac:dyDescent="0.35">
      <c r="Q55020" s="1"/>
    </row>
    <row r="55027" spans="17:17" x14ac:dyDescent="0.35">
      <c r="Q55027" s="1"/>
    </row>
    <row r="55035" spans="17:17" x14ac:dyDescent="0.35">
      <c r="Q55035" s="1"/>
    </row>
    <row r="55044" spans="17:17" x14ac:dyDescent="0.35">
      <c r="Q55044" s="1"/>
    </row>
    <row r="55047" spans="17:17" x14ac:dyDescent="0.35">
      <c r="Q55047" s="1"/>
    </row>
    <row r="55052" spans="17:17" x14ac:dyDescent="0.35">
      <c r="Q55052" s="1"/>
    </row>
    <row r="55057" spans="17:17" x14ac:dyDescent="0.35">
      <c r="Q55057" s="1"/>
    </row>
    <row r="55058" spans="17:17" x14ac:dyDescent="0.35">
      <c r="Q55058" s="1"/>
    </row>
    <row r="55067" spans="17:17" x14ac:dyDescent="0.35">
      <c r="Q55067" s="1"/>
    </row>
    <row r="55071" spans="17:17" x14ac:dyDescent="0.35">
      <c r="Q55071" s="1"/>
    </row>
    <row r="55072" spans="17:17" x14ac:dyDescent="0.35">
      <c r="Q55072" s="1"/>
    </row>
    <row r="55075" spans="17:17" x14ac:dyDescent="0.35">
      <c r="Q55075" s="1"/>
    </row>
    <row r="55076" spans="17:17" x14ac:dyDescent="0.35">
      <c r="Q55076" s="1"/>
    </row>
    <row r="55084" spans="17:17" x14ac:dyDescent="0.35">
      <c r="Q55084" s="1"/>
    </row>
    <row r="55096" spans="17:17" x14ac:dyDescent="0.35">
      <c r="Q55096" s="1"/>
    </row>
    <row r="55099" spans="17:17" x14ac:dyDescent="0.35">
      <c r="Q55099" s="1"/>
    </row>
    <row r="55103" spans="17:17" x14ac:dyDescent="0.35">
      <c r="Q55103" s="1"/>
    </row>
    <row r="55106" spans="17:17" x14ac:dyDescent="0.35">
      <c r="Q55106" s="1"/>
    </row>
    <row r="55113" spans="17:17" x14ac:dyDescent="0.35">
      <c r="Q55113" s="1"/>
    </row>
    <row r="55115" spans="17:17" x14ac:dyDescent="0.35">
      <c r="Q55115" s="1"/>
    </row>
    <row r="55121" spans="17:17" x14ac:dyDescent="0.35">
      <c r="Q55121" s="1"/>
    </row>
    <row r="55123" spans="17:17" x14ac:dyDescent="0.35">
      <c r="Q55123" s="1"/>
    </row>
    <row r="55128" spans="17:17" x14ac:dyDescent="0.35">
      <c r="Q55128" s="1"/>
    </row>
    <row r="55129" spans="17:17" x14ac:dyDescent="0.35">
      <c r="Q55129" s="1"/>
    </row>
    <row r="55130" spans="17:17" x14ac:dyDescent="0.35">
      <c r="Q55130" s="1"/>
    </row>
    <row r="55139" spans="17:17" x14ac:dyDescent="0.35">
      <c r="Q55139" s="1"/>
    </row>
    <row r="55143" spans="17:17" x14ac:dyDescent="0.35">
      <c r="Q55143" s="1"/>
    </row>
    <row r="55145" spans="17:17" x14ac:dyDescent="0.35">
      <c r="Q55145" s="1"/>
    </row>
    <row r="55147" spans="17:17" x14ac:dyDescent="0.35">
      <c r="Q55147" s="1"/>
    </row>
    <row r="55158" spans="17:17" x14ac:dyDescent="0.35">
      <c r="Q55158" s="1"/>
    </row>
    <row r="55160" spans="17:17" x14ac:dyDescent="0.35">
      <c r="Q55160" s="1"/>
    </row>
    <row r="55169" spans="17:17" x14ac:dyDescent="0.35">
      <c r="Q55169" s="1"/>
    </row>
    <row r="55172" spans="17:17" x14ac:dyDescent="0.35">
      <c r="Q55172" s="1"/>
    </row>
    <row r="55179" spans="17:17" x14ac:dyDescent="0.35">
      <c r="Q55179" s="1"/>
    </row>
    <row r="55180" spans="17:17" x14ac:dyDescent="0.35">
      <c r="Q55180" s="1"/>
    </row>
    <row r="55183" spans="17:17" x14ac:dyDescent="0.35">
      <c r="Q55183" s="1"/>
    </row>
    <row r="55184" spans="17:17" x14ac:dyDescent="0.35">
      <c r="Q55184" s="1"/>
    </row>
    <row r="55185" spans="17:17" x14ac:dyDescent="0.35">
      <c r="Q55185" s="1"/>
    </row>
    <row r="55194" spans="17:17" x14ac:dyDescent="0.35">
      <c r="Q55194" s="1"/>
    </row>
    <row r="55199" spans="17:17" x14ac:dyDescent="0.35">
      <c r="Q55199" s="1"/>
    </row>
    <row r="55200" spans="17:17" x14ac:dyDescent="0.35">
      <c r="Q55200" s="1"/>
    </row>
    <row r="55202" spans="17:17" x14ac:dyDescent="0.35">
      <c r="Q55202" s="1"/>
    </row>
    <row r="55211" spans="17:17" x14ac:dyDescent="0.35">
      <c r="Q55211" s="1"/>
    </row>
    <row r="55212" spans="17:17" x14ac:dyDescent="0.35">
      <c r="Q55212" s="1"/>
    </row>
    <row r="55213" spans="17:17" x14ac:dyDescent="0.35">
      <c r="Q55213" s="1"/>
    </row>
    <row r="55222" spans="17:17" x14ac:dyDescent="0.35">
      <c r="Q55222" s="1"/>
    </row>
    <row r="55225" spans="17:17" x14ac:dyDescent="0.35">
      <c r="Q55225" s="1"/>
    </row>
    <row r="55226" spans="17:17" x14ac:dyDescent="0.35">
      <c r="Q55226" s="1"/>
    </row>
    <row r="55228" spans="17:17" x14ac:dyDescent="0.35">
      <c r="Q55228" s="1"/>
    </row>
    <row r="55233" spans="17:17" x14ac:dyDescent="0.35">
      <c r="Q55233" s="1"/>
    </row>
    <row r="55236" spans="17:17" x14ac:dyDescent="0.35">
      <c r="Q55236" s="1"/>
    </row>
    <row r="55238" spans="17:17" x14ac:dyDescent="0.35">
      <c r="Q55238" s="1"/>
    </row>
    <row r="55241" spans="17:17" x14ac:dyDescent="0.35">
      <c r="Q55241" s="1"/>
    </row>
    <row r="55244" spans="17:17" x14ac:dyDescent="0.35">
      <c r="Q55244" s="1"/>
    </row>
    <row r="55247" spans="17:17" x14ac:dyDescent="0.35">
      <c r="Q55247" s="1"/>
    </row>
    <row r="55258" spans="17:17" x14ac:dyDescent="0.35">
      <c r="Q55258" s="1"/>
    </row>
    <row r="55259" spans="17:17" x14ac:dyDescent="0.35">
      <c r="Q55259" s="1"/>
    </row>
    <row r="55262" spans="17:17" x14ac:dyDescent="0.35">
      <c r="Q55262" s="1"/>
    </row>
    <row r="55264" spans="17:17" x14ac:dyDescent="0.35">
      <c r="Q55264" s="1"/>
    </row>
    <row r="55266" spans="17:17" x14ac:dyDescent="0.35">
      <c r="Q55266" s="1"/>
    </row>
    <row r="55268" spans="17:17" x14ac:dyDescent="0.35">
      <c r="Q55268" s="1"/>
    </row>
    <row r="55269" spans="17:17" x14ac:dyDescent="0.35">
      <c r="Q55269" s="1"/>
    </row>
    <row r="55275" spans="17:17" x14ac:dyDescent="0.35">
      <c r="Q55275" s="1"/>
    </row>
    <row r="55277" spans="17:17" x14ac:dyDescent="0.35">
      <c r="Q55277" s="1"/>
    </row>
    <row r="55286" spans="17:17" x14ac:dyDescent="0.35">
      <c r="Q55286" s="1"/>
    </row>
    <row r="55289" spans="17:17" x14ac:dyDescent="0.35">
      <c r="Q55289" s="1"/>
    </row>
    <row r="55293" spans="17:17" x14ac:dyDescent="0.35">
      <c r="Q55293" s="1"/>
    </row>
    <row r="55299" spans="17:17" x14ac:dyDescent="0.35">
      <c r="Q55299" s="1"/>
    </row>
    <row r="55301" spans="17:17" x14ac:dyDescent="0.35">
      <c r="Q55301" s="1"/>
    </row>
    <row r="55303" spans="17:17" x14ac:dyDescent="0.35">
      <c r="Q55303" s="1"/>
    </row>
    <row r="55305" spans="17:17" x14ac:dyDescent="0.35">
      <c r="Q55305" s="1"/>
    </row>
    <row r="55308" spans="17:17" x14ac:dyDescent="0.35">
      <c r="Q55308" s="1"/>
    </row>
    <row r="55309" spans="17:17" x14ac:dyDescent="0.35">
      <c r="Q55309" s="1"/>
    </row>
    <row r="55312" spans="17:17" x14ac:dyDescent="0.35">
      <c r="Q55312" s="1"/>
    </row>
    <row r="55316" spans="17:17" x14ac:dyDescent="0.35">
      <c r="Q55316" s="1"/>
    </row>
    <row r="55327" spans="17:17" x14ac:dyDescent="0.35">
      <c r="Q55327" s="1"/>
    </row>
    <row r="55329" spans="17:17" x14ac:dyDescent="0.35">
      <c r="Q55329" s="1"/>
    </row>
    <row r="55333" spans="17:17" x14ac:dyDescent="0.35">
      <c r="Q55333" s="1"/>
    </row>
    <row r="55341" spans="17:17" x14ac:dyDescent="0.35">
      <c r="Q55341" s="1"/>
    </row>
    <row r="55342" spans="17:17" x14ac:dyDescent="0.35">
      <c r="Q55342" s="1"/>
    </row>
    <row r="55346" spans="17:17" x14ac:dyDescent="0.35">
      <c r="Q55346" s="1"/>
    </row>
    <row r="55350" spans="17:17" x14ac:dyDescent="0.35">
      <c r="Q55350" s="1"/>
    </row>
    <row r="55356" spans="17:17" x14ac:dyDescent="0.35">
      <c r="Q55356" s="1"/>
    </row>
    <row r="55360" spans="17:17" x14ac:dyDescent="0.35">
      <c r="Q55360" s="1"/>
    </row>
    <row r="55362" spans="17:17" x14ac:dyDescent="0.35">
      <c r="Q55362" s="1"/>
    </row>
    <row r="55367" spans="17:17" x14ac:dyDescent="0.35">
      <c r="Q55367" s="1"/>
    </row>
    <row r="55368" spans="17:17" x14ac:dyDescent="0.35">
      <c r="Q55368" s="1"/>
    </row>
    <row r="55372" spans="17:17" x14ac:dyDescent="0.35">
      <c r="Q55372" s="1"/>
    </row>
    <row r="55373" spans="17:17" x14ac:dyDescent="0.35">
      <c r="Q55373" s="1"/>
    </row>
    <row r="55377" spans="17:17" x14ac:dyDescent="0.35">
      <c r="Q55377" s="1"/>
    </row>
    <row r="55381" spans="17:17" x14ac:dyDescent="0.35">
      <c r="Q55381" s="1"/>
    </row>
    <row r="55383" spans="17:17" x14ac:dyDescent="0.35">
      <c r="Q55383" s="1"/>
    </row>
    <row r="55387" spans="17:17" x14ac:dyDescent="0.35">
      <c r="Q55387" s="1"/>
    </row>
    <row r="55398" spans="17:17" x14ac:dyDescent="0.35">
      <c r="Q55398" s="1"/>
    </row>
    <row r="55399" spans="17:17" x14ac:dyDescent="0.35">
      <c r="Q55399" s="1"/>
    </row>
    <row r="55402" spans="17:17" x14ac:dyDescent="0.35">
      <c r="Q55402" s="1"/>
    </row>
    <row r="55403" spans="17:17" x14ac:dyDescent="0.35">
      <c r="Q55403" s="1"/>
    </row>
    <row r="55406" spans="17:17" x14ac:dyDescent="0.35">
      <c r="Q55406" s="1"/>
    </row>
    <row r="55415" spans="17:17" x14ac:dyDescent="0.35">
      <c r="Q55415" s="1"/>
    </row>
    <row r="55416" spans="17:17" x14ac:dyDescent="0.35">
      <c r="Q55416" s="1"/>
    </row>
    <row r="55417" spans="17:17" x14ac:dyDescent="0.35">
      <c r="Q55417" s="1"/>
    </row>
    <row r="55420" spans="17:17" x14ac:dyDescent="0.35">
      <c r="Q55420" s="1"/>
    </row>
    <row r="55421" spans="17:17" x14ac:dyDescent="0.35">
      <c r="Q55421" s="1"/>
    </row>
    <row r="55422" spans="17:17" x14ac:dyDescent="0.35">
      <c r="Q55422" s="1"/>
    </row>
    <row r="55427" spans="17:17" x14ac:dyDescent="0.35">
      <c r="Q55427" s="1"/>
    </row>
    <row r="55431" spans="17:17" x14ac:dyDescent="0.35">
      <c r="Q55431" s="1"/>
    </row>
    <row r="55433" spans="17:17" x14ac:dyDescent="0.35">
      <c r="Q55433" s="1"/>
    </row>
    <row r="55435" spans="17:17" x14ac:dyDescent="0.35">
      <c r="Q55435" s="1"/>
    </row>
    <row r="55436" spans="17:17" x14ac:dyDescent="0.35">
      <c r="Q55436" s="1"/>
    </row>
    <row r="55437" spans="17:17" x14ac:dyDescent="0.35">
      <c r="Q55437" s="1"/>
    </row>
    <row r="55438" spans="17:17" x14ac:dyDescent="0.35">
      <c r="Q55438" s="1"/>
    </row>
    <row r="55443" spans="17:17" x14ac:dyDescent="0.35">
      <c r="Q55443" s="1"/>
    </row>
    <row r="55444" spans="17:17" x14ac:dyDescent="0.35">
      <c r="Q55444" s="1"/>
    </row>
    <row r="55449" spans="17:17" x14ac:dyDescent="0.35">
      <c r="Q55449" s="1"/>
    </row>
    <row r="55477" spans="17:17" x14ac:dyDescent="0.35">
      <c r="Q55477" s="1"/>
    </row>
    <row r="55482" spans="17:17" x14ac:dyDescent="0.35">
      <c r="Q55482" s="1"/>
    </row>
    <row r="55485" spans="17:17" x14ac:dyDescent="0.35">
      <c r="Q55485" s="1"/>
    </row>
    <row r="55486" spans="17:17" x14ac:dyDescent="0.35">
      <c r="Q55486" s="1"/>
    </row>
    <row r="55488" spans="17:17" x14ac:dyDescent="0.35">
      <c r="Q55488" s="1"/>
    </row>
    <row r="55490" spans="17:17" x14ac:dyDescent="0.35">
      <c r="Q55490" s="1"/>
    </row>
    <row r="55491" spans="17:17" x14ac:dyDescent="0.35">
      <c r="Q55491" s="1"/>
    </row>
    <row r="55492" spans="17:17" x14ac:dyDescent="0.35">
      <c r="Q55492" s="1"/>
    </row>
    <row r="55493" spans="17:17" x14ac:dyDescent="0.35">
      <c r="Q55493" s="1"/>
    </row>
    <row r="55495" spans="17:17" x14ac:dyDescent="0.35">
      <c r="Q55495" s="1"/>
    </row>
    <row r="55498" spans="17:17" x14ac:dyDescent="0.35">
      <c r="Q55498" s="1"/>
    </row>
    <row r="55503" spans="17:17" x14ac:dyDescent="0.35">
      <c r="Q55503" s="1"/>
    </row>
    <row r="55507" spans="17:17" x14ac:dyDescent="0.35">
      <c r="Q55507" s="1"/>
    </row>
    <row r="55508" spans="17:17" x14ac:dyDescent="0.35">
      <c r="Q55508" s="1"/>
    </row>
    <row r="55509" spans="17:17" x14ac:dyDescent="0.35">
      <c r="Q55509" s="1"/>
    </row>
    <row r="55511" spans="17:17" x14ac:dyDescent="0.35">
      <c r="Q55511" s="1"/>
    </row>
    <row r="55516" spans="17:17" x14ac:dyDescent="0.35">
      <c r="Q55516" s="1"/>
    </row>
    <row r="55520" spans="17:17" x14ac:dyDescent="0.35">
      <c r="Q55520" s="1"/>
    </row>
    <row r="55521" spans="17:17" x14ac:dyDescent="0.35">
      <c r="Q55521" s="1"/>
    </row>
    <row r="55522" spans="17:17" x14ac:dyDescent="0.35">
      <c r="Q55522" s="1"/>
    </row>
    <row r="55523" spans="17:17" x14ac:dyDescent="0.35">
      <c r="Q55523" s="1"/>
    </row>
    <row r="55524" spans="17:17" x14ac:dyDescent="0.35">
      <c r="Q55524" s="1"/>
    </row>
    <row r="55527" spans="17:17" x14ac:dyDescent="0.35">
      <c r="Q55527" s="1"/>
    </row>
    <row r="55530" spans="17:17" x14ac:dyDescent="0.35">
      <c r="Q55530" s="1"/>
    </row>
    <row r="55532" spans="17:17" x14ac:dyDescent="0.35">
      <c r="Q55532" s="1"/>
    </row>
    <row r="55533" spans="17:17" x14ac:dyDescent="0.35">
      <c r="Q55533" s="1"/>
    </row>
    <row r="55537" spans="17:17" x14ac:dyDescent="0.35">
      <c r="Q55537" s="1"/>
    </row>
    <row r="55541" spans="17:17" x14ac:dyDescent="0.35">
      <c r="Q55541" s="1"/>
    </row>
    <row r="55543" spans="17:17" x14ac:dyDescent="0.35">
      <c r="Q55543" s="1"/>
    </row>
    <row r="55545" spans="17:17" x14ac:dyDescent="0.35">
      <c r="Q55545" s="1"/>
    </row>
    <row r="55550" spans="17:17" x14ac:dyDescent="0.35">
      <c r="Q55550" s="1"/>
    </row>
    <row r="55551" spans="17:17" x14ac:dyDescent="0.35">
      <c r="Q55551" s="1"/>
    </row>
    <row r="55554" spans="17:17" x14ac:dyDescent="0.35">
      <c r="Q55554" s="1"/>
    </row>
    <row r="55557" spans="17:17" x14ac:dyDescent="0.35">
      <c r="Q55557" s="1"/>
    </row>
    <row r="55562" spans="17:17" x14ac:dyDescent="0.35">
      <c r="Q55562" s="1"/>
    </row>
    <row r="55563" spans="17:17" x14ac:dyDescent="0.35">
      <c r="Q55563" s="1"/>
    </row>
    <row r="55566" spans="17:17" x14ac:dyDescent="0.35">
      <c r="Q55566" s="1"/>
    </row>
    <row r="55569" spans="17:17" x14ac:dyDescent="0.35">
      <c r="Q55569" s="1"/>
    </row>
    <row r="55570" spans="17:17" x14ac:dyDescent="0.35">
      <c r="Q55570" s="1"/>
    </row>
    <row r="55571" spans="17:17" x14ac:dyDescent="0.35">
      <c r="Q55571" s="1"/>
    </row>
    <row r="55573" spans="17:17" x14ac:dyDescent="0.35">
      <c r="Q55573" s="1"/>
    </row>
    <row r="55574" spans="17:17" x14ac:dyDescent="0.35">
      <c r="Q55574" s="1"/>
    </row>
    <row r="55575" spans="17:17" x14ac:dyDescent="0.35">
      <c r="Q55575" s="1"/>
    </row>
    <row r="55582" spans="17:17" x14ac:dyDescent="0.35">
      <c r="Q55582" s="1"/>
    </row>
    <row r="55584" spans="17:17" x14ac:dyDescent="0.35">
      <c r="Q55584" s="1"/>
    </row>
    <row r="55586" spans="17:17" x14ac:dyDescent="0.35">
      <c r="Q55586" s="1"/>
    </row>
    <row r="55587" spans="17:17" x14ac:dyDescent="0.35">
      <c r="Q55587" s="1"/>
    </row>
    <row r="55590" spans="17:17" x14ac:dyDescent="0.35">
      <c r="Q55590" s="1"/>
    </row>
    <row r="55591" spans="17:17" x14ac:dyDescent="0.35">
      <c r="Q55591" s="1"/>
    </row>
    <row r="55592" spans="17:17" x14ac:dyDescent="0.35">
      <c r="Q55592" s="1"/>
    </row>
    <row r="55594" spans="17:17" x14ac:dyDescent="0.35">
      <c r="Q55594" s="1"/>
    </row>
    <row r="55595" spans="17:17" x14ac:dyDescent="0.35">
      <c r="Q55595" s="1"/>
    </row>
    <row r="55596" spans="17:17" x14ac:dyDescent="0.35">
      <c r="Q55596" s="1"/>
    </row>
    <row r="55598" spans="17:17" x14ac:dyDescent="0.35">
      <c r="Q55598" s="1"/>
    </row>
    <row r="55604" spans="17:17" x14ac:dyDescent="0.35">
      <c r="Q55604" s="1"/>
    </row>
    <row r="55608" spans="17:17" x14ac:dyDescent="0.35">
      <c r="Q55608" s="1"/>
    </row>
    <row r="55611" spans="17:17" x14ac:dyDescent="0.35">
      <c r="Q55611" s="1"/>
    </row>
    <row r="55612" spans="17:17" x14ac:dyDescent="0.35">
      <c r="Q55612" s="1"/>
    </row>
    <row r="55614" spans="17:17" x14ac:dyDescent="0.35">
      <c r="Q55614" s="1"/>
    </row>
    <row r="55624" spans="17:17" x14ac:dyDescent="0.35">
      <c r="Q55624" s="1"/>
    </row>
    <row r="55625" spans="17:17" x14ac:dyDescent="0.35">
      <c r="Q55625" s="1"/>
    </row>
    <row r="55626" spans="17:17" x14ac:dyDescent="0.35">
      <c r="Q55626" s="1"/>
    </row>
    <row r="55634" spans="17:17" x14ac:dyDescent="0.35">
      <c r="Q55634" s="1"/>
    </row>
    <row r="55636" spans="17:17" x14ac:dyDescent="0.35">
      <c r="Q55636" s="1"/>
    </row>
    <row r="55638" spans="17:17" x14ac:dyDescent="0.35">
      <c r="Q55638" s="1"/>
    </row>
    <row r="55644" spans="17:17" x14ac:dyDescent="0.35">
      <c r="Q55644" s="1"/>
    </row>
    <row r="55646" spans="17:17" x14ac:dyDescent="0.35">
      <c r="Q55646" s="1"/>
    </row>
    <row r="55648" spans="17:17" x14ac:dyDescent="0.35">
      <c r="Q55648" s="1"/>
    </row>
    <row r="55649" spans="17:17" x14ac:dyDescent="0.35">
      <c r="Q55649" s="1"/>
    </row>
    <row r="55655" spans="17:17" x14ac:dyDescent="0.35">
      <c r="Q55655" s="1"/>
    </row>
    <row r="55660" spans="17:17" x14ac:dyDescent="0.35">
      <c r="Q55660" s="1"/>
    </row>
    <row r="55676" spans="17:17" x14ac:dyDescent="0.35">
      <c r="Q55676" s="1"/>
    </row>
    <row r="55686" spans="17:17" x14ac:dyDescent="0.35">
      <c r="Q55686" s="1"/>
    </row>
    <row r="55689" spans="17:17" x14ac:dyDescent="0.35">
      <c r="Q55689" s="1"/>
    </row>
    <row r="55691" spans="17:17" x14ac:dyDescent="0.35">
      <c r="Q55691" s="1"/>
    </row>
    <row r="55692" spans="17:17" x14ac:dyDescent="0.35">
      <c r="Q55692" s="1"/>
    </row>
    <row r="55708" spans="17:17" x14ac:dyDescent="0.35">
      <c r="Q55708" s="1"/>
    </row>
    <row r="55711" spans="17:17" x14ac:dyDescent="0.35">
      <c r="Q55711" s="1"/>
    </row>
    <row r="55713" spans="17:17" x14ac:dyDescent="0.35">
      <c r="Q55713" s="1"/>
    </row>
    <row r="55716" spans="17:17" x14ac:dyDescent="0.35">
      <c r="Q55716" s="1"/>
    </row>
    <row r="55725" spans="17:17" x14ac:dyDescent="0.35">
      <c r="Q55725" s="1"/>
    </row>
    <row r="55730" spans="17:17" x14ac:dyDescent="0.35">
      <c r="Q55730" s="1"/>
    </row>
    <row r="55738" spans="17:17" x14ac:dyDescent="0.35">
      <c r="Q55738" s="1"/>
    </row>
    <row r="55743" spans="17:17" x14ac:dyDescent="0.35">
      <c r="Q55743" s="1"/>
    </row>
    <row r="55746" spans="17:17" x14ac:dyDescent="0.35">
      <c r="Q55746" s="1"/>
    </row>
    <row r="55747" spans="17:17" x14ac:dyDescent="0.35">
      <c r="Q55747" s="1"/>
    </row>
    <row r="55753" spans="17:17" x14ac:dyDescent="0.35">
      <c r="Q55753" s="1"/>
    </row>
    <row r="55761" spans="17:17" x14ac:dyDescent="0.35">
      <c r="Q55761" s="1"/>
    </row>
    <row r="55767" spans="17:17" x14ac:dyDescent="0.35">
      <c r="Q55767" s="1"/>
    </row>
    <row r="55770" spans="17:17" x14ac:dyDescent="0.35">
      <c r="Q55770" s="1"/>
    </row>
    <row r="55771" spans="17:17" x14ac:dyDescent="0.35">
      <c r="Q55771" s="1"/>
    </row>
    <row r="55773" spans="17:17" x14ac:dyDescent="0.35">
      <c r="Q55773" s="1"/>
    </row>
    <row r="55774" spans="17:17" x14ac:dyDescent="0.35">
      <c r="Q55774" s="1"/>
    </row>
    <row r="55775" spans="17:17" x14ac:dyDescent="0.35">
      <c r="Q55775" s="1"/>
    </row>
    <row r="55782" spans="17:17" x14ac:dyDescent="0.35">
      <c r="Q55782" s="1"/>
    </row>
    <row r="55785" spans="17:17" x14ac:dyDescent="0.35">
      <c r="Q55785" s="1"/>
    </row>
    <row r="55791" spans="17:17" x14ac:dyDescent="0.35">
      <c r="Q55791" s="1"/>
    </row>
    <row r="55792" spans="17:17" x14ac:dyDescent="0.35">
      <c r="Q55792" s="1"/>
    </row>
    <row r="55795" spans="17:17" x14ac:dyDescent="0.35">
      <c r="Q55795" s="1"/>
    </row>
    <row r="55800" spans="17:17" x14ac:dyDescent="0.35">
      <c r="Q55800" s="1"/>
    </row>
    <row r="55806" spans="17:17" x14ac:dyDescent="0.35">
      <c r="Q55806" s="1"/>
    </row>
    <row r="55807" spans="17:17" x14ac:dyDescent="0.35">
      <c r="Q55807" s="1"/>
    </row>
    <row r="55810" spans="17:17" x14ac:dyDescent="0.35">
      <c r="Q55810" s="1"/>
    </row>
    <row r="55812" spans="17:17" x14ac:dyDescent="0.35">
      <c r="Q55812" s="1"/>
    </row>
    <row r="55813" spans="17:17" x14ac:dyDescent="0.35">
      <c r="Q55813" s="1"/>
    </row>
    <row r="55814" spans="17:17" x14ac:dyDescent="0.35">
      <c r="Q55814" s="1"/>
    </row>
    <row r="55815" spans="17:17" x14ac:dyDescent="0.35">
      <c r="Q55815" s="1"/>
    </row>
    <row r="55816" spans="17:17" x14ac:dyDescent="0.35">
      <c r="Q55816" s="1"/>
    </row>
    <row r="55822" spans="17:17" x14ac:dyDescent="0.35">
      <c r="Q55822" s="1"/>
    </row>
    <row r="55827" spans="17:17" x14ac:dyDescent="0.35">
      <c r="Q55827" s="1"/>
    </row>
    <row r="55829" spans="17:17" x14ac:dyDescent="0.35">
      <c r="Q55829" s="1"/>
    </row>
    <row r="55830" spans="17:17" x14ac:dyDescent="0.35">
      <c r="Q55830" s="1"/>
    </row>
    <row r="55831" spans="17:17" x14ac:dyDescent="0.35">
      <c r="Q55831" s="1"/>
    </row>
    <row r="55841" spans="17:17" x14ac:dyDescent="0.35">
      <c r="Q55841" s="1"/>
    </row>
    <row r="55844" spans="17:17" x14ac:dyDescent="0.35">
      <c r="Q55844" s="1"/>
    </row>
    <row r="55856" spans="17:17" x14ac:dyDescent="0.35">
      <c r="Q55856" s="1"/>
    </row>
    <row r="55859" spans="17:17" x14ac:dyDescent="0.35">
      <c r="Q55859" s="1"/>
    </row>
    <row r="55864" spans="17:17" x14ac:dyDescent="0.35">
      <c r="Q55864" s="1"/>
    </row>
    <row r="55866" spans="17:17" x14ac:dyDescent="0.35">
      <c r="Q55866" s="1"/>
    </row>
    <row r="55874" spans="17:17" x14ac:dyDescent="0.35">
      <c r="Q55874" s="1"/>
    </row>
    <row r="55879" spans="17:17" x14ac:dyDescent="0.35">
      <c r="Q55879" s="1"/>
    </row>
    <row r="55882" spans="17:17" x14ac:dyDescent="0.35">
      <c r="Q55882" s="1"/>
    </row>
    <row r="55885" spans="17:17" x14ac:dyDescent="0.35">
      <c r="Q55885" s="1"/>
    </row>
    <row r="55889" spans="17:17" x14ac:dyDescent="0.35">
      <c r="Q55889" s="1"/>
    </row>
    <row r="55890" spans="17:17" x14ac:dyDescent="0.35">
      <c r="Q55890" s="1"/>
    </row>
    <row r="55899" spans="17:17" x14ac:dyDescent="0.35">
      <c r="Q55899" s="1"/>
    </row>
    <row r="55907" spans="5:17" x14ac:dyDescent="0.35">
      <c r="Q55907" s="1"/>
    </row>
    <row r="55908" spans="5:17" x14ac:dyDescent="0.35">
      <c r="Q55908" s="1"/>
    </row>
    <row r="55914" spans="5:17" x14ac:dyDescent="0.35">
      <c r="Q55914" s="1"/>
    </row>
    <row r="55916" spans="5:17" x14ac:dyDescent="0.35">
      <c r="E55916" s="2"/>
    </row>
    <row r="55920" spans="5:17" x14ac:dyDescent="0.35">
      <c r="Q55920" s="1"/>
    </row>
    <row r="55924" spans="17:17" x14ac:dyDescent="0.35">
      <c r="Q55924" s="1"/>
    </row>
    <row r="55926" spans="17:17" x14ac:dyDescent="0.35">
      <c r="Q55926" s="1"/>
    </row>
    <row r="55927" spans="17:17" x14ac:dyDescent="0.35">
      <c r="Q55927" s="1"/>
    </row>
    <row r="55930" spans="17:17" x14ac:dyDescent="0.35">
      <c r="Q55930" s="1"/>
    </row>
    <row r="55935" spans="17:17" x14ac:dyDescent="0.35">
      <c r="Q55935" s="1"/>
    </row>
    <row r="55939" spans="17:17" x14ac:dyDescent="0.35">
      <c r="Q55939" s="1"/>
    </row>
    <row r="55941" spans="17:17" x14ac:dyDescent="0.35">
      <c r="Q55941" s="1"/>
    </row>
    <row r="55944" spans="17:17" x14ac:dyDescent="0.35">
      <c r="Q55944" s="1"/>
    </row>
    <row r="55945" spans="17:17" x14ac:dyDescent="0.35">
      <c r="Q55945" s="1"/>
    </row>
    <row r="55954" spans="17:17" x14ac:dyDescent="0.35">
      <c r="Q55954" s="1"/>
    </row>
    <row r="55962" spans="17:17" x14ac:dyDescent="0.35">
      <c r="Q55962" s="1"/>
    </row>
    <row r="55968" spans="17:17" x14ac:dyDescent="0.35">
      <c r="Q55968" s="1"/>
    </row>
    <row r="55969" spans="17:17" x14ac:dyDescent="0.35">
      <c r="Q55969" s="1"/>
    </row>
    <row r="55979" spans="17:17" x14ac:dyDescent="0.35">
      <c r="Q55979" s="1"/>
    </row>
    <row r="55983" spans="17:17" x14ac:dyDescent="0.35">
      <c r="Q55983" s="1"/>
    </row>
    <row r="55988" spans="17:17" x14ac:dyDescent="0.35">
      <c r="Q55988" s="1"/>
    </row>
    <row r="55993" spans="17:17" x14ac:dyDescent="0.35">
      <c r="Q55993" s="1"/>
    </row>
    <row r="55995" spans="17:17" x14ac:dyDescent="0.35">
      <c r="Q55995" s="1"/>
    </row>
    <row r="56002" spans="17:17" x14ac:dyDescent="0.35">
      <c r="Q56002" s="1"/>
    </row>
    <row r="56004" spans="17:17" x14ac:dyDescent="0.35">
      <c r="Q56004" s="1"/>
    </row>
    <row r="56006" spans="17:17" x14ac:dyDescent="0.35">
      <c r="Q56006" s="1"/>
    </row>
    <row r="56009" spans="17:17" x14ac:dyDescent="0.35">
      <c r="Q56009" s="1"/>
    </row>
    <row r="56011" spans="17:17" x14ac:dyDescent="0.35">
      <c r="Q56011" s="1"/>
    </row>
    <row r="56016" spans="17:17" x14ac:dyDescent="0.35">
      <c r="Q56016" s="1"/>
    </row>
    <row r="56017" spans="17:17" x14ac:dyDescent="0.35">
      <c r="Q56017" s="1"/>
    </row>
    <row r="56018" spans="17:17" x14ac:dyDescent="0.35">
      <c r="Q56018" s="1"/>
    </row>
    <row r="56020" spans="17:17" x14ac:dyDescent="0.35">
      <c r="Q56020" s="1"/>
    </row>
    <row r="56021" spans="17:17" x14ac:dyDescent="0.35">
      <c r="Q56021" s="1"/>
    </row>
    <row r="56030" spans="17:17" x14ac:dyDescent="0.35">
      <c r="Q56030" s="1"/>
    </row>
    <row r="56033" spans="17:17" x14ac:dyDescent="0.35">
      <c r="Q56033" s="1"/>
    </row>
    <row r="56034" spans="17:17" x14ac:dyDescent="0.35">
      <c r="Q56034" s="1"/>
    </row>
    <row r="56040" spans="17:17" x14ac:dyDescent="0.35">
      <c r="Q56040" s="1"/>
    </row>
    <row r="56041" spans="17:17" x14ac:dyDescent="0.35">
      <c r="Q56041" s="1"/>
    </row>
    <row r="56044" spans="17:17" x14ac:dyDescent="0.35">
      <c r="Q56044" s="1"/>
    </row>
    <row r="56047" spans="17:17" x14ac:dyDescent="0.35">
      <c r="Q56047" s="1"/>
    </row>
    <row r="56048" spans="17:17" x14ac:dyDescent="0.35">
      <c r="Q56048" s="1"/>
    </row>
    <row r="56049" spans="16:17" x14ac:dyDescent="0.35">
      <c r="Q56049" s="1"/>
    </row>
    <row r="56050" spans="16:17" x14ac:dyDescent="0.35">
      <c r="Q56050" s="1"/>
    </row>
    <row r="56053" spans="16:17" x14ac:dyDescent="0.35">
      <c r="P56053" s="1"/>
    </row>
    <row r="56067" spans="17:17" x14ac:dyDescent="0.35">
      <c r="Q56067" s="1"/>
    </row>
    <row r="56068" spans="17:17" x14ac:dyDescent="0.35">
      <c r="Q56068" s="1"/>
    </row>
    <row r="56073" spans="17:17" x14ac:dyDescent="0.35">
      <c r="Q56073" s="1"/>
    </row>
    <row r="56074" spans="17:17" x14ac:dyDescent="0.35">
      <c r="Q56074" s="1"/>
    </row>
    <row r="56078" spans="17:17" x14ac:dyDescent="0.35">
      <c r="Q56078" s="1"/>
    </row>
    <row r="56079" spans="17:17" x14ac:dyDescent="0.35">
      <c r="Q56079" s="1"/>
    </row>
    <row r="56080" spans="17:17" x14ac:dyDescent="0.35">
      <c r="Q56080" s="1"/>
    </row>
    <row r="56081" spans="17:17" x14ac:dyDescent="0.35">
      <c r="Q56081" s="1"/>
    </row>
    <row r="56082" spans="17:17" x14ac:dyDescent="0.35">
      <c r="Q56082" s="1"/>
    </row>
    <row r="56083" spans="17:17" x14ac:dyDescent="0.35">
      <c r="Q56083" s="1"/>
    </row>
    <row r="56085" spans="17:17" x14ac:dyDescent="0.35">
      <c r="Q56085" s="1"/>
    </row>
    <row r="56086" spans="17:17" x14ac:dyDescent="0.35">
      <c r="Q56086" s="1"/>
    </row>
    <row r="56087" spans="17:17" x14ac:dyDescent="0.35">
      <c r="Q56087" s="1"/>
    </row>
    <row r="56089" spans="17:17" x14ac:dyDescent="0.35">
      <c r="Q56089" s="1"/>
    </row>
    <row r="56091" spans="17:17" x14ac:dyDescent="0.35">
      <c r="Q56091" s="1"/>
    </row>
    <row r="56094" spans="17:17" x14ac:dyDescent="0.35">
      <c r="Q56094" s="1"/>
    </row>
    <row r="56097" spans="17:17" x14ac:dyDescent="0.35">
      <c r="Q56097" s="1"/>
    </row>
    <row r="56100" spans="17:17" x14ac:dyDescent="0.35">
      <c r="Q56100" s="1"/>
    </row>
    <row r="56103" spans="17:17" x14ac:dyDescent="0.35">
      <c r="Q56103" s="1"/>
    </row>
    <row r="56104" spans="17:17" x14ac:dyDescent="0.35">
      <c r="Q56104" s="1"/>
    </row>
    <row r="56114" spans="17:17" x14ac:dyDescent="0.35">
      <c r="Q56114" s="1"/>
    </row>
    <row r="56116" spans="17:17" x14ac:dyDescent="0.35">
      <c r="Q56116" s="1"/>
    </row>
    <row r="56122" spans="17:17" x14ac:dyDescent="0.35">
      <c r="Q56122" s="1"/>
    </row>
    <row r="56124" spans="17:17" x14ac:dyDescent="0.35">
      <c r="Q56124" s="1"/>
    </row>
    <row r="56126" spans="17:17" x14ac:dyDescent="0.35">
      <c r="Q56126" s="1"/>
    </row>
    <row r="56127" spans="17:17" x14ac:dyDescent="0.35">
      <c r="Q56127" s="1"/>
    </row>
    <row r="56131" spans="17:17" x14ac:dyDescent="0.35">
      <c r="Q56131" s="1"/>
    </row>
    <row r="56132" spans="17:17" x14ac:dyDescent="0.35">
      <c r="Q56132" s="1"/>
    </row>
    <row r="56133" spans="17:17" x14ac:dyDescent="0.35">
      <c r="Q56133" s="1"/>
    </row>
    <row r="56136" spans="17:17" x14ac:dyDescent="0.35">
      <c r="Q56136" s="1"/>
    </row>
    <row r="56141" spans="17:17" x14ac:dyDescent="0.35">
      <c r="Q56141" s="1"/>
    </row>
    <row r="56143" spans="17:17" x14ac:dyDescent="0.35">
      <c r="Q56143" s="1"/>
    </row>
    <row r="56144" spans="17:17" x14ac:dyDescent="0.35">
      <c r="Q56144" s="1"/>
    </row>
    <row r="56146" spans="17:17" x14ac:dyDescent="0.35">
      <c r="Q56146" s="1"/>
    </row>
    <row r="56147" spans="17:17" x14ac:dyDescent="0.35">
      <c r="Q56147" s="1"/>
    </row>
    <row r="56148" spans="17:17" x14ac:dyDescent="0.35">
      <c r="Q56148" s="1"/>
    </row>
    <row r="56151" spans="17:17" x14ac:dyDescent="0.35">
      <c r="Q56151" s="1"/>
    </row>
    <row r="56160" spans="17:17" x14ac:dyDescent="0.35">
      <c r="Q56160" s="1"/>
    </row>
    <row r="56162" spans="17:17" x14ac:dyDescent="0.35">
      <c r="Q56162" s="1"/>
    </row>
    <row r="56173" spans="17:17" x14ac:dyDescent="0.35">
      <c r="Q56173" s="1"/>
    </row>
    <row r="56177" spans="17:17" x14ac:dyDescent="0.35">
      <c r="Q56177" s="1"/>
    </row>
    <row r="56187" spans="17:17" x14ac:dyDescent="0.35">
      <c r="Q56187" s="1"/>
    </row>
    <row r="56192" spans="17:17" x14ac:dyDescent="0.35">
      <c r="Q56192" s="1"/>
    </row>
    <row r="56193" spans="17:17" x14ac:dyDescent="0.35">
      <c r="Q56193" s="1"/>
    </row>
    <row r="56195" spans="17:17" x14ac:dyDescent="0.35">
      <c r="Q56195" s="1"/>
    </row>
    <row r="56198" spans="17:17" x14ac:dyDescent="0.35">
      <c r="Q56198" s="1"/>
    </row>
    <row r="56205" spans="17:17" x14ac:dyDescent="0.35">
      <c r="Q56205" s="1"/>
    </row>
    <row r="56207" spans="17:17" x14ac:dyDescent="0.35">
      <c r="Q56207" s="1"/>
    </row>
    <row r="56215" spans="17:17" x14ac:dyDescent="0.35">
      <c r="Q56215" s="1"/>
    </row>
    <row r="56217" spans="17:17" x14ac:dyDescent="0.35">
      <c r="Q56217" s="1"/>
    </row>
    <row r="56224" spans="17:17" x14ac:dyDescent="0.35">
      <c r="Q56224" s="1"/>
    </row>
    <row r="56227" spans="17:17" x14ac:dyDescent="0.35">
      <c r="Q56227" s="1"/>
    </row>
    <row r="56230" spans="17:17" x14ac:dyDescent="0.35">
      <c r="Q56230" s="1"/>
    </row>
    <row r="56233" spans="17:17" x14ac:dyDescent="0.35">
      <c r="Q56233" s="1"/>
    </row>
    <row r="56239" spans="17:17" x14ac:dyDescent="0.35">
      <c r="Q56239" s="1"/>
    </row>
    <row r="56245" spans="16:17" x14ac:dyDescent="0.35">
      <c r="P56245" s="1"/>
    </row>
    <row r="56246" spans="16:17" x14ac:dyDescent="0.35">
      <c r="Q56246" s="1"/>
    </row>
    <row r="56248" spans="16:17" x14ac:dyDescent="0.35">
      <c r="Q56248" s="1"/>
    </row>
    <row r="56250" spans="16:17" x14ac:dyDescent="0.35">
      <c r="Q56250" s="1"/>
    </row>
    <row r="56252" spans="16:17" x14ac:dyDescent="0.35">
      <c r="Q56252" s="1"/>
    </row>
    <row r="56254" spans="16:17" x14ac:dyDescent="0.35">
      <c r="Q56254" s="1"/>
    </row>
    <row r="56264" spans="16:17" x14ac:dyDescent="0.35">
      <c r="P56264" s="1"/>
    </row>
    <row r="56267" spans="16:17" x14ac:dyDescent="0.35">
      <c r="Q56267" s="1"/>
    </row>
    <row r="56274" spans="17:17" x14ac:dyDescent="0.35">
      <c r="Q56274" s="1"/>
    </row>
    <row r="56278" spans="17:17" x14ac:dyDescent="0.35">
      <c r="Q56278" s="1"/>
    </row>
    <row r="56279" spans="17:17" x14ac:dyDescent="0.35">
      <c r="Q56279" s="1"/>
    </row>
    <row r="56282" spans="17:17" x14ac:dyDescent="0.35">
      <c r="Q56282" s="1"/>
    </row>
    <row r="56283" spans="17:17" x14ac:dyDescent="0.35">
      <c r="Q56283" s="1"/>
    </row>
    <row r="56284" spans="17:17" x14ac:dyDescent="0.35">
      <c r="Q56284" s="1"/>
    </row>
    <row r="56286" spans="17:17" x14ac:dyDescent="0.35">
      <c r="Q56286" s="1"/>
    </row>
    <row r="56292" spans="17:17" x14ac:dyDescent="0.35">
      <c r="Q56292" s="1"/>
    </row>
    <row r="56304" spans="17:17" x14ac:dyDescent="0.35">
      <c r="Q56304" s="1"/>
    </row>
    <row r="56308" spans="17:17" x14ac:dyDescent="0.35">
      <c r="Q56308" s="1"/>
    </row>
    <row r="56310" spans="17:17" x14ac:dyDescent="0.35">
      <c r="Q56310" s="1"/>
    </row>
    <row r="56327" spans="17:17" x14ac:dyDescent="0.35">
      <c r="Q56327" s="1"/>
    </row>
    <row r="56337" spans="17:17" x14ac:dyDescent="0.35">
      <c r="Q56337" s="1"/>
    </row>
    <row r="56342" spans="17:17" x14ac:dyDescent="0.35">
      <c r="Q56342" s="1"/>
    </row>
    <row r="56354" spans="17:17" x14ac:dyDescent="0.35">
      <c r="Q56354" s="1"/>
    </row>
    <row r="56365" spans="17:17" x14ac:dyDescent="0.35">
      <c r="Q56365" s="1"/>
    </row>
    <row r="56376" spans="17:17" x14ac:dyDescent="0.35">
      <c r="Q56376" s="1"/>
    </row>
    <row r="56381" spans="17:17" x14ac:dyDescent="0.35">
      <c r="Q56381" s="1"/>
    </row>
    <row r="56387" spans="17:17" x14ac:dyDescent="0.35">
      <c r="Q56387" s="1"/>
    </row>
    <row r="56399" spans="17:17" x14ac:dyDescent="0.35">
      <c r="Q56399" s="1"/>
    </row>
    <row r="56401" spans="17:17" x14ac:dyDescent="0.35">
      <c r="Q56401" s="1"/>
    </row>
    <row r="56408" spans="17:17" x14ac:dyDescent="0.35">
      <c r="Q56408" s="1"/>
    </row>
    <row r="56420" spans="17:17" x14ac:dyDescent="0.35">
      <c r="Q56420" s="1"/>
    </row>
    <row r="56421" spans="17:17" x14ac:dyDescent="0.35">
      <c r="Q56421" s="1"/>
    </row>
    <row r="56422" spans="17:17" x14ac:dyDescent="0.35">
      <c r="Q56422" s="1"/>
    </row>
    <row r="56443" spans="17:17" x14ac:dyDescent="0.35">
      <c r="Q56443" s="1"/>
    </row>
    <row r="56444" spans="17:17" x14ac:dyDescent="0.35">
      <c r="Q56444" s="1"/>
    </row>
    <row r="56453" spans="17:17" x14ac:dyDescent="0.35">
      <c r="Q56453" s="1"/>
    </row>
    <row r="56457" spans="17:17" x14ac:dyDescent="0.35">
      <c r="Q56457" s="1"/>
    </row>
    <row r="56471" spans="17:17" x14ac:dyDescent="0.35">
      <c r="Q56471" s="1"/>
    </row>
    <row r="56473" spans="17:17" x14ac:dyDescent="0.35">
      <c r="Q56473" s="1"/>
    </row>
    <row r="56474" spans="17:17" x14ac:dyDescent="0.35">
      <c r="Q56474" s="1"/>
    </row>
    <row r="56475" spans="17:17" x14ac:dyDescent="0.35">
      <c r="Q56475" s="1"/>
    </row>
    <row r="56478" spans="17:17" x14ac:dyDescent="0.35">
      <c r="Q56478" s="1"/>
    </row>
    <row r="56480" spans="17:17" x14ac:dyDescent="0.35">
      <c r="Q56480" s="1"/>
    </row>
    <row r="56492" spans="16:16" x14ac:dyDescent="0.35">
      <c r="P56492" s="1"/>
    </row>
    <row r="56494" spans="16:16" x14ac:dyDescent="0.35">
      <c r="P56494" s="1"/>
    </row>
    <row r="56498" spans="16:17" x14ac:dyDescent="0.35">
      <c r="P56498" s="1"/>
    </row>
    <row r="56500" spans="16:17" x14ac:dyDescent="0.35">
      <c r="P56500" s="1"/>
    </row>
    <row r="56503" spans="16:17" x14ac:dyDescent="0.35">
      <c r="Q56503" s="1"/>
    </row>
    <row r="56504" spans="16:17" x14ac:dyDescent="0.35">
      <c r="Q56504" s="1"/>
    </row>
    <row r="56517" spans="17:17" x14ac:dyDescent="0.35">
      <c r="Q56517" s="1"/>
    </row>
    <row r="56521" spans="17:17" x14ac:dyDescent="0.35">
      <c r="Q56521" s="1"/>
    </row>
    <row r="56522" spans="17:17" x14ac:dyDescent="0.35">
      <c r="Q56522" s="1"/>
    </row>
    <row r="56525" spans="17:17" x14ac:dyDescent="0.35">
      <c r="Q56525" s="1"/>
    </row>
    <row r="56527" spans="17:17" x14ac:dyDescent="0.35">
      <c r="Q56527" s="1"/>
    </row>
    <row r="56530" spans="17:17" x14ac:dyDescent="0.35">
      <c r="Q56530" s="1"/>
    </row>
    <row r="56534" spans="17:17" x14ac:dyDescent="0.35">
      <c r="Q56534" s="1"/>
    </row>
    <row r="56539" spans="17:17" x14ac:dyDescent="0.35">
      <c r="Q56539" s="1"/>
    </row>
    <row r="56543" spans="17:17" x14ac:dyDescent="0.35">
      <c r="Q56543" s="1"/>
    </row>
    <row r="56548" spans="17:17" x14ac:dyDescent="0.35">
      <c r="Q56548" s="1"/>
    </row>
    <row r="56552" spans="17:17" x14ac:dyDescent="0.35">
      <c r="Q56552" s="1"/>
    </row>
    <row r="56555" spans="17:17" x14ac:dyDescent="0.35">
      <c r="Q56555" s="1"/>
    </row>
    <row r="56557" spans="17:17" x14ac:dyDescent="0.35">
      <c r="Q56557" s="1"/>
    </row>
    <row r="56561" spans="17:17" x14ac:dyDescent="0.35">
      <c r="Q56561" s="1"/>
    </row>
    <row r="56562" spans="17:17" x14ac:dyDescent="0.35">
      <c r="Q56562" s="1"/>
    </row>
    <row r="56564" spans="17:17" x14ac:dyDescent="0.35">
      <c r="Q56564" s="1"/>
    </row>
    <row r="56566" spans="17:17" x14ac:dyDescent="0.35">
      <c r="Q56566" s="1"/>
    </row>
    <row r="56587" spans="17:17" x14ac:dyDescent="0.35">
      <c r="Q56587" s="1"/>
    </row>
    <row r="56597" spans="17:17" x14ac:dyDescent="0.35">
      <c r="Q56597" s="1"/>
    </row>
    <row r="56600" spans="17:17" x14ac:dyDescent="0.35">
      <c r="Q56600" s="1"/>
    </row>
    <row r="56605" spans="17:17" x14ac:dyDescent="0.35">
      <c r="Q56605" s="1"/>
    </row>
    <row r="56609" spans="17:17" x14ac:dyDescent="0.35">
      <c r="Q56609" s="1"/>
    </row>
    <row r="56614" spans="17:17" x14ac:dyDescent="0.35">
      <c r="Q56614" s="1"/>
    </row>
    <row r="56623" spans="17:17" x14ac:dyDescent="0.35">
      <c r="Q56623" s="1"/>
    </row>
    <row r="56625" spans="17:17" x14ac:dyDescent="0.35">
      <c r="Q56625" s="1"/>
    </row>
    <row r="56626" spans="17:17" x14ac:dyDescent="0.35">
      <c r="Q56626" s="1"/>
    </row>
    <row r="56632" spans="17:17" x14ac:dyDescent="0.35">
      <c r="Q56632" s="1"/>
    </row>
    <row r="56633" spans="17:17" x14ac:dyDescent="0.35">
      <c r="Q56633" s="1"/>
    </row>
    <row r="56635" spans="17:17" x14ac:dyDescent="0.35">
      <c r="Q56635" s="1"/>
    </row>
    <row r="56653" spans="17:17" x14ac:dyDescent="0.35">
      <c r="Q56653" s="1"/>
    </row>
    <row r="56655" spans="17:17" x14ac:dyDescent="0.35">
      <c r="Q56655" s="1"/>
    </row>
    <row r="56658" spans="17:17" x14ac:dyDescent="0.35">
      <c r="Q56658" s="1"/>
    </row>
    <row r="56665" spans="17:17" x14ac:dyDescent="0.35">
      <c r="Q56665" s="1"/>
    </row>
    <row r="56681" spans="17:17" x14ac:dyDescent="0.35">
      <c r="Q56681" s="1"/>
    </row>
    <row r="56685" spans="17:17" x14ac:dyDescent="0.35">
      <c r="Q56685" s="1"/>
    </row>
    <row r="56687" spans="17:17" x14ac:dyDescent="0.35">
      <c r="Q56687" s="1"/>
    </row>
    <row r="56692" spans="17:17" x14ac:dyDescent="0.35">
      <c r="Q56692" s="1"/>
    </row>
    <row r="56693" spans="17:17" x14ac:dyDescent="0.35">
      <c r="Q56693" s="1"/>
    </row>
    <row r="56695" spans="17:17" x14ac:dyDescent="0.35">
      <c r="Q56695" s="1"/>
    </row>
    <row r="56699" spans="17:17" x14ac:dyDescent="0.35">
      <c r="Q56699" s="1"/>
    </row>
    <row r="56700" spans="17:17" x14ac:dyDescent="0.35">
      <c r="Q56700" s="1"/>
    </row>
    <row r="56701" spans="17:17" x14ac:dyDescent="0.35">
      <c r="Q56701" s="1"/>
    </row>
    <row r="56703" spans="17:17" x14ac:dyDescent="0.35">
      <c r="Q56703" s="1"/>
    </row>
    <row r="56705" spans="17:17" x14ac:dyDescent="0.35">
      <c r="Q56705" s="1"/>
    </row>
    <row r="56709" spans="17:17" x14ac:dyDescent="0.35">
      <c r="Q56709" s="1"/>
    </row>
    <row r="56713" spans="17:17" x14ac:dyDescent="0.35">
      <c r="Q56713" s="1"/>
    </row>
    <row r="56715" spans="17:17" x14ac:dyDescent="0.35">
      <c r="Q56715" s="1"/>
    </row>
    <row r="56719" spans="17:17" x14ac:dyDescent="0.35">
      <c r="Q56719" s="1"/>
    </row>
    <row r="56726" spans="17:17" x14ac:dyDescent="0.35">
      <c r="Q56726" s="1"/>
    </row>
    <row r="56743" spans="17:17" x14ac:dyDescent="0.35">
      <c r="Q56743" s="1"/>
    </row>
    <row r="56749" spans="17:17" x14ac:dyDescent="0.35">
      <c r="Q56749" s="1"/>
    </row>
    <row r="56755" spans="17:17" x14ac:dyDescent="0.35">
      <c r="Q56755" s="1"/>
    </row>
    <row r="56760" spans="17:17" x14ac:dyDescent="0.35">
      <c r="Q56760" s="1"/>
    </row>
    <row r="56766" spans="17:17" x14ac:dyDescent="0.35">
      <c r="Q56766" s="1"/>
    </row>
    <row r="56767" spans="17:17" x14ac:dyDescent="0.35">
      <c r="Q56767" s="1"/>
    </row>
    <row r="56768" spans="17:17" x14ac:dyDescent="0.35">
      <c r="Q56768" s="1"/>
    </row>
    <row r="56781" spans="17:17" x14ac:dyDescent="0.35">
      <c r="Q56781" s="1"/>
    </row>
    <row r="56783" spans="17:17" x14ac:dyDescent="0.35">
      <c r="Q56783" s="1"/>
    </row>
    <row r="56784" spans="17:17" x14ac:dyDescent="0.35">
      <c r="Q56784" s="1"/>
    </row>
    <row r="56785" spans="17:17" x14ac:dyDescent="0.35">
      <c r="Q56785" s="1"/>
    </row>
    <row r="56791" spans="17:17" x14ac:dyDescent="0.35">
      <c r="Q56791" s="1"/>
    </row>
    <row r="56792" spans="17:17" x14ac:dyDescent="0.35">
      <c r="Q56792" s="1"/>
    </row>
    <row r="56794" spans="17:17" x14ac:dyDescent="0.35">
      <c r="Q56794" s="1"/>
    </row>
    <row r="56795" spans="17:17" x14ac:dyDescent="0.35">
      <c r="Q56795" s="1"/>
    </row>
    <row r="56801" spans="17:17" x14ac:dyDescent="0.35">
      <c r="Q56801" s="1"/>
    </row>
    <row r="56802" spans="17:17" x14ac:dyDescent="0.35">
      <c r="Q56802" s="1"/>
    </row>
    <row r="56803" spans="17:17" x14ac:dyDescent="0.35">
      <c r="Q56803" s="1"/>
    </row>
    <row r="56804" spans="17:17" x14ac:dyDescent="0.35">
      <c r="Q56804" s="1"/>
    </row>
    <row r="56807" spans="17:17" x14ac:dyDescent="0.35">
      <c r="Q56807" s="1"/>
    </row>
    <row r="56812" spans="17:17" x14ac:dyDescent="0.35">
      <c r="Q56812" s="1"/>
    </row>
    <row r="56814" spans="17:17" x14ac:dyDescent="0.35">
      <c r="Q56814" s="1"/>
    </row>
    <row r="56820" spans="17:17" x14ac:dyDescent="0.35">
      <c r="Q56820" s="1"/>
    </row>
    <row r="56825" spans="17:17" x14ac:dyDescent="0.35">
      <c r="Q56825" s="1"/>
    </row>
    <row r="56834" spans="17:17" x14ac:dyDescent="0.35">
      <c r="Q56834" s="1"/>
    </row>
    <row r="56840" spans="17:17" x14ac:dyDescent="0.35">
      <c r="Q56840" s="1"/>
    </row>
    <row r="56844" spans="17:17" x14ac:dyDescent="0.35">
      <c r="Q56844" s="1"/>
    </row>
    <row r="56854" spans="17:17" x14ac:dyDescent="0.35">
      <c r="Q56854" s="1"/>
    </row>
    <row r="56857" spans="17:17" x14ac:dyDescent="0.35">
      <c r="Q56857" s="1"/>
    </row>
    <row r="56859" spans="17:17" x14ac:dyDescent="0.35">
      <c r="Q56859" s="1"/>
    </row>
    <row r="56860" spans="17:17" x14ac:dyDescent="0.35">
      <c r="Q56860" s="1"/>
    </row>
    <row r="56862" spans="17:17" x14ac:dyDescent="0.35">
      <c r="Q56862" s="1"/>
    </row>
    <row r="56863" spans="17:17" x14ac:dyDescent="0.35">
      <c r="Q56863" s="1"/>
    </row>
    <row r="56864" spans="17:17" x14ac:dyDescent="0.35">
      <c r="Q56864" s="1"/>
    </row>
    <row r="56865" spans="17:17" x14ac:dyDescent="0.35">
      <c r="Q56865" s="1"/>
    </row>
    <row r="56872" spans="17:17" x14ac:dyDescent="0.35">
      <c r="Q56872" s="1"/>
    </row>
    <row r="56875" spans="17:17" x14ac:dyDescent="0.35">
      <c r="Q56875" s="1"/>
    </row>
    <row r="56876" spans="17:17" x14ac:dyDescent="0.35">
      <c r="Q56876" s="1"/>
    </row>
    <row r="56879" spans="17:17" x14ac:dyDescent="0.35">
      <c r="Q56879" s="1"/>
    </row>
    <row r="56882" spans="17:17" x14ac:dyDescent="0.35">
      <c r="Q56882" s="1"/>
    </row>
    <row r="56889" spans="17:17" x14ac:dyDescent="0.35">
      <c r="Q56889" s="1"/>
    </row>
    <row r="56893" spans="17:17" x14ac:dyDescent="0.35">
      <c r="Q56893" s="1"/>
    </row>
    <row r="56895" spans="17:17" x14ac:dyDescent="0.35">
      <c r="Q56895" s="1"/>
    </row>
    <row r="56896" spans="17:17" x14ac:dyDescent="0.35">
      <c r="Q56896" s="1"/>
    </row>
    <row r="56901" spans="17:17" x14ac:dyDescent="0.35">
      <c r="Q56901" s="1"/>
    </row>
    <row r="56903" spans="17:17" x14ac:dyDescent="0.35">
      <c r="Q56903" s="1"/>
    </row>
    <row r="56904" spans="17:17" x14ac:dyDescent="0.35">
      <c r="Q56904" s="1"/>
    </row>
    <row r="56907" spans="17:17" x14ac:dyDescent="0.35">
      <c r="Q56907" s="1"/>
    </row>
    <row r="56909" spans="17:17" x14ac:dyDescent="0.35">
      <c r="Q56909" s="1"/>
    </row>
    <row r="56911" spans="17:17" x14ac:dyDescent="0.35">
      <c r="Q56911" s="1"/>
    </row>
    <row r="56914" spans="17:17" x14ac:dyDescent="0.35">
      <c r="Q56914" s="1"/>
    </row>
    <row r="56915" spans="17:17" x14ac:dyDescent="0.35">
      <c r="Q56915" s="1"/>
    </row>
    <row r="56916" spans="17:17" x14ac:dyDescent="0.35">
      <c r="Q56916" s="1"/>
    </row>
    <row r="56926" spans="17:17" x14ac:dyDescent="0.35">
      <c r="Q56926" s="1"/>
    </row>
    <row r="56927" spans="17:17" x14ac:dyDescent="0.35">
      <c r="Q56927" s="1"/>
    </row>
    <row r="56937" spans="17:17" x14ac:dyDescent="0.35">
      <c r="Q56937" s="1"/>
    </row>
    <row r="56938" spans="17:17" x14ac:dyDescent="0.35">
      <c r="Q56938" s="1"/>
    </row>
    <row r="56940" spans="17:17" x14ac:dyDescent="0.35">
      <c r="Q56940" s="1"/>
    </row>
    <row r="56941" spans="17:17" x14ac:dyDescent="0.35">
      <c r="Q56941" s="1"/>
    </row>
    <row r="56942" spans="17:17" x14ac:dyDescent="0.35">
      <c r="Q56942" s="1"/>
    </row>
    <row r="56947" spans="17:17" x14ac:dyDescent="0.35">
      <c r="Q56947" s="1"/>
    </row>
    <row r="56948" spans="17:17" x14ac:dyDescent="0.35">
      <c r="Q56948" s="1"/>
    </row>
    <row r="56954" spans="17:17" x14ac:dyDescent="0.35">
      <c r="Q56954" s="1"/>
    </row>
    <row r="56955" spans="17:17" x14ac:dyDescent="0.35">
      <c r="Q56955" s="1"/>
    </row>
    <row r="56956" spans="17:17" x14ac:dyDescent="0.35">
      <c r="Q56956" s="1"/>
    </row>
    <row r="56958" spans="17:17" x14ac:dyDescent="0.35">
      <c r="Q56958" s="1"/>
    </row>
    <row r="56960" spans="17:17" x14ac:dyDescent="0.35">
      <c r="Q56960" s="1"/>
    </row>
    <row r="56961" spans="17:17" x14ac:dyDescent="0.35">
      <c r="Q56961" s="1"/>
    </row>
    <row r="56965" spans="17:17" x14ac:dyDescent="0.35">
      <c r="Q56965" s="1"/>
    </row>
    <row r="56979" spans="17:17" x14ac:dyDescent="0.35">
      <c r="Q56979" s="1"/>
    </row>
    <row r="56985" spans="17:17" x14ac:dyDescent="0.35">
      <c r="Q56985" s="1"/>
    </row>
    <row r="56988" spans="17:17" x14ac:dyDescent="0.35">
      <c r="Q56988" s="1"/>
    </row>
    <row r="56989" spans="17:17" x14ac:dyDescent="0.35">
      <c r="Q56989" s="1"/>
    </row>
    <row r="56992" spans="17:17" x14ac:dyDescent="0.35">
      <c r="Q56992" s="1"/>
    </row>
    <row r="56999" spans="17:17" x14ac:dyDescent="0.35">
      <c r="Q56999" s="1"/>
    </row>
    <row r="57000" spans="17:17" x14ac:dyDescent="0.35">
      <c r="Q57000" s="1"/>
    </row>
    <row r="57001" spans="17:17" x14ac:dyDescent="0.35">
      <c r="Q57001" s="1"/>
    </row>
    <row r="57002" spans="17:17" x14ac:dyDescent="0.35">
      <c r="Q57002" s="1"/>
    </row>
    <row r="57004" spans="17:17" x14ac:dyDescent="0.35">
      <c r="Q57004" s="1"/>
    </row>
    <row r="57010" spans="17:17" x14ac:dyDescent="0.35">
      <c r="Q57010" s="1"/>
    </row>
    <row r="57012" spans="17:17" x14ac:dyDescent="0.35">
      <c r="Q57012" s="1"/>
    </row>
    <row r="57015" spans="17:17" x14ac:dyDescent="0.35">
      <c r="Q57015" s="1"/>
    </row>
    <row r="57016" spans="17:17" x14ac:dyDescent="0.35">
      <c r="Q57016" s="1"/>
    </row>
    <row r="57018" spans="17:17" x14ac:dyDescent="0.35">
      <c r="Q57018" s="1"/>
    </row>
    <row r="57019" spans="17:17" x14ac:dyDescent="0.35">
      <c r="Q57019" s="1"/>
    </row>
    <row r="57020" spans="17:17" x14ac:dyDescent="0.35">
      <c r="Q57020" s="1"/>
    </row>
    <row r="57021" spans="17:17" x14ac:dyDescent="0.35">
      <c r="Q57021" s="1"/>
    </row>
    <row r="57023" spans="17:17" x14ac:dyDescent="0.35">
      <c r="Q57023" s="1"/>
    </row>
    <row r="57028" spans="17:17" x14ac:dyDescent="0.35">
      <c r="Q57028" s="1"/>
    </row>
    <row r="57031" spans="17:17" x14ac:dyDescent="0.35">
      <c r="Q57031" s="1"/>
    </row>
    <row r="57044" spans="16:17" x14ac:dyDescent="0.35">
      <c r="Q57044" s="1"/>
    </row>
    <row r="57049" spans="16:17" x14ac:dyDescent="0.35">
      <c r="Q57049" s="1"/>
    </row>
    <row r="57050" spans="16:17" x14ac:dyDescent="0.35">
      <c r="Q57050" s="1"/>
    </row>
    <row r="57053" spans="16:17" x14ac:dyDescent="0.35">
      <c r="Q57053" s="1"/>
    </row>
    <row r="57054" spans="16:17" x14ac:dyDescent="0.35">
      <c r="Q57054" s="1"/>
    </row>
    <row r="57056" spans="16:17" x14ac:dyDescent="0.35">
      <c r="P57056" s="1"/>
    </row>
    <row r="57060" spans="17:17" x14ac:dyDescent="0.35">
      <c r="Q57060" s="1"/>
    </row>
    <row r="57074" spans="17:17" x14ac:dyDescent="0.35">
      <c r="Q57074" s="1"/>
    </row>
    <row r="57075" spans="17:17" x14ac:dyDescent="0.35">
      <c r="Q57075" s="1"/>
    </row>
    <row r="57076" spans="17:17" x14ac:dyDescent="0.35">
      <c r="Q57076" s="1"/>
    </row>
    <row r="57077" spans="17:17" x14ac:dyDescent="0.35">
      <c r="Q57077" s="1"/>
    </row>
    <row r="57080" spans="17:17" x14ac:dyDescent="0.35">
      <c r="Q57080" s="1"/>
    </row>
    <row r="57083" spans="17:17" x14ac:dyDescent="0.35">
      <c r="Q57083" s="1"/>
    </row>
    <row r="57087" spans="17:17" x14ac:dyDescent="0.35">
      <c r="Q57087" s="1"/>
    </row>
    <row r="57089" spans="17:17" x14ac:dyDescent="0.35">
      <c r="Q57089" s="1"/>
    </row>
    <row r="57091" spans="17:17" x14ac:dyDescent="0.35">
      <c r="Q57091" s="1"/>
    </row>
    <row r="57094" spans="17:17" x14ac:dyDescent="0.35">
      <c r="Q57094" s="1"/>
    </row>
    <row r="57096" spans="17:17" x14ac:dyDescent="0.35">
      <c r="Q57096" s="1"/>
    </row>
    <row r="57099" spans="17:17" x14ac:dyDescent="0.35">
      <c r="Q57099" s="1"/>
    </row>
    <row r="57100" spans="17:17" x14ac:dyDescent="0.35">
      <c r="Q57100" s="1"/>
    </row>
    <row r="57105" spans="17:17" x14ac:dyDescent="0.35">
      <c r="Q57105" s="1"/>
    </row>
    <row r="57116" spans="17:17" x14ac:dyDescent="0.35">
      <c r="Q57116" s="1"/>
    </row>
    <row r="57117" spans="17:17" x14ac:dyDescent="0.35">
      <c r="Q57117" s="1"/>
    </row>
    <row r="57121" spans="17:17" x14ac:dyDescent="0.35">
      <c r="Q57121" s="1"/>
    </row>
    <row r="57122" spans="17:17" x14ac:dyDescent="0.35">
      <c r="Q57122" s="1"/>
    </row>
    <row r="57124" spans="17:17" x14ac:dyDescent="0.35">
      <c r="Q57124" s="1"/>
    </row>
    <row r="57127" spans="17:17" x14ac:dyDescent="0.35">
      <c r="Q57127" s="1"/>
    </row>
    <row r="57128" spans="17:17" x14ac:dyDescent="0.35">
      <c r="Q57128" s="1"/>
    </row>
    <row r="57129" spans="17:17" x14ac:dyDescent="0.35">
      <c r="Q57129" s="1"/>
    </row>
    <row r="57130" spans="17:17" x14ac:dyDescent="0.35">
      <c r="Q57130" s="1"/>
    </row>
    <row r="57131" spans="17:17" x14ac:dyDescent="0.35">
      <c r="Q57131" s="1"/>
    </row>
    <row r="57132" spans="17:17" x14ac:dyDescent="0.35">
      <c r="Q57132" s="1"/>
    </row>
    <row r="57133" spans="17:17" x14ac:dyDescent="0.35">
      <c r="Q57133" s="1"/>
    </row>
    <row r="57134" spans="17:17" x14ac:dyDescent="0.35">
      <c r="Q57134" s="1"/>
    </row>
    <row r="57135" spans="17:17" x14ac:dyDescent="0.35">
      <c r="Q57135" s="1"/>
    </row>
    <row r="57136" spans="17:17" x14ac:dyDescent="0.35">
      <c r="Q57136" s="1"/>
    </row>
    <row r="57137" spans="17:17" x14ac:dyDescent="0.35">
      <c r="Q57137" s="1"/>
    </row>
    <row r="57140" spans="17:17" x14ac:dyDescent="0.35">
      <c r="Q57140" s="1"/>
    </row>
    <row r="57147" spans="17:17" x14ac:dyDescent="0.35">
      <c r="Q57147" s="1"/>
    </row>
    <row r="57151" spans="17:17" x14ac:dyDescent="0.35">
      <c r="Q57151" s="1"/>
    </row>
    <row r="57153" spans="17:17" x14ac:dyDescent="0.35">
      <c r="Q57153" s="1"/>
    </row>
    <row r="57158" spans="17:17" x14ac:dyDescent="0.35">
      <c r="Q57158" s="1"/>
    </row>
    <row r="57159" spans="17:17" x14ac:dyDescent="0.35">
      <c r="Q57159" s="1"/>
    </row>
    <row r="57169" spans="17:17" x14ac:dyDescent="0.35">
      <c r="Q57169" s="1"/>
    </row>
    <row r="57171" spans="17:17" x14ac:dyDescent="0.35">
      <c r="Q57171" s="1"/>
    </row>
    <row r="57177" spans="17:17" x14ac:dyDescent="0.35">
      <c r="Q57177" s="1"/>
    </row>
    <row r="57180" spans="17:17" x14ac:dyDescent="0.35">
      <c r="Q57180" s="1"/>
    </row>
    <row r="57181" spans="17:17" x14ac:dyDescent="0.35">
      <c r="Q57181" s="1"/>
    </row>
    <row r="57186" spans="17:17" x14ac:dyDescent="0.35">
      <c r="Q57186" s="1"/>
    </row>
    <row r="57187" spans="17:17" x14ac:dyDescent="0.35">
      <c r="Q57187" s="1"/>
    </row>
    <row r="57189" spans="17:17" x14ac:dyDescent="0.35">
      <c r="Q57189" s="1"/>
    </row>
    <row r="57193" spans="17:17" x14ac:dyDescent="0.35">
      <c r="Q57193" s="1"/>
    </row>
    <row r="57197" spans="17:17" x14ac:dyDescent="0.35">
      <c r="Q57197" s="1"/>
    </row>
    <row r="57198" spans="17:17" x14ac:dyDescent="0.35">
      <c r="Q57198" s="1"/>
    </row>
    <row r="57202" spans="17:17" x14ac:dyDescent="0.35">
      <c r="Q57202" s="1"/>
    </row>
    <row r="57209" spans="17:17" x14ac:dyDescent="0.35">
      <c r="Q57209" s="1"/>
    </row>
    <row r="57210" spans="17:17" x14ac:dyDescent="0.35">
      <c r="Q57210" s="1"/>
    </row>
    <row r="57211" spans="17:17" x14ac:dyDescent="0.35">
      <c r="Q57211" s="1"/>
    </row>
    <row r="57216" spans="17:17" x14ac:dyDescent="0.35">
      <c r="Q57216" s="1"/>
    </row>
    <row r="57217" spans="17:17" x14ac:dyDescent="0.35">
      <c r="Q57217" s="1"/>
    </row>
    <row r="57218" spans="17:17" x14ac:dyDescent="0.35">
      <c r="Q57218" s="1"/>
    </row>
    <row r="57219" spans="17:17" x14ac:dyDescent="0.35">
      <c r="Q57219" s="1"/>
    </row>
    <row r="57221" spans="17:17" x14ac:dyDescent="0.35">
      <c r="Q57221" s="1"/>
    </row>
    <row r="57223" spans="17:17" x14ac:dyDescent="0.35">
      <c r="Q57223" s="1"/>
    </row>
    <row r="57255" spans="17:17" x14ac:dyDescent="0.35">
      <c r="Q57255" s="1"/>
    </row>
    <row r="57298" spans="17:17" x14ac:dyDescent="0.35">
      <c r="Q57298" s="1"/>
    </row>
    <row r="57301" spans="17:17" x14ac:dyDescent="0.35">
      <c r="Q57301" s="1"/>
    </row>
    <row r="57308" spans="17:17" x14ac:dyDescent="0.35">
      <c r="Q57308" s="1"/>
    </row>
    <row r="57310" spans="17:17" x14ac:dyDescent="0.35">
      <c r="Q57310" s="1"/>
    </row>
    <row r="57328" spans="17:17" x14ac:dyDescent="0.35">
      <c r="Q57328" s="1"/>
    </row>
    <row r="57330" spans="17:17" x14ac:dyDescent="0.35">
      <c r="Q57330" s="1"/>
    </row>
    <row r="57335" spans="17:17" x14ac:dyDescent="0.35">
      <c r="Q57335" s="1"/>
    </row>
    <row r="57341" spans="17:17" x14ac:dyDescent="0.35">
      <c r="Q57341" s="1"/>
    </row>
    <row r="57343" spans="17:17" x14ac:dyDescent="0.35">
      <c r="Q57343" s="1"/>
    </row>
    <row r="57347" spans="16:17" x14ac:dyDescent="0.35">
      <c r="Q57347" s="1"/>
    </row>
    <row r="57348" spans="16:17" x14ac:dyDescent="0.35">
      <c r="Q57348" s="1"/>
    </row>
    <row r="57351" spans="16:17" x14ac:dyDescent="0.35">
      <c r="Q57351" s="1"/>
    </row>
    <row r="57352" spans="16:17" x14ac:dyDescent="0.35">
      <c r="P57352" s="1"/>
      <c r="Q57352" s="1"/>
    </row>
    <row r="57367" spans="17:17" x14ac:dyDescent="0.35">
      <c r="Q57367" s="1"/>
    </row>
    <row r="57371" spans="17:17" x14ac:dyDescent="0.35">
      <c r="Q57371" s="1"/>
    </row>
    <row r="57376" spans="17:17" x14ac:dyDescent="0.35">
      <c r="Q57376" s="1"/>
    </row>
    <row r="57380" spans="16:17" x14ac:dyDescent="0.35">
      <c r="Q57380" s="1"/>
    </row>
    <row r="57382" spans="16:17" x14ac:dyDescent="0.35">
      <c r="Q57382" s="1"/>
    </row>
    <row r="57384" spans="16:17" x14ac:dyDescent="0.35">
      <c r="Q57384" s="1"/>
    </row>
    <row r="57385" spans="16:17" x14ac:dyDescent="0.35">
      <c r="P57385" s="1"/>
    </row>
    <row r="57387" spans="16:17" x14ac:dyDescent="0.35">
      <c r="Q57387" s="1"/>
    </row>
    <row r="57388" spans="16:17" x14ac:dyDescent="0.35">
      <c r="Q57388" s="1"/>
    </row>
    <row r="57389" spans="16:17" x14ac:dyDescent="0.35">
      <c r="Q57389" s="1"/>
    </row>
    <row r="57391" spans="16:17" x14ac:dyDescent="0.35">
      <c r="Q57391" s="1"/>
    </row>
    <row r="57392" spans="16:17" x14ac:dyDescent="0.35">
      <c r="P57392" s="1"/>
    </row>
    <row r="57395" spans="16:17" x14ac:dyDescent="0.35">
      <c r="Q57395" s="1"/>
    </row>
    <row r="57396" spans="16:17" x14ac:dyDescent="0.35">
      <c r="P57396" s="1"/>
      <c r="Q57396" s="1"/>
    </row>
    <row r="57397" spans="16:17" x14ac:dyDescent="0.35">
      <c r="P57397" s="1"/>
      <c r="Q57397" s="1"/>
    </row>
    <row r="57403" spans="16:17" x14ac:dyDescent="0.35">
      <c r="Q57403" s="1"/>
    </row>
    <row r="57404" spans="16:17" x14ac:dyDescent="0.35">
      <c r="Q57404" s="1"/>
    </row>
    <row r="57407" spans="16:17" x14ac:dyDescent="0.35">
      <c r="Q57407" s="1"/>
    </row>
    <row r="57409" spans="17:17" x14ac:dyDescent="0.35">
      <c r="Q57409" s="1"/>
    </row>
    <row r="57419" spans="17:17" x14ac:dyDescent="0.35">
      <c r="Q57419" s="1"/>
    </row>
    <row r="57420" spans="17:17" x14ac:dyDescent="0.35">
      <c r="Q57420" s="1"/>
    </row>
    <row r="57426" spans="17:17" x14ac:dyDescent="0.35">
      <c r="Q57426" s="1"/>
    </row>
    <row r="57427" spans="17:17" x14ac:dyDescent="0.35">
      <c r="Q57427" s="1"/>
    </row>
    <row r="57436" spans="17:17" x14ac:dyDescent="0.35">
      <c r="Q57436" s="1"/>
    </row>
    <row r="57438" spans="17:17" x14ac:dyDescent="0.35">
      <c r="Q57438" s="1"/>
    </row>
    <row r="57450" spans="17:17" x14ac:dyDescent="0.35">
      <c r="Q57450" s="1"/>
    </row>
    <row r="57451" spans="17:17" x14ac:dyDescent="0.35">
      <c r="Q57451" s="1"/>
    </row>
    <row r="57454" spans="17:17" x14ac:dyDescent="0.35">
      <c r="Q57454" s="1"/>
    </row>
    <row r="57459" spans="17:17" x14ac:dyDescent="0.35">
      <c r="Q57459" s="1"/>
    </row>
    <row r="57464" spans="17:17" x14ac:dyDescent="0.35">
      <c r="Q57464" s="1"/>
    </row>
    <row r="57469" spans="17:17" x14ac:dyDescent="0.35">
      <c r="Q57469" s="1"/>
    </row>
    <row r="57474" spans="16:17" x14ac:dyDescent="0.35">
      <c r="P57474" s="1"/>
    </row>
    <row r="57475" spans="16:17" x14ac:dyDescent="0.35">
      <c r="P57475" s="1"/>
    </row>
    <row r="57476" spans="16:17" x14ac:dyDescent="0.35">
      <c r="P57476" s="1"/>
    </row>
    <row r="57482" spans="16:17" x14ac:dyDescent="0.35">
      <c r="Q57482" s="1"/>
    </row>
    <row r="57485" spans="16:17" x14ac:dyDescent="0.35">
      <c r="P57485" s="1"/>
    </row>
    <row r="57486" spans="16:17" x14ac:dyDescent="0.35">
      <c r="P57486" s="1"/>
      <c r="Q57486" s="1"/>
    </row>
    <row r="57488" spans="16:17" x14ac:dyDescent="0.35">
      <c r="P57488" s="1"/>
    </row>
    <row r="57490" spans="16:17" x14ac:dyDescent="0.35">
      <c r="P57490" s="1"/>
    </row>
    <row r="57491" spans="16:17" x14ac:dyDescent="0.35">
      <c r="P57491" s="1"/>
    </row>
    <row r="57492" spans="16:17" x14ac:dyDescent="0.35">
      <c r="P57492" s="1"/>
      <c r="Q57492" s="1"/>
    </row>
    <row r="57498" spans="16:17" x14ac:dyDescent="0.35">
      <c r="Q57498" s="1"/>
    </row>
    <row r="57499" spans="16:17" x14ac:dyDescent="0.35">
      <c r="Q57499" s="1"/>
    </row>
    <row r="57501" spans="16:17" x14ac:dyDescent="0.35">
      <c r="Q57501" s="1"/>
    </row>
    <row r="57506" spans="16:17" x14ac:dyDescent="0.35">
      <c r="Q57506" s="1"/>
    </row>
    <row r="57509" spans="16:17" x14ac:dyDescent="0.35">
      <c r="Q57509" s="1"/>
    </row>
    <row r="57510" spans="16:17" x14ac:dyDescent="0.35">
      <c r="Q57510" s="1"/>
    </row>
    <row r="57517" spans="16:17" x14ac:dyDescent="0.35">
      <c r="P57517" s="1"/>
    </row>
    <row r="57518" spans="16:17" x14ac:dyDescent="0.35">
      <c r="Q57518" s="1"/>
    </row>
    <row r="57525" spans="17:17" x14ac:dyDescent="0.35">
      <c r="Q57525" s="1"/>
    </row>
    <row r="57533" spans="17:17" x14ac:dyDescent="0.35">
      <c r="Q57533" s="1"/>
    </row>
    <row r="57549" spans="17:17" x14ac:dyDescent="0.35">
      <c r="Q57549" s="1"/>
    </row>
    <row r="57550" spans="17:17" x14ac:dyDescent="0.35">
      <c r="Q57550" s="1"/>
    </row>
    <row r="57551" spans="17:17" x14ac:dyDescent="0.35">
      <c r="Q57551" s="1"/>
    </row>
    <row r="57553" spans="17:17" x14ac:dyDescent="0.35">
      <c r="Q57553" s="1"/>
    </row>
    <row r="57555" spans="17:17" x14ac:dyDescent="0.35">
      <c r="Q57555" s="1"/>
    </row>
    <row r="57558" spans="17:17" x14ac:dyDescent="0.35">
      <c r="Q57558" s="1"/>
    </row>
    <row r="57564" spans="17:17" x14ac:dyDescent="0.35">
      <c r="Q57564" s="1"/>
    </row>
    <row r="57568" spans="17:17" x14ac:dyDescent="0.35">
      <c r="Q57568" s="1"/>
    </row>
    <row r="57573" spans="17:17" x14ac:dyDescent="0.35">
      <c r="Q57573" s="1"/>
    </row>
    <row r="57575" spans="17:17" x14ac:dyDescent="0.35">
      <c r="Q57575" s="1"/>
    </row>
    <row r="57578" spans="17:17" x14ac:dyDescent="0.35">
      <c r="Q57578" s="1"/>
    </row>
    <row r="57581" spans="17:17" x14ac:dyDescent="0.35">
      <c r="Q57581" s="1"/>
    </row>
    <row r="57587" spans="17:17" x14ac:dyDescent="0.35">
      <c r="Q57587" s="1"/>
    </row>
    <row r="57593" spans="17:17" x14ac:dyDescent="0.35">
      <c r="Q57593" s="1"/>
    </row>
    <row r="57594" spans="17:17" x14ac:dyDescent="0.35">
      <c r="Q57594" s="1"/>
    </row>
    <row r="57598" spans="17:17" x14ac:dyDescent="0.35">
      <c r="Q57598" s="1"/>
    </row>
    <row r="57602" spans="16:17" x14ac:dyDescent="0.35">
      <c r="P57602" s="1"/>
    </row>
    <row r="57613" spans="16:17" x14ac:dyDescent="0.35">
      <c r="Q57613" s="1"/>
    </row>
    <row r="57617" spans="17:17" x14ac:dyDescent="0.35">
      <c r="Q57617" s="1"/>
    </row>
    <row r="57623" spans="17:17" x14ac:dyDescent="0.35">
      <c r="Q57623" s="1"/>
    </row>
    <row r="57625" spans="17:17" x14ac:dyDescent="0.35">
      <c r="Q57625" s="1"/>
    </row>
    <row r="57633" spans="17:17" x14ac:dyDescent="0.35">
      <c r="Q57633" s="1"/>
    </row>
    <row r="57638" spans="17:17" x14ac:dyDescent="0.35">
      <c r="Q57638" s="1"/>
    </row>
    <row r="57643" spans="17:17" x14ac:dyDescent="0.35">
      <c r="Q57643" s="1"/>
    </row>
    <row r="57644" spans="17:17" x14ac:dyDescent="0.35">
      <c r="Q57644" s="1"/>
    </row>
    <row r="57647" spans="17:17" x14ac:dyDescent="0.35">
      <c r="Q57647" s="1"/>
    </row>
    <row r="57649" spans="17:17" x14ac:dyDescent="0.35">
      <c r="Q57649" s="1"/>
    </row>
    <row r="57659" spans="17:17" x14ac:dyDescent="0.35">
      <c r="Q57659" s="1"/>
    </row>
    <row r="57669" spans="17:17" x14ac:dyDescent="0.35">
      <c r="Q57669" s="1"/>
    </row>
    <row r="57674" spans="17:17" x14ac:dyDescent="0.35">
      <c r="Q57674" s="1"/>
    </row>
    <row r="57705" spans="17:17" x14ac:dyDescent="0.35">
      <c r="Q57705" s="1"/>
    </row>
    <row r="57710" spans="17:17" x14ac:dyDescent="0.35">
      <c r="Q57710" s="1"/>
    </row>
    <row r="57716" spans="17:17" x14ac:dyDescent="0.35">
      <c r="Q57716" s="1"/>
    </row>
    <row r="57720" spans="17:17" x14ac:dyDescent="0.35">
      <c r="Q57720" s="1"/>
    </row>
    <row r="57721" spans="17:17" x14ac:dyDescent="0.35">
      <c r="Q57721" s="1"/>
    </row>
    <row r="57722" spans="17:17" x14ac:dyDescent="0.35">
      <c r="Q57722" s="1"/>
    </row>
    <row r="57743" spans="17:17" x14ac:dyDescent="0.35">
      <c r="Q57743" s="1"/>
    </row>
    <row r="57744" spans="17:17" x14ac:dyDescent="0.35">
      <c r="Q57744" s="1"/>
    </row>
    <row r="57746" spans="17:17" x14ac:dyDescent="0.35">
      <c r="Q57746" s="1"/>
    </row>
    <row r="57751" spans="17:17" x14ac:dyDescent="0.35">
      <c r="Q57751" s="1"/>
    </row>
    <row r="57770" spans="17:17" x14ac:dyDescent="0.35">
      <c r="Q57770" s="1"/>
    </row>
    <row r="57771" spans="17:17" x14ac:dyDescent="0.35">
      <c r="Q57771" s="1"/>
    </row>
    <row r="57772" spans="17:17" x14ac:dyDescent="0.35">
      <c r="Q57772" s="1"/>
    </row>
    <row r="57774" spans="17:17" x14ac:dyDescent="0.35">
      <c r="Q57774" s="1"/>
    </row>
    <row r="57779" spans="17:17" x14ac:dyDescent="0.35">
      <c r="Q57779" s="1"/>
    </row>
    <row r="57786" spans="17:17" x14ac:dyDescent="0.35">
      <c r="Q57786" s="1"/>
    </row>
    <row r="57787" spans="17:17" x14ac:dyDescent="0.35">
      <c r="Q57787" s="1"/>
    </row>
    <row r="57789" spans="17:17" x14ac:dyDescent="0.35">
      <c r="Q57789" s="1"/>
    </row>
    <row r="57797" spans="17:17" x14ac:dyDescent="0.35">
      <c r="Q57797" s="1"/>
    </row>
    <row r="57800" spans="17:17" x14ac:dyDescent="0.35">
      <c r="Q57800" s="1"/>
    </row>
    <row r="57812" spans="17:17" x14ac:dyDescent="0.35">
      <c r="Q57812" s="1"/>
    </row>
    <row r="57817" spans="17:17" x14ac:dyDescent="0.35">
      <c r="Q57817" s="1"/>
    </row>
    <row r="57819" spans="17:17" x14ac:dyDescent="0.35">
      <c r="Q57819" s="1"/>
    </row>
    <row r="57820" spans="17:17" x14ac:dyDescent="0.35">
      <c r="Q57820" s="1"/>
    </row>
    <row r="57822" spans="17:17" x14ac:dyDescent="0.35">
      <c r="Q57822" s="1"/>
    </row>
    <row r="57827" spans="17:17" x14ac:dyDescent="0.35">
      <c r="Q57827" s="1"/>
    </row>
    <row r="57829" spans="17:17" x14ac:dyDescent="0.35">
      <c r="Q57829" s="1"/>
    </row>
    <row r="57845" spans="17:17" x14ac:dyDescent="0.35">
      <c r="Q57845" s="1"/>
    </row>
    <row r="57848" spans="17:17" x14ac:dyDescent="0.35">
      <c r="Q57848" s="1"/>
    </row>
    <row r="57852" spans="17:17" x14ac:dyDescent="0.35">
      <c r="Q57852" s="1"/>
    </row>
    <row r="57854" spans="17:17" x14ac:dyDescent="0.35">
      <c r="Q57854" s="1"/>
    </row>
    <row r="57858" spans="17:17" x14ac:dyDescent="0.35">
      <c r="Q57858" s="1"/>
    </row>
    <row r="57870" spans="17:17" x14ac:dyDescent="0.35">
      <c r="Q57870" s="1"/>
    </row>
    <row r="57873" spans="17:17" x14ac:dyDescent="0.35">
      <c r="Q57873" s="1"/>
    </row>
    <row r="57876" spans="17:17" x14ac:dyDescent="0.35">
      <c r="Q57876" s="1"/>
    </row>
    <row r="57887" spans="17:17" x14ac:dyDescent="0.35">
      <c r="Q57887" s="1"/>
    </row>
    <row r="57894" spans="17:17" x14ac:dyDescent="0.35">
      <c r="Q57894" s="1"/>
    </row>
    <row r="57896" spans="17:17" x14ac:dyDescent="0.35">
      <c r="Q57896" s="1"/>
    </row>
    <row r="57901" spans="17:17" x14ac:dyDescent="0.35">
      <c r="Q57901" s="1"/>
    </row>
    <row r="57902" spans="17:17" x14ac:dyDescent="0.35">
      <c r="Q57902" s="1"/>
    </row>
    <row r="57906" spans="17:17" x14ac:dyDescent="0.35">
      <c r="Q57906" s="1"/>
    </row>
    <row r="57907" spans="17:17" x14ac:dyDescent="0.35">
      <c r="Q57907" s="1"/>
    </row>
    <row r="57916" spans="17:17" x14ac:dyDescent="0.35">
      <c r="Q57916" s="1"/>
    </row>
    <row r="57918" spans="17:17" x14ac:dyDescent="0.35">
      <c r="Q57918" s="1"/>
    </row>
    <row r="57919" spans="17:17" x14ac:dyDescent="0.35">
      <c r="Q57919" s="1"/>
    </row>
    <row r="57922" spans="17:17" x14ac:dyDescent="0.35">
      <c r="Q57922" s="1"/>
    </row>
    <row r="57932" spans="17:17" x14ac:dyDescent="0.35">
      <c r="Q57932" s="1"/>
    </row>
    <row r="57933" spans="17:17" x14ac:dyDescent="0.35">
      <c r="Q57933" s="1"/>
    </row>
    <row r="57940" spans="16:17" x14ac:dyDescent="0.35">
      <c r="Q57940" s="1"/>
    </row>
    <row r="57941" spans="16:17" x14ac:dyDescent="0.35">
      <c r="P57941" s="1"/>
    </row>
    <row r="57942" spans="16:17" x14ac:dyDescent="0.35">
      <c r="P57942" s="1"/>
    </row>
    <row r="57943" spans="16:17" x14ac:dyDescent="0.35">
      <c r="P57943" s="1"/>
    </row>
    <row r="57944" spans="16:17" x14ac:dyDescent="0.35">
      <c r="P57944" s="1"/>
    </row>
    <row r="57947" spans="16:17" x14ac:dyDescent="0.35">
      <c r="Q57947" s="1"/>
    </row>
    <row r="57948" spans="16:17" x14ac:dyDescent="0.35">
      <c r="Q57948" s="1"/>
    </row>
    <row r="57954" spans="17:17" x14ac:dyDescent="0.35">
      <c r="Q57954" s="1"/>
    </row>
    <row r="57958" spans="17:17" x14ac:dyDescent="0.35">
      <c r="Q57958" s="1"/>
    </row>
    <row r="57962" spans="17:17" x14ac:dyDescent="0.35">
      <c r="Q57962" s="1"/>
    </row>
    <row r="57966" spans="17:17" x14ac:dyDescent="0.35">
      <c r="Q57966" s="1"/>
    </row>
    <row r="57972" spans="17:17" x14ac:dyDescent="0.35">
      <c r="Q57972" s="1"/>
    </row>
    <row r="57977" spans="17:17" x14ac:dyDescent="0.35">
      <c r="Q57977" s="1"/>
    </row>
    <row r="57986" spans="17:17" x14ac:dyDescent="0.35">
      <c r="Q57986" s="1"/>
    </row>
    <row r="57987" spans="17:17" x14ac:dyDescent="0.35">
      <c r="Q57987" s="1"/>
    </row>
    <row r="57994" spans="17:17" x14ac:dyDescent="0.35">
      <c r="Q57994" s="1"/>
    </row>
    <row r="58001" spans="16:17" x14ac:dyDescent="0.35">
      <c r="Q58001" s="1"/>
    </row>
    <row r="58002" spans="16:17" x14ac:dyDescent="0.35">
      <c r="Q58002" s="1"/>
    </row>
    <row r="58006" spans="16:17" x14ac:dyDescent="0.35">
      <c r="P58006" s="1"/>
    </row>
    <row r="58020" spans="16:16" x14ac:dyDescent="0.35">
      <c r="P58020" s="1"/>
    </row>
    <row r="58023" spans="16:16" x14ac:dyDescent="0.35">
      <c r="P58023" s="1"/>
    </row>
    <row r="58025" spans="16:16" x14ac:dyDescent="0.35">
      <c r="P58025" s="1"/>
    </row>
    <row r="58026" spans="16:16" x14ac:dyDescent="0.35">
      <c r="P58026" s="1"/>
    </row>
    <row r="58027" spans="16:16" x14ac:dyDescent="0.35">
      <c r="P58027" s="1"/>
    </row>
    <row r="58030" spans="16:16" x14ac:dyDescent="0.35">
      <c r="P58030" s="1"/>
    </row>
    <row r="58031" spans="16:16" x14ac:dyDescent="0.35">
      <c r="P58031" s="1"/>
    </row>
    <row r="58032" spans="16:16" x14ac:dyDescent="0.35">
      <c r="P58032" s="1"/>
    </row>
    <row r="58038" spans="16:17" x14ac:dyDescent="0.35">
      <c r="P58038" s="1"/>
    </row>
    <row r="58044" spans="16:17" x14ac:dyDescent="0.35">
      <c r="P58044" s="1"/>
    </row>
    <row r="58046" spans="16:17" x14ac:dyDescent="0.35">
      <c r="P58046" s="1"/>
    </row>
    <row r="58048" spans="16:17" x14ac:dyDescent="0.35">
      <c r="Q58048" s="1"/>
    </row>
    <row r="58056" spans="16:17" x14ac:dyDescent="0.35">
      <c r="Q58056" s="1"/>
    </row>
    <row r="58057" spans="16:17" x14ac:dyDescent="0.35">
      <c r="P58057" s="1"/>
    </row>
    <row r="58058" spans="16:17" x14ac:dyDescent="0.35">
      <c r="P58058" s="1"/>
    </row>
    <row r="58065" spans="16:17" x14ac:dyDescent="0.35">
      <c r="Q58065" s="1"/>
    </row>
    <row r="58066" spans="16:17" x14ac:dyDescent="0.35">
      <c r="P58066" s="1"/>
    </row>
    <row r="58083" spans="16:16" x14ac:dyDescent="0.35">
      <c r="P58083" s="1"/>
    </row>
    <row r="58084" spans="16:16" x14ac:dyDescent="0.35">
      <c r="P58084" s="1"/>
    </row>
    <row r="58089" spans="16:16" x14ac:dyDescent="0.35">
      <c r="P58089" s="1"/>
    </row>
    <row r="58091" spans="16:16" x14ac:dyDescent="0.35">
      <c r="P58091" s="1"/>
    </row>
    <row r="58093" spans="16:16" x14ac:dyDescent="0.35">
      <c r="P58093" s="1"/>
    </row>
    <row r="58097" spans="16:17" x14ac:dyDescent="0.35">
      <c r="P58097" s="1"/>
      <c r="Q58097" s="1"/>
    </row>
    <row r="58099" spans="16:17" x14ac:dyDescent="0.35">
      <c r="P58099" s="1"/>
    </row>
    <row r="58103" spans="16:17" x14ac:dyDescent="0.35">
      <c r="Q58103" s="1"/>
    </row>
    <row r="58104" spans="16:17" x14ac:dyDescent="0.35">
      <c r="Q58104" s="1"/>
    </row>
    <row r="58108" spans="16:17" x14ac:dyDescent="0.35">
      <c r="Q58108" s="1"/>
    </row>
    <row r="58110" spans="16:17" x14ac:dyDescent="0.35">
      <c r="Q58110" s="1"/>
    </row>
    <row r="58111" spans="16:17" x14ac:dyDescent="0.35">
      <c r="P58111" s="1"/>
    </row>
    <row r="58113" spans="17:17" x14ac:dyDescent="0.35">
      <c r="Q58113" s="1"/>
    </row>
    <row r="58120" spans="17:17" x14ac:dyDescent="0.35">
      <c r="Q58120" s="1"/>
    </row>
    <row r="58126" spans="17:17" x14ac:dyDescent="0.35">
      <c r="Q58126" s="1"/>
    </row>
    <row r="58129" spans="16:17" x14ac:dyDescent="0.35">
      <c r="P58129" s="1"/>
    </row>
    <row r="58135" spans="16:17" x14ac:dyDescent="0.35">
      <c r="Q58135" s="1"/>
    </row>
    <row r="58139" spans="16:17" x14ac:dyDescent="0.35">
      <c r="P58139" s="1"/>
    </row>
    <row r="58140" spans="16:17" x14ac:dyDescent="0.35">
      <c r="P58140" s="1"/>
    </row>
    <row r="58141" spans="16:17" x14ac:dyDescent="0.35">
      <c r="P58141" s="1"/>
    </row>
    <row r="58144" spans="16:17" x14ac:dyDescent="0.35">
      <c r="P58144" s="1"/>
    </row>
    <row r="58145" spans="16:17" x14ac:dyDescent="0.35">
      <c r="P58145" s="1"/>
    </row>
    <row r="58147" spans="16:17" x14ac:dyDescent="0.35">
      <c r="P58147" s="1"/>
    </row>
    <row r="58148" spans="16:17" x14ac:dyDescent="0.35">
      <c r="Q58148" s="1"/>
    </row>
    <row r="58149" spans="16:17" x14ac:dyDescent="0.35">
      <c r="P58149" s="1"/>
    </row>
    <row r="58150" spans="16:17" x14ac:dyDescent="0.35">
      <c r="Q58150" s="1"/>
    </row>
    <row r="58153" spans="16:17" x14ac:dyDescent="0.35">
      <c r="P58153" s="1"/>
      <c r="Q58153" s="1"/>
    </row>
    <row r="58155" spans="16:17" x14ac:dyDescent="0.35">
      <c r="Q58155" s="1"/>
    </row>
    <row r="58157" spans="16:17" x14ac:dyDescent="0.35">
      <c r="Q58157" s="1"/>
    </row>
    <row r="58162" spans="16:16" x14ac:dyDescent="0.35">
      <c r="P58162" s="1"/>
    </row>
    <row r="58166" spans="16:16" x14ac:dyDescent="0.35">
      <c r="P58166" s="1"/>
    </row>
    <row r="58168" spans="16:16" x14ac:dyDescent="0.35">
      <c r="P58168" s="1"/>
    </row>
    <row r="58169" spans="16:16" x14ac:dyDescent="0.35">
      <c r="P58169" s="1"/>
    </row>
    <row r="58174" spans="16:16" x14ac:dyDescent="0.35">
      <c r="P58174" s="1"/>
    </row>
    <row r="58175" spans="16:16" x14ac:dyDescent="0.35">
      <c r="P58175" s="1"/>
    </row>
    <row r="58184" spans="16:17" x14ac:dyDescent="0.35">
      <c r="P58184" s="1"/>
      <c r="Q58184" s="1"/>
    </row>
    <row r="58187" spans="16:17" x14ac:dyDescent="0.35">
      <c r="Q58187" s="1"/>
    </row>
    <row r="58188" spans="16:17" x14ac:dyDescent="0.35">
      <c r="P58188" s="1"/>
    </row>
    <row r="58190" spans="16:17" x14ac:dyDescent="0.35">
      <c r="P58190" s="1"/>
    </row>
    <row r="58191" spans="16:17" x14ac:dyDescent="0.35">
      <c r="Q58191" s="1"/>
    </row>
    <row r="58195" spans="16:17" x14ac:dyDescent="0.35">
      <c r="P58195" s="1"/>
    </row>
    <row r="58197" spans="16:17" x14ac:dyDescent="0.35">
      <c r="P58197" s="1"/>
    </row>
    <row r="58205" spans="16:17" x14ac:dyDescent="0.35">
      <c r="P58205" s="1"/>
    </row>
    <row r="58206" spans="16:17" x14ac:dyDescent="0.35">
      <c r="Q58206" s="1"/>
    </row>
    <row r="58215" spans="17:17" x14ac:dyDescent="0.35">
      <c r="Q58215" s="1"/>
    </row>
    <row r="58217" spans="17:17" x14ac:dyDescent="0.35">
      <c r="Q58217" s="1"/>
    </row>
    <row r="58219" spans="17:17" x14ac:dyDescent="0.35">
      <c r="Q58219" s="1"/>
    </row>
    <row r="58222" spans="17:17" x14ac:dyDescent="0.35">
      <c r="Q58222" s="1"/>
    </row>
    <row r="58226" spans="16:16" x14ac:dyDescent="0.35">
      <c r="P58226" s="1"/>
    </row>
    <row r="58234" spans="16:16" x14ac:dyDescent="0.35">
      <c r="P58234" s="1"/>
    </row>
    <row r="58235" spans="16:16" x14ac:dyDescent="0.35">
      <c r="P58235" s="1"/>
    </row>
    <row r="58241" spans="16:17" x14ac:dyDescent="0.35">
      <c r="P58241" s="1"/>
    </row>
    <row r="58242" spans="16:17" x14ac:dyDescent="0.35">
      <c r="P58242" s="1"/>
    </row>
    <row r="58244" spans="16:17" x14ac:dyDescent="0.35">
      <c r="Q58244" s="1"/>
    </row>
    <row r="58250" spans="16:17" x14ac:dyDescent="0.35">
      <c r="P58250" s="1"/>
    </row>
    <row r="58251" spans="16:17" x14ac:dyDescent="0.35">
      <c r="P58251" s="1"/>
    </row>
    <row r="58258" spans="16:17" x14ac:dyDescent="0.35">
      <c r="Q58258" s="1"/>
    </row>
    <row r="58262" spans="16:17" x14ac:dyDescent="0.35">
      <c r="P58262" s="1"/>
      <c r="Q58262" s="1"/>
    </row>
    <row r="58263" spans="16:17" x14ac:dyDescent="0.35">
      <c r="P58263" s="1"/>
      <c r="Q58263" s="1"/>
    </row>
    <row r="58269" spans="16:17" x14ac:dyDescent="0.35">
      <c r="P58269" s="1"/>
    </row>
    <row r="58270" spans="16:17" x14ac:dyDescent="0.35">
      <c r="Q58270" s="1"/>
    </row>
    <row r="58274" spans="16:17" x14ac:dyDescent="0.35">
      <c r="P58274" s="1"/>
      <c r="Q58274" s="1"/>
    </row>
    <row r="58277" spans="16:17" x14ac:dyDescent="0.35">
      <c r="P58277" s="1"/>
    </row>
    <row r="58279" spans="16:17" x14ac:dyDescent="0.35">
      <c r="Q58279" s="1"/>
    </row>
    <row r="58280" spans="16:17" x14ac:dyDescent="0.35">
      <c r="Q58280" s="1"/>
    </row>
    <row r="58281" spans="16:17" x14ac:dyDescent="0.35">
      <c r="P58281" s="1"/>
    </row>
    <row r="58282" spans="16:17" x14ac:dyDescent="0.35">
      <c r="P58282" s="1"/>
    </row>
    <row r="58287" spans="16:17" x14ac:dyDescent="0.35">
      <c r="P58287" s="1"/>
    </row>
    <row r="58288" spans="16:17" x14ac:dyDescent="0.35">
      <c r="P58288" s="1"/>
    </row>
    <row r="58292" spans="16:17" x14ac:dyDescent="0.35">
      <c r="Q58292" s="1"/>
    </row>
    <row r="58301" spans="16:17" x14ac:dyDescent="0.35">
      <c r="P58301" s="1"/>
    </row>
    <row r="58302" spans="16:17" x14ac:dyDescent="0.35">
      <c r="P58302" s="1"/>
    </row>
    <row r="58303" spans="16:17" x14ac:dyDescent="0.35">
      <c r="Q58303" s="1"/>
    </row>
    <row r="58304" spans="16:17" x14ac:dyDescent="0.35">
      <c r="P58304" s="1"/>
    </row>
    <row r="58305" spans="16:17" x14ac:dyDescent="0.35">
      <c r="Q58305" s="1"/>
    </row>
    <row r="58308" spans="16:17" x14ac:dyDescent="0.35">
      <c r="Q58308" s="1"/>
    </row>
    <row r="58309" spans="16:17" x14ac:dyDescent="0.35">
      <c r="P58309" s="1"/>
    </row>
    <row r="58312" spans="16:17" x14ac:dyDescent="0.35">
      <c r="Q58312" s="1"/>
    </row>
    <row r="58314" spans="16:17" x14ac:dyDescent="0.35">
      <c r="Q58314" s="1"/>
    </row>
    <row r="58324" spans="16:17" x14ac:dyDescent="0.35">
      <c r="Q58324" s="1"/>
    </row>
    <row r="58325" spans="16:17" x14ac:dyDescent="0.35">
      <c r="P58325" s="1"/>
    </row>
    <row r="58328" spans="16:17" x14ac:dyDescent="0.35">
      <c r="P58328" s="1"/>
    </row>
    <row r="58330" spans="16:17" x14ac:dyDescent="0.35">
      <c r="Q58330" s="1"/>
    </row>
    <row r="58331" spans="16:17" x14ac:dyDescent="0.35">
      <c r="Q58331" s="1"/>
    </row>
    <row r="58335" spans="16:17" x14ac:dyDescent="0.35">
      <c r="P58335" s="1"/>
    </row>
    <row r="58338" spans="16:17" x14ac:dyDescent="0.35">
      <c r="Q58338" s="1"/>
    </row>
    <row r="58339" spans="16:17" x14ac:dyDescent="0.35">
      <c r="P58339" s="1"/>
    </row>
    <row r="58340" spans="16:17" x14ac:dyDescent="0.35">
      <c r="P58340" s="1"/>
    </row>
    <row r="58341" spans="16:17" x14ac:dyDescent="0.35">
      <c r="P58341" s="1"/>
    </row>
    <row r="58342" spans="16:17" x14ac:dyDescent="0.35">
      <c r="P58342" s="1"/>
    </row>
    <row r="58343" spans="16:17" x14ac:dyDescent="0.35">
      <c r="P58343" s="1"/>
    </row>
    <row r="58348" spans="16:17" x14ac:dyDescent="0.35">
      <c r="P58348" s="1"/>
    </row>
    <row r="58350" spans="16:17" x14ac:dyDescent="0.35">
      <c r="Q58350" s="1"/>
    </row>
    <row r="58353" spans="16:17" x14ac:dyDescent="0.35">
      <c r="P58353" s="1"/>
    </row>
    <row r="58354" spans="16:17" x14ac:dyDescent="0.35">
      <c r="P58354" s="1"/>
    </row>
    <row r="58355" spans="16:17" x14ac:dyDescent="0.35">
      <c r="Q58355" s="1"/>
    </row>
    <row r="58358" spans="16:17" x14ac:dyDescent="0.35">
      <c r="Q58358" s="1"/>
    </row>
    <row r="58361" spans="16:17" x14ac:dyDescent="0.35">
      <c r="P58361" s="1"/>
    </row>
    <row r="58364" spans="16:17" x14ac:dyDescent="0.35">
      <c r="Q58364" s="1"/>
    </row>
    <row r="58365" spans="16:17" x14ac:dyDescent="0.35">
      <c r="P58365" s="1"/>
    </row>
    <row r="58366" spans="16:17" x14ac:dyDescent="0.35">
      <c r="P58366" s="1"/>
      <c r="Q58366" s="1"/>
    </row>
    <row r="58375" spans="16:17" x14ac:dyDescent="0.35">
      <c r="P58375" s="1"/>
    </row>
    <row r="58376" spans="16:17" x14ac:dyDescent="0.35">
      <c r="Q58376" s="1"/>
    </row>
    <row r="58379" spans="16:17" x14ac:dyDescent="0.35">
      <c r="P58379" s="1"/>
    </row>
    <row r="58380" spans="16:17" x14ac:dyDescent="0.35">
      <c r="P58380" s="1"/>
    </row>
    <row r="58384" spans="16:17" x14ac:dyDescent="0.35">
      <c r="P58384" s="1"/>
    </row>
    <row r="58390" spans="16:17" x14ac:dyDescent="0.35">
      <c r="P58390" s="1"/>
    </row>
    <row r="58394" spans="16:17" x14ac:dyDescent="0.35">
      <c r="P58394" s="1"/>
    </row>
    <row r="58399" spans="16:17" x14ac:dyDescent="0.35">
      <c r="Q58399" s="1"/>
    </row>
    <row r="58406" spans="16:17" x14ac:dyDescent="0.35">
      <c r="P58406" s="1"/>
      <c r="Q58406" s="1"/>
    </row>
    <row r="58413" spans="16:17" x14ac:dyDescent="0.35">
      <c r="P58413" s="1"/>
      <c r="Q58413" s="1"/>
    </row>
    <row r="58417" spans="16:17" x14ac:dyDescent="0.35">
      <c r="P58417" s="1"/>
    </row>
    <row r="58420" spans="16:17" x14ac:dyDescent="0.35">
      <c r="P58420" s="1"/>
    </row>
    <row r="58426" spans="16:17" x14ac:dyDescent="0.35">
      <c r="P58426" s="1"/>
    </row>
    <row r="58428" spans="16:17" x14ac:dyDescent="0.35">
      <c r="Q58428" s="1"/>
    </row>
    <row r="58429" spans="16:17" x14ac:dyDescent="0.35">
      <c r="P58429" s="1"/>
    </row>
    <row r="58430" spans="16:17" x14ac:dyDescent="0.35">
      <c r="Q58430" s="1"/>
    </row>
    <row r="58431" spans="16:17" x14ac:dyDescent="0.35">
      <c r="Q58431" s="1"/>
    </row>
    <row r="58432" spans="16:17" x14ac:dyDescent="0.35">
      <c r="Q58432" s="1"/>
    </row>
    <row r="58434" spans="16:16" x14ac:dyDescent="0.35">
      <c r="P58434" s="1"/>
    </row>
    <row r="58438" spans="16:16" x14ac:dyDescent="0.35">
      <c r="P58438" s="1"/>
    </row>
    <row r="58442" spans="16:16" x14ac:dyDescent="0.35">
      <c r="P58442" s="1"/>
    </row>
    <row r="58447" spans="16:16" x14ac:dyDescent="0.35">
      <c r="P58447" s="1"/>
    </row>
    <row r="58449" spans="16:17" x14ac:dyDescent="0.35">
      <c r="P58449" s="1"/>
    </row>
    <row r="58455" spans="16:17" x14ac:dyDescent="0.35">
      <c r="Q58455" s="1"/>
    </row>
    <row r="58456" spans="16:17" x14ac:dyDescent="0.35">
      <c r="Q58456" s="1"/>
    </row>
    <row r="58458" spans="16:17" x14ac:dyDescent="0.35">
      <c r="Q58458" s="1"/>
    </row>
    <row r="58460" spans="16:17" x14ac:dyDescent="0.35">
      <c r="Q58460" s="1"/>
    </row>
    <row r="58462" spans="16:17" x14ac:dyDescent="0.35">
      <c r="Q58462" s="1"/>
    </row>
    <row r="58469" spans="5:16" x14ac:dyDescent="0.35">
      <c r="P58469" s="1"/>
    </row>
    <row r="58478" spans="5:16" x14ac:dyDescent="0.35">
      <c r="E58478" s="5"/>
    </row>
    <row r="58482" spans="16:17" x14ac:dyDescent="0.35">
      <c r="Q58482" s="1"/>
    </row>
    <row r="58483" spans="16:17" x14ac:dyDescent="0.35">
      <c r="Q58483" s="1"/>
    </row>
    <row r="58484" spans="16:17" x14ac:dyDescent="0.35">
      <c r="Q58484" s="1"/>
    </row>
    <row r="58485" spans="16:17" x14ac:dyDescent="0.35">
      <c r="P58485" s="1"/>
    </row>
    <row r="58490" spans="16:17" x14ac:dyDescent="0.35">
      <c r="Q58490" s="1"/>
    </row>
    <row r="58492" spans="16:17" x14ac:dyDescent="0.35">
      <c r="Q58492" s="1"/>
    </row>
    <row r="58495" spans="16:17" x14ac:dyDescent="0.35">
      <c r="Q58495" s="1"/>
    </row>
    <row r="58499" spans="16:17" x14ac:dyDescent="0.35">
      <c r="P58499" s="1"/>
    </row>
    <row r="58504" spans="16:17" x14ac:dyDescent="0.35">
      <c r="Q58504" s="1"/>
    </row>
    <row r="58506" spans="16:17" x14ac:dyDescent="0.35">
      <c r="Q58506" s="1"/>
    </row>
    <row r="58508" spans="16:17" x14ac:dyDescent="0.35">
      <c r="P58508" s="1"/>
    </row>
    <row r="58509" spans="16:17" x14ac:dyDescent="0.35">
      <c r="Q58509" s="1"/>
    </row>
    <row r="58512" spans="16:17" x14ac:dyDescent="0.35">
      <c r="Q58512" s="1"/>
    </row>
    <row r="58515" spans="16:17" x14ac:dyDescent="0.35">
      <c r="P58515" s="1"/>
    </row>
    <row r="58516" spans="16:17" x14ac:dyDescent="0.35">
      <c r="Q58516" s="1"/>
    </row>
    <row r="58517" spans="16:17" x14ac:dyDescent="0.35">
      <c r="P58517" s="1"/>
    </row>
    <row r="58518" spans="16:17" x14ac:dyDescent="0.35">
      <c r="Q58518" s="1"/>
    </row>
    <row r="58519" spans="16:17" x14ac:dyDescent="0.35">
      <c r="Q58519" s="1"/>
    </row>
    <row r="58521" spans="16:17" x14ac:dyDescent="0.35">
      <c r="Q58521" s="1"/>
    </row>
    <row r="58523" spans="16:17" x14ac:dyDescent="0.35">
      <c r="Q58523" s="1"/>
    </row>
    <row r="58527" spans="16:17" x14ac:dyDescent="0.35">
      <c r="Q58527" s="1"/>
    </row>
    <row r="58528" spans="16:17" x14ac:dyDescent="0.35">
      <c r="P58528" s="1"/>
    </row>
    <row r="58529" spans="16:17" x14ac:dyDescent="0.35">
      <c r="Q58529" s="1"/>
    </row>
    <row r="58530" spans="16:17" x14ac:dyDescent="0.35">
      <c r="P58530" s="1"/>
    </row>
    <row r="58531" spans="16:17" x14ac:dyDescent="0.35">
      <c r="P58531" s="1"/>
    </row>
    <row r="58533" spans="16:17" x14ac:dyDescent="0.35">
      <c r="P58533" s="1"/>
    </row>
    <row r="58537" spans="16:17" x14ac:dyDescent="0.35">
      <c r="P58537" s="1"/>
      <c r="Q58537" s="1"/>
    </row>
    <row r="58540" spans="16:17" x14ac:dyDescent="0.35">
      <c r="Q58540" s="1"/>
    </row>
    <row r="58543" spans="16:17" x14ac:dyDescent="0.35">
      <c r="Q58543" s="1"/>
    </row>
    <row r="58544" spans="16:17" x14ac:dyDescent="0.35">
      <c r="P58544" s="1"/>
    </row>
    <row r="58547" spans="16:17" x14ac:dyDescent="0.35">
      <c r="Q58547" s="1"/>
    </row>
    <row r="58548" spans="16:17" x14ac:dyDescent="0.35">
      <c r="Q58548" s="1"/>
    </row>
    <row r="58549" spans="16:17" x14ac:dyDescent="0.35">
      <c r="P58549" s="1"/>
    </row>
    <row r="58554" spans="16:17" x14ac:dyDescent="0.35">
      <c r="Q58554" s="1"/>
    </row>
    <row r="58555" spans="16:17" x14ac:dyDescent="0.35">
      <c r="Q58555" s="1"/>
    </row>
    <row r="58556" spans="16:17" x14ac:dyDescent="0.35">
      <c r="Q58556" s="1"/>
    </row>
    <row r="58557" spans="16:17" x14ac:dyDescent="0.35">
      <c r="Q58557" s="1"/>
    </row>
    <row r="58563" spans="16:17" x14ac:dyDescent="0.35">
      <c r="P58563" s="1"/>
    </row>
    <row r="58565" spans="16:17" x14ac:dyDescent="0.35">
      <c r="Q58565" s="1"/>
    </row>
    <row r="58566" spans="16:17" x14ac:dyDescent="0.35">
      <c r="P58566" s="1"/>
    </row>
    <row r="58572" spans="16:17" x14ac:dyDescent="0.35">
      <c r="Q58572" s="1"/>
    </row>
    <row r="58576" spans="16:17" x14ac:dyDescent="0.35">
      <c r="Q58576" s="1"/>
    </row>
    <row r="58581" spans="16:17" x14ac:dyDescent="0.35">
      <c r="P58581" s="1"/>
    </row>
    <row r="58583" spans="16:17" x14ac:dyDescent="0.35">
      <c r="Q58583" s="1"/>
    </row>
    <row r="58584" spans="16:17" x14ac:dyDescent="0.35">
      <c r="P58584" s="1"/>
    </row>
    <row r="58593" spans="16:17" x14ac:dyDescent="0.35">
      <c r="P58593" s="1"/>
    </row>
    <row r="58595" spans="16:17" x14ac:dyDescent="0.35">
      <c r="P58595" s="1"/>
    </row>
    <row r="58596" spans="16:17" x14ac:dyDescent="0.35">
      <c r="P58596" s="1"/>
    </row>
    <row r="58598" spans="16:17" x14ac:dyDescent="0.35">
      <c r="P58598" s="1"/>
    </row>
    <row r="58608" spans="16:17" x14ac:dyDescent="0.35">
      <c r="Q58608" s="1"/>
    </row>
    <row r="58609" spans="17:17" x14ac:dyDescent="0.35">
      <c r="Q58609" s="1"/>
    </row>
    <row r="58611" spans="17:17" x14ac:dyDescent="0.35">
      <c r="Q58611" s="1"/>
    </row>
    <row r="58612" spans="17:17" x14ac:dyDescent="0.35">
      <c r="Q58612" s="1"/>
    </row>
    <row r="58615" spans="17:17" x14ac:dyDescent="0.35">
      <c r="Q58615" s="1"/>
    </row>
    <row r="58617" spans="17:17" x14ac:dyDescent="0.35">
      <c r="Q58617" s="1"/>
    </row>
    <row r="58619" spans="17:17" x14ac:dyDescent="0.35">
      <c r="Q58619" s="1"/>
    </row>
    <row r="58626" spans="16:17" x14ac:dyDescent="0.35">
      <c r="P58626" s="1"/>
      <c r="Q58626" s="1"/>
    </row>
    <row r="58633" spans="16:17" x14ac:dyDescent="0.35">
      <c r="Q58633" s="1"/>
    </row>
    <row r="58636" spans="16:17" x14ac:dyDescent="0.35">
      <c r="P58636" s="1"/>
    </row>
    <row r="58645" spans="16:16" x14ac:dyDescent="0.35">
      <c r="P58645" s="1"/>
    </row>
    <row r="58648" spans="16:16" x14ac:dyDescent="0.35">
      <c r="P58648" s="1"/>
    </row>
    <row r="58649" spans="16:16" x14ac:dyDescent="0.35">
      <c r="P58649" s="1"/>
    </row>
    <row r="58658" spans="16:17" x14ac:dyDescent="0.35">
      <c r="Q58658" s="1"/>
    </row>
    <row r="58661" spans="16:17" x14ac:dyDescent="0.35">
      <c r="P58661" s="1"/>
    </row>
    <row r="58663" spans="16:17" x14ac:dyDescent="0.35">
      <c r="P58663" s="1"/>
    </row>
    <row r="58664" spans="16:17" x14ac:dyDescent="0.35">
      <c r="Q58664" s="1"/>
    </row>
    <row r="58665" spans="16:17" x14ac:dyDescent="0.35">
      <c r="P58665" s="1"/>
    </row>
    <row r="58666" spans="16:17" x14ac:dyDescent="0.35">
      <c r="P58666" s="1"/>
    </row>
    <row r="58668" spans="16:17" x14ac:dyDescent="0.35">
      <c r="P58668" s="1"/>
    </row>
    <row r="58670" spans="16:17" x14ac:dyDescent="0.35">
      <c r="P58670" s="1"/>
    </row>
    <row r="58671" spans="16:17" x14ac:dyDescent="0.35">
      <c r="P58671" s="1"/>
    </row>
    <row r="58677" spans="16:17" x14ac:dyDescent="0.35">
      <c r="P58677" s="1"/>
    </row>
    <row r="58678" spans="16:17" x14ac:dyDescent="0.35">
      <c r="P58678" s="1"/>
    </row>
    <row r="58680" spans="16:17" x14ac:dyDescent="0.35">
      <c r="Q58680" s="1"/>
    </row>
    <row r="58690" spans="16:17" x14ac:dyDescent="0.35">
      <c r="Q58690" s="1"/>
    </row>
    <row r="58691" spans="16:17" x14ac:dyDescent="0.35">
      <c r="Q58691" s="1"/>
    </row>
    <row r="58693" spans="16:17" x14ac:dyDescent="0.35">
      <c r="Q58693" s="1"/>
    </row>
    <row r="58694" spans="16:17" x14ac:dyDescent="0.35">
      <c r="P58694" s="1"/>
    </row>
    <row r="58706" spans="16:17" x14ac:dyDescent="0.35">
      <c r="Q58706" s="1"/>
    </row>
    <row r="58708" spans="16:17" x14ac:dyDescent="0.35">
      <c r="P58708" s="1"/>
    </row>
    <row r="58709" spans="16:17" x14ac:dyDescent="0.35">
      <c r="P58709" s="1"/>
    </row>
    <row r="58710" spans="16:17" x14ac:dyDescent="0.35">
      <c r="P58710" s="1"/>
    </row>
    <row r="58711" spans="16:17" x14ac:dyDescent="0.35">
      <c r="Q58711" s="1"/>
    </row>
    <row r="58721" spans="16:17" x14ac:dyDescent="0.35">
      <c r="P58721" s="1"/>
    </row>
    <row r="58722" spans="16:17" x14ac:dyDescent="0.35">
      <c r="Q58722" s="1"/>
    </row>
    <row r="58723" spans="16:17" x14ac:dyDescent="0.35">
      <c r="P58723" s="1"/>
    </row>
    <row r="58724" spans="16:17" x14ac:dyDescent="0.35">
      <c r="P58724" s="1"/>
    </row>
    <row r="58725" spans="16:17" x14ac:dyDescent="0.35">
      <c r="P58725" s="1"/>
    </row>
    <row r="58729" spans="16:17" x14ac:dyDescent="0.35">
      <c r="P58729" s="1"/>
      <c r="Q58729" s="1"/>
    </row>
    <row r="58733" spans="16:17" x14ac:dyDescent="0.35">
      <c r="Q58733" s="1"/>
    </row>
    <row r="58734" spans="16:17" x14ac:dyDescent="0.35">
      <c r="Q58734" s="1"/>
    </row>
    <row r="58738" spans="16:17" x14ac:dyDescent="0.35">
      <c r="P58738" s="1"/>
    </row>
    <row r="58740" spans="16:17" x14ac:dyDescent="0.35">
      <c r="P58740" s="1"/>
    </row>
    <row r="58741" spans="16:17" x14ac:dyDescent="0.35">
      <c r="P58741" s="1"/>
      <c r="Q58741" s="1"/>
    </row>
    <row r="58746" spans="16:17" x14ac:dyDescent="0.35">
      <c r="Q58746" s="1"/>
    </row>
    <row r="58751" spans="16:17" x14ac:dyDescent="0.35">
      <c r="P58751" s="1"/>
    </row>
    <row r="58764" spans="16:16" x14ac:dyDescent="0.35">
      <c r="P58764" s="1"/>
    </row>
    <row r="58774" spans="16:17" x14ac:dyDescent="0.35">
      <c r="P58774" s="1"/>
    </row>
    <row r="58776" spans="16:17" x14ac:dyDescent="0.35">
      <c r="P58776" s="1"/>
    </row>
    <row r="58777" spans="16:17" x14ac:dyDescent="0.35">
      <c r="P58777" s="1"/>
    </row>
    <row r="58779" spans="16:17" x14ac:dyDescent="0.35">
      <c r="P58779" s="1"/>
    </row>
    <row r="58781" spans="16:17" x14ac:dyDescent="0.35">
      <c r="P58781" s="1"/>
    </row>
    <row r="58782" spans="16:17" x14ac:dyDescent="0.35">
      <c r="Q58782" s="1"/>
    </row>
    <row r="58783" spans="16:17" x14ac:dyDescent="0.35">
      <c r="P58783" s="1"/>
    </row>
    <row r="58787" spans="16:17" x14ac:dyDescent="0.35">
      <c r="Q58787" s="1"/>
    </row>
    <row r="58790" spans="16:17" x14ac:dyDescent="0.35">
      <c r="Q58790" s="1"/>
    </row>
    <row r="58795" spans="16:17" x14ac:dyDescent="0.35">
      <c r="P58795" s="1"/>
    </row>
    <row r="58797" spans="16:17" x14ac:dyDescent="0.35">
      <c r="P58797" s="1"/>
    </row>
    <row r="58798" spans="16:17" x14ac:dyDescent="0.35">
      <c r="P58798" s="1"/>
    </row>
    <row r="58801" spans="16:17" x14ac:dyDescent="0.35">
      <c r="Q58801" s="1"/>
    </row>
    <row r="58806" spans="16:17" x14ac:dyDescent="0.35">
      <c r="P58806" s="1"/>
      <c r="Q58806" s="1"/>
    </row>
    <row r="58812" spans="16:17" x14ac:dyDescent="0.35">
      <c r="P58812" s="1"/>
    </row>
    <row r="58813" spans="16:17" x14ac:dyDescent="0.35">
      <c r="P58813" s="1"/>
      <c r="Q58813" s="1"/>
    </row>
    <row r="58815" spans="16:17" x14ac:dyDescent="0.35">
      <c r="P58815" s="1"/>
    </row>
    <row r="58817" spans="16:17" x14ac:dyDescent="0.35">
      <c r="Q58817" s="1"/>
    </row>
    <row r="58818" spans="16:17" x14ac:dyDescent="0.35">
      <c r="P58818" s="1"/>
    </row>
    <row r="58819" spans="16:17" x14ac:dyDescent="0.35">
      <c r="Q58819" s="1"/>
    </row>
    <row r="58821" spans="16:17" x14ac:dyDescent="0.35">
      <c r="Q58821" s="1"/>
    </row>
    <row r="58827" spans="16:17" x14ac:dyDescent="0.35">
      <c r="Q58827" s="1"/>
    </row>
    <row r="58829" spans="16:17" x14ac:dyDescent="0.35">
      <c r="P58829" s="1"/>
    </row>
    <row r="58841" spans="16:17" x14ac:dyDescent="0.35">
      <c r="Q58841" s="1"/>
    </row>
    <row r="58845" spans="16:17" x14ac:dyDescent="0.35">
      <c r="P58845" s="1"/>
    </row>
    <row r="58846" spans="16:17" x14ac:dyDescent="0.35">
      <c r="P58846" s="1"/>
    </row>
    <row r="58850" spans="16:17" x14ac:dyDescent="0.35">
      <c r="P58850" s="1"/>
    </row>
    <row r="58851" spans="16:17" x14ac:dyDescent="0.35">
      <c r="P58851" s="1"/>
    </row>
    <row r="58856" spans="16:17" x14ac:dyDescent="0.35">
      <c r="Q58856" s="1"/>
    </row>
    <row r="58857" spans="16:17" x14ac:dyDescent="0.35">
      <c r="P58857" s="1"/>
    </row>
    <row r="58858" spans="16:17" x14ac:dyDescent="0.35">
      <c r="Q58858" s="1"/>
    </row>
    <row r="58859" spans="16:17" x14ac:dyDescent="0.35">
      <c r="Q58859" s="1"/>
    </row>
    <row r="58860" spans="16:17" x14ac:dyDescent="0.35">
      <c r="Q58860" s="1"/>
    </row>
    <row r="58862" spans="16:17" x14ac:dyDescent="0.35">
      <c r="P58862" s="1"/>
    </row>
    <row r="58864" spans="16:17" x14ac:dyDescent="0.35">
      <c r="P58864" s="1"/>
      <c r="Q58864" s="1"/>
    </row>
    <row r="58865" spans="16:17" x14ac:dyDescent="0.35">
      <c r="P58865" s="1"/>
    </row>
    <row r="58866" spans="16:17" x14ac:dyDescent="0.35">
      <c r="P58866" s="1"/>
    </row>
    <row r="58868" spans="16:17" x14ac:dyDescent="0.35">
      <c r="Q58868" s="1"/>
    </row>
    <row r="58870" spans="16:17" x14ac:dyDescent="0.35">
      <c r="P58870" s="1"/>
    </row>
    <row r="58871" spans="16:17" x14ac:dyDescent="0.35">
      <c r="P58871" s="1"/>
      <c r="Q58871" s="1"/>
    </row>
    <row r="58872" spans="16:17" x14ac:dyDescent="0.35">
      <c r="Q58872" s="1"/>
    </row>
    <row r="58874" spans="16:17" x14ac:dyDescent="0.35">
      <c r="P58874" s="1"/>
    </row>
    <row r="58876" spans="16:17" x14ac:dyDescent="0.35">
      <c r="Q58876" s="1"/>
    </row>
    <row r="58880" spans="16:17" x14ac:dyDescent="0.35">
      <c r="P58880" s="1"/>
    </row>
    <row r="58882" spans="16:17" x14ac:dyDescent="0.35">
      <c r="P58882" s="1"/>
      <c r="Q58882" s="1"/>
    </row>
    <row r="58883" spans="16:17" x14ac:dyDescent="0.35">
      <c r="P58883" s="1"/>
      <c r="Q58883" s="1"/>
    </row>
    <row r="58884" spans="16:17" x14ac:dyDescent="0.35">
      <c r="P58884" s="1"/>
    </row>
    <row r="58885" spans="16:17" x14ac:dyDescent="0.35">
      <c r="P58885" s="1"/>
    </row>
    <row r="58886" spans="16:17" x14ac:dyDescent="0.35">
      <c r="P58886" s="1"/>
    </row>
    <row r="58888" spans="16:17" x14ac:dyDescent="0.35">
      <c r="Q58888" s="1"/>
    </row>
    <row r="58893" spans="16:17" x14ac:dyDescent="0.35">
      <c r="P58893" s="1"/>
    </row>
    <row r="58896" spans="16:17" x14ac:dyDescent="0.35">
      <c r="P58896" s="1"/>
    </row>
    <row r="58897" spans="16:17" x14ac:dyDescent="0.35">
      <c r="P58897" s="1"/>
    </row>
    <row r="58899" spans="16:17" x14ac:dyDescent="0.35">
      <c r="P58899" s="1"/>
    </row>
    <row r="58900" spans="16:17" x14ac:dyDescent="0.35">
      <c r="Q58900" s="1"/>
    </row>
    <row r="58901" spans="16:17" x14ac:dyDescent="0.35">
      <c r="P58901" s="1"/>
    </row>
    <row r="58906" spans="16:17" x14ac:dyDescent="0.35">
      <c r="Q58906" s="1"/>
    </row>
    <row r="58907" spans="16:17" x14ac:dyDescent="0.35">
      <c r="P58907" s="1"/>
    </row>
    <row r="58908" spans="16:17" x14ac:dyDescent="0.35">
      <c r="P58908" s="1"/>
    </row>
    <row r="58909" spans="16:17" x14ac:dyDescent="0.35">
      <c r="Q58909" s="1"/>
    </row>
    <row r="58920" spans="16:17" x14ac:dyDescent="0.35">
      <c r="P58920" s="1"/>
    </row>
    <row r="58923" spans="16:17" x14ac:dyDescent="0.35">
      <c r="Q58923" s="1"/>
    </row>
    <row r="58924" spans="16:17" x14ac:dyDescent="0.35">
      <c r="P58924" s="1"/>
    </row>
    <row r="58926" spans="16:17" x14ac:dyDescent="0.35">
      <c r="P58926" s="1"/>
    </row>
    <row r="58936" spans="16:17" x14ac:dyDescent="0.35">
      <c r="Q58936" s="1"/>
    </row>
    <row r="58942" spans="16:17" x14ac:dyDescent="0.35">
      <c r="P58942" s="1"/>
    </row>
    <row r="58943" spans="16:17" x14ac:dyDescent="0.35">
      <c r="Q58943" s="1"/>
    </row>
    <row r="58948" spans="16:17" x14ac:dyDescent="0.35">
      <c r="P58948" s="1"/>
    </row>
    <row r="58956" spans="16:17" x14ac:dyDescent="0.35">
      <c r="P58956" s="1"/>
    </row>
    <row r="58957" spans="16:17" x14ac:dyDescent="0.35">
      <c r="Q58957" s="1"/>
    </row>
    <row r="58958" spans="16:17" x14ac:dyDescent="0.35">
      <c r="Q58958" s="1"/>
    </row>
    <row r="58961" spans="16:17" x14ac:dyDescent="0.35">
      <c r="P58961" s="1"/>
    </row>
    <row r="58962" spans="16:17" x14ac:dyDescent="0.35">
      <c r="Q58962" s="1"/>
    </row>
    <row r="58964" spans="16:17" x14ac:dyDescent="0.35">
      <c r="P58964" s="1"/>
      <c r="Q58964" s="1"/>
    </row>
    <row r="58966" spans="16:17" x14ac:dyDescent="0.35">
      <c r="Q58966" s="1"/>
    </row>
    <row r="58973" spans="16:17" x14ac:dyDescent="0.35">
      <c r="P58973" s="1"/>
      <c r="Q58973" s="1"/>
    </row>
    <row r="58974" spans="16:17" x14ac:dyDescent="0.35">
      <c r="P58974" s="1"/>
    </row>
    <row r="58975" spans="16:17" x14ac:dyDescent="0.35">
      <c r="Q58975" s="1"/>
    </row>
    <row r="58977" spans="16:17" x14ac:dyDescent="0.35">
      <c r="Q58977" s="1"/>
    </row>
    <row r="58979" spans="16:17" x14ac:dyDescent="0.35">
      <c r="P58979" s="1"/>
    </row>
    <row r="58980" spans="16:17" x14ac:dyDescent="0.35">
      <c r="Q58980" s="1"/>
    </row>
    <row r="58981" spans="16:17" x14ac:dyDescent="0.35">
      <c r="P58981" s="1"/>
    </row>
    <row r="58982" spans="16:17" x14ac:dyDescent="0.35">
      <c r="P58982" s="1"/>
    </row>
    <row r="58983" spans="16:17" x14ac:dyDescent="0.35">
      <c r="Q58983" s="1"/>
    </row>
    <row r="58990" spans="16:17" x14ac:dyDescent="0.35">
      <c r="P58990" s="1"/>
      <c r="Q58990" s="1"/>
    </row>
    <row r="58994" spans="16:17" x14ac:dyDescent="0.35">
      <c r="P58994" s="1"/>
    </row>
    <row r="58996" spans="16:17" x14ac:dyDescent="0.35">
      <c r="Q58996" s="1"/>
    </row>
    <row r="58999" spans="16:17" x14ac:dyDescent="0.35">
      <c r="Q58999" s="1"/>
    </row>
    <row r="59000" spans="16:17" x14ac:dyDescent="0.35">
      <c r="Q59000" s="1"/>
    </row>
    <row r="59046" spans="16:17" x14ac:dyDescent="0.35">
      <c r="P59046" s="1"/>
    </row>
    <row r="59048" spans="16:17" x14ac:dyDescent="0.35">
      <c r="P59048" s="1"/>
    </row>
    <row r="59049" spans="16:17" x14ac:dyDescent="0.35">
      <c r="P59049" s="1"/>
    </row>
    <row r="59052" spans="16:17" x14ac:dyDescent="0.35">
      <c r="Q59052" s="1"/>
    </row>
    <row r="59053" spans="16:17" x14ac:dyDescent="0.35">
      <c r="Q59053" s="1"/>
    </row>
    <row r="59064" spans="16:16" x14ac:dyDescent="0.35">
      <c r="P59064" s="1"/>
    </row>
    <row r="59088" spans="16:16" x14ac:dyDescent="0.35">
      <c r="P59088" s="1"/>
    </row>
    <row r="59089" spans="16:16" x14ac:dyDescent="0.35">
      <c r="P59089" s="1"/>
    </row>
    <row r="59090" spans="16:16" x14ac:dyDescent="0.35">
      <c r="P59090" s="1"/>
    </row>
    <row r="59107" spans="16:17" x14ac:dyDescent="0.35">
      <c r="Q59107" s="1"/>
    </row>
    <row r="59113" spans="16:17" x14ac:dyDescent="0.35">
      <c r="P59113" s="1"/>
    </row>
    <row r="59128" spans="16:17" x14ac:dyDescent="0.35">
      <c r="Q59128" s="1"/>
    </row>
    <row r="59131" spans="16:17" x14ac:dyDescent="0.35">
      <c r="P59131" s="1"/>
    </row>
    <row r="59134" spans="16:17" x14ac:dyDescent="0.35">
      <c r="P59134" s="1"/>
    </row>
    <row r="59135" spans="16:17" x14ac:dyDescent="0.35">
      <c r="P59135" s="1"/>
    </row>
    <row r="59137" spans="16:16" x14ac:dyDescent="0.35">
      <c r="P59137" s="1"/>
    </row>
    <row r="59141" spans="16:16" x14ac:dyDescent="0.35">
      <c r="P59141" s="1"/>
    </row>
    <row r="59145" spans="16:16" x14ac:dyDescent="0.35">
      <c r="P59145" s="1"/>
    </row>
    <row r="59149" spans="16:16" x14ac:dyDescent="0.35">
      <c r="P59149" s="1"/>
    </row>
    <row r="59194" spans="16:17" x14ac:dyDescent="0.35">
      <c r="P59194" s="1"/>
    </row>
    <row r="59200" spans="16:17" x14ac:dyDescent="0.35">
      <c r="Q59200" s="1"/>
    </row>
    <row r="59211" spans="11:17" x14ac:dyDescent="0.35">
      <c r="K59211" s="1"/>
    </row>
    <row r="59212" spans="11:17" x14ac:dyDescent="0.35">
      <c r="Q59212" s="1"/>
    </row>
    <row r="59214" spans="11:17" x14ac:dyDescent="0.35">
      <c r="P59214" s="1"/>
    </row>
    <row r="59225" spans="16:17" x14ac:dyDescent="0.35">
      <c r="P59225" s="1"/>
    </row>
    <row r="59229" spans="16:17" x14ac:dyDescent="0.35">
      <c r="Q59229" s="1"/>
    </row>
    <row r="59230" spans="16:17" x14ac:dyDescent="0.35">
      <c r="P59230" s="1"/>
    </row>
    <row r="59233" spans="16:17" x14ac:dyDescent="0.35">
      <c r="Q59233" s="1"/>
    </row>
    <row r="59234" spans="16:17" x14ac:dyDescent="0.35">
      <c r="Q59234" s="1"/>
    </row>
    <row r="59236" spans="16:17" x14ac:dyDescent="0.35">
      <c r="P59236" s="1"/>
    </row>
    <row r="59238" spans="16:17" x14ac:dyDescent="0.35">
      <c r="P59238" s="1"/>
    </row>
    <row r="59241" spans="16:17" x14ac:dyDescent="0.35">
      <c r="Q59241" s="1"/>
    </row>
    <row r="59247" spans="16:17" x14ac:dyDescent="0.35">
      <c r="Q59247" s="1"/>
    </row>
    <row r="59255" spans="16:17" x14ac:dyDescent="0.35">
      <c r="P59255" s="1"/>
    </row>
    <row r="59258" spans="16:17" x14ac:dyDescent="0.35">
      <c r="P59258" s="1"/>
    </row>
    <row r="59260" spans="16:17" x14ac:dyDescent="0.35">
      <c r="P59260" s="1"/>
    </row>
    <row r="59263" spans="16:17" x14ac:dyDescent="0.35">
      <c r="Q59263" s="1"/>
    </row>
    <row r="59264" spans="16:17" x14ac:dyDescent="0.35">
      <c r="P59264" s="1"/>
    </row>
    <row r="59276" spans="11:11" x14ac:dyDescent="0.35">
      <c r="K59276" s="1"/>
    </row>
    <row r="59282" spans="16:16" x14ac:dyDescent="0.35">
      <c r="P59282" s="1"/>
    </row>
    <row r="59285" spans="16:16" x14ac:dyDescent="0.35">
      <c r="P59285" s="1"/>
    </row>
    <row r="59288" spans="16:16" x14ac:dyDescent="0.35">
      <c r="P59288" s="1"/>
    </row>
    <row r="59297" spans="16:17" x14ac:dyDescent="0.35">
      <c r="P59297" s="1"/>
      <c r="Q59297" s="1"/>
    </row>
    <row r="59316" spans="16:17" x14ac:dyDescent="0.35">
      <c r="Q59316" s="1"/>
    </row>
    <row r="59319" spans="16:17" x14ac:dyDescent="0.35">
      <c r="P59319" s="1"/>
    </row>
    <row r="59325" spans="16:17" x14ac:dyDescent="0.35">
      <c r="P59325" s="1"/>
    </row>
    <row r="59333" spans="16:17" x14ac:dyDescent="0.35">
      <c r="P59333" s="1"/>
    </row>
    <row r="59334" spans="16:17" x14ac:dyDescent="0.35">
      <c r="P59334" s="1"/>
    </row>
    <row r="59335" spans="16:17" x14ac:dyDescent="0.35">
      <c r="P59335" s="1"/>
    </row>
    <row r="59337" spans="16:17" x14ac:dyDescent="0.35">
      <c r="P59337" s="1"/>
      <c r="Q59337" s="1"/>
    </row>
    <row r="59341" spans="16:17" x14ac:dyDescent="0.35">
      <c r="Q59341" s="1"/>
    </row>
    <row r="59345" spans="16:17" x14ac:dyDescent="0.35">
      <c r="P59345" s="1"/>
    </row>
    <row r="59347" spans="16:17" x14ac:dyDescent="0.35">
      <c r="P59347" s="1"/>
    </row>
    <row r="59358" spans="16:17" x14ac:dyDescent="0.35">
      <c r="P59358" s="1"/>
    </row>
    <row r="59359" spans="16:17" x14ac:dyDescent="0.35">
      <c r="Q59359" s="1"/>
    </row>
    <row r="59360" spans="16:17" x14ac:dyDescent="0.35">
      <c r="Q59360" s="1"/>
    </row>
    <row r="59363" spans="16:17" x14ac:dyDescent="0.35">
      <c r="Q59363" s="1"/>
    </row>
    <row r="59366" spans="16:17" x14ac:dyDescent="0.35">
      <c r="Q59366" s="1"/>
    </row>
    <row r="59367" spans="16:17" x14ac:dyDescent="0.35">
      <c r="Q59367" s="1"/>
    </row>
    <row r="59375" spans="16:17" x14ac:dyDescent="0.35">
      <c r="P59375" s="1"/>
    </row>
    <row r="59382" spans="16:16" x14ac:dyDescent="0.35">
      <c r="P59382" s="1"/>
    </row>
    <row r="59385" spans="16:16" x14ac:dyDescent="0.35">
      <c r="P59385" s="1"/>
    </row>
    <row r="59391" spans="16:16" x14ac:dyDescent="0.35">
      <c r="P59391" s="1"/>
    </row>
    <row r="59403" spans="16:16" x14ac:dyDescent="0.35">
      <c r="P59403" s="1"/>
    </row>
    <row r="59410" spans="16:17" x14ac:dyDescent="0.35">
      <c r="P59410" s="1"/>
    </row>
    <row r="59411" spans="16:17" x14ac:dyDescent="0.35">
      <c r="P59411" s="1"/>
    </row>
    <row r="59412" spans="16:17" x14ac:dyDescent="0.35">
      <c r="P59412" s="1"/>
    </row>
    <row r="59414" spans="16:17" x14ac:dyDescent="0.35">
      <c r="P59414" s="1"/>
    </row>
    <row r="59415" spans="16:17" x14ac:dyDescent="0.35">
      <c r="P59415" s="1"/>
      <c r="Q59415" s="1"/>
    </row>
    <row r="59426" spans="16:17" x14ac:dyDescent="0.35">
      <c r="Q59426" s="1"/>
    </row>
    <row r="59428" spans="16:17" x14ac:dyDescent="0.35">
      <c r="P59428" s="1"/>
    </row>
    <row r="59430" spans="16:17" x14ac:dyDescent="0.35">
      <c r="P59430" s="1"/>
    </row>
    <row r="59434" spans="16:17" x14ac:dyDescent="0.35">
      <c r="P59434" s="1"/>
    </row>
    <row r="59435" spans="16:17" x14ac:dyDescent="0.35">
      <c r="P59435" s="1"/>
    </row>
    <row r="59439" spans="16:17" x14ac:dyDescent="0.35">
      <c r="P59439" s="1"/>
    </row>
    <row r="59441" spans="16:17" x14ac:dyDescent="0.35">
      <c r="P59441" s="1"/>
      <c r="Q59441" s="1"/>
    </row>
    <row r="59443" spans="16:17" x14ac:dyDescent="0.35">
      <c r="P59443" s="1"/>
    </row>
    <row r="59445" spans="16:17" x14ac:dyDescent="0.35">
      <c r="P59445" s="1"/>
    </row>
    <row r="59461" spans="16:17" x14ac:dyDescent="0.35">
      <c r="Q59461" s="1"/>
    </row>
    <row r="59464" spans="16:17" x14ac:dyDescent="0.35">
      <c r="P59464" s="1"/>
    </row>
    <row r="59465" spans="16:17" x14ac:dyDescent="0.35">
      <c r="P59465" s="1"/>
    </row>
    <row r="59472" spans="16:17" x14ac:dyDescent="0.35">
      <c r="Q59472" s="1"/>
    </row>
    <row r="59475" spans="16:17" x14ac:dyDescent="0.35">
      <c r="Q59475" s="1"/>
    </row>
    <row r="59476" spans="16:17" x14ac:dyDescent="0.35">
      <c r="P59476" s="1"/>
    </row>
    <row r="59483" spans="16:17" x14ac:dyDescent="0.35">
      <c r="P59483" s="1"/>
    </row>
    <row r="59490" spans="16:17" x14ac:dyDescent="0.35">
      <c r="P59490" s="1"/>
    </row>
    <row r="59498" spans="16:17" x14ac:dyDescent="0.35">
      <c r="Q59498" s="1"/>
    </row>
    <row r="59499" spans="16:17" x14ac:dyDescent="0.35">
      <c r="Q59499" s="1"/>
    </row>
    <row r="59508" spans="16:17" x14ac:dyDescent="0.35">
      <c r="P59508" s="1"/>
    </row>
    <row r="59512" spans="16:17" x14ac:dyDescent="0.35">
      <c r="Q59512" s="1"/>
    </row>
    <row r="59513" spans="16:17" x14ac:dyDescent="0.35">
      <c r="Q59513" s="1"/>
    </row>
    <row r="59517" spans="16:17" x14ac:dyDescent="0.35">
      <c r="P59517" s="1"/>
    </row>
    <row r="59518" spans="16:17" x14ac:dyDescent="0.35">
      <c r="Q59518" s="1"/>
    </row>
    <row r="59519" spans="16:17" x14ac:dyDescent="0.35">
      <c r="P59519" s="1"/>
    </row>
    <row r="59522" spans="16:17" x14ac:dyDescent="0.35">
      <c r="Q59522" s="1"/>
    </row>
    <row r="59524" spans="16:17" x14ac:dyDescent="0.35">
      <c r="P59524" s="1"/>
    </row>
    <row r="59528" spans="16:17" x14ac:dyDescent="0.35">
      <c r="P59528" s="1"/>
    </row>
    <row r="59533" spans="16:17" x14ac:dyDescent="0.35">
      <c r="P59533" s="1"/>
    </row>
    <row r="59534" spans="16:17" x14ac:dyDescent="0.35">
      <c r="P59534" s="1"/>
    </row>
    <row r="59541" spans="16:16" x14ac:dyDescent="0.35">
      <c r="P59541" s="1"/>
    </row>
    <row r="59542" spans="16:16" x14ac:dyDescent="0.35">
      <c r="P59542" s="1"/>
    </row>
    <row r="59545" spans="16:16" x14ac:dyDescent="0.35">
      <c r="P59545" s="1"/>
    </row>
    <row r="59548" spans="16:16" x14ac:dyDescent="0.35">
      <c r="P59548" s="1"/>
    </row>
    <row r="59554" spans="16:16" x14ac:dyDescent="0.35">
      <c r="P59554" s="1"/>
    </row>
    <row r="59564" spans="16:16" x14ac:dyDescent="0.35">
      <c r="P59564" s="1"/>
    </row>
    <row r="59567" spans="16:16" x14ac:dyDescent="0.35">
      <c r="P59567" s="1"/>
    </row>
    <row r="59573" spans="16:16" x14ac:dyDescent="0.35">
      <c r="P59573" s="1"/>
    </row>
    <row r="59579" spans="16:16" x14ac:dyDescent="0.35">
      <c r="P59579" s="1"/>
    </row>
    <row r="59584" spans="16:16" x14ac:dyDescent="0.35">
      <c r="P59584" s="1"/>
    </row>
    <row r="59586" spans="16:17" x14ac:dyDescent="0.35">
      <c r="P59586" s="1"/>
    </row>
    <row r="59588" spans="16:17" x14ac:dyDescent="0.35">
      <c r="Q59588" s="1"/>
    </row>
    <row r="59596" spans="16:17" x14ac:dyDescent="0.35">
      <c r="P59596" s="1"/>
    </row>
    <row r="59597" spans="16:17" x14ac:dyDescent="0.35">
      <c r="P59597" s="1"/>
    </row>
    <row r="59600" spans="16:17" x14ac:dyDescent="0.35">
      <c r="P59600" s="1"/>
    </row>
    <row r="59605" spans="16:17" x14ac:dyDescent="0.35">
      <c r="Q59605" s="1"/>
    </row>
    <row r="59606" spans="16:17" x14ac:dyDescent="0.35">
      <c r="P59606" s="1"/>
    </row>
    <row r="59612" spans="16:17" x14ac:dyDescent="0.35">
      <c r="P59612" s="1"/>
    </row>
    <row r="59626" spans="6:16" x14ac:dyDescent="0.35">
      <c r="F59626" s="6"/>
    </row>
    <row r="59627" spans="6:16" x14ac:dyDescent="0.35">
      <c r="P59627" s="1"/>
    </row>
    <row r="59637" spans="16:17" x14ac:dyDescent="0.35">
      <c r="Q59637" s="1"/>
    </row>
    <row r="59639" spans="16:17" x14ac:dyDescent="0.35">
      <c r="P59639" s="1"/>
    </row>
    <row r="59641" spans="16:17" x14ac:dyDescent="0.35">
      <c r="P59641" s="1"/>
    </row>
    <row r="59645" spans="16:17" x14ac:dyDescent="0.35">
      <c r="Q59645" s="1"/>
    </row>
    <row r="59648" spans="16:17" x14ac:dyDescent="0.35">
      <c r="Q59648" s="1"/>
    </row>
    <row r="59657" spans="16:17" x14ac:dyDescent="0.35">
      <c r="Q59657" s="1"/>
    </row>
    <row r="59662" spans="16:17" x14ac:dyDescent="0.35">
      <c r="P59662" s="1"/>
      <c r="Q59662" s="1"/>
    </row>
    <row r="59666" spans="16:17" x14ac:dyDescent="0.35">
      <c r="P59666" s="1"/>
    </row>
    <row r="59669" spans="16:17" x14ac:dyDescent="0.35">
      <c r="P59669" s="1"/>
    </row>
    <row r="59671" spans="16:17" x14ac:dyDescent="0.35">
      <c r="P59671" s="1"/>
    </row>
    <row r="59676" spans="16:17" x14ac:dyDescent="0.35">
      <c r="Q59676" s="1"/>
    </row>
    <row r="59677" spans="16:17" x14ac:dyDescent="0.35">
      <c r="P59677" s="1"/>
    </row>
    <row r="59681" spans="16:17" x14ac:dyDescent="0.35">
      <c r="P59681" s="1"/>
    </row>
    <row r="59683" spans="16:17" x14ac:dyDescent="0.35">
      <c r="P59683" s="1"/>
    </row>
    <row r="59686" spans="16:17" x14ac:dyDescent="0.35">
      <c r="P59686" s="1"/>
    </row>
    <row r="59688" spans="16:17" x14ac:dyDescent="0.35">
      <c r="Q59688" s="1"/>
    </row>
    <row r="59690" spans="16:17" x14ac:dyDescent="0.35">
      <c r="P59690" s="1"/>
    </row>
    <row r="59691" spans="16:17" x14ac:dyDescent="0.35">
      <c r="P59691" s="1"/>
    </row>
    <row r="59694" spans="16:17" x14ac:dyDescent="0.35">
      <c r="P59694" s="1"/>
    </row>
    <row r="59697" spans="16:16" x14ac:dyDescent="0.35">
      <c r="P59697" s="1"/>
    </row>
    <row r="59721" spans="16:16" x14ac:dyDescent="0.35">
      <c r="P59721" s="1"/>
    </row>
    <row r="59733" spans="16:16" x14ac:dyDescent="0.35">
      <c r="P59733" s="1"/>
    </row>
    <row r="59735" spans="16:16" x14ac:dyDescent="0.35">
      <c r="P59735" s="1"/>
    </row>
    <row r="59744" spans="16:16" x14ac:dyDescent="0.35">
      <c r="P59744" s="1"/>
    </row>
    <row r="59758" spans="16:16" x14ac:dyDescent="0.35">
      <c r="P59758" s="1"/>
    </row>
    <row r="59761" spans="16:17" x14ac:dyDescent="0.35">
      <c r="Q59761" s="1"/>
    </row>
    <row r="59766" spans="16:17" x14ac:dyDescent="0.35">
      <c r="P59766" s="1"/>
    </row>
    <row r="59775" spans="16:17" x14ac:dyDescent="0.35">
      <c r="P59775" s="1"/>
    </row>
    <row r="59788" spans="16:16" x14ac:dyDescent="0.35">
      <c r="P59788" s="1"/>
    </row>
    <row r="59795" spans="16:17" x14ac:dyDescent="0.35">
      <c r="P59795" s="1"/>
    </row>
    <row r="59796" spans="16:17" x14ac:dyDescent="0.35">
      <c r="P59796" s="1"/>
    </row>
    <row r="59800" spans="16:17" x14ac:dyDescent="0.35">
      <c r="P59800" s="1"/>
    </row>
    <row r="59802" spans="16:17" x14ac:dyDescent="0.35">
      <c r="Q59802" s="1"/>
    </row>
    <row r="59803" spans="16:17" x14ac:dyDescent="0.35">
      <c r="Q59803" s="1"/>
    </row>
    <row r="59810" spans="16:17" x14ac:dyDescent="0.35">
      <c r="Q59810" s="1"/>
    </row>
    <row r="59811" spans="16:17" x14ac:dyDescent="0.35">
      <c r="P59811" s="1"/>
    </row>
    <row r="59816" spans="16:17" x14ac:dyDescent="0.35">
      <c r="Q59816" s="1"/>
    </row>
    <row r="59825" spans="16:16" x14ac:dyDescent="0.35">
      <c r="P59825" s="1"/>
    </row>
    <row r="59839" spans="16:16" x14ac:dyDescent="0.35">
      <c r="P59839" s="1"/>
    </row>
    <row r="59840" spans="16:16" x14ac:dyDescent="0.35">
      <c r="P59840" s="1"/>
    </row>
    <row r="59842" spans="16:17" x14ac:dyDescent="0.35">
      <c r="P59842" s="1"/>
    </row>
    <row r="59843" spans="16:17" x14ac:dyDescent="0.35">
      <c r="P59843" s="1"/>
    </row>
    <row r="59844" spans="16:17" x14ac:dyDescent="0.35">
      <c r="P59844" s="1"/>
    </row>
    <row r="59855" spans="16:17" x14ac:dyDescent="0.35">
      <c r="Q59855" s="1"/>
    </row>
    <row r="59860" spans="16:17" x14ac:dyDescent="0.35">
      <c r="P59860" s="1"/>
      <c r="Q59860" s="1"/>
    </row>
    <row r="59862" spans="16:17" x14ac:dyDescent="0.35">
      <c r="Q59862" s="1"/>
    </row>
    <row r="59863" spans="16:17" x14ac:dyDescent="0.35">
      <c r="Q59863" s="1"/>
    </row>
    <row r="59866" spans="16:17" x14ac:dyDescent="0.35">
      <c r="P59866" s="1"/>
    </row>
    <row r="59869" spans="16:17" x14ac:dyDescent="0.35">
      <c r="P59869" s="1"/>
      <c r="Q59869" s="1"/>
    </row>
    <row r="59873" spans="11:17" x14ac:dyDescent="0.35">
      <c r="Q59873" s="1"/>
    </row>
    <row r="59877" spans="11:17" x14ac:dyDescent="0.35">
      <c r="P59877" s="1"/>
    </row>
    <row r="59883" spans="11:17" x14ac:dyDescent="0.35">
      <c r="P59883" s="1"/>
    </row>
    <row r="59884" spans="11:17" x14ac:dyDescent="0.35">
      <c r="K59884" s="1"/>
    </row>
    <row r="59887" spans="11:17" x14ac:dyDescent="0.35">
      <c r="Q59887" s="1"/>
    </row>
    <row r="59888" spans="11:17" x14ac:dyDescent="0.35">
      <c r="P59888" s="1"/>
    </row>
    <row r="59889" spans="16:17" x14ac:dyDescent="0.35">
      <c r="Q59889" s="1"/>
    </row>
    <row r="59894" spans="16:17" x14ac:dyDescent="0.35">
      <c r="P59894" s="1"/>
    </row>
    <row r="59895" spans="16:17" x14ac:dyDescent="0.35">
      <c r="Q59895" s="1"/>
    </row>
    <row r="59900" spans="16:17" x14ac:dyDescent="0.35">
      <c r="P59900" s="1"/>
    </row>
    <row r="59903" spans="16:17" x14ac:dyDescent="0.35">
      <c r="P59903" s="1"/>
    </row>
    <row r="59905" spans="16:17" x14ac:dyDescent="0.35">
      <c r="P59905" s="1"/>
    </row>
    <row r="59910" spans="16:17" x14ac:dyDescent="0.35">
      <c r="P59910" s="1"/>
    </row>
    <row r="59911" spans="16:17" x14ac:dyDescent="0.35">
      <c r="P59911" s="1"/>
    </row>
    <row r="59913" spans="16:17" x14ac:dyDescent="0.35">
      <c r="Q59913" s="1"/>
    </row>
    <row r="59914" spans="16:17" x14ac:dyDescent="0.35">
      <c r="P59914" s="1"/>
    </row>
    <row r="59920" spans="16:17" x14ac:dyDescent="0.35">
      <c r="Q59920" s="1"/>
    </row>
    <row r="59926" spans="6:16" x14ac:dyDescent="0.35">
      <c r="P59926" s="1"/>
    </row>
    <row r="59927" spans="6:16" x14ac:dyDescent="0.35">
      <c r="P59927" s="1"/>
    </row>
    <row r="59928" spans="6:16" x14ac:dyDescent="0.35">
      <c r="F59928" s="6"/>
    </row>
    <row r="59929" spans="6:16" x14ac:dyDescent="0.35">
      <c r="P59929" s="1"/>
    </row>
    <row r="59932" spans="6:16" x14ac:dyDescent="0.35">
      <c r="P59932" s="1"/>
    </row>
    <row r="59934" spans="6:16" x14ac:dyDescent="0.35">
      <c r="P59934" s="1"/>
    </row>
    <row r="59936" spans="6:16" x14ac:dyDescent="0.35">
      <c r="P59936" s="1"/>
    </row>
    <row r="59943" spans="16:17" x14ac:dyDescent="0.35">
      <c r="P59943" s="1"/>
    </row>
    <row r="59945" spans="16:17" x14ac:dyDescent="0.35">
      <c r="P59945" s="1"/>
    </row>
    <row r="59952" spans="16:17" x14ac:dyDescent="0.35">
      <c r="Q59952" s="1"/>
    </row>
    <row r="59973" spans="16:17" x14ac:dyDescent="0.35">
      <c r="P59973" s="1"/>
    </row>
    <row r="59978" spans="16:17" x14ac:dyDescent="0.35">
      <c r="Q59978" s="1"/>
    </row>
    <row r="59981" spans="16:17" x14ac:dyDescent="0.35">
      <c r="P59981" s="1"/>
    </row>
    <row r="59987" spans="16:17" x14ac:dyDescent="0.35">
      <c r="P59987" s="1"/>
    </row>
    <row r="59988" spans="16:17" x14ac:dyDescent="0.35">
      <c r="Q59988" s="1"/>
    </row>
    <row r="59989" spans="16:17" x14ac:dyDescent="0.35">
      <c r="P59989" s="1"/>
    </row>
    <row r="59990" spans="16:17" x14ac:dyDescent="0.35">
      <c r="P59990" s="1"/>
    </row>
    <row r="59993" spans="16:17" x14ac:dyDescent="0.35">
      <c r="P59993" s="1"/>
    </row>
    <row r="59995" spans="16:17" x14ac:dyDescent="0.35">
      <c r="P59995" s="1"/>
    </row>
    <row r="59996" spans="16:17" x14ac:dyDescent="0.35">
      <c r="Q59996" s="1"/>
    </row>
    <row r="59997" spans="16:17" x14ac:dyDescent="0.35">
      <c r="P59997" s="1"/>
    </row>
    <row r="60003" spans="17:17" x14ac:dyDescent="0.35">
      <c r="Q60003" s="1"/>
    </row>
    <row r="60006" spans="17:17" x14ac:dyDescent="0.35">
      <c r="Q60006" s="1"/>
    </row>
    <row r="60014" spans="17:17" x14ac:dyDescent="0.35">
      <c r="Q60014" s="1"/>
    </row>
    <row r="60016" spans="17:17" x14ac:dyDescent="0.35">
      <c r="Q60016" s="1"/>
    </row>
    <row r="60018" spans="17:17" x14ac:dyDescent="0.35">
      <c r="Q60018" s="1"/>
    </row>
    <row r="60029" spans="17:17" x14ac:dyDescent="0.35">
      <c r="Q60029" s="1"/>
    </row>
    <row r="60040" spans="17:17" x14ac:dyDescent="0.35">
      <c r="Q60040" s="1"/>
    </row>
    <row r="60061" spans="17:17" x14ac:dyDescent="0.35">
      <c r="Q60061" s="1"/>
    </row>
    <row r="60063" spans="17:17" x14ac:dyDescent="0.35">
      <c r="Q60063" s="1"/>
    </row>
    <row r="60072" spans="17:17" x14ac:dyDescent="0.35">
      <c r="Q60072" s="1"/>
    </row>
    <row r="60075" spans="17:17" x14ac:dyDescent="0.35">
      <c r="Q60075" s="1"/>
    </row>
    <row r="60096" spans="17:17" x14ac:dyDescent="0.35">
      <c r="Q60096" s="1"/>
    </row>
    <row r="60105" spans="17:17" x14ac:dyDescent="0.35">
      <c r="Q60105" s="1"/>
    </row>
    <row r="60106" spans="17:17" x14ac:dyDescent="0.35">
      <c r="Q60106" s="1"/>
    </row>
    <row r="60111" spans="17:17" x14ac:dyDescent="0.35">
      <c r="Q60111" s="1"/>
    </row>
    <row r="60119" spans="17:17" x14ac:dyDescent="0.35">
      <c r="Q60119" s="1"/>
    </row>
    <row r="60123" spans="17:17" x14ac:dyDescent="0.35">
      <c r="Q60123" s="1"/>
    </row>
    <row r="60127" spans="17:17" x14ac:dyDescent="0.35">
      <c r="Q60127" s="1"/>
    </row>
    <row r="60135" spans="17:17" x14ac:dyDescent="0.35">
      <c r="Q60135" s="1"/>
    </row>
    <row r="60140" spans="17:17" x14ac:dyDescent="0.35">
      <c r="Q60140" s="1"/>
    </row>
    <row r="60152" spans="17:17" x14ac:dyDescent="0.35">
      <c r="Q60152" s="1"/>
    </row>
    <row r="60161" spans="17:17" x14ac:dyDescent="0.35">
      <c r="Q60161" s="1"/>
    </row>
    <row r="60163" spans="17:17" x14ac:dyDescent="0.35">
      <c r="Q60163" s="1"/>
    </row>
    <row r="60169" spans="17:17" x14ac:dyDescent="0.35">
      <c r="Q60169" s="1"/>
    </row>
    <row r="60174" spans="17:17" x14ac:dyDescent="0.35">
      <c r="Q60174" s="1"/>
    </row>
    <row r="60177" spans="17:17" x14ac:dyDescent="0.35">
      <c r="Q60177" s="1"/>
    </row>
    <row r="60178" spans="17:17" x14ac:dyDescent="0.35">
      <c r="Q60178" s="1"/>
    </row>
    <row r="60179" spans="17:17" x14ac:dyDescent="0.35">
      <c r="Q60179" s="1"/>
    </row>
    <row r="60186" spans="17:17" x14ac:dyDescent="0.35">
      <c r="Q60186" s="1"/>
    </row>
    <row r="60196" spans="17:17" x14ac:dyDescent="0.35">
      <c r="Q60196" s="1"/>
    </row>
    <row r="60197" spans="17:17" x14ac:dyDescent="0.35">
      <c r="Q60197" s="1"/>
    </row>
    <row r="60205" spans="17:17" x14ac:dyDescent="0.35">
      <c r="Q60205" s="1"/>
    </row>
    <row r="60206" spans="17:17" x14ac:dyDescent="0.35">
      <c r="Q60206" s="1"/>
    </row>
    <row r="60208" spans="17:17" x14ac:dyDescent="0.35">
      <c r="Q60208" s="1"/>
    </row>
    <row r="60209" spans="17:17" x14ac:dyDescent="0.35">
      <c r="Q60209" s="1"/>
    </row>
    <row r="60221" spans="17:17" x14ac:dyDescent="0.35">
      <c r="Q60221" s="1"/>
    </row>
    <row r="60230" spans="16:17" x14ac:dyDescent="0.35">
      <c r="Q60230" s="1"/>
    </row>
    <row r="60231" spans="16:17" x14ac:dyDescent="0.35">
      <c r="P60231" s="1"/>
    </row>
    <row r="60235" spans="16:17" x14ac:dyDescent="0.35">
      <c r="Q60235" s="1"/>
    </row>
    <row r="60245" spans="17:17" x14ac:dyDescent="0.35">
      <c r="Q60245" s="1"/>
    </row>
    <row r="60247" spans="17:17" x14ac:dyDescent="0.35">
      <c r="Q60247" s="1"/>
    </row>
    <row r="60252" spans="17:17" x14ac:dyDescent="0.35">
      <c r="Q60252" s="1"/>
    </row>
    <row r="60256" spans="17:17" x14ac:dyDescent="0.35">
      <c r="Q60256" s="1"/>
    </row>
    <row r="60258" spans="17:17" x14ac:dyDescent="0.35">
      <c r="Q60258" s="1"/>
    </row>
    <row r="60261" spans="17:17" x14ac:dyDescent="0.35">
      <c r="Q60261" s="1"/>
    </row>
    <row r="60271" spans="17:17" x14ac:dyDescent="0.35">
      <c r="Q60271" s="1"/>
    </row>
    <row r="60279" spans="17:17" x14ac:dyDescent="0.35">
      <c r="Q60279" s="1"/>
    </row>
    <row r="60280" spans="17:17" x14ac:dyDescent="0.35">
      <c r="Q60280" s="1"/>
    </row>
    <row r="60284" spans="17:17" x14ac:dyDescent="0.35">
      <c r="Q60284" s="1"/>
    </row>
    <row r="60287" spans="17:17" x14ac:dyDescent="0.35">
      <c r="Q60287" s="1"/>
    </row>
    <row r="60290" spans="16:17" x14ac:dyDescent="0.35">
      <c r="Q60290" s="1"/>
    </row>
    <row r="60292" spans="16:17" x14ac:dyDescent="0.35">
      <c r="Q60292" s="1"/>
    </row>
    <row r="60294" spans="16:17" x14ac:dyDescent="0.35">
      <c r="Q60294" s="1"/>
    </row>
    <row r="60299" spans="16:17" x14ac:dyDescent="0.35">
      <c r="P60299" s="1"/>
      <c r="Q60299" s="1"/>
    </row>
    <row r="60302" spans="16:17" x14ac:dyDescent="0.35">
      <c r="Q60302" s="1"/>
    </row>
    <row r="60306" spans="17:17" x14ac:dyDescent="0.35">
      <c r="Q60306" s="1"/>
    </row>
    <row r="60321" spans="17:17" x14ac:dyDescent="0.35">
      <c r="Q60321" s="1"/>
    </row>
    <row r="60322" spans="17:17" x14ac:dyDescent="0.35">
      <c r="Q60322" s="1"/>
    </row>
    <row r="60328" spans="17:17" x14ac:dyDescent="0.35">
      <c r="Q60328" s="1"/>
    </row>
    <row r="60338" spans="17:17" x14ac:dyDescent="0.35">
      <c r="Q60338" s="1"/>
    </row>
    <row r="60340" spans="17:17" x14ac:dyDescent="0.35">
      <c r="Q60340" s="1"/>
    </row>
    <row r="60357" spans="17:17" x14ac:dyDescent="0.35">
      <c r="Q60357" s="1"/>
    </row>
    <row r="60359" spans="17:17" x14ac:dyDescent="0.35">
      <c r="Q60359" s="1"/>
    </row>
    <row r="60361" spans="17:17" x14ac:dyDescent="0.35">
      <c r="Q60361" s="1"/>
    </row>
    <row r="60382" spans="17:17" x14ac:dyDescent="0.35">
      <c r="Q60382" s="1"/>
    </row>
    <row r="60386" spans="17:17" x14ac:dyDescent="0.35">
      <c r="Q60386" s="1"/>
    </row>
    <row r="60391" spans="17:17" x14ac:dyDescent="0.35">
      <c r="Q60391" s="1"/>
    </row>
    <row r="60403" spans="17:17" x14ac:dyDescent="0.35">
      <c r="Q60403" s="1"/>
    </row>
    <row r="60406" spans="17:17" x14ac:dyDescent="0.35">
      <c r="Q60406" s="1"/>
    </row>
    <row r="60413" spans="17:17" x14ac:dyDescent="0.35">
      <c r="Q60413" s="1"/>
    </row>
    <row r="60420" spans="17:17" x14ac:dyDescent="0.35">
      <c r="Q60420" s="1"/>
    </row>
    <row r="60437" spans="17:17" x14ac:dyDescent="0.35">
      <c r="Q60437" s="1"/>
    </row>
    <row r="60443" spans="17:17" x14ac:dyDescent="0.35">
      <c r="Q60443" s="1"/>
    </row>
    <row r="60444" spans="17:17" x14ac:dyDescent="0.35">
      <c r="Q60444" s="1"/>
    </row>
    <row r="60447" spans="17:17" x14ac:dyDescent="0.35">
      <c r="Q60447" s="1"/>
    </row>
    <row r="60460" spans="17:17" x14ac:dyDescent="0.35">
      <c r="Q60460" s="1"/>
    </row>
    <row r="60465" spans="17:17" x14ac:dyDescent="0.35">
      <c r="Q60465" s="1"/>
    </row>
    <row r="60470" spans="17:17" x14ac:dyDescent="0.35">
      <c r="Q60470" s="1"/>
    </row>
    <row r="60474" spans="17:17" x14ac:dyDescent="0.35">
      <c r="Q60474" s="1"/>
    </row>
    <row r="60485" spans="17:17" x14ac:dyDescent="0.35">
      <c r="Q60485" s="1"/>
    </row>
    <row r="60494" spans="17:17" x14ac:dyDescent="0.35">
      <c r="Q60494" s="1"/>
    </row>
    <row r="60513" spans="17:17" x14ac:dyDescent="0.35">
      <c r="Q60513" s="1"/>
    </row>
    <row r="60521" spans="17:17" x14ac:dyDescent="0.35">
      <c r="Q60521" s="1"/>
    </row>
    <row r="60525" spans="17:17" x14ac:dyDescent="0.35">
      <c r="Q60525" s="1"/>
    </row>
    <row r="60531" spans="17:17" x14ac:dyDescent="0.35">
      <c r="Q60531" s="1"/>
    </row>
    <row r="60549" spans="16:16" x14ac:dyDescent="0.35">
      <c r="P60549" s="1"/>
    </row>
    <row r="60571" spans="17:17" x14ac:dyDescent="0.35">
      <c r="Q60571" s="1"/>
    </row>
    <row r="60573" spans="17:17" x14ac:dyDescent="0.35">
      <c r="Q60573" s="1"/>
    </row>
    <row r="60579" spans="17:17" x14ac:dyDescent="0.35">
      <c r="Q60579" s="1"/>
    </row>
    <row r="60581" spans="17:17" x14ac:dyDescent="0.35">
      <c r="Q60581" s="1"/>
    </row>
    <row r="60587" spans="17:17" x14ac:dyDescent="0.35">
      <c r="Q60587" s="1"/>
    </row>
    <row r="60592" spans="17:17" x14ac:dyDescent="0.35">
      <c r="Q60592" s="1"/>
    </row>
    <row r="60594" spans="17:17" x14ac:dyDescent="0.35">
      <c r="Q60594" s="1"/>
    </row>
    <row r="60612" spans="17:17" x14ac:dyDescent="0.35">
      <c r="Q60612" s="1"/>
    </row>
    <row r="60624" spans="17:17" x14ac:dyDescent="0.35">
      <c r="Q60624" s="1"/>
    </row>
    <row r="60632" spans="17:17" x14ac:dyDescent="0.35">
      <c r="Q60632" s="1"/>
    </row>
    <row r="60633" spans="17:17" x14ac:dyDescent="0.35">
      <c r="Q60633" s="1"/>
    </row>
    <row r="60638" spans="17:17" x14ac:dyDescent="0.35">
      <c r="Q60638" s="1"/>
    </row>
    <row r="60640" spans="17:17" x14ac:dyDescent="0.35">
      <c r="Q60640" s="1"/>
    </row>
    <row r="60645" spans="17:17" x14ac:dyDescent="0.35">
      <c r="Q60645" s="1"/>
    </row>
    <row r="60646" spans="17:17" x14ac:dyDescent="0.35">
      <c r="Q60646" s="1"/>
    </row>
    <row r="60659" spans="17:17" x14ac:dyDescent="0.35">
      <c r="Q60659" s="1"/>
    </row>
    <row r="60660" spans="17:17" x14ac:dyDescent="0.35">
      <c r="Q60660" s="1"/>
    </row>
    <row r="60661" spans="17:17" x14ac:dyDescent="0.35">
      <c r="Q60661" s="1"/>
    </row>
    <row r="60663" spans="17:17" x14ac:dyDescent="0.35">
      <c r="Q60663" s="1"/>
    </row>
    <row r="60665" spans="17:17" x14ac:dyDescent="0.35">
      <c r="Q60665" s="1"/>
    </row>
    <row r="60671" spans="17:17" x14ac:dyDescent="0.35">
      <c r="Q60671" s="1"/>
    </row>
    <row r="60674" spans="17:17" x14ac:dyDescent="0.35">
      <c r="Q60674" s="1"/>
    </row>
    <row r="60690" spans="17:17" x14ac:dyDescent="0.35">
      <c r="Q60690" s="1"/>
    </row>
    <row r="60706" spans="17:17" x14ac:dyDescent="0.35">
      <c r="Q60706" s="1"/>
    </row>
    <row r="60709" spans="17:17" x14ac:dyDescent="0.35">
      <c r="Q60709" s="1"/>
    </row>
    <row r="60712" spans="17:17" x14ac:dyDescent="0.35">
      <c r="Q60712" s="1"/>
    </row>
    <row r="60715" spans="17:17" x14ac:dyDescent="0.35">
      <c r="Q60715" s="1"/>
    </row>
    <row r="60719" spans="17:17" x14ac:dyDescent="0.35">
      <c r="Q60719" s="1"/>
    </row>
    <row r="60725" spans="17:17" x14ac:dyDescent="0.35">
      <c r="Q60725" s="1"/>
    </row>
    <row r="60732" spans="17:17" x14ac:dyDescent="0.35">
      <c r="Q60732" s="1"/>
    </row>
    <row r="60740" spans="17:17" x14ac:dyDescent="0.35">
      <c r="Q60740" s="1"/>
    </row>
    <row r="60751" spans="17:17" x14ac:dyDescent="0.35">
      <c r="Q60751" s="1"/>
    </row>
    <row r="60756" spans="17:17" x14ac:dyDescent="0.35">
      <c r="Q60756" s="1"/>
    </row>
    <row r="60758" spans="17:17" x14ac:dyDescent="0.35">
      <c r="Q60758" s="1"/>
    </row>
    <row r="60766" spans="17:17" x14ac:dyDescent="0.35">
      <c r="Q60766" s="1"/>
    </row>
    <row r="60772" spans="17:17" x14ac:dyDescent="0.35">
      <c r="Q60772" s="1"/>
    </row>
    <row r="60773" spans="17:17" x14ac:dyDescent="0.35">
      <c r="Q60773" s="1"/>
    </row>
    <row r="60776" spans="17:17" x14ac:dyDescent="0.35">
      <c r="Q60776" s="1"/>
    </row>
    <row r="60789" spans="17:17" x14ac:dyDescent="0.35">
      <c r="Q60789" s="1"/>
    </row>
    <row r="60807" spans="17:17" x14ac:dyDescent="0.35">
      <c r="Q60807" s="1"/>
    </row>
    <row r="60808" spans="17:17" x14ac:dyDescent="0.35">
      <c r="Q60808" s="1"/>
    </row>
    <row r="60811" spans="17:17" x14ac:dyDescent="0.35">
      <c r="Q60811" s="1"/>
    </row>
    <row r="60814" spans="17:17" x14ac:dyDescent="0.35">
      <c r="Q60814" s="1"/>
    </row>
    <row r="60819" spans="17:17" x14ac:dyDescent="0.35">
      <c r="Q60819" s="1"/>
    </row>
    <row r="60834" spans="17:17" x14ac:dyDescent="0.35">
      <c r="Q60834" s="1"/>
    </row>
    <row r="60839" spans="17:17" x14ac:dyDescent="0.35">
      <c r="Q60839" s="1"/>
    </row>
    <row r="60850" spans="17:17" x14ac:dyDescent="0.35">
      <c r="Q60850" s="1"/>
    </row>
    <row r="60856" spans="17:17" x14ac:dyDescent="0.35">
      <c r="Q60856" s="1"/>
    </row>
    <row r="60859" spans="17:17" x14ac:dyDescent="0.35">
      <c r="Q60859" s="1"/>
    </row>
    <row r="60877" spans="17:17" x14ac:dyDescent="0.35">
      <c r="Q60877" s="1"/>
    </row>
    <row r="60878" spans="17:17" x14ac:dyDescent="0.35">
      <c r="Q60878" s="1"/>
    </row>
    <row r="60889" spans="17:17" x14ac:dyDescent="0.35">
      <c r="Q60889" s="1"/>
    </row>
    <row r="60890" spans="17:17" x14ac:dyDescent="0.35">
      <c r="Q60890" s="1"/>
    </row>
    <row r="60891" spans="17:17" x14ac:dyDescent="0.35">
      <c r="Q60891" s="1"/>
    </row>
    <row r="60903" spans="17:17" x14ac:dyDescent="0.35">
      <c r="Q60903" s="1"/>
    </row>
    <row r="60909" spans="17:17" x14ac:dyDescent="0.35">
      <c r="Q60909" s="1"/>
    </row>
    <row r="60917" spans="17:17" x14ac:dyDescent="0.35">
      <c r="Q60917" s="1"/>
    </row>
    <row r="60929" spans="17:17" x14ac:dyDescent="0.35">
      <c r="Q60929" s="1"/>
    </row>
    <row r="60954" spans="17:17" x14ac:dyDescent="0.35">
      <c r="Q60954" s="1"/>
    </row>
    <row r="60961" spans="17:17" x14ac:dyDescent="0.35">
      <c r="Q60961" s="1"/>
    </row>
    <row r="60964" spans="17:17" x14ac:dyDescent="0.35">
      <c r="Q60964" s="1"/>
    </row>
    <row r="60966" spans="17:17" x14ac:dyDescent="0.35">
      <c r="Q60966" s="1"/>
    </row>
    <row r="60967" spans="17:17" x14ac:dyDescent="0.35">
      <c r="Q60967" s="1"/>
    </row>
    <row r="60971" spans="17:17" x14ac:dyDescent="0.35">
      <c r="Q60971" s="1"/>
    </row>
    <row r="60977" spans="17:17" x14ac:dyDescent="0.35">
      <c r="Q60977" s="1"/>
    </row>
    <row r="60985" spans="17:17" x14ac:dyDescent="0.35">
      <c r="Q60985" s="1"/>
    </row>
    <row r="60987" spans="17:17" x14ac:dyDescent="0.35">
      <c r="Q60987" s="1"/>
    </row>
    <row r="60991" spans="17:17" x14ac:dyDescent="0.35">
      <c r="Q60991" s="1"/>
    </row>
    <row r="60994" spans="17:17" x14ac:dyDescent="0.35">
      <c r="Q60994" s="1"/>
    </row>
    <row r="60998" spans="17:17" x14ac:dyDescent="0.35">
      <c r="Q60998" s="1"/>
    </row>
    <row r="61004" spans="17:17" x14ac:dyDescent="0.35">
      <c r="Q61004" s="1"/>
    </row>
    <row r="61008" spans="17:17" x14ac:dyDescent="0.35">
      <c r="Q61008" s="1"/>
    </row>
    <row r="61010" spans="16:17" x14ac:dyDescent="0.35">
      <c r="Q61010" s="1"/>
    </row>
    <row r="61012" spans="16:17" x14ac:dyDescent="0.35">
      <c r="Q61012" s="1"/>
    </row>
    <row r="61016" spans="16:17" x14ac:dyDescent="0.35">
      <c r="Q61016" s="1"/>
    </row>
    <row r="61019" spans="16:17" x14ac:dyDescent="0.35">
      <c r="Q61019" s="1"/>
    </row>
    <row r="61020" spans="16:17" x14ac:dyDescent="0.35">
      <c r="Q61020" s="1"/>
    </row>
    <row r="61021" spans="16:17" x14ac:dyDescent="0.35">
      <c r="P61021" s="1"/>
    </row>
    <row r="61030" spans="17:17" x14ac:dyDescent="0.35">
      <c r="Q61030" s="1"/>
    </row>
    <row r="61033" spans="17:17" x14ac:dyDescent="0.35">
      <c r="Q61033" s="1"/>
    </row>
    <row r="61036" spans="17:17" x14ac:dyDescent="0.35">
      <c r="Q61036" s="1"/>
    </row>
    <row r="61039" spans="17:17" x14ac:dyDescent="0.35">
      <c r="Q61039" s="1"/>
    </row>
    <row r="61044" spans="16:17" x14ac:dyDescent="0.35">
      <c r="Q61044" s="1"/>
    </row>
    <row r="61048" spans="16:17" x14ac:dyDescent="0.35">
      <c r="Q61048" s="1"/>
    </row>
    <row r="61051" spans="16:17" x14ac:dyDescent="0.35">
      <c r="Q61051" s="1"/>
    </row>
    <row r="61055" spans="16:17" x14ac:dyDescent="0.35">
      <c r="P61055" s="1"/>
    </row>
    <row r="61057" spans="16:17" x14ac:dyDescent="0.35">
      <c r="P61057" s="1"/>
    </row>
    <row r="61058" spans="16:17" x14ac:dyDescent="0.35">
      <c r="Q61058" s="1"/>
    </row>
    <row r="61060" spans="16:17" x14ac:dyDescent="0.35">
      <c r="Q61060" s="1"/>
    </row>
    <row r="61063" spans="16:17" x14ac:dyDescent="0.35">
      <c r="P61063" s="1"/>
    </row>
    <row r="61067" spans="16:17" x14ac:dyDescent="0.35">
      <c r="Q61067" s="1"/>
    </row>
    <row r="61070" spans="16:17" x14ac:dyDescent="0.35">
      <c r="Q61070" s="1"/>
    </row>
    <row r="61074" spans="17:17" x14ac:dyDescent="0.35">
      <c r="Q61074" s="1"/>
    </row>
    <row r="61076" spans="17:17" x14ac:dyDescent="0.35">
      <c r="Q61076" s="1"/>
    </row>
    <row r="61080" spans="17:17" x14ac:dyDescent="0.35">
      <c r="Q61080" s="1"/>
    </row>
    <row r="61082" spans="17:17" x14ac:dyDescent="0.35">
      <c r="Q61082" s="1"/>
    </row>
    <row r="61084" spans="17:17" x14ac:dyDescent="0.35">
      <c r="Q61084" s="1"/>
    </row>
    <row r="61086" spans="17:17" x14ac:dyDescent="0.35">
      <c r="Q61086" s="1"/>
    </row>
    <row r="61089" spans="16:17" x14ac:dyDescent="0.35">
      <c r="Q61089" s="1"/>
    </row>
    <row r="61096" spans="16:17" x14ac:dyDescent="0.35">
      <c r="Q61096" s="1"/>
    </row>
    <row r="61103" spans="16:17" x14ac:dyDescent="0.35">
      <c r="P61103" s="1"/>
      <c r="Q61103" s="1"/>
    </row>
    <row r="61104" spans="16:17" x14ac:dyDescent="0.35">
      <c r="Q61104" s="1"/>
    </row>
    <row r="61108" spans="17:17" x14ac:dyDescent="0.35">
      <c r="Q61108" s="1"/>
    </row>
    <row r="61110" spans="17:17" x14ac:dyDescent="0.35">
      <c r="Q61110" s="1"/>
    </row>
    <row r="61114" spans="17:17" x14ac:dyDescent="0.35">
      <c r="Q61114" s="1"/>
    </row>
    <row r="61115" spans="17:17" x14ac:dyDescent="0.35">
      <c r="Q61115" s="1"/>
    </row>
    <row r="61116" spans="17:17" x14ac:dyDescent="0.35">
      <c r="Q61116" s="1"/>
    </row>
    <row r="61117" spans="17:17" x14ac:dyDescent="0.35">
      <c r="Q61117" s="1"/>
    </row>
    <row r="61120" spans="17:17" x14ac:dyDescent="0.35">
      <c r="Q61120" s="1"/>
    </row>
    <row r="61139" spans="17:17" x14ac:dyDescent="0.35">
      <c r="Q61139" s="1"/>
    </row>
    <row r="61145" spans="17:17" x14ac:dyDescent="0.35">
      <c r="Q61145" s="1"/>
    </row>
    <row r="61150" spans="17:17" x14ac:dyDescent="0.35">
      <c r="Q61150" s="1"/>
    </row>
    <row r="61152" spans="17:17" x14ac:dyDescent="0.35">
      <c r="Q61152" s="1"/>
    </row>
    <row r="61153" spans="16:17" x14ac:dyDescent="0.35">
      <c r="Q61153" s="1"/>
    </row>
    <row r="61155" spans="16:17" x14ac:dyDescent="0.35">
      <c r="Q61155" s="1"/>
    </row>
    <row r="61156" spans="16:17" x14ac:dyDescent="0.35">
      <c r="P61156" s="1"/>
    </row>
    <row r="61157" spans="16:17" x14ac:dyDescent="0.35">
      <c r="Q61157" s="1"/>
    </row>
    <row r="61159" spans="16:17" x14ac:dyDescent="0.35">
      <c r="Q61159" s="1"/>
    </row>
    <row r="61163" spans="16:17" x14ac:dyDescent="0.35">
      <c r="Q61163" s="1"/>
    </row>
    <row r="61164" spans="16:17" x14ac:dyDescent="0.35">
      <c r="Q61164" s="1"/>
    </row>
    <row r="61170" spans="17:17" x14ac:dyDescent="0.35">
      <c r="Q61170" s="1"/>
    </row>
    <row r="61178" spans="17:17" x14ac:dyDescent="0.35">
      <c r="Q61178" s="1"/>
    </row>
    <row r="61186" spans="16:17" x14ac:dyDescent="0.35">
      <c r="Q61186" s="1"/>
    </row>
    <row r="61190" spans="16:17" x14ac:dyDescent="0.35">
      <c r="Q61190" s="1"/>
    </row>
    <row r="61195" spans="16:17" x14ac:dyDescent="0.35">
      <c r="P61195" s="1"/>
    </row>
    <row r="61197" spans="16:17" x14ac:dyDescent="0.35">
      <c r="Q61197" s="1"/>
    </row>
    <row r="61201" spans="16:17" x14ac:dyDescent="0.35">
      <c r="P61201" s="1"/>
    </row>
    <row r="61203" spans="16:17" x14ac:dyDescent="0.35">
      <c r="Q61203" s="1"/>
    </row>
    <row r="61211" spans="16:17" x14ac:dyDescent="0.35">
      <c r="Q61211" s="1"/>
    </row>
    <row r="61213" spans="16:17" x14ac:dyDescent="0.35">
      <c r="Q61213" s="1"/>
    </row>
    <row r="61214" spans="16:17" x14ac:dyDescent="0.35">
      <c r="Q61214" s="1"/>
    </row>
    <row r="61215" spans="16:17" x14ac:dyDescent="0.35">
      <c r="Q61215" s="1"/>
    </row>
    <row r="61216" spans="16:17" x14ac:dyDescent="0.35">
      <c r="Q61216" s="1"/>
    </row>
    <row r="61217" spans="17:17" x14ac:dyDescent="0.35">
      <c r="Q61217" s="1"/>
    </row>
    <row r="61223" spans="17:17" x14ac:dyDescent="0.35">
      <c r="Q61223" s="1"/>
    </row>
    <row r="61227" spans="17:17" x14ac:dyDescent="0.35">
      <c r="Q61227" s="1"/>
    </row>
    <row r="61228" spans="17:17" x14ac:dyDescent="0.35">
      <c r="Q61228" s="1"/>
    </row>
    <row r="61232" spans="17:17" x14ac:dyDescent="0.35">
      <c r="Q61232" s="1"/>
    </row>
    <row r="61236" spans="17:17" x14ac:dyDescent="0.35">
      <c r="Q61236" s="1"/>
    </row>
    <row r="61240" spans="17:17" x14ac:dyDescent="0.35">
      <c r="Q61240" s="1"/>
    </row>
    <row r="61246" spans="17:17" x14ac:dyDescent="0.35">
      <c r="Q61246" s="1"/>
    </row>
    <row r="61248" spans="17:17" x14ac:dyDescent="0.35">
      <c r="Q61248" s="1"/>
    </row>
    <row r="61249" spans="16:17" x14ac:dyDescent="0.35">
      <c r="Q61249" s="1"/>
    </row>
    <row r="61254" spans="16:17" x14ac:dyDescent="0.35">
      <c r="P61254" s="1"/>
    </row>
    <row r="61261" spans="16:17" x14ac:dyDescent="0.35">
      <c r="Q61261" s="1"/>
    </row>
    <row r="61262" spans="16:17" x14ac:dyDescent="0.35">
      <c r="Q61262" s="1"/>
    </row>
    <row r="61264" spans="16:17" x14ac:dyDescent="0.35">
      <c r="Q61264" s="1"/>
    </row>
    <row r="61265" spans="16:17" x14ac:dyDescent="0.35">
      <c r="Q61265" s="1"/>
    </row>
    <row r="61266" spans="16:17" x14ac:dyDescent="0.35">
      <c r="P61266" s="1"/>
    </row>
    <row r="61272" spans="16:17" x14ac:dyDescent="0.35">
      <c r="Q61272" s="1"/>
    </row>
    <row r="61276" spans="16:17" x14ac:dyDescent="0.35">
      <c r="Q61276" s="1"/>
    </row>
    <row r="61285" spans="17:17" x14ac:dyDescent="0.35">
      <c r="Q61285" s="1"/>
    </row>
    <row r="61296" spans="17:17" x14ac:dyDescent="0.35">
      <c r="Q61296" s="1"/>
    </row>
    <row r="61298" spans="16:17" x14ac:dyDescent="0.35">
      <c r="Q61298" s="1"/>
    </row>
    <row r="61299" spans="16:17" x14ac:dyDescent="0.35">
      <c r="P61299" s="1"/>
    </row>
    <row r="61301" spans="16:17" x14ac:dyDescent="0.35">
      <c r="Q61301" s="1"/>
    </row>
    <row r="61304" spans="16:17" x14ac:dyDescent="0.35">
      <c r="Q61304" s="1"/>
    </row>
    <row r="61305" spans="16:17" x14ac:dyDescent="0.35">
      <c r="P61305" s="1"/>
    </row>
    <row r="61308" spans="16:17" x14ac:dyDescent="0.35">
      <c r="Q61308" s="1"/>
    </row>
    <row r="61311" spans="16:17" x14ac:dyDescent="0.35">
      <c r="Q61311" s="1"/>
    </row>
    <row r="61320" spans="17:17" x14ac:dyDescent="0.35">
      <c r="Q61320" s="1"/>
    </row>
    <row r="61323" spans="17:17" x14ac:dyDescent="0.35">
      <c r="Q61323" s="1"/>
    </row>
    <row r="61324" spans="17:17" x14ac:dyDescent="0.35">
      <c r="Q61324" s="1"/>
    </row>
    <row r="61326" spans="17:17" x14ac:dyDescent="0.35">
      <c r="Q61326" s="1"/>
    </row>
    <row r="61327" spans="17:17" x14ac:dyDescent="0.35">
      <c r="Q61327" s="1"/>
    </row>
    <row r="61328" spans="17:17" x14ac:dyDescent="0.35">
      <c r="Q61328" s="1"/>
    </row>
    <row r="61329" spans="17:17" x14ac:dyDescent="0.35">
      <c r="Q61329" s="1"/>
    </row>
    <row r="61332" spans="17:17" x14ac:dyDescent="0.35">
      <c r="Q61332" s="1"/>
    </row>
    <row r="61334" spans="17:17" x14ac:dyDescent="0.35">
      <c r="Q61334" s="1"/>
    </row>
    <row r="61337" spans="17:17" x14ac:dyDescent="0.35">
      <c r="Q61337" s="1"/>
    </row>
    <row r="61341" spans="17:17" x14ac:dyDescent="0.35">
      <c r="Q61341" s="1"/>
    </row>
    <row r="61342" spans="17:17" x14ac:dyDescent="0.35">
      <c r="Q61342" s="1"/>
    </row>
    <row r="61343" spans="17:17" x14ac:dyDescent="0.35">
      <c r="Q61343" s="1"/>
    </row>
    <row r="61356" spans="17:17" x14ac:dyDescent="0.35">
      <c r="Q61356" s="1"/>
    </row>
    <row r="61357" spans="17:17" x14ac:dyDescent="0.35">
      <c r="Q61357" s="1"/>
    </row>
    <row r="61361" spans="17:17" x14ac:dyDescent="0.35">
      <c r="Q61361" s="1"/>
    </row>
    <row r="61366" spans="17:17" x14ac:dyDescent="0.35">
      <c r="Q61366" s="1"/>
    </row>
    <row r="61368" spans="17:17" x14ac:dyDescent="0.35">
      <c r="Q61368" s="1"/>
    </row>
    <row r="61370" spans="17:17" x14ac:dyDescent="0.35">
      <c r="Q61370" s="1"/>
    </row>
    <row r="61371" spans="17:17" x14ac:dyDescent="0.35">
      <c r="Q61371" s="1"/>
    </row>
    <row r="61374" spans="17:17" x14ac:dyDescent="0.35">
      <c r="Q61374" s="1"/>
    </row>
    <row r="61376" spans="17:17" x14ac:dyDescent="0.35">
      <c r="Q61376" s="1"/>
    </row>
    <row r="61377" spans="16:17" x14ac:dyDescent="0.35">
      <c r="Q61377" s="1"/>
    </row>
    <row r="61379" spans="16:17" x14ac:dyDescent="0.35">
      <c r="Q61379" s="1"/>
    </row>
    <row r="61383" spans="16:17" x14ac:dyDescent="0.35">
      <c r="Q61383" s="1"/>
    </row>
    <row r="61386" spans="16:17" x14ac:dyDescent="0.35">
      <c r="Q61386" s="1"/>
    </row>
    <row r="61390" spans="16:17" x14ac:dyDescent="0.35">
      <c r="P61390" s="1"/>
    </row>
    <row r="61391" spans="16:17" x14ac:dyDescent="0.35">
      <c r="P61391" s="1"/>
    </row>
    <row r="61397" spans="16:17" x14ac:dyDescent="0.35">
      <c r="Q61397" s="1"/>
    </row>
    <row r="61401" spans="16:17" x14ac:dyDescent="0.35">
      <c r="Q61401" s="1"/>
    </row>
    <row r="61404" spans="16:17" x14ac:dyDescent="0.35">
      <c r="P61404" s="1"/>
    </row>
    <row r="61405" spans="16:17" x14ac:dyDescent="0.35">
      <c r="Q61405" s="1"/>
    </row>
    <row r="61406" spans="16:17" x14ac:dyDescent="0.35">
      <c r="Q61406" s="1"/>
    </row>
    <row r="61409" spans="16:17" x14ac:dyDescent="0.35">
      <c r="Q61409" s="1"/>
    </row>
    <row r="61411" spans="16:17" x14ac:dyDescent="0.35">
      <c r="Q61411" s="1"/>
    </row>
    <row r="61415" spans="16:17" x14ac:dyDescent="0.35">
      <c r="P61415" s="1"/>
    </row>
    <row r="61424" spans="16:17" x14ac:dyDescent="0.35">
      <c r="Q61424" s="1"/>
    </row>
    <row r="61426" spans="17:17" x14ac:dyDescent="0.35">
      <c r="Q61426" s="1"/>
    </row>
    <row r="61430" spans="17:17" x14ac:dyDescent="0.35">
      <c r="Q61430" s="1"/>
    </row>
    <row r="61452" spans="17:17" x14ac:dyDescent="0.35">
      <c r="Q61452" s="1"/>
    </row>
    <row r="61456" spans="17:17" x14ac:dyDescent="0.35">
      <c r="Q61456" s="1"/>
    </row>
    <row r="61458" spans="16:17" x14ac:dyDescent="0.35">
      <c r="Q61458" s="1"/>
    </row>
    <row r="61464" spans="16:17" x14ac:dyDescent="0.35">
      <c r="Q61464" s="1"/>
    </row>
    <row r="61466" spans="16:17" x14ac:dyDescent="0.35">
      <c r="Q61466" s="1"/>
    </row>
    <row r="61469" spans="16:17" x14ac:dyDescent="0.35">
      <c r="P61469" s="1"/>
    </row>
    <row r="61472" spans="16:17" x14ac:dyDescent="0.35">
      <c r="P61472" s="1"/>
    </row>
    <row r="61477" spans="16:17" x14ac:dyDescent="0.35">
      <c r="P61477" s="1"/>
    </row>
    <row r="61479" spans="16:17" x14ac:dyDescent="0.35">
      <c r="Q61479" s="1"/>
    </row>
    <row r="61486" spans="16:17" x14ac:dyDescent="0.35">
      <c r="Q61486" s="1"/>
    </row>
    <row r="61488" spans="16:17" x14ac:dyDescent="0.35">
      <c r="Q61488" s="1"/>
    </row>
    <row r="61491" spans="17:17" x14ac:dyDescent="0.35">
      <c r="Q61491" s="1"/>
    </row>
    <row r="61494" spans="17:17" x14ac:dyDescent="0.35">
      <c r="Q61494" s="1"/>
    </row>
    <row r="61499" spans="17:17" x14ac:dyDescent="0.35">
      <c r="Q61499" s="1"/>
    </row>
    <row r="61508" spans="17:17" x14ac:dyDescent="0.35">
      <c r="Q61508" s="1"/>
    </row>
    <row r="61512" spans="17:17" x14ac:dyDescent="0.35">
      <c r="Q61512" s="1"/>
    </row>
    <row r="61515" spans="17:17" x14ac:dyDescent="0.35">
      <c r="Q61515" s="1"/>
    </row>
    <row r="61519" spans="17:17" x14ac:dyDescent="0.35">
      <c r="Q61519" s="1"/>
    </row>
    <row r="61521" spans="16:17" x14ac:dyDescent="0.35">
      <c r="Q61521" s="1"/>
    </row>
    <row r="61522" spans="16:17" x14ac:dyDescent="0.35">
      <c r="Q61522" s="1"/>
    </row>
    <row r="61531" spans="16:17" x14ac:dyDescent="0.35">
      <c r="Q61531" s="1"/>
    </row>
    <row r="61532" spans="16:17" x14ac:dyDescent="0.35">
      <c r="P61532" s="1"/>
    </row>
    <row r="61535" spans="16:17" x14ac:dyDescent="0.35">
      <c r="Q61535" s="1"/>
    </row>
    <row r="61537" spans="17:17" x14ac:dyDescent="0.35">
      <c r="Q61537" s="1"/>
    </row>
    <row r="61539" spans="17:17" x14ac:dyDescent="0.35">
      <c r="Q61539" s="1"/>
    </row>
    <row r="61552" spans="17:17" x14ac:dyDescent="0.35">
      <c r="Q61552" s="1"/>
    </row>
    <row r="61553" spans="17:17" x14ac:dyDescent="0.35">
      <c r="Q61553" s="1"/>
    </row>
    <row r="61558" spans="17:17" x14ac:dyDescent="0.35">
      <c r="Q61558" s="1"/>
    </row>
    <row r="61562" spans="17:17" x14ac:dyDescent="0.35">
      <c r="Q61562" s="1"/>
    </row>
    <row r="61573" spans="17:17" x14ac:dyDescent="0.35">
      <c r="Q61573" s="1"/>
    </row>
    <row r="61575" spans="17:17" x14ac:dyDescent="0.35">
      <c r="Q61575" s="1"/>
    </row>
    <row r="61576" spans="17:17" x14ac:dyDescent="0.35">
      <c r="Q61576" s="1"/>
    </row>
    <row r="61580" spans="17:17" x14ac:dyDescent="0.35">
      <c r="Q61580" s="1"/>
    </row>
    <row r="61584" spans="17:17" x14ac:dyDescent="0.35">
      <c r="Q61584" s="1"/>
    </row>
    <row r="61585" spans="17:17" x14ac:dyDescent="0.35">
      <c r="Q61585" s="1"/>
    </row>
    <row r="61587" spans="17:17" x14ac:dyDescent="0.35">
      <c r="Q61587" s="1"/>
    </row>
    <row r="61589" spans="17:17" x14ac:dyDescent="0.35">
      <c r="Q61589" s="1"/>
    </row>
    <row r="61591" spans="17:17" x14ac:dyDescent="0.35">
      <c r="Q61591" s="1"/>
    </row>
    <row r="61596" spans="17:17" x14ac:dyDescent="0.35">
      <c r="Q61596" s="1"/>
    </row>
    <row r="61600" spans="17:17" x14ac:dyDescent="0.35">
      <c r="Q61600" s="1"/>
    </row>
    <row r="61601" spans="16:17" x14ac:dyDescent="0.35">
      <c r="Q61601" s="1"/>
    </row>
    <row r="61605" spans="16:17" x14ac:dyDescent="0.35">
      <c r="P61605" s="1"/>
    </row>
    <row r="61606" spans="16:17" x14ac:dyDescent="0.35">
      <c r="Q61606" s="1"/>
    </row>
    <row r="61608" spans="16:17" x14ac:dyDescent="0.35">
      <c r="Q61608" s="1"/>
    </row>
    <row r="61612" spans="16:17" x14ac:dyDescent="0.35">
      <c r="Q61612" s="1"/>
    </row>
    <row r="61616" spans="16:17" x14ac:dyDescent="0.35">
      <c r="Q61616" s="1"/>
    </row>
    <row r="61620" spans="17:17" x14ac:dyDescent="0.35">
      <c r="Q61620" s="1"/>
    </row>
    <row r="61622" spans="17:17" x14ac:dyDescent="0.35">
      <c r="Q61622" s="1"/>
    </row>
    <row r="61624" spans="17:17" x14ac:dyDescent="0.35">
      <c r="Q61624" s="1"/>
    </row>
    <row r="61625" spans="17:17" x14ac:dyDescent="0.35">
      <c r="Q61625" s="1"/>
    </row>
    <row r="61639" spans="16:17" x14ac:dyDescent="0.35">
      <c r="P61639" s="1"/>
    </row>
    <row r="61646" spans="16:17" x14ac:dyDescent="0.35">
      <c r="Q61646" s="1"/>
    </row>
    <row r="61648" spans="16:17" x14ac:dyDescent="0.35">
      <c r="Q61648" s="1"/>
    </row>
    <row r="61652" spans="16:17" x14ac:dyDescent="0.35">
      <c r="P61652" s="1"/>
    </row>
    <row r="61657" spans="16:17" x14ac:dyDescent="0.35">
      <c r="Q61657" s="1"/>
    </row>
    <row r="61662" spans="16:17" x14ac:dyDescent="0.35">
      <c r="Q61662" s="1"/>
    </row>
    <row r="61665" spans="17:17" x14ac:dyDescent="0.35">
      <c r="Q61665" s="1"/>
    </row>
    <row r="61667" spans="17:17" x14ac:dyDescent="0.35">
      <c r="Q61667" s="1"/>
    </row>
    <row r="61671" spans="17:17" x14ac:dyDescent="0.35">
      <c r="Q61671" s="1"/>
    </row>
    <row r="61674" spans="17:17" x14ac:dyDescent="0.35">
      <c r="Q61674" s="1"/>
    </row>
    <row r="61675" spans="17:17" x14ac:dyDescent="0.35">
      <c r="Q61675" s="1"/>
    </row>
    <row r="61680" spans="17:17" x14ac:dyDescent="0.35">
      <c r="Q61680" s="1"/>
    </row>
    <row r="61684" spans="17:17" x14ac:dyDescent="0.35">
      <c r="Q61684" s="1"/>
    </row>
    <row r="61687" spans="17:17" x14ac:dyDescent="0.35">
      <c r="Q61687" s="1"/>
    </row>
    <row r="61688" spans="17:17" x14ac:dyDescent="0.35">
      <c r="Q61688" s="1"/>
    </row>
    <row r="61692" spans="17:17" x14ac:dyDescent="0.35">
      <c r="Q61692" s="1"/>
    </row>
    <row r="61694" spans="17:17" x14ac:dyDescent="0.35">
      <c r="Q61694" s="1"/>
    </row>
    <row r="61696" spans="17:17" x14ac:dyDescent="0.35">
      <c r="Q61696" s="1"/>
    </row>
    <row r="61700" spans="16:17" x14ac:dyDescent="0.35">
      <c r="P61700" s="1"/>
    </row>
    <row r="61701" spans="16:17" x14ac:dyDescent="0.35">
      <c r="Q61701" s="1"/>
    </row>
    <row r="61702" spans="16:17" x14ac:dyDescent="0.35">
      <c r="P61702" s="1"/>
    </row>
    <row r="61703" spans="16:17" x14ac:dyDescent="0.35">
      <c r="Q61703" s="1"/>
    </row>
    <row r="61706" spans="16:17" x14ac:dyDescent="0.35">
      <c r="Q61706" s="1"/>
    </row>
    <row r="61707" spans="16:17" x14ac:dyDescent="0.35">
      <c r="Q61707" s="1"/>
    </row>
    <row r="61708" spans="16:17" x14ac:dyDescent="0.35">
      <c r="Q61708" s="1"/>
    </row>
    <row r="61715" spans="16:17" x14ac:dyDescent="0.35">
      <c r="Q61715" s="1"/>
    </row>
    <row r="61721" spans="16:17" x14ac:dyDescent="0.35">
      <c r="Q61721" s="1"/>
    </row>
    <row r="61725" spans="16:17" x14ac:dyDescent="0.35">
      <c r="P61725" s="1"/>
    </row>
    <row r="61727" spans="16:17" x14ac:dyDescent="0.35">
      <c r="Q61727" s="1"/>
    </row>
    <row r="61728" spans="16:17" x14ac:dyDescent="0.35">
      <c r="Q61728" s="1"/>
    </row>
    <row r="61730" spans="16:17" x14ac:dyDescent="0.35">
      <c r="P61730" s="1"/>
    </row>
    <row r="61733" spans="16:17" x14ac:dyDescent="0.35">
      <c r="Q61733" s="1"/>
    </row>
    <row r="61736" spans="16:17" x14ac:dyDescent="0.35">
      <c r="Q61736" s="1"/>
    </row>
    <row r="61739" spans="16:17" x14ac:dyDescent="0.35">
      <c r="P61739" s="1"/>
    </row>
    <row r="61743" spans="16:17" x14ac:dyDescent="0.35">
      <c r="P61743" s="1"/>
    </row>
    <row r="61745" spans="17:17" x14ac:dyDescent="0.35">
      <c r="Q61745" s="1"/>
    </row>
    <row r="61748" spans="17:17" x14ac:dyDescent="0.35">
      <c r="Q61748" s="1"/>
    </row>
    <row r="61753" spans="17:17" x14ac:dyDescent="0.35">
      <c r="Q61753" s="1"/>
    </row>
    <row r="61755" spans="17:17" x14ac:dyDescent="0.35">
      <c r="Q61755" s="1"/>
    </row>
    <row r="61761" spans="16:17" x14ac:dyDescent="0.35">
      <c r="Q61761" s="1"/>
    </row>
    <row r="61769" spans="16:17" x14ac:dyDescent="0.35">
      <c r="Q61769" s="1"/>
    </row>
    <row r="61770" spans="16:17" x14ac:dyDescent="0.35">
      <c r="P61770" s="1"/>
      <c r="Q61770" s="1"/>
    </row>
    <row r="61771" spans="16:17" x14ac:dyDescent="0.35">
      <c r="Q61771" s="1"/>
    </row>
    <row r="61773" spans="16:17" x14ac:dyDescent="0.35">
      <c r="P61773" s="1"/>
      <c r="Q61773" s="1"/>
    </row>
    <row r="61777" spans="16:17" x14ac:dyDescent="0.35">
      <c r="P61777" s="1"/>
    </row>
    <row r="61779" spans="16:17" x14ac:dyDescent="0.35">
      <c r="Q61779" s="1"/>
    </row>
    <row r="61784" spans="16:17" x14ac:dyDescent="0.35">
      <c r="Q61784" s="1"/>
    </row>
    <row r="61788" spans="16:17" x14ac:dyDescent="0.35">
      <c r="P61788" s="1"/>
    </row>
    <row r="61796" spans="16:17" x14ac:dyDescent="0.35">
      <c r="Q61796" s="1"/>
    </row>
    <row r="61797" spans="16:17" x14ac:dyDescent="0.35">
      <c r="Q61797" s="1"/>
    </row>
    <row r="61799" spans="16:17" x14ac:dyDescent="0.35">
      <c r="Q61799" s="1"/>
    </row>
    <row r="61803" spans="16:17" x14ac:dyDescent="0.35">
      <c r="P61803" s="1"/>
    </row>
    <row r="61804" spans="16:17" x14ac:dyDescent="0.35">
      <c r="Q61804" s="1"/>
    </row>
    <row r="61805" spans="16:17" x14ac:dyDescent="0.35">
      <c r="Q61805" s="1"/>
    </row>
    <row r="61815" spans="17:17" x14ac:dyDescent="0.35">
      <c r="Q61815" s="1"/>
    </row>
    <row r="61817" spans="17:17" x14ac:dyDescent="0.35">
      <c r="Q61817" s="1"/>
    </row>
    <row r="61818" spans="17:17" x14ac:dyDescent="0.35">
      <c r="Q61818" s="1"/>
    </row>
    <row r="61819" spans="17:17" x14ac:dyDescent="0.35">
      <c r="Q61819" s="1"/>
    </row>
    <row r="61824" spans="17:17" x14ac:dyDescent="0.35">
      <c r="Q61824" s="1"/>
    </row>
    <row r="61825" spans="17:17" x14ac:dyDescent="0.35">
      <c r="Q61825" s="1"/>
    </row>
    <row r="61827" spans="17:17" x14ac:dyDescent="0.35">
      <c r="Q61827" s="1"/>
    </row>
    <row r="61833" spans="17:17" x14ac:dyDescent="0.35">
      <c r="Q61833" s="1"/>
    </row>
    <row r="61837" spans="17:17" x14ac:dyDescent="0.35">
      <c r="Q61837" s="1"/>
    </row>
    <row r="61838" spans="17:17" x14ac:dyDescent="0.35">
      <c r="Q61838" s="1"/>
    </row>
    <row r="61840" spans="17:17" x14ac:dyDescent="0.35">
      <c r="Q61840" s="1"/>
    </row>
    <row r="61841" spans="17:17" x14ac:dyDescent="0.35">
      <c r="Q61841" s="1"/>
    </row>
    <row r="61843" spans="17:17" x14ac:dyDescent="0.35">
      <c r="Q61843" s="1"/>
    </row>
    <row r="61846" spans="17:17" x14ac:dyDescent="0.35">
      <c r="Q61846" s="1"/>
    </row>
    <row r="61848" spans="17:17" x14ac:dyDescent="0.35">
      <c r="Q61848" s="1"/>
    </row>
    <row r="61854" spans="17:17" x14ac:dyDescent="0.35">
      <c r="Q61854" s="1"/>
    </row>
    <row r="61858" spans="16:17" x14ac:dyDescent="0.35">
      <c r="Q61858" s="1"/>
    </row>
    <row r="61860" spans="16:17" x14ac:dyDescent="0.35">
      <c r="Q61860" s="1"/>
    </row>
    <row r="61864" spans="16:17" x14ac:dyDescent="0.35">
      <c r="P61864" s="1"/>
    </row>
    <row r="61866" spans="16:17" x14ac:dyDescent="0.35">
      <c r="Q61866" s="1"/>
    </row>
    <row r="61868" spans="16:17" x14ac:dyDescent="0.35">
      <c r="Q61868" s="1"/>
    </row>
    <row r="61870" spans="16:17" x14ac:dyDescent="0.35">
      <c r="Q61870" s="1"/>
    </row>
    <row r="61876" spans="17:17" x14ac:dyDescent="0.35">
      <c r="Q61876" s="1"/>
    </row>
    <row r="61884" spans="17:17" x14ac:dyDescent="0.35">
      <c r="Q61884" s="1"/>
    </row>
    <row r="61885" spans="17:17" x14ac:dyDescent="0.35">
      <c r="Q61885" s="1"/>
    </row>
    <row r="61889" spans="17:17" x14ac:dyDescent="0.35">
      <c r="Q61889" s="1"/>
    </row>
    <row r="61898" spans="17:17" x14ac:dyDescent="0.35">
      <c r="Q61898" s="1"/>
    </row>
    <row r="61904" spans="17:17" x14ac:dyDescent="0.35">
      <c r="Q61904" s="1"/>
    </row>
    <row r="61906" spans="16:17" x14ac:dyDescent="0.35">
      <c r="Q61906" s="1"/>
    </row>
    <row r="61907" spans="16:17" x14ac:dyDescent="0.35">
      <c r="P61907" s="1"/>
    </row>
    <row r="61908" spans="16:17" x14ac:dyDescent="0.35">
      <c r="Q61908" s="1"/>
    </row>
    <row r="61909" spans="16:17" x14ac:dyDescent="0.35">
      <c r="Q61909" s="1"/>
    </row>
    <row r="61915" spans="16:17" x14ac:dyDescent="0.35">
      <c r="Q61915" s="1"/>
    </row>
    <row r="61918" spans="16:17" x14ac:dyDescent="0.35">
      <c r="Q61918" s="1"/>
    </row>
    <row r="61923" spans="16:17" x14ac:dyDescent="0.35">
      <c r="P61923" s="1"/>
    </row>
    <row r="61924" spans="16:17" x14ac:dyDescent="0.35">
      <c r="Q61924" s="1"/>
    </row>
    <row r="61930" spans="16:17" x14ac:dyDescent="0.35">
      <c r="Q61930" s="1"/>
    </row>
    <row r="61932" spans="16:17" x14ac:dyDescent="0.35">
      <c r="Q61932" s="1"/>
    </row>
    <row r="61933" spans="16:17" x14ac:dyDescent="0.35">
      <c r="Q61933" s="1"/>
    </row>
    <row r="61936" spans="16:17" x14ac:dyDescent="0.35">
      <c r="Q61936" s="1"/>
    </row>
    <row r="61937" spans="16:17" x14ac:dyDescent="0.35">
      <c r="P61937" s="1"/>
    </row>
    <row r="61938" spans="16:17" x14ac:dyDescent="0.35">
      <c r="Q61938" s="1"/>
    </row>
    <row r="61941" spans="16:17" x14ac:dyDescent="0.35">
      <c r="Q61941" s="1"/>
    </row>
    <row r="61943" spans="16:17" x14ac:dyDescent="0.35">
      <c r="P61943" s="1"/>
    </row>
    <row r="61944" spans="16:17" x14ac:dyDescent="0.35">
      <c r="Q61944" s="1"/>
    </row>
    <row r="61950" spans="16:17" x14ac:dyDescent="0.35">
      <c r="Q61950" s="1"/>
    </row>
    <row r="61951" spans="16:17" x14ac:dyDescent="0.35">
      <c r="P61951" s="1"/>
    </row>
    <row r="61954" spans="17:17" x14ac:dyDescent="0.35">
      <c r="Q61954" s="1"/>
    </row>
    <row r="61958" spans="17:17" x14ac:dyDescent="0.35">
      <c r="Q61958" s="1"/>
    </row>
    <row r="61959" spans="17:17" x14ac:dyDescent="0.35">
      <c r="Q61959" s="1"/>
    </row>
    <row r="61964" spans="17:17" x14ac:dyDescent="0.35">
      <c r="Q61964" s="1"/>
    </row>
    <row r="61966" spans="17:17" x14ac:dyDescent="0.35">
      <c r="Q61966" s="1"/>
    </row>
    <row r="61971" spans="17:17" x14ac:dyDescent="0.35">
      <c r="Q61971" s="1"/>
    </row>
    <row r="61974" spans="17:17" x14ac:dyDescent="0.35">
      <c r="Q61974" s="1"/>
    </row>
    <row r="61975" spans="17:17" x14ac:dyDescent="0.35">
      <c r="Q61975" s="1"/>
    </row>
    <row r="61983" spans="17:17" x14ac:dyDescent="0.35">
      <c r="Q61983" s="1"/>
    </row>
    <row r="61987" spans="16:17" x14ac:dyDescent="0.35">
      <c r="Q61987" s="1"/>
    </row>
    <row r="61989" spans="16:17" x14ac:dyDescent="0.35">
      <c r="Q61989" s="1"/>
    </row>
    <row r="61991" spans="16:17" x14ac:dyDescent="0.35">
      <c r="Q61991" s="1"/>
    </row>
    <row r="61993" spans="16:17" x14ac:dyDescent="0.35">
      <c r="Q61993" s="1"/>
    </row>
    <row r="61997" spans="16:17" x14ac:dyDescent="0.35">
      <c r="P61997" s="1"/>
    </row>
    <row r="62001" spans="16:17" x14ac:dyDescent="0.35">
      <c r="P62001" s="1"/>
    </row>
    <row r="62002" spans="16:17" x14ac:dyDescent="0.35">
      <c r="Q62002" s="1"/>
    </row>
    <row r="62004" spans="16:17" x14ac:dyDescent="0.35">
      <c r="Q62004" s="1"/>
    </row>
    <row r="62005" spans="16:17" x14ac:dyDescent="0.35">
      <c r="P62005" s="1"/>
    </row>
    <row r="62007" spans="16:17" x14ac:dyDescent="0.35">
      <c r="Q62007" s="1"/>
    </row>
    <row r="62008" spans="16:17" x14ac:dyDescent="0.35">
      <c r="Q62008" s="1"/>
    </row>
    <row r="62009" spans="16:17" x14ac:dyDescent="0.35">
      <c r="Q62009" s="1"/>
    </row>
    <row r="62018" spans="17:17" x14ac:dyDescent="0.35">
      <c r="Q62018" s="1"/>
    </row>
    <row r="62021" spans="17:17" x14ac:dyDescent="0.35">
      <c r="Q62021" s="1"/>
    </row>
    <row r="62022" spans="17:17" x14ac:dyDescent="0.35">
      <c r="Q62022" s="1"/>
    </row>
    <row r="62023" spans="17:17" x14ac:dyDescent="0.35">
      <c r="Q62023" s="1"/>
    </row>
    <row r="62024" spans="17:17" x14ac:dyDescent="0.35">
      <c r="Q62024" s="1"/>
    </row>
    <row r="62025" spans="17:17" x14ac:dyDescent="0.35">
      <c r="Q62025" s="1"/>
    </row>
    <row r="62026" spans="17:17" x14ac:dyDescent="0.35">
      <c r="Q62026" s="1"/>
    </row>
    <row r="62028" spans="17:17" x14ac:dyDescent="0.35">
      <c r="Q62028" s="1"/>
    </row>
    <row r="62030" spans="17:17" x14ac:dyDescent="0.35">
      <c r="Q62030" s="1"/>
    </row>
    <row r="62032" spans="17:17" x14ac:dyDescent="0.35">
      <c r="Q62032" s="1"/>
    </row>
    <row r="62035" spans="17:17" x14ac:dyDescent="0.35">
      <c r="Q62035" s="1"/>
    </row>
    <row r="62036" spans="17:17" x14ac:dyDescent="0.35">
      <c r="Q62036" s="1"/>
    </row>
    <row r="62038" spans="17:17" x14ac:dyDescent="0.35">
      <c r="Q62038" s="1"/>
    </row>
    <row r="62044" spans="17:17" x14ac:dyDescent="0.35">
      <c r="Q62044" s="1"/>
    </row>
    <row r="62046" spans="17:17" x14ac:dyDescent="0.35">
      <c r="Q62046" s="1"/>
    </row>
    <row r="62048" spans="17:17" x14ac:dyDescent="0.35">
      <c r="Q62048" s="1"/>
    </row>
    <row r="62051" spans="17:17" x14ac:dyDescent="0.35">
      <c r="Q62051" s="1"/>
    </row>
    <row r="62052" spans="17:17" x14ac:dyDescent="0.35">
      <c r="Q62052" s="1"/>
    </row>
    <row r="62053" spans="17:17" x14ac:dyDescent="0.35">
      <c r="Q62053" s="1"/>
    </row>
    <row r="62058" spans="17:17" x14ac:dyDescent="0.35">
      <c r="Q62058" s="1"/>
    </row>
    <row r="62064" spans="17:17" x14ac:dyDescent="0.35">
      <c r="Q62064" s="1"/>
    </row>
    <row r="62071" spans="17:17" x14ac:dyDescent="0.35">
      <c r="Q62071" s="1"/>
    </row>
    <row r="62079" spans="17:17" x14ac:dyDescent="0.35">
      <c r="Q62079" s="1"/>
    </row>
    <row r="62080" spans="17:17" x14ac:dyDescent="0.35">
      <c r="Q62080" s="1"/>
    </row>
    <row r="62083" spans="17:17" x14ac:dyDescent="0.35">
      <c r="Q62083" s="1"/>
    </row>
    <row r="62089" spans="17:17" x14ac:dyDescent="0.35">
      <c r="Q62089" s="1"/>
    </row>
    <row r="62098" spans="17:17" x14ac:dyDescent="0.35">
      <c r="Q62098" s="1"/>
    </row>
    <row r="62099" spans="17:17" x14ac:dyDescent="0.35">
      <c r="Q62099" s="1"/>
    </row>
    <row r="62100" spans="17:17" x14ac:dyDescent="0.35">
      <c r="Q62100" s="1"/>
    </row>
    <row r="62101" spans="17:17" x14ac:dyDescent="0.35">
      <c r="Q62101" s="1"/>
    </row>
    <row r="62104" spans="17:17" x14ac:dyDescent="0.35">
      <c r="Q62104" s="1"/>
    </row>
    <row r="62112" spans="17:17" x14ac:dyDescent="0.35">
      <c r="Q62112" s="1"/>
    </row>
    <row r="62113" spans="16:17" x14ac:dyDescent="0.35">
      <c r="Q62113" s="1"/>
    </row>
    <row r="62115" spans="16:17" x14ac:dyDescent="0.35">
      <c r="Q62115" s="1"/>
    </row>
    <row r="62116" spans="16:17" x14ac:dyDescent="0.35">
      <c r="Q62116" s="1"/>
    </row>
    <row r="62119" spans="16:17" x14ac:dyDescent="0.35">
      <c r="P62119" s="1"/>
      <c r="Q62119" s="1"/>
    </row>
    <row r="62120" spans="16:17" x14ac:dyDescent="0.35">
      <c r="Q62120" s="1"/>
    </row>
    <row r="62122" spans="16:17" x14ac:dyDescent="0.35">
      <c r="Q62122" s="1"/>
    </row>
    <row r="62126" spans="16:17" x14ac:dyDescent="0.35">
      <c r="Q62126" s="1"/>
    </row>
    <row r="62130" spans="17:17" x14ac:dyDescent="0.35">
      <c r="Q62130" s="1"/>
    </row>
    <row r="62135" spans="17:17" x14ac:dyDescent="0.35">
      <c r="Q62135" s="1"/>
    </row>
    <row r="62137" spans="17:17" x14ac:dyDescent="0.35">
      <c r="Q62137" s="1"/>
    </row>
    <row r="62138" spans="17:17" x14ac:dyDescent="0.35">
      <c r="Q62138" s="1"/>
    </row>
    <row r="62144" spans="17:17" x14ac:dyDescent="0.35">
      <c r="Q62144" s="1"/>
    </row>
    <row r="62150" spans="17:17" x14ac:dyDescent="0.35">
      <c r="Q62150" s="1"/>
    </row>
    <row r="62152" spans="17:17" x14ac:dyDescent="0.35">
      <c r="Q62152" s="1"/>
    </row>
    <row r="62155" spans="17:17" x14ac:dyDescent="0.35">
      <c r="Q62155" s="1"/>
    </row>
    <row r="62163" spans="17:17" x14ac:dyDescent="0.35">
      <c r="Q62163" s="1"/>
    </row>
    <row r="62166" spans="17:17" x14ac:dyDescent="0.35">
      <c r="Q62166" s="1"/>
    </row>
    <row r="62169" spans="17:17" x14ac:dyDescent="0.35">
      <c r="Q62169" s="1"/>
    </row>
    <row r="62173" spans="17:17" x14ac:dyDescent="0.35">
      <c r="Q62173" s="1"/>
    </row>
    <row r="62174" spans="17:17" x14ac:dyDescent="0.35">
      <c r="Q62174" s="1"/>
    </row>
    <row r="62175" spans="17:17" x14ac:dyDescent="0.35">
      <c r="Q62175" s="1"/>
    </row>
    <row r="62177" spans="16:17" x14ac:dyDescent="0.35">
      <c r="Q62177" s="1"/>
    </row>
    <row r="62180" spans="16:17" x14ac:dyDescent="0.35">
      <c r="Q62180" s="1"/>
    </row>
    <row r="62182" spans="16:17" x14ac:dyDescent="0.35">
      <c r="P62182" s="1"/>
    </row>
    <row r="62192" spans="16:17" x14ac:dyDescent="0.35">
      <c r="Q62192" s="1"/>
    </row>
    <row r="62201" spans="16:17" x14ac:dyDescent="0.35">
      <c r="Q62201" s="1"/>
    </row>
    <row r="62202" spans="16:17" x14ac:dyDescent="0.35">
      <c r="Q62202" s="1"/>
    </row>
    <row r="62204" spans="16:17" x14ac:dyDescent="0.35">
      <c r="Q62204" s="1"/>
    </row>
    <row r="62206" spans="16:17" x14ac:dyDescent="0.35">
      <c r="P62206" s="1"/>
    </row>
    <row r="62208" spans="16:17" x14ac:dyDescent="0.35">
      <c r="Q62208" s="1"/>
    </row>
    <row r="62213" spans="17:17" x14ac:dyDescent="0.35">
      <c r="Q62213" s="1"/>
    </row>
    <row r="62215" spans="17:17" x14ac:dyDescent="0.35">
      <c r="Q62215" s="1"/>
    </row>
    <row r="62217" spans="17:17" x14ac:dyDescent="0.35">
      <c r="Q62217" s="1"/>
    </row>
    <row r="62218" spans="17:17" x14ac:dyDescent="0.35">
      <c r="Q62218" s="1"/>
    </row>
    <row r="62219" spans="17:17" x14ac:dyDescent="0.35">
      <c r="Q62219" s="1"/>
    </row>
    <row r="62226" spans="17:17" x14ac:dyDescent="0.35">
      <c r="Q62226" s="1"/>
    </row>
    <row r="62227" spans="17:17" x14ac:dyDescent="0.35">
      <c r="Q62227" s="1"/>
    </row>
    <row r="62248" spans="17:17" x14ac:dyDescent="0.35">
      <c r="Q62248" s="1"/>
    </row>
    <row r="62254" spans="17:17" x14ac:dyDescent="0.35">
      <c r="Q62254" s="1"/>
    </row>
    <row r="62266" spans="17:17" x14ac:dyDescent="0.35">
      <c r="Q62266" s="1"/>
    </row>
    <row r="62282" spans="17:17" x14ac:dyDescent="0.35">
      <c r="Q62282" s="1"/>
    </row>
    <row r="62285" spans="17:17" x14ac:dyDescent="0.35">
      <c r="Q62285" s="1"/>
    </row>
    <row r="62288" spans="17:17" x14ac:dyDescent="0.35">
      <c r="Q62288" s="1"/>
    </row>
    <row r="62302" spans="17:17" x14ac:dyDescent="0.35">
      <c r="Q62302" s="1"/>
    </row>
    <row r="62310" spans="17:17" x14ac:dyDescent="0.35">
      <c r="Q62310" s="1"/>
    </row>
    <row r="62315" spans="17:17" x14ac:dyDescent="0.35">
      <c r="Q62315" s="1"/>
    </row>
    <row r="62317" spans="17:17" x14ac:dyDescent="0.35">
      <c r="Q62317" s="1"/>
    </row>
    <row r="62319" spans="17:17" x14ac:dyDescent="0.35">
      <c r="Q62319" s="1"/>
    </row>
    <row r="62331" spans="17:17" x14ac:dyDescent="0.35">
      <c r="Q62331" s="1"/>
    </row>
    <row r="62336" spans="17:17" x14ac:dyDescent="0.35">
      <c r="Q62336" s="1"/>
    </row>
    <row r="62349" spans="17:17" x14ac:dyDescent="0.35">
      <c r="Q62349" s="1"/>
    </row>
    <row r="62353" spans="17:17" x14ac:dyDescent="0.35">
      <c r="Q62353" s="1"/>
    </row>
    <row r="62356" spans="17:17" x14ac:dyDescent="0.35">
      <c r="Q62356" s="1"/>
    </row>
    <row r="62359" spans="17:17" x14ac:dyDescent="0.35">
      <c r="Q62359" s="1"/>
    </row>
    <row r="62361" spans="17:17" x14ac:dyDescent="0.35">
      <c r="Q62361" s="1"/>
    </row>
    <row r="62375" spans="17:17" x14ac:dyDescent="0.35">
      <c r="Q62375" s="1"/>
    </row>
    <row r="62376" spans="17:17" x14ac:dyDescent="0.35">
      <c r="Q62376" s="1"/>
    </row>
    <row r="62377" spans="17:17" x14ac:dyDescent="0.35">
      <c r="Q62377" s="1"/>
    </row>
    <row r="62381" spans="17:17" x14ac:dyDescent="0.35">
      <c r="Q62381" s="1"/>
    </row>
    <row r="62382" spans="17:17" x14ac:dyDescent="0.35">
      <c r="Q62382" s="1"/>
    </row>
    <row r="62383" spans="17:17" x14ac:dyDescent="0.35">
      <c r="Q62383" s="1"/>
    </row>
    <row r="62384" spans="17:17" x14ac:dyDescent="0.35">
      <c r="Q62384" s="1"/>
    </row>
    <row r="62387" spans="17:17" x14ac:dyDescent="0.35">
      <c r="Q62387" s="1"/>
    </row>
    <row r="62392" spans="17:17" x14ac:dyDescent="0.35">
      <c r="Q62392" s="1"/>
    </row>
    <row r="62398" spans="17:17" x14ac:dyDescent="0.35">
      <c r="Q62398" s="1"/>
    </row>
    <row r="62400" spans="17:17" x14ac:dyDescent="0.35">
      <c r="Q62400" s="1"/>
    </row>
    <row r="62401" spans="17:17" x14ac:dyDescent="0.35">
      <c r="Q62401" s="1"/>
    </row>
    <row r="62402" spans="17:17" x14ac:dyDescent="0.35">
      <c r="Q62402" s="1"/>
    </row>
    <row r="62409" spans="17:17" x14ac:dyDescent="0.35">
      <c r="Q62409" s="1"/>
    </row>
    <row r="62429" spans="17:17" x14ac:dyDescent="0.35">
      <c r="Q62429" s="1"/>
    </row>
    <row r="62430" spans="17:17" x14ac:dyDescent="0.35">
      <c r="Q62430" s="1"/>
    </row>
    <row r="62436" spans="16:17" x14ac:dyDescent="0.35">
      <c r="Q62436" s="1"/>
    </row>
    <row r="62440" spans="16:17" x14ac:dyDescent="0.35">
      <c r="P62440" s="1"/>
    </row>
    <row r="62441" spans="16:17" x14ac:dyDescent="0.35">
      <c r="Q62441" s="1"/>
    </row>
    <row r="62447" spans="16:17" x14ac:dyDescent="0.35">
      <c r="Q62447" s="1"/>
    </row>
    <row r="62448" spans="16:17" x14ac:dyDescent="0.35">
      <c r="Q62448" s="1"/>
    </row>
    <row r="62454" spans="17:17" x14ac:dyDescent="0.35">
      <c r="Q62454" s="1"/>
    </row>
    <row r="62458" spans="17:17" x14ac:dyDescent="0.35">
      <c r="Q62458" s="1"/>
    </row>
    <row r="62459" spans="17:17" x14ac:dyDescent="0.35">
      <c r="Q62459" s="1"/>
    </row>
    <row r="62461" spans="17:17" x14ac:dyDescent="0.35">
      <c r="Q62461" s="1"/>
    </row>
    <row r="62471" spans="17:17" x14ac:dyDescent="0.35">
      <c r="Q62471" s="1"/>
    </row>
    <row r="62474" spans="17:17" x14ac:dyDescent="0.35">
      <c r="Q62474" s="1"/>
    </row>
    <row r="62476" spans="17:17" x14ac:dyDescent="0.35">
      <c r="Q62476" s="1"/>
    </row>
    <row r="62479" spans="17:17" x14ac:dyDescent="0.35">
      <c r="Q62479" s="1"/>
    </row>
    <row r="62485" spans="17:17" x14ac:dyDescent="0.35">
      <c r="Q62485" s="1"/>
    </row>
    <row r="62487" spans="17:17" x14ac:dyDescent="0.35">
      <c r="Q62487" s="1"/>
    </row>
    <row r="62490" spans="17:17" x14ac:dyDescent="0.35">
      <c r="Q62490" s="1"/>
    </row>
    <row r="62492" spans="17:17" x14ac:dyDescent="0.35">
      <c r="Q62492" s="1"/>
    </row>
    <row r="62495" spans="17:17" x14ac:dyDescent="0.35">
      <c r="Q62495" s="1"/>
    </row>
    <row r="62503" spans="17:17" x14ac:dyDescent="0.35">
      <c r="Q62503" s="1"/>
    </row>
    <row r="62509" spans="17:17" x14ac:dyDescent="0.35">
      <c r="Q62509" s="1"/>
    </row>
    <row r="62511" spans="17:17" x14ac:dyDescent="0.35">
      <c r="Q62511" s="1"/>
    </row>
    <row r="62515" spans="17:17" x14ac:dyDescent="0.35">
      <c r="Q62515" s="1"/>
    </row>
    <row r="62516" spans="17:17" x14ac:dyDescent="0.35">
      <c r="Q62516" s="1"/>
    </row>
    <row r="62522" spans="17:17" x14ac:dyDescent="0.35">
      <c r="Q62522" s="1"/>
    </row>
    <row r="62530" spans="17:17" x14ac:dyDescent="0.35">
      <c r="Q62530" s="1"/>
    </row>
    <row r="62531" spans="17:17" x14ac:dyDescent="0.35">
      <c r="Q62531" s="1"/>
    </row>
    <row r="62532" spans="17:17" x14ac:dyDescent="0.35">
      <c r="Q62532" s="1"/>
    </row>
    <row r="62544" spans="17:17" x14ac:dyDescent="0.35">
      <c r="Q62544" s="1"/>
    </row>
    <row r="62545" spans="17:17" x14ac:dyDescent="0.35">
      <c r="Q62545" s="1"/>
    </row>
    <row r="62561" spans="17:17" x14ac:dyDescent="0.35">
      <c r="Q62561" s="1"/>
    </row>
    <row r="62572" spans="17:17" x14ac:dyDescent="0.35">
      <c r="Q62572" s="1"/>
    </row>
    <row r="62583" spans="17:17" x14ac:dyDescent="0.35">
      <c r="Q62583" s="1"/>
    </row>
    <row r="62596" spans="16:17" x14ac:dyDescent="0.35">
      <c r="Q62596" s="1"/>
    </row>
    <row r="62597" spans="16:17" x14ac:dyDescent="0.35">
      <c r="P62597" s="1"/>
    </row>
    <row r="62598" spans="16:17" x14ac:dyDescent="0.35">
      <c r="Q62598" s="1"/>
    </row>
    <row r="62599" spans="16:17" x14ac:dyDescent="0.35">
      <c r="Q62599" s="1"/>
    </row>
    <row r="62601" spans="16:17" x14ac:dyDescent="0.35">
      <c r="Q62601" s="1"/>
    </row>
    <row r="62603" spans="16:17" x14ac:dyDescent="0.35">
      <c r="Q62603" s="1"/>
    </row>
    <row r="62608" spans="16:17" x14ac:dyDescent="0.35">
      <c r="Q62608" s="1"/>
    </row>
    <row r="62609" spans="16:17" x14ac:dyDescent="0.35">
      <c r="P62609" s="1"/>
      <c r="Q62609" s="1"/>
    </row>
    <row r="62616" spans="16:17" x14ac:dyDescent="0.35">
      <c r="Q62616" s="1"/>
    </row>
    <row r="62618" spans="16:17" x14ac:dyDescent="0.35">
      <c r="Q62618" s="1"/>
    </row>
    <row r="62621" spans="16:17" x14ac:dyDescent="0.35">
      <c r="Q62621" s="1"/>
    </row>
    <row r="62624" spans="16:17" x14ac:dyDescent="0.35">
      <c r="Q62624" s="1"/>
    </row>
    <row r="62629" spans="16:17" x14ac:dyDescent="0.35">
      <c r="Q62629" s="1"/>
    </row>
    <row r="62632" spans="16:17" x14ac:dyDescent="0.35">
      <c r="P62632" s="1"/>
    </row>
    <row r="62634" spans="16:17" x14ac:dyDescent="0.35">
      <c r="Q62634" s="1"/>
    </row>
    <row r="62635" spans="16:17" x14ac:dyDescent="0.35">
      <c r="Q62635" s="1"/>
    </row>
    <row r="62636" spans="16:17" x14ac:dyDescent="0.35">
      <c r="Q62636" s="1"/>
    </row>
    <row r="62644" spans="17:17" x14ac:dyDescent="0.35">
      <c r="Q62644" s="1"/>
    </row>
    <row r="62646" spans="17:17" x14ac:dyDescent="0.35">
      <c r="Q62646" s="1"/>
    </row>
    <row r="62650" spans="17:17" x14ac:dyDescent="0.35">
      <c r="Q62650" s="1"/>
    </row>
    <row r="62653" spans="17:17" x14ac:dyDescent="0.35">
      <c r="Q62653" s="1"/>
    </row>
    <row r="62657" spans="16:17" x14ac:dyDescent="0.35">
      <c r="P62657" s="1"/>
    </row>
    <row r="62661" spans="16:17" x14ac:dyDescent="0.35">
      <c r="Q62661" s="1"/>
    </row>
    <row r="62671" spans="16:17" x14ac:dyDescent="0.35">
      <c r="Q62671" s="1"/>
    </row>
    <row r="62672" spans="16:17" x14ac:dyDescent="0.35">
      <c r="Q62672" s="1"/>
    </row>
    <row r="62673" spans="17:17" x14ac:dyDescent="0.35">
      <c r="Q62673" s="1"/>
    </row>
    <row r="62674" spans="17:17" x14ac:dyDescent="0.35">
      <c r="Q62674" s="1"/>
    </row>
    <row r="62679" spans="17:17" x14ac:dyDescent="0.35">
      <c r="Q62679" s="1"/>
    </row>
    <row r="62680" spans="17:17" x14ac:dyDescent="0.35">
      <c r="Q62680" s="1"/>
    </row>
    <row r="62689" spans="17:17" x14ac:dyDescent="0.35">
      <c r="Q62689" s="1"/>
    </row>
    <row r="62691" spans="17:17" x14ac:dyDescent="0.35">
      <c r="Q62691" s="1"/>
    </row>
    <row r="62695" spans="17:17" x14ac:dyDescent="0.35">
      <c r="Q62695" s="1"/>
    </row>
    <row r="62696" spans="17:17" x14ac:dyDescent="0.35">
      <c r="Q62696" s="1"/>
    </row>
    <row r="62697" spans="17:17" x14ac:dyDescent="0.35">
      <c r="Q62697" s="1"/>
    </row>
    <row r="62702" spans="17:17" x14ac:dyDescent="0.35">
      <c r="Q62702" s="1"/>
    </row>
    <row r="62711" spans="17:17" x14ac:dyDescent="0.35">
      <c r="Q62711" s="1"/>
    </row>
    <row r="62714" spans="17:17" x14ac:dyDescent="0.35">
      <c r="Q62714" s="1"/>
    </row>
    <row r="62725" spans="17:17" x14ac:dyDescent="0.35">
      <c r="Q62725" s="1"/>
    </row>
    <row r="62726" spans="17:17" x14ac:dyDescent="0.35">
      <c r="Q62726" s="1"/>
    </row>
    <row r="62730" spans="17:17" x14ac:dyDescent="0.35">
      <c r="Q62730" s="1"/>
    </row>
    <row r="62731" spans="17:17" x14ac:dyDescent="0.35">
      <c r="Q62731" s="1"/>
    </row>
    <row r="62733" spans="17:17" x14ac:dyDescent="0.35">
      <c r="Q62733" s="1"/>
    </row>
    <row r="62734" spans="17:17" x14ac:dyDescent="0.35">
      <c r="Q62734" s="1"/>
    </row>
    <row r="62735" spans="17:17" x14ac:dyDescent="0.35">
      <c r="Q62735" s="1"/>
    </row>
    <row r="62736" spans="17:17" x14ac:dyDescent="0.35">
      <c r="Q62736" s="1"/>
    </row>
    <row r="62742" spans="17:17" x14ac:dyDescent="0.35">
      <c r="Q62742" s="1"/>
    </row>
    <row r="62746" spans="17:17" x14ac:dyDescent="0.35">
      <c r="Q62746" s="1"/>
    </row>
    <row r="62748" spans="17:17" x14ac:dyDescent="0.35">
      <c r="Q62748" s="1"/>
    </row>
    <row r="62758" spans="17:17" x14ac:dyDescent="0.35">
      <c r="Q62758" s="1"/>
    </row>
    <row r="62761" spans="17:17" x14ac:dyDescent="0.35">
      <c r="Q62761" s="1"/>
    </row>
    <row r="62765" spans="17:17" x14ac:dyDescent="0.35">
      <c r="Q62765" s="1"/>
    </row>
    <row r="62774" spans="17:17" x14ac:dyDescent="0.35">
      <c r="Q62774" s="1"/>
    </row>
    <row r="62776" spans="17:17" x14ac:dyDescent="0.35">
      <c r="Q62776" s="1"/>
    </row>
    <row r="62777" spans="17:17" x14ac:dyDescent="0.35">
      <c r="Q62777" s="1"/>
    </row>
    <row r="62783" spans="17:17" x14ac:dyDescent="0.35">
      <c r="Q62783" s="1"/>
    </row>
    <row r="62784" spans="17:17" x14ac:dyDescent="0.35">
      <c r="Q62784" s="1"/>
    </row>
    <row r="62793" spans="17:17" x14ac:dyDescent="0.35">
      <c r="Q62793" s="1"/>
    </row>
    <row r="62794" spans="17:17" x14ac:dyDescent="0.35">
      <c r="Q62794" s="1"/>
    </row>
    <row r="62795" spans="17:17" x14ac:dyDescent="0.35">
      <c r="Q62795" s="1"/>
    </row>
    <row r="62813" spans="17:17" x14ac:dyDescent="0.35">
      <c r="Q62813" s="1"/>
    </row>
    <row r="62814" spans="17:17" x14ac:dyDescent="0.35">
      <c r="Q62814" s="1"/>
    </row>
    <row r="62824" spans="17:17" x14ac:dyDescent="0.35">
      <c r="Q62824" s="1"/>
    </row>
    <row r="62828" spans="17:17" x14ac:dyDescent="0.35">
      <c r="Q62828" s="1"/>
    </row>
    <row r="62831" spans="17:17" x14ac:dyDescent="0.35">
      <c r="Q62831" s="1"/>
    </row>
    <row r="62833" spans="17:17" x14ac:dyDescent="0.35">
      <c r="Q62833" s="1"/>
    </row>
    <row r="62839" spans="17:17" x14ac:dyDescent="0.35">
      <c r="Q62839" s="1"/>
    </row>
    <row r="62845" spans="17:17" x14ac:dyDescent="0.35">
      <c r="Q62845" s="1"/>
    </row>
    <row r="62847" spans="17:17" x14ac:dyDescent="0.35">
      <c r="Q62847" s="1"/>
    </row>
    <row r="62849" spans="17:17" x14ac:dyDescent="0.35">
      <c r="Q62849" s="1"/>
    </row>
    <row r="62851" spans="17:17" x14ac:dyDescent="0.35">
      <c r="Q62851" s="1"/>
    </row>
    <row r="62854" spans="17:17" x14ac:dyDescent="0.35">
      <c r="Q62854" s="1"/>
    </row>
    <row r="62855" spans="17:17" x14ac:dyDescent="0.35">
      <c r="Q62855" s="1"/>
    </row>
    <row r="62860" spans="17:17" x14ac:dyDescent="0.35">
      <c r="Q62860" s="1"/>
    </row>
    <row r="62862" spans="17:17" x14ac:dyDescent="0.35">
      <c r="Q62862" s="1"/>
    </row>
    <row r="62867" spans="17:17" x14ac:dyDescent="0.35">
      <c r="Q62867" s="1"/>
    </row>
    <row r="62876" spans="17:17" x14ac:dyDescent="0.35">
      <c r="Q62876" s="1"/>
    </row>
    <row r="62877" spans="17:17" x14ac:dyDescent="0.35">
      <c r="Q62877" s="1"/>
    </row>
    <row r="62888" spans="17:17" x14ac:dyDescent="0.35">
      <c r="Q62888" s="1"/>
    </row>
    <row r="62895" spans="17:17" x14ac:dyDescent="0.35">
      <c r="Q62895" s="1"/>
    </row>
    <row r="62897" spans="17:17" x14ac:dyDescent="0.35">
      <c r="Q62897" s="1"/>
    </row>
    <row r="62900" spans="17:17" x14ac:dyDescent="0.35">
      <c r="Q62900" s="1"/>
    </row>
    <row r="62901" spans="17:17" x14ac:dyDescent="0.35">
      <c r="Q62901" s="1"/>
    </row>
    <row r="62904" spans="17:17" x14ac:dyDescent="0.35">
      <c r="Q62904" s="1"/>
    </row>
    <row r="62905" spans="17:17" x14ac:dyDescent="0.35">
      <c r="Q62905" s="1"/>
    </row>
    <row r="62911" spans="17:17" x14ac:dyDescent="0.35">
      <c r="Q62911" s="1"/>
    </row>
    <row r="62913" spans="16:17" x14ac:dyDescent="0.35">
      <c r="Q62913" s="1"/>
    </row>
    <row r="62914" spans="16:17" x14ac:dyDescent="0.35">
      <c r="Q62914" s="1"/>
    </row>
    <row r="62915" spans="16:17" x14ac:dyDescent="0.35">
      <c r="Q62915" s="1"/>
    </row>
    <row r="62917" spans="16:17" x14ac:dyDescent="0.35">
      <c r="Q62917" s="1"/>
    </row>
    <row r="62920" spans="16:17" x14ac:dyDescent="0.35">
      <c r="P62920" s="1"/>
    </row>
    <row r="62921" spans="16:17" x14ac:dyDescent="0.35">
      <c r="Q62921" s="1"/>
    </row>
    <row r="62937" spans="17:17" x14ac:dyDescent="0.35">
      <c r="Q62937" s="1"/>
    </row>
    <row r="62940" spans="17:17" x14ac:dyDescent="0.35">
      <c r="Q62940" s="1"/>
    </row>
    <row r="62944" spans="17:17" x14ac:dyDescent="0.35">
      <c r="Q62944" s="1"/>
    </row>
    <row r="62946" spans="17:17" x14ac:dyDescent="0.35">
      <c r="Q62946" s="1"/>
    </row>
    <row r="62958" spans="17:17" x14ac:dyDescent="0.35">
      <c r="Q62958" s="1"/>
    </row>
    <row r="62959" spans="17:17" x14ac:dyDescent="0.35">
      <c r="Q62959" s="1"/>
    </row>
    <row r="62961" spans="16:17" x14ac:dyDescent="0.35">
      <c r="P62961" s="1"/>
    </row>
    <row r="62967" spans="16:17" x14ac:dyDescent="0.35">
      <c r="Q62967" s="1"/>
    </row>
    <row r="62968" spans="16:17" x14ac:dyDescent="0.35">
      <c r="Q62968" s="1"/>
    </row>
    <row r="62970" spans="16:17" x14ac:dyDescent="0.35">
      <c r="Q62970" s="1"/>
    </row>
    <row r="62971" spans="16:17" x14ac:dyDescent="0.35">
      <c r="Q62971" s="1"/>
    </row>
    <row r="62974" spans="16:17" x14ac:dyDescent="0.35">
      <c r="Q62974" s="1"/>
    </row>
    <row r="62977" spans="17:17" x14ac:dyDescent="0.35">
      <c r="Q62977" s="1"/>
    </row>
    <row r="62984" spans="17:17" x14ac:dyDescent="0.35">
      <c r="Q62984" s="1"/>
    </row>
    <row r="62994" spans="16:17" x14ac:dyDescent="0.35">
      <c r="Q62994" s="1"/>
    </row>
    <row r="62996" spans="16:17" x14ac:dyDescent="0.35">
      <c r="Q62996" s="1"/>
    </row>
    <row r="63004" spans="16:17" x14ac:dyDescent="0.35">
      <c r="P63004" s="1"/>
    </row>
    <row r="63007" spans="16:17" x14ac:dyDescent="0.35">
      <c r="P63007" s="1"/>
    </row>
    <row r="63015" spans="16:17" x14ac:dyDescent="0.35">
      <c r="P63015" s="1"/>
    </row>
    <row r="63016" spans="16:17" x14ac:dyDescent="0.35">
      <c r="Q63016" s="1"/>
    </row>
    <row r="63017" spans="16:17" x14ac:dyDescent="0.35">
      <c r="Q63017" s="1"/>
    </row>
    <row r="63021" spans="16:17" x14ac:dyDescent="0.35">
      <c r="Q63021" s="1"/>
    </row>
    <row r="63022" spans="16:17" x14ac:dyDescent="0.35">
      <c r="Q63022" s="1"/>
    </row>
    <row r="63026" spans="17:17" x14ac:dyDescent="0.35">
      <c r="Q63026" s="1"/>
    </row>
    <row r="63030" spans="17:17" x14ac:dyDescent="0.35">
      <c r="Q63030" s="1"/>
    </row>
    <row r="63052" spans="16:17" x14ac:dyDescent="0.35">
      <c r="Q63052" s="1"/>
    </row>
    <row r="63056" spans="16:17" x14ac:dyDescent="0.35">
      <c r="P63056" s="1"/>
    </row>
    <row r="63066" spans="17:17" x14ac:dyDescent="0.35">
      <c r="Q63066" s="1"/>
    </row>
    <row r="63068" spans="17:17" x14ac:dyDescent="0.35">
      <c r="Q63068" s="1"/>
    </row>
    <row r="63070" spans="17:17" x14ac:dyDescent="0.35">
      <c r="Q63070" s="1"/>
    </row>
    <row r="63072" spans="17:17" x14ac:dyDescent="0.35">
      <c r="Q63072" s="1"/>
    </row>
    <row r="63073" spans="16:17" x14ac:dyDescent="0.35">
      <c r="Q63073" s="1"/>
    </row>
    <row r="63074" spans="16:17" x14ac:dyDescent="0.35">
      <c r="Q63074" s="1"/>
    </row>
    <row r="63076" spans="16:17" x14ac:dyDescent="0.35">
      <c r="Q63076" s="1"/>
    </row>
    <row r="63079" spans="16:17" x14ac:dyDescent="0.35">
      <c r="P63079" s="1"/>
    </row>
    <row r="63082" spans="16:17" x14ac:dyDescent="0.35">
      <c r="Q63082" s="1"/>
    </row>
    <row r="63095" spans="17:17" x14ac:dyDescent="0.35">
      <c r="Q63095" s="1"/>
    </row>
    <row r="63096" spans="17:17" x14ac:dyDescent="0.35">
      <c r="Q63096" s="1"/>
    </row>
    <row r="63099" spans="17:17" x14ac:dyDescent="0.35">
      <c r="Q63099" s="1"/>
    </row>
    <row r="63108" spans="17:17" x14ac:dyDescent="0.35">
      <c r="Q63108" s="1"/>
    </row>
    <row r="63112" spans="17:17" x14ac:dyDescent="0.35">
      <c r="Q63112" s="1"/>
    </row>
    <row r="63122" spans="17:17" x14ac:dyDescent="0.35">
      <c r="Q63122" s="1"/>
    </row>
    <row r="63126" spans="17:17" x14ac:dyDescent="0.35">
      <c r="Q63126" s="1"/>
    </row>
    <row r="63127" spans="17:17" x14ac:dyDescent="0.35">
      <c r="Q63127" s="1"/>
    </row>
    <row r="63129" spans="17:17" x14ac:dyDescent="0.35">
      <c r="Q63129" s="1"/>
    </row>
    <row r="63141" spans="17:17" x14ac:dyDescent="0.35">
      <c r="Q63141" s="1"/>
    </row>
    <row r="63142" spans="17:17" x14ac:dyDescent="0.35">
      <c r="Q63142" s="1"/>
    </row>
    <row r="63152" spans="17:17" x14ac:dyDescent="0.35">
      <c r="Q63152" s="1"/>
    </row>
    <row r="63154" spans="17:17" x14ac:dyDescent="0.35">
      <c r="Q63154" s="1"/>
    </row>
    <row r="63158" spans="17:17" x14ac:dyDescent="0.35">
      <c r="Q63158" s="1"/>
    </row>
    <row r="63169" spans="16:17" x14ac:dyDescent="0.35">
      <c r="Q63169" s="1"/>
    </row>
    <row r="63173" spans="16:17" x14ac:dyDescent="0.35">
      <c r="Q63173" s="1"/>
    </row>
    <row r="63174" spans="16:17" x14ac:dyDescent="0.35">
      <c r="Q63174" s="1"/>
    </row>
    <row r="63176" spans="16:17" x14ac:dyDescent="0.35">
      <c r="Q63176" s="1"/>
    </row>
    <row r="63177" spans="16:17" x14ac:dyDescent="0.35">
      <c r="P63177" s="1"/>
    </row>
    <row r="63178" spans="16:17" x14ac:dyDescent="0.35">
      <c r="Q63178" s="1"/>
    </row>
    <row r="63190" spans="16:17" x14ac:dyDescent="0.35">
      <c r="Q63190" s="1"/>
    </row>
    <row r="63193" spans="16:17" x14ac:dyDescent="0.35">
      <c r="P63193" s="1"/>
      <c r="Q63193" s="1"/>
    </row>
    <row r="63194" spans="16:17" x14ac:dyDescent="0.35">
      <c r="Q63194" s="1"/>
    </row>
    <row r="63199" spans="16:17" x14ac:dyDescent="0.35">
      <c r="Q63199" s="1"/>
    </row>
    <row r="63201" spans="17:17" x14ac:dyDescent="0.35">
      <c r="Q63201" s="1"/>
    </row>
    <row r="63202" spans="17:17" x14ac:dyDescent="0.35">
      <c r="Q63202" s="1"/>
    </row>
    <row r="63215" spans="17:17" x14ac:dyDescent="0.35">
      <c r="Q63215" s="1"/>
    </row>
    <row r="63218" spans="16:17" x14ac:dyDescent="0.35">
      <c r="Q63218" s="1"/>
    </row>
    <row r="63219" spans="16:17" x14ac:dyDescent="0.35">
      <c r="P63219" s="1"/>
    </row>
    <row r="63221" spans="16:17" x14ac:dyDescent="0.35">
      <c r="Q63221" s="1"/>
    </row>
    <row r="63223" spans="16:17" x14ac:dyDescent="0.35">
      <c r="Q63223" s="1"/>
    </row>
    <row r="63229" spans="16:17" x14ac:dyDescent="0.35">
      <c r="Q63229" s="1"/>
    </row>
    <row r="63238" spans="16:17" x14ac:dyDescent="0.35">
      <c r="Q63238" s="1"/>
    </row>
    <row r="63243" spans="16:17" x14ac:dyDescent="0.35">
      <c r="Q63243" s="1"/>
    </row>
    <row r="63244" spans="16:17" x14ac:dyDescent="0.35">
      <c r="Q63244" s="1"/>
    </row>
    <row r="63245" spans="16:17" x14ac:dyDescent="0.35">
      <c r="Q63245" s="1"/>
    </row>
    <row r="63246" spans="16:17" x14ac:dyDescent="0.35">
      <c r="P63246" s="1"/>
    </row>
    <row r="63249" spans="16:17" x14ac:dyDescent="0.35">
      <c r="Q63249" s="1"/>
    </row>
    <row r="63256" spans="16:17" x14ac:dyDescent="0.35">
      <c r="Q63256" s="1"/>
    </row>
    <row r="63257" spans="16:17" x14ac:dyDescent="0.35">
      <c r="Q63257" s="1"/>
    </row>
    <row r="63258" spans="16:17" x14ac:dyDescent="0.35">
      <c r="P63258" s="1"/>
      <c r="Q63258" s="1"/>
    </row>
    <row r="63261" spans="16:17" x14ac:dyDescent="0.35">
      <c r="Q63261" s="1"/>
    </row>
    <row r="63271" spans="17:17" x14ac:dyDescent="0.35">
      <c r="Q63271" s="1"/>
    </row>
    <row r="63275" spans="17:17" x14ac:dyDescent="0.35">
      <c r="Q63275" s="1"/>
    </row>
    <row r="63276" spans="17:17" x14ac:dyDescent="0.35">
      <c r="Q63276" s="1"/>
    </row>
    <row r="63280" spans="17:17" x14ac:dyDescent="0.35">
      <c r="Q63280" s="1"/>
    </row>
    <row r="63283" spans="16:17" x14ac:dyDescent="0.35">
      <c r="P63283" s="1"/>
    </row>
    <row r="63291" spans="16:17" x14ac:dyDescent="0.35">
      <c r="Q63291" s="1"/>
    </row>
    <row r="63296" spans="16:17" x14ac:dyDescent="0.35">
      <c r="Q63296" s="1"/>
    </row>
    <row r="63297" spans="17:17" x14ac:dyDescent="0.35">
      <c r="Q63297" s="1"/>
    </row>
    <row r="63305" spans="17:17" x14ac:dyDescent="0.35">
      <c r="Q63305" s="1"/>
    </row>
    <row r="63320" spans="17:17" x14ac:dyDescent="0.35">
      <c r="Q63320" s="1"/>
    </row>
    <row r="63322" spans="17:17" x14ac:dyDescent="0.35">
      <c r="Q63322" s="1"/>
    </row>
    <row r="63324" spans="17:17" x14ac:dyDescent="0.35">
      <c r="Q63324" s="1"/>
    </row>
    <row r="63326" spans="17:17" x14ac:dyDescent="0.35">
      <c r="Q63326" s="1"/>
    </row>
    <row r="63332" spans="17:17" x14ac:dyDescent="0.35">
      <c r="Q63332" s="1"/>
    </row>
    <row r="63334" spans="17:17" x14ac:dyDescent="0.35">
      <c r="Q63334" s="1"/>
    </row>
    <row r="63335" spans="17:17" x14ac:dyDescent="0.35">
      <c r="Q63335" s="1"/>
    </row>
    <row r="63341" spans="17:17" x14ac:dyDescent="0.35">
      <c r="Q63341" s="1"/>
    </row>
    <row r="63345" spans="17:17" x14ac:dyDescent="0.35">
      <c r="Q63345" s="1"/>
    </row>
    <row r="63347" spans="17:17" x14ac:dyDescent="0.35">
      <c r="Q63347" s="1"/>
    </row>
    <row r="63352" spans="17:17" x14ac:dyDescent="0.35">
      <c r="Q63352" s="1"/>
    </row>
    <row r="63356" spans="17:17" x14ac:dyDescent="0.35">
      <c r="Q63356" s="1"/>
    </row>
    <row r="63364" spans="16:17" x14ac:dyDescent="0.35">
      <c r="P63364" s="1"/>
    </row>
    <row r="63365" spans="16:17" x14ac:dyDescent="0.35">
      <c r="Q63365" s="1"/>
    </row>
    <row r="63366" spans="16:17" x14ac:dyDescent="0.35">
      <c r="Q63366" s="1"/>
    </row>
    <row r="63374" spans="16:17" x14ac:dyDescent="0.35">
      <c r="Q63374" s="1"/>
    </row>
    <row r="63378" spans="17:17" x14ac:dyDescent="0.35">
      <c r="Q63378" s="1"/>
    </row>
    <row r="63383" spans="17:17" x14ac:dyDescent="0.35">
      <c r="Q63383" s="1"/>
    </row>
    <row r="63384" spans="17:17" x14ac:dyDescent="0.35">
      <c r="Q63384" s="1"/>
    </row>
    <row r="63387" spans="17:17" x14ac:dyDescent="0.35">
      <c r="Q63387" s="1"/>
    </row>
    <row r="63390" spans="17:17" x14ac:dyDescent="0.35">
      <c r="Q63390" s="1"/>
    </row>
    <row r="63396" spans="17:17" x14ac:dyDescent="0.35">
      <c r="Q63396" s="1"/>
    </row>
    <row r="63400" spans="17:17" x14ac:dyDescent="0.35">
      <c r="Q63400" s="1"/>
    </row>
    <row r="63401" spans="17:17" x14ac:dyDescent="0.35">
      <c r="Q63401" s="1"/>
    </row>
    <row r="63416" spans="17:17" x14ac:dyDescent="0.35">
      <c r="Q63416" s="1"/>
    </row>
    <row r="63420" spans="17:17" x14ac:dyDescent="0.35">
      <c r="Q63420" s="1"/>
    </row>
    <row r="63421" spans="17:17" x14ac:dyDescent="0.35">
      <c r="Q63421" s="1"/>
    </row>
    <row r="63427" spans="16:17" x14ac:dyDescent="0.35">
      <c r="Q63427" s="1"/>
    </row>
    <row r="63429" spans="16:17" x14ac:dyDescent="0.35">
      <c r="Q63429" s="1"/>
    </row>
    <row r="63430" spans="16:17" x14ac:dyDescent="0.35">
      <c r="Q63430" s="1"/>
    </row>
    <row r="63433" spans="16:17" x14ac:dyDescent="0.35">
      <c r="P63433" s="1"/>
      <c r="Q63433" s="1"/>
    </row>
    <row r="63443" spans="16:17" x14ac:dyDescent="0.35">
      <c r="P63443" s="1"/>
    </row>
    <row r="63448" spans="16:17" x14ac:dyDescent="0.35">
      <c r="Q63448" s="1"/>
    </row>
    <row r="63449" spans="16:17" x14ac:dyDescent="0.35">
      <c r="Q63449" s="1"/>
    </row>
    <row r="63450" spans="16:17" x14ac:dyDescent="0.35">
      <c r="Q63450" s="1"/>
    </row>
    <row r="63454" spans="16:17" x14ac:dyDescent="0.35">
      <c r="Q63454" s="1"/>
    </row>
    <row r="63456" spans="16:17" x14ac:dyDescent="0.35">
      <c r="Q63456" s="1"/>
    </row>
    <row r="63460" spans="17:17" x14ac:dyDescent="0.35">
      <c r="Q63460" s="1"/>
    </row>
    <row r="63461" spans="17:17" x14ac:dyDescent="0.35">
      <c r="Q63461" s="1"/>
    </row>
    <row r="63462" spans="17:17" x14ac:dyDescent="0.35">
      <c r="Q63462" s="1"/>
    </row>
    <row r="63471" spans="17:17" x14ac:dyDescent="0.35">
      <c r="Q63471" s="1"/>
    </row>
    <row r="63472" spans="17:17" x14ac:dyDescent="0.35">
      <c r="Q63472" s="1"/>
    </row>
    <row r="63475" spans="17:17" x14ac:dyDescent="0.35">
      <c r="Q63475" s="1"/>
    </row>
    <row r="63479" spans="17:17" x14ac:dyDescent="0.35">
      <c r="Q63479" s="1"/>
    </row>
    <row r="63483" spans="17:17" x14ac:dyDescent="0.35">
      <c r="Q63483" s="1"/>
    </row>
    <row r="63489" spans="17:17" x14ac:dyDescent="0.35">
      <c r="Q63489" s="1"/>
    </row>
    <row r="63491" spans="17:17" x14ac:dyDescent="0.35">
      <c r="Q63491" s="1"/>
    </row>
    <row r="63492" spans="17:17" x14ac:dyDescent="0.35">
      <c r="Q63492" s="1"/>
    </row>
    <row r="63495" spans="17:17" x14ac:dyDescent="0.35">
      <c r="Q63495" s="1"/>
    </row>
    <row r="63497" spans="17:17" x14ac:dyDescent="0.35">
      <c r="Q63497" s="1"/>
    </row>
    <row r="63499" spans="17:17" x14ac:dyDescent="0.35">
      <c r="Q63499" s="1"/>
    </row>
    <row r="63503" spans="17:17" x14ac:dyDescent="0.35">
      <c r="Q63503" s="1"/>
    </row>
    <row r="63508" spans="16:17" x14ac:dyDescent="0.35">
      <c r="P63508" s="1"/>
    </row>
    <row r="63512" spans="16:17" x14ac:dyDescent="0.35">
      <c r="Q63512" s="1"/>
    </row>
    <row r="63516" spans="16:17" x14ac:dyDescent="0.35">
      <c r="P63516" s="1"/>
    </row>
    <row r="63517" spans="16:17" x14ac:dyDescent="0.35">
      <c r="Q63517" s="1"/>
    </row>
    <row r="63518" spans="16:17" x14ac:dyDescent="0.35">
      <c r="Q63518" s="1"/>
    </row>
    <row r="63527" spans="17:17" x14ac:dyDescent="0.35">
      <c r="Q63527" s="1"/>
    </row>
    <row r="63545" spans="16:17" x14ac:dyDescent="0.35">
      <c r="Q63545" s="1"/>
    </row>
    <row r="63549" spans="16:17" x14ac:dyDescent="0.35">
      <c r="Q63549" s="1"/>
    </row>
    <row r="63552" spans="16:17" x14ac:dyDescent="0.35">
      <c r="P63552" s="1"/>
    </row>
    <row r="63567" spans="17:17" x14ac:dyDescent="0.35">
      <c r="Q63567" s="1"/>
    </row>
    <row r="63574" spans="16:17" x14ac:dyDescent="0.35">
      <c r="Q63574" s="1"/>
    </row>
    <row r="63579" spans="16:17" x14ac:dyDescent="0.35">
      <c r="Q63579" s="1"/>
    </row>
    <row r="63584" spans="16:17" x14ac:dyDescent="0.35">
      <c r="P63584" s="1"/>
    </row>
    <row r="63585" spans="17:17" x14ac:dyDescent="0.35">
      <c r="Q63585" s="1"/>
    </row>
    <row r="63586" spans="17:17" x14ac:dyDescent="0.35">
      <c r="Q63586" s="1"/>
    </row>
    <row r="63595" spans="17:17" x14ac:dyDescent="0.35">
      <c r="Q63595" s="1"/>
    </row>
    <row r="63598" spans="17:17" x14ac:dyDescent="0.35">
      <c r="Q63598" s="1"/>
    </row>
    <row r="63603" spans="17:17" x14ac:dyDescent="0.35">
      <c r="Q63603" s="1"/>
    </row>
    <row r="63604" spans="17:17" x14ac:dyDescent="0.35">
      <c r="Q63604" s="1"/>
    </row>
    <row r="63605" spans="17:17" x14ac:dyDescent="0.35">
      <c r="Q63605" s="1"/>
    </row>
    <row r="63606" spans="17:17" x14ac:dyDescent="0.35">
      <c r="Q63606" s="1"/>
    </row>
    <row r="63612" spans="17:17" x14ac:dyDescent="0.35">
      <c r="Q63612" s="1"/>
    </row>
    <row r="63613" spans="17:17" x14ac:dyDescent="0.35">
      <c r="Q63613" s="1"/>
    </row>
    <row r="63620" spans="17:17" x14ac:dyDescent="0.35">
      <c r="Q63620" s="1"/>
    </row>
    <row r="63632" spans="17:17" x14ac:dyDescent="0.35">
      <c r="Q63632" s="1"/>
    </row>
    <row r="63633" spans="16:17" x14ac:dyDescent="0.35">
      <c r="P63633" s="1"/>
      <c r="Q63633" s="1"/>
    </row>
    <row r="63634" spans="16:17" x14ac:dyDescent="0.35">
      <c r="Q63634" s="1"/>
    </row>
    <row r="63635" spans="16:17" x14ac:dyDescent="0.35">
      <c r="Q63635" s="1"/>
    </row>
    <row r="63636" spans="16:17" x14ac:dyDescent="0.35">
      <c r="Q63636" s="1"/>
    </row>
    <row r="63638" spans="16:17" x14ac:dyDescent="0.35">
      <c r="Q63638" s="1"/>
    </row>
    <row r="63642" spans="16:17" x14ac:dyDescent="0.35">
      <c r="Q63642" s="1"/>
    </row>
    <row r="63643" spans="16:17" x14ac:dyDescent="0.35">
      <c r="Q63643" s="1"/>
    </row>
    <row r="63648" spans="16:17" x14ac:dyDescent="0.35">
      <c r="Q63648" s="1"/>
    </row>
    <row r="63653" spans="17:17" x14ac:dyDescent="0.35">
      <c r="Q63653" s="1"/>
    </row>
    <row r="63656" spans="17:17" x14ac:dyDescent="0.35">
      <c r="Q63656" s="1"/>
    </row>
    <row r="63662" spans="17:17" x14ac:dyDescent="0.35">
      <c r="Q63662" s="1"/>
    </row>
    <row r="63663" spans="17:17" x14ac:dyDescent="0.35">
      <c r="Q63663" s="1"/>
    </row>
    <row r="63669" spans="17:17" x14ac:dyDescent="0.35">
      <c r="Q63669" s="1"/>
    </row>
    <row r="63674" spans="17:17" x14ac:dyDescent="0.35">
      <c r="Q63674" s="1"/>
    </row>
    <row r="63680" spans="17:17" x14ac:dyDescent="0.35">
      <c r="Q63680" s="1"/>
    </row>
    <row r="63686" spans="16:17" x14ac:dyDescent="0.35">
      <c r="Q63686" s="1"/>
    </row>
    <row r="63692" spans="16:17" x14ac:dyDescent="0.35">
      <c r="P63692" s="1"/>
    </row>
    <row r="63693" spans="16:17" x14ac:dyDescent="0.35">
      <c r="Q63693" s="1"/>
    </row>
    <row r="63703" spans="16:17" x14ac:dyDescent="0.35">
      <c r="P63703" s="1"/>
    </row>
    <row r="63704" spans="16:17" x14ac:dyDescent="0.35">
      <c r="Q63704" s="1"/>
    </row>
    <row r="63707" spans="16:17" x14ac:dyDescent="0.35">
      <c r="P63707" s="1"/>
    </row>
    <row r="63711" spans="16:17" x14ac:dyDescent="0.35">
      <c r="Q63711" s="1"/>
    </row>
    <row r="63713" spans="17:17" x14ac:dyDescent="0.35">
      <c r="Q63713" s="1"/>
    </row>
    <row r="63716" spans="17:17" x14ac:dyDescent="0.35">
      <c r="Q63716" s="1"/>
    </row>
    <row r="63718" spans="17:17" x14ac:dyDescent="0.35">
      <c r="Q63718" s="1"/>
    </row>
    <row r="63720" spans="17:17" x14ac:dyDescent="0.35">
      <c r="Q63720" s="1"/>
    </row>
    <row r="63724" spans="17:17" x14ac:dyDescent="0.35">
      <c r="Q63724" s="1"/>
    </row>
    <row r="63736" spans="17:17" x14ac:dyDescent="0.35">
      <c r="Q63736" s="1"/>
    </row>
    <row r="63737" spans="17:17" x14ac:dyDescent="0.35">
      <c r="Q63737" s="1"/>
    </row>
    <row r="63738" spans="17:17" x14ac:dyDescent="0.35">
      <c r="Q63738" s="1"/>
    </row>
    <row r="63741" spans="17:17" x14ac:dyDescent="0.35">
      <c r="Q63741" s="1"/>
    </row>
    <row r="63745" spans="17:17" x14ac:dyDescent="0.35">
      <c r="Q63745" s="1"/>
    </row>
    <row r="63747" spans="17:17" x14ac:dyDescent="0.35">
      <c r="Q63747" s="1"/>
    </row>
    <row r="63750" spans="17:17" x14ac:dyDescent="0.35">
      <c r="Q63750" s="1"/>
    </row>
    <row r="63762" spans="17:17" x14ac:dyDescent="0.35">
      <c r="Q63762" s="1"/>
    </row>
    <row r="63768" spans="17:17" x14ac:dyDescent="0.35">
      <c r="Q63768" s="1"/>
    </row>
    <row r="63769" spans="17:17" x14ac:dyDescent="0.35">
      <c r="Q63769" s="1"/>
    </row>
    <row r="63770" spans="17:17" x14ac:dyDescent="0.35">
      <c r="Q63770" s="1"/>
    </row>
    <row r="63773" spans="17:17" x14ac:dyDescent="0.35">
      <c r="Q63773" s="1"/>
    </row>
    <row r="63776" spans="17:17" x14ac:dyDescent="0.35">
      <c r="Q63776" s="1"/>
    </row>
    <row r="63778" spans="17:17" x14ac:dyDescent="0.35">
      <c r="Q63778" s="1"/>
    </row>
    <row r="63786" spans="17:17" x14ac:dyDescent="0.35">
      <c r="Q63786" s="1"/>
    </row>
    <row r="63788" spans="17:17" x14ac:dyDescent="0.35">
      <c r="Q63788" s="1"/>
    </row>
    <row r="63796" spans="16:17" x14ac:dyDescent="0.35">
      <c r="Q63796" s="1"/>
    </row>
    <row r="63797" spans="16:17" x14ac:dyDescent="0.35">
      <c r="Q63797" s="1"/>
    </row>
    <row r="63798" spans="16:17" x14ac:dyDescent="0.35">
      <c r="Q63798" s="1"/>
    </row>
    <row r="63803" spans="16:17" x14ac:dyDescent="0.35">
      <c r="Q63803" s="1"/>
    </row>
    <row r="63805" spans="16:17" x14ac:dyDescent="0.35">
      <c r="Q63805" s="1"/>
    </row>
    <row r="63806" spans="16:17" x14ac:dyDescent="0.35">
      <c r="P63806" s="1"/>
    </row>
    <row r="63807" spans="16:17" x14ac:dyDescent="0.35">
      <c r="Q63807" s="1"/>
    </row>
    <row r="63808" spans="16:17" x14ac:dyDescent="0.35">
      <c r="Q63808" s="1"/>
    </row>
    <row r="63813" spans="17:17" x14ac:dyDescent="0.35">
      <c r="Q63813" s="1"/>
    </row>
    <row r="63815" spans="17:17" x14ac:dyDescent="0.35">
      <c r="Q63815" s="1"/>
    </row>
    <row r="63817" spans="17:17" x14ac:dyDescent="0.35">
      <c r="Q63817" s="1"/>
    </row>
    <row r="63820" spans="17:17" x14ac:dyDescent="0.35">
      <c r="Q63820" s="1"/>
    </row>
    <row r="63823" spans="17:17" x14ac:dyDescent="0.35">
      <c r="Q63823" s="1"/>
    </row>
    <row r="63825" spans="17:17" x14ac:dyDescent="0.35">
      <c r="Q63825" s="1"/>
    </row>
    <row r="63831" spans="17:17" x14ac:dyDescent="0.35">
      <c r="Q63831" s="1"/>
    </row>
    <row r="63832" spans="17:17" x14ac:dyDescent="0.35">
      <c r="Q63832" s="1"/>
    </row>
    <row r="63840" spans="17:17" x14ac:dyDescent="0.35">
      <c r="Q63840" s="1"/>
    </row>
    <row r="63843" spans="17:17" x14ac:dyDescent="0.35">
      <c r="Q63843" s="1"/>
    </row>
    <row r="63845" spans="17:17" x14ac:dyDescent="0.35">
      <c r="Q63845" s="1"/>
    </row>
    <row r="63849" spans="17:17" x14ac:dyDescent="0.35">
      <c r="Q63849" s="1"/>
    </row>
    <row r="63854" spans="17:17" x14ac:dyDescent="0.35">
      <c r="Q63854" s="1"/>
    </row>
    <row r="63857" spans="17:17" x14ac:dyDescent="0.35">
      <c r="Q63857" s="1"/>
    </row>
    <row r="63870" spans="17:17" x14ac:dyDescent="0.35">
      <c r="Q63870" s="1"/>
    </row>
    <row r="63871" spans="17:17" x14ac:dyDescent="0.35">
      <c r="Q63871" s="1"/>
    </row>
    <row r="63872" spans="17:17" x14ac:dyDescent="0.35">
      <c r="Q63872" s="1"/>
    </row>
    <row r="63875" spans="6:17" x14ac:dyDescent="0.35">
      <c r="Q63875" s="1"/>
    </row>
    <row r="63876" spans="6:17" x14ac:dyDescent="0.35">
      <c r="F63876" s="2"/>
    </row>
    <row r="63878" spans="6:17" x14ac:dyDescent="0.35">
      <c r="Q63878" s="1"/>
    </row>
    <row r="63880" spans="6:17" x14ac:dyDescent="0.35">
      <c r="Q63880" s="1"/>
    </row>
    <row r="63882" spans="6:17" x14ac:dyDescent="0.35">
      <c r="Q63882" s="1"/>
    </row>
    <row r="63883" spans="6:17" x14ac:dyDescent="0.35">
      <c r="Q63883" s="1"/>
    </row>
    <row r="63886" spans="6:17" x14ac:dyDescent="0.35">
      <c r="P63886" s="1"/>
      <c r="Q63886" s="1"/>
    </row>
    <row r="63888" spans="6:17" x14ac:dyDescent="0.35">
      <c r="Q63888" s="1"/>
    </row>
    <row r="63893" spans="17:17" x14ac:dyDescent="0.35">
      <c r="Q63893" s="1"/>
    </row>
    <row r="63894" spans="17:17" x14ac:dyDescent="0.35">
      <c r="Q63894" s="1"/>
    </row>
    <row r="63896" spans="17:17" x14ac:dyDescent="0.35">
      <c r="Q63896" s="1"/>
    </row>
    <row r="63898" spans="17:17" x14ac:dyDescent="0.35">
      <c r="Q63898" s="1"/>
    </row>
    <row r="63899" spans="17:17" x14ac:dyDescent="0.35">
      <c r="Q63899" s="1"/>
    </row>
    <row r="63906" spans="16:17" x14ac:dyDescent="0.35">
      <c r="Q63906" s="1"/>
    </row>
    <row r="63911" spans="16:17" x14ac:dyDescent="0.35">
      <c r="P63911" s="1"/>
    </row>
    <row r="63913" spans="16:17" x14ac:dyDescent="0.35">
      <c r="P63913" s="1"/>
    </row>
    <row r="63915" spans="16:17" x14ac:dyDescent="0.35">
      <c r="P63915" s="1"/>
    </row>
    <row r="63916" spans="16:17" x14ac:dyDescent="0.35">
      <c r="Q63916" s="1"/>
    </row>
    <row r="63919" spans="16:17" x14ac:dyDescent="0.35">
      <c r="Q63919" s="1"/>
    </row>
    <row r="63926" spans="17:17" x14ac:dyDescent="0.35">
      <c r="Q63926" s="1"/>
    </row>
    <row r="63944" spans="17:17" x14ac:dyDescent="0.35">
      <c r="Q63944" s="1"/>
    </row>
    <row r="63954" spans="16:17" x14ac:dyDescent="0.35">
      <c r="P63954" s="1"/>
    </row>
    <row r="63955" spans="16:17" x14ac:dyDescent="0.35">
      <c r="Q63955" s="1"/>
    </row>
    <row r="63960" spans="16:17" x14ac:dyDescent="0.35">
      <c r="P63960" s="1"/>
    </row>
    <row r="63961" spans="16:17" x14ac:dyDescent="0.35">
      <c r="Q63961" s="1"/>
    </row>
    <row r="63965" spans="16:17" x14ac:dyDescent="0.35">
      <c r="Q63965" s="1"/>
    </row>
    <row r="63966" spans="16:17" x14ac:dyDescent="0.35">
      <c r="Q63966" s="1"/>
    </row>
    <row r="63967" spans="16:17" x14ac:dyDescent="0.35">
      <c r="Q63967" s="1"/>
    </row>
    <row r="63975" spans="16:17" x14ac:dyDescent="0.35">
      <c r="P63975" s="1"/>
    </row>
    <row r="63978" spans="16:17" x14ac:dyDescent="0.35">
      <c r="Q63978" s="1"/>
    </row>
    <row r="63981" spans="16:17" x14ac:dyDescent="0.35">
      <c r="Q63981" s="1"/>
    </row>
    <row r="63989" spans="16:17" x14ac:dyDescent="0.35">
      <c r="Q63989" s="1"/>
    </row>
    <row r="63994" spans="16:17" x14ac:dyDescent="0.35">
      <c r="Q63994" s="1"/>
    </row>
    <row r="63995" spans="16:17" x14ac:dyDescent="0.35">
      <c r="Q63995" s="1"/>
    </row>
    <row r="63998" spans="16:17" x14ac:dyDescent="0.35">
      <c r="P63998" s="1"/>
    </row>
    <row r="64003" spans="17:17" x14ac:dyDescent="0.35">
      <c r="Q64003" s="1"/>
    </row>
    <row r="64007" spans="17:17" x14ac:dyDescent="0.35">
      <c r="Q64007" s="1"/>
    </row>
    <row r="64009" spans="17:17" x14ac:dyDescent="0.35">
      <c r="Q64009" s="1"/>
    </row>
    <row r="64011" spans="17:17" x14ac:dyDescent="0.35">
      <c r="Q64011" s="1"/>
    </row>
    <row r="64012" spans="17:17" x14ac:dyDescent="0.35">
      <c r="Q64012" s="1"/>
    </row>
    <row r="64013" spans="17:17" x14ac:dyDescent="0.35">
      <c r="Q64013" s="1"/>
    </row>
    <row r="64014" spans="17:17" x14ac:dyDescent="0.35">
      <c r="Q64014" s="1"/>
    </row>
    <row r="64016" spans="17:17" x14ac:dyDescent="0.35">
      <c r="Q64016" s="1"/>
    </row>
    <row r="64017" spans="17:17" x14ac:dyDescent="0.35">
      <c r="Q64017" s="1"/>
    </row>
    <row r="64018" spans="17:17" x14ac:dyDescent="0.35">
      <c r="Q64018" s="1"/>
    </row>
    <row r="64021" spans="17:17" x14ac:dyDescent="0.35">
      <c r="Q64021" s="1"/>
    </row>
    <row r="64024" spans="17:17" x14ac:dyDescent="0.35">
      <c r="Q64024" s="1"/>
    </row>
    <row r="64026" spans="17:17" x14ac:dyDescent="0.35">
      <c r="Q64026" s="1"/>
    </row>
    <row r="64028" spans="17:17" x14ac:dyDescent="0.35">
      <c r="Q64028" s="1"/>
    </row>
    <row r="64029" spans="17:17" x14ac:dyDescent="0.35">
      <c r="Q64029" s="1"/>
    </row>
    <row r="64031" spans="17:17" x14ac:dyDescent="0.35">
      <c r="Q64031" s="1"/>
    </row>
    <row r="64034" spans="17:17" x14ac:dyDescent="0.35">
      <c r="Q64034" s="1"/>
    </row>
    <row r="64039" spans="17:17" x14ac:dyDescent="0.35">
      <c r="Q64039" s="1"/>
    </row>
    <row r="64043" spans="17:17" x14ac:dyDescent="0.35">
      <c r="Q64043" s="1"/>
    </row>
    <row r="64044" spans="17:17" x14ac:dyDescent="0.35">
      <c r="Q64044" s="1"/>
    </row>
    <row r="64045" spans="17:17" x14ac:dyDescent="0.35">
      <c r="Q64045" s="1"/>
    </row>
    <row r="64046" spans="17:17" x14ac:dyDescent="0.35">
      <c r="Q64046" s="1"/>
    </row>
    <row r="64047" spans="17:17" x14ac:dyDescent="0.35">
      <c r="Q64047" s="1"/>
    </row>
    <row r="64052" spans="17:17" x14ac:dyDescent="0.35">
      <c r="Q64052" s="1"/>
    </row>
    <row r="64055" spans="17:17" x14ac:dyDescent="0.35">
      <c r="Q64055" s="1"/>
    </row>
    <row r="64058" spans="17:17" x14ac:dyDescent="0.35">
      <c r="Q64058" s="1"/>
    </row>
    <row r="64059" spans="17:17" x14ac:dyDescent="0.35">
      <c r="Q64059" s="1"/>
    </row>
    <row r="64060" spans="17:17" x14ac:dyDescent="0.35">
      <c r="Q64060" s="1"/>
    </row>
    <row r="64062" spans="17:17" x14ac:dyDescent="0.35">
      <c r="Q64062" s="1"/>
    </row>
    <row r="64067" spans="17:17" x14ac:dyDescent="0.35">
      <c r="Q64067" s="1"/>
    </row>
    <row r="64072" spans="17:17" x14ac:dyDescent="0.35">
      <c r="Q64072" s="1"/>
    </row>
    <row r="64079" spans="17:17" x14ac:dyDescent="0.35">
      <c r="Q64079" s="1"/>
    </row>
    <row r="64081" spans="17:17" x14ac:dyDescent="0.35">
      <c r="Q64081" s="1"/>
    </row>
    <row r="64098" spans="17:17" x14ac:dyDescent="0.35">
      <c r="Q64098" s="1"/>
    </row>
    <row r="64099" spans="17:17" x14ac:dyDescent="0.35">
      <c r="Q64099" s="1"/>
    </row>
    <row r="64101" spans="17:17" x14ac:dyDescent="0.35">
      <c r="Q64101" s="1"/>
    </row>
    <row r="64106" spans="17:17" x14ac:dyDescent="0.35">
      <c r="Q64106" s="1"/>
    </row>
    <row r="64110" spans="17:17" x14ac:dyDescent="0.35">
      <c r="Q64110" s="1"/>
    </row>
    <row r="64112" spans="17:17" x14ac:dyDescent="0.35">
      <c r="Q64112" s="1"/>
    </row>
    <row r="64113" spans="17:17" x14ac:dyDescent="0.35">
      <c r="Q64113" s="1"/>
    </row>
    <row r="64115" spans="17:17" x14ac:dyDescent="0.35">
      <c r="Q64115" s="1"/>
    </row>
    <row r="64117" spans="17:17" x14ac:dyDescent="0.35">
      <c r="Q64117" s="1"/>
    </row>
    <row r="64120" spans="17:17" x14ac:dyDescent="0.35">
      <c r="Q64120" s="1"/>
    </row>
    <row r="64130" spans="17:17" x14ac:dyDescent="0.35">
      <c r="Q64130" s="1"/>
    </row>
    <row r="64149" spans="17:17" x14ac:dyDescent="0.35">
      <c r="Q64149" s="1"/>
    </row>
    <row r="64202" spans="17:17" x14ac:dyDescent="0.35">
      <c r="Q64202" s="1"/>
    </row>
    <row r="64205" spans="17:17" x14ac:dyDescent="0.35">
      <c r="Q64205" s="1"/>
    </row>
    <row r="64225" spans="17:17" x14ac:dyDescent="0.35">
      <c r="Q64225" s="1"/>
    </row>
    <row r="64258" spans="17:17" x14ac:dyDescent="0.35">
      <c r="Q64258" s="1"/>
    </row>
    <row r="64259" spans="17:17" x14ac:dyDescent="0.35">
      <c r="Q64259" s="1"/>
    </row>
    <row r="64265" spans="17:17" x14ac:dyDescent="0.35">
      <c r="Q64265" s="1"/>
    </row>
    <row r="64267" spans="17:17" x14ac:dyDescent="0.35">
      <c r="Q64267" s="1"/>
    </row>
    <row r="64277" spans="17:17" x14ac:dyDescent="0.35">
      <c r="Q64277" s="1"/>
    </row>
    <row r="64278" spans="17:17" x14ac:dyDescent="0.35">
      <c r="Q64278" s="1"/>
    </row>
    <row r="64279" spans="17:17" x14ac:dyDescent="0.35">
      <c r="Q64279" s="1"/>
    </row>
    <row r="64281" spans="17:17" x14ac:dyDescent="0.35">
      <c r="Q64281" s="1"/>
    </row>
    <row r="64287" spans="17:17" x14ac:dyDescent="0.35">
      <c r="Q64287" s="1"/>
    </row>
    <row r="64290" spans="17:17" x14ac:dyDescent="0.35">
      <c r="Q64290" s="1"/>
    </row>
    <row r="64292" spans="17:17" x14ac:dyDescent="0.35">
      <c r="Q64292" s="1"/>
    </row>
    <row r="64304" spans="17:17" x14ac:dyDescent="0.35">
      <c r="Q64304" s="1"/>
    </row>
    <row r="64305" spans="17:17" x14ac:dyDescent="0.35">
      <c r="Q64305" s="1"/>
    </row>
    <row r="64307" spans="17:17" x14ac:dyDescent="0.35">
      <c r="Q64307" s="1"/>
    </row>
    <row r="64308" spans="17:17" x14ac:dyDescent="0.35">
      <c r="Q64308" s="1"/>
    </row>
    <row r="64311" spans="17:17" x14ac:dyDescent="0.35">
      <c r="Q64311" s="1"/>
    </row>
    <row r="64312" spans="17:17" x14ac:dyDescent="0.35">
      <c r="Q64312" s="1"/>
    </row>
    <row r="64313" spans="17:17" x14ac:dyDescent="0.35">
      <c r="Q64313" s="1"/>
    </row>
    <row r="64314" spans="17:17" x14ac:dyDescent="0.35">
      <c r="Q64314" s="1"/>
    </row>
    <row r="64315" spans="17:17" x14ac:dyDescent="0.35">
      <c r="Q64315" s="1"/>
    </row>
    <row r="64319" spans="17:17" x14ac:dyDescent="0.35">
      <c r="Q64319" s="1"/>
    </row>
    <row r="64320" spans="17:17" x14ac:dyDescent="0.35">
      <c r="Q64320" s="1"/>
    </row>
    <row r="64321" spans="17:17" x14ac:dyDescent="0.35">
      <c r="Q64321" s="1"/>
    </row>
    <row r="64323" spans="17:17" x14ac:dyDescent="0.35">
      <c r="Q64323" s="1"/>
    </row>
    <row r="64324" spans="17:17" x14ac:dyDescent="0.35">
      <c r="Q64324" s="1"/>
    </row>
    <row r="64325" spans="17:17" x14ac:dyDescent="0.35">
      <c r="Q64325" s="1"/>
    </row>
    <row r="64328" spans="17:17" x14ac:dyDescent="0.35">
      <c r="Q64328" s="1"/>
    </row>
    <row r="64330" spans="17:17" x14ac:dyDescent="0.35">
      <c r="Q64330" s="1"/>
    </row>
    <row r="64334" spans="17:17" x14ac:dyDescent="0.35">
      <c r="Q64334" s="1"/>
    </row>
    <row r="64340" spans="17:17" x14ac:dyDescent="0.35">
      <c r="Q64340" s="1"/>
    </row>
    <row r="64342" spans="17:17" x14ac:dyDescent="0.35">
      <c r="Q64342" s="1"/>
    </row>
    <row r="64355" spans="17:17" x14ac:dyDescent="0.35">
      <c r="Q64355" s="1"/>
    </row>
    <row r="64356" spans="17:17" x14ac:dyDescent="0.35">
      <c r="Q64356" s="1"/>
    </row>
    <row r="64357" spans="17:17" x14ac:dyDescent="0.35">
      <c r="Q64357" s="1"/>
    </row>
    <row r="64358" spans="17:17" x14ac:dyDescent="0.35">
      <c r="Q64358" s="1"/>
    </row>
    <row r="64362" spans="17:17" x14ac:dyDescent="0.35">
      <c r="Q64362" s="1"/>
    </row>
    <row r="64365" spans="17:17" x14ac:dyDescent="0.35">
      <c r="Q64365" s="1"/>
    </row>
    <row r="64369" spans="17:17" x14ac:dyDescent="0.35">
      <c r="Q64369" s="1"/>
    </row>
    <row r="64373" spans="17:17" x14ac:dyDescent="0.35">
      <c r="Q64373" s="1"/>
    </row>
    <row r="64376" spans="17:17" x14ac:dyDescent="0.35">
      <c r="Q64376" s="1"/>
    </row>
    <row r="64379" spans="17:17" x14ac:dyDescent="0.35">
      <c r="Q64379" s="1"/>
    </row>
    <row r="64395" spans="17:17" x14ac:dyDescent="0.35">
      <c r="Q64395" s="1"/>
    </row>
    <row r="64397" spans="17:17" x14ac:dyDescent="0.35">
      <c r="Q64397" s="1"/>
    </row>
    <row r="64407" spans="17:17" x14ac:dyDescent="0.35">
      <c r="Q64407" s="1"/>
    </row>
    <row r="64408" spans="17:17" x14ac:dyDescent="0.35">
      <c r="Q64408" s="1"/>
    </row>
    <row r="64410" spans="17:17" x14ac:dyDescent="0.35">
      <c r="Q64410" s="1"/>
    </row>
    <row r="64414" spans="17:17" x14ac:dyDescent="0.35">
      <c r="Q64414" s="1"/>
    </row>
    <row r="64416" spans="17:17" x14ac:dyDescent="0.35">
      <c r="Q64416" s="1"/>
    </row>
    <row r="64424" spans="17:17" x14ac:dyDescent="0.35">
      <c r="Q64424" s="1"/>
    </row>
    <row r="64426" spans="17:17" x14ac:dyDescent="0.35">
      <c r="Q64426" s="1"/>
    </row>
    <row r="64427" spans="17:17" x14ac:dyDescent="0.35">
      <c r="Q64427" s="1"/>
    </row>
    <row r="64434" spans="17:17" x14ac:dyDescent="0.35">
      <c r="Q64434" s="1"/>
    </row>
    <row r="64451" spans="17:17" x14ac:dyDescent="0.35">
      <c r="Q64451" s="1"/>
    </row>
    <row r="64453" spans="17:17" x14ac:dyDescent="0.35">
      <c r="Q64453" s="1"/>
    </row>
    <row r="64467" spans="17:17" x14ac:dyDescent="0.35">
      <c r="Q64467" s="1"/>
    </row>
    <row r="64472" spans="17:17" x14ac:dyDescent="0.35">
      <c r="Q64472" s="1"/>
    </row>
    <row r="64474" spans="17:17" x14ac:dyDescent="0.35">
      <c r="Q64474" s="1"/>
    </row>
    <row r="64495" spans="17:17" x14ac:dyDescent="0.35">
      <c r="Q64495" s="1"/>
    </row>
    <row r="64501" spans="17:17" x14ac:dyDescent="0.35">
      <c r="Q64501" s="1"/>
    </row>
    <row r="64508" spans="17:17" x14ac:dyDescent="0.35">
      <c r="Q64508" s="1"/>
    </row>
    <row r="64512" spans="17:17" x14ac:dyDescent="0.35">
      <c r="Q64512" s="1"/>
    </row>
    <row r="64513" spans="17:17" x14ac:dyDescent="0.35">
      <c r="Q64513" s="1"/>
    </row>
    <row r="64519" spans="17:17" x14ac:dyDescent="0.35">
      <c r="Q64519" s="1"/>
    </row>
    <row r="64520" spans="17:17" x14ac:dyDescent="0.35">
      <c r="Q64520" s="1"/>
    </row>
    <row r="64522" spans="17:17" x14ac:dyDescent="0.35">
      <c r="Q64522" s="1"/>
    </row>
    <row r="64525" spans="17:17" x14ac:dyDescent="0.35">
      <c r="Q64525" s="1"/>
    </row>
    <row r="64526" spans="17:17" x14ac:dyDescent="0.35">
      <c r="Q64526" s="1"/>
    </row>
    <row r="64527" spans="17:17" x14ac:dyDescent="0.35">
      <c r="Q64527" s="1"/>
    </row>
    <row r="64528" spans="17:17" x14ac:dyDescent="0.35">
      <c r="Q64528" s="1"/>
    </row>
    <row r="64531" spans="17:17" x14ac:dyDescent="0.35">
      <c r="Q64531" s="1"/>
    </row>
    <row r="64532" spans="17:17" x14ac:dyDescent="0.35">
      <c r="Q64532" s="1"/>
    </row>
    <row r="64533" spans="17:17" x14ac:dyDescent="0.35">
      <c r="Q64533" s="1"/>
    </row>
    <row r="64535" spans="17:17" x14ac:dyDescent="0.35">
      <c r="Q64535" s="1"/>
    </row>
    <row r="64536" spans="17:17" x14ac:dyDescent="0.35">
      <c r="Q64536" s="1"/>
    </row>
    <row r="64541" spans="17:17" x14ac:dyDescent="0.35">
      <c r="Q64541" s="1"/>
    </row>
    <row r="64543" spans="17:17" x14ac:dyDescent="0.35">
      <c r="Q64543" s="1"/>
    </row>
    <row r="64546" spans="17:17" x14ac:dyDescent="0.35">
      <c r="Q64546" s="1"/>
    </row>
    <row r="64547" spans="17:17" x14ac:dyDescent="0.35">
      <c r="Q64547" s="1"/>
    </row>
    <row r="64548" spans="17:17" x14ac:dyDescent="0.35">
      <c r="Q64548" s="1"/>
    </row>
    <row r="64549" spans="17:17" x14ac:dyDescent="0.35">
      <c r="Q64549" s="1"/>
    </row>
    <row r="64550" spans="17:17" x14ac:dyDescent="0.35">
      <c r="Q64550" s="1"/>
    </row>
    <row r="64551" spans="17:17" x14ac:dyDescent="0.35">
      <c r="Q64551" s="1"/>
    </row>
    <row r="64580" spans="17:17" x14ac:dyDescent="0.35">
      <c r="Q64580" s="1"/>
    </row>
    <row r="64598" spans="17:17" x14ac:dyDescent="0.35">
      <c r="Q64598" s="1"/>
    </row>
    <row r="64602" spans="17:17" x14ac:dyDescent="0.35">
      <c r="Q64602" s="1"/>
    </row>
    <row r="64605" spans="17:17" x14ac:dyDescent="0.35">
      <c r="Q64605" s="1"/>
    </row>
    <row r="64609" spans="17:17" x14ac:dyDescent="0.35">
      <c r="Q64609" s="1"/>
    </row>
    <row r="64610" spans="17:17" x14ac:dyDescent="0.35">
      <c r="Q64610" s="1"/>
    </row>
    <row r="64612" spans="17:17" x14ac:dyDescent="0.35">
      <c r="Q64612" s="1"/>
    </row>
    <row r="64613" spans="17:17" x14ac:dyDescent="0.35">
      <c r="Q64613" s="1"/>
    </row>
    <row r="64615" spans="17:17" x14ac:dyDescent="0.35">
      <c r="Q64615" s="1"/>
    </row>
    <row r="64616" spans="17:17" x14ac:dyDescent="0.35">
      <c r="Q64616" s="1"/>
    </row>
    <row r="64617" spans="17:17" x14ac:dyDescent="0.35">
      <c r="Q64617" s="1"/>
    </row>
    <row r="64618" spans="17:17" x14ac:dyDescent="0.35">
      <c r="Q64618" s="1"/>
    </row>
    <row r="64620" spans="17:17" x14ac:dyDescent="0.35">
      <c r="Q64620" s="1"/>
    </row>
    <row r="64622" spans="17:17" x14ac:dyDescent="0.35">
      <c r="Q64622" s="1"/>
    </row>
    <row r="64624" spans="17:17" x14ac:dyDescent="0.35">
      <c r="Q64624" s="1"/>
    </row>
    <row r="64627" spans="17:17" x14ac:dyDescent="0.35">
      <c r="Q64627" s="1"/>
    </row>
    <row r="64629" spans="17:17" x14ac:dyDescent="0.35">
      <c r="Q64629" s="1"/>
    </row>
    <row r="64630" spans="17:17" x14ac:dyDescent="0.35">
      <c r="Q64630" s="1"/>
    </row>
    <row r="64633" spans="17:17" x14ac:dyDescent="0.35">
      <c r="Q64633" s="1"/>
    </row>
    <row r="64636" spans="17:17" x14ac:dyDescent="0.35">
      <c r="Q64636" s="1"/>
    </row>
    <row r="64640" spans="17:17" x14ac:dyDescent="0.35">
      <c r="Q64640" s="1"/>
    </row>
    <row r="64646" spans="17:17" x14ac:dyDescent="0.35">
      <c r="Q64646" s="1"/>
    </row>
    <row r="64650" spans="17:17" x14ac:dyDescent="0.35">
      <c r="Q64650" s="1"/>
    </row>
    <row r="64657" spans="17:17" x14ac:dyDescent="0.35">
      <c r="Q64657" s="1"/>
    </row>
    <row r="64663" spans="17:17" x14ac:dyDescent="0.35">
      <c r="Q64663" s="1"/>
    </row>
    <row r="64665" spans="17:17" x14ac:dyDescent="0.35">
      <c r="Q64665" s="1"/>
    </row>
    <row r="64667" spans="17:17" x14ac:dyDescent="0.35">
      <c r="Q64667" s="1"/>
    </row>
    <row r="64668" spans="17:17" x14ac:dyDescent="0.35">
      <c r="Q64668" s="1"/>
    </row>
    <row r="64669" spans="17:17" x14ac:dyDescent="0.35">
      <c r="Q64669" s="1"/>
    </row>
    <row r="64670" spans="17:17" x14ac:dyDescent="0.35">
      <c r="Q64670" s="1"/>
    </row>
    <row r="64674" spans="17:17" x14ac:dyDescent="0.35">
      <c r="Q64674" s="1"/>
    </row>
    <row r="64682" spans="17:17" x14ac:dyDescent="0.35">
      <c r="Q64682" s="1"/>
    </row>
    <row r="64689" spans="17:17" x14ac:dyDescent="0.35">
      <c r="Q64689" s="1"/>
    </row>
    <row r="64690" spans="17:17" x14ac:dyDescent="0.35">
      <c r="Q64690" s="1"/>
    </row>
    <row r="64691" spans="17:17" x14ac:dyDescent="0.35">
      <c r="Q64691" s="1"/>
    </row>
    <row r="64692" spans="17:17" x14ac:dyDescent="0.35">
      <c r="Q64692" s="1"/>
    </row>
    <row r="64693" spans="17:17" x14ac:dyDescent="0.35">
      <c r="Q64693" s="1"/>
    </row>
    <row r="64694" spans="17:17" x14ac:dyDescent="0.35">
      <c r="Q64694" s="1"/>
    </row>
    <row r="64695" spans="17:17" x14ac:dyDescent="0.35">
      <c r="Q64695" s="1"/>
    </row>
    <row r="64718" spans="17:17" x14ac:dyDescent="0.35">
      <c r="Q64718" s="1"/>
    </row>
    <row r="64720" spans="17:17" x14ac:dyDescent="0.35">
      <c r="Q64720" s="1"/>
    </row>
    <row r="64726" spans="17:17" x14ac:dyDescent="0.35">
      <c r="Q64726" s="1"/>
    </row>
    <row r="64727" spans="17:17" x14ac:dyDescent="0.35">
      <c r="Q64727" s="1"/>
    </row>
    <row r="64731" spans="17:17" x14ac:dyDescent="0.35">
      <c r="Q64731" s="1"/>
    </row>
    <row r="64736" spans="17:17" x14ac:dyDescent="0.35">
      <c r="Q64736" s="1"/>
    </row>
    <row r="64742" spans="17:17" x14ac:dyDescent="0.35">
      <c r="Q64742" s="1"/>
    </row>
    <row r="64743" spans="17:17" x14ac:dyDescent="0.35">
      <c r="Q64743" s="1"/>
    </row>
    <row r="64746" spans="17:17" x14ac:dyDescent="0.35">
      <c r="Q64746" s="1"/>
    </row>
    <row r="64751" spans="17:17" x14ac:dyDescent="0.35">
      <c r="Q64751" s="1"/>
    </row>
    <row r="64754" spans="17:17" x14ac:dyDescent="0.35">
      <c r="Q64754" s="1"/>
    </row>
    <row r="64763" spans="17:17" x14ac:dyDescent="0.35">
      <c r="Q64763" s="1"/>
    </row>
    <row r="64771" spans="17:17" x14ac:dyDescent="0.35">
      <c r="Q64771" s="1"/>
    </row>
    <row r="64772" spans="17:17" x14ac:dyDescent="0.35">
      <c r="Q64772" s="1"/>
    </row>
    <row r="64776" spans="17:17" x14ac:dyDescent="0.35">
      <c r="Q64776" s="1"/>
    </row>
    <row r="64777" spans="17:17" x14ac:dyDescent="0.35">
      <c r="Q64777" s="1"/>
    </row>
    <row r="64782" spans="17:17" x14ac:dyDescent="0.35">
      <c r="Q64782" s="1"/>
    </row>
    <row r="64787" spans="17:17" x14ac:dyDescent="0.35">
      <c r="Q64787" s="1"/>
    </row>
    <row r="64792" spans="17:17" x14ac:dyDescent="0.35">
      <c r="Q64792" s="1"/>
    </row>
    <row r="64794" spans="17:17" x14ac:dyDescent="0.35">
      <c r="Q64794" s="1"/>
    </row>
    <row r="64798" spans="17:17" x14ac:dyDescent="0.35">
      <c r="Q64798" s="1"/>
    </row>
    <row r="64805" spans="17:17" x14ac:dyDescent="0.35">
      <c r="Q64805" s="1"/>
    </row>
    <row r="64808" spans="17:17" x14ac:dyDescent="0.35">
      <c r="Q64808" s="1"/>
    </row>
    <row r="64816" spans="17:17" x14ac:dyDescent="0.35">
      <c r="Q64816" s="1"/>
    </row>
    <row r="64824" spans="17:17" x14ac:dyDescent="0.35">
      <c r="Q64824" s="1"/>
    </row>
    <row r="64826" spans="17:17" x14ac:dyDescent="0.35">
      <c r="Q64826" s="1"/>
    </row>
    <row r="64831" spans="17:17" x14ac:dyDescent="0.35">
      <c r="Q64831" s="1"/>
    </row>
    <row r="64833" spans="17:17" x14ac:dyDescent="0.35">
      <c r="Q64833" s="1"/>
    </row>
    <row r="64834" spans="17:17" x14ac:dyDescent="0.35">
      <c r="Q64834" s="1"/>
    </row>
    <row r="64835" spans="17:17" x14ac:dyDescent="0.35">
      <c r="Q64835" s="1"/>
    </row>
    <row r="64837" spans="17:17" x14ac:dyDescent="0.35">
      <c r="Q64837" s="1"/>
    </row>
    <row r="64847" spans="17:17" x14ac:dyDescent="0.35">
      <c r="Q64847" s="1"/>
    </row>
    <row r="64848" spans="17:17" x14ac:dyDescent="0.35">
      <c r="Q64848" s="1"/>
    </row>
    <row r="64849" spans="17:17" x14ac:dyDescent="0.35">
      <c r="Q64849" s="1"/>
    </row>
    <row r="64860" spans="17:17" x14ac:dyDescent="0.35">
      <c r="Q64860" s="1"/>
    </row>
    <row r="64862" spans="17:17" x14ac:dyDescent="0.35">
      <c r="Q64862" s="1"/>
    </row>
    <row r="64864" spans="17:17" x14ac:dyDescent="0.35">
      <c r="Q64864" s="1"/>
    </row>
    <row r="64868" spans="17:17" x14ac:dyDescent="0.35">
      <c r="Q64868" s="1"/>
    </row>
    <row r="64869" spans="17:17" x14ac:dyDescent="0.35">
      <c r="Q64869" s="1"/>
    </row>
    <row r="64874" spans="17:17" x14ac:dyDescent="0.35">
      <c r="Q64874" s="1"/>
    </row>
    <row r="64880" spans="17:17" x14ac:dyDescent="0.35">
      <c r="Q64880" s="1"/>
    </row>
    <row r="64881" spans="17:17" x14ac:dyDescent="0.35">
      <c r="Q64881" s="1"/>
    </row>
    <row r="64883" spans="17:17" x14ac:dyDescent="0.35">
      <c r="Q64883" s="1"/>
    </row>
    <row r="64885" spans="17:17" x14ac:dyDescent="0.35">
      <c r="Q64885" s="1"/>
    </row>
    <row r="64911" spans="17:17" x14ac:dyDescent="0.35">
      <c r="Q64911" s="1"/>
    </row>
    <row r="64915" spans="17:17" x14ac:dyDescent="0.35">
      <c r="Q64915" s="1"/>
    </row>
    <row r="64916" spans="17:17" x14ac:dyDescent="0.35">
      <c r="Q64916" s="1"/>
    </row>
    <row r="64917" spans="17:17" x14ac:dyDescent="0.35">
      <c r="Q64917" s="1"/>
    </row>
    <row r="64918" spans="17:17" x14ac:dyDescent="0.35">
      <c r="Q64918" s="1"/>
    </row>
    <row r="64920" spans="17:17" x14ac:dyDescent="0.35">
      <c r="Q64920" s="1"/>
    </row>
    <row r="64925" spans="17:17" x14ac:dyDescent="0.35">
      <c r="Q64925" s="1"/>
    </row>
    <row r="64928" spans="17:17" x14ac:dyDescent="0.35">
      <c r="Q64928" s="1"/>
    </row>
    <row r="64930" spans="17:17" x14ac:dyDescent="0.35">
      <c r="Q64930" s="1"/>
    </row>
    <row r="64935" spans="17:17" x14ac:dyDescent="0.35">
      <c r="Q64935" s="1"/>
    </row>
    <row r="64941" spans="17:17" x14ac:dyDescent="0.35">
      <c r="Q64941" s="1"/>
    </row>
    <row r="64942" spans="17:17" x14ac:dyDescent="0.35">
      <c r="Q64942" s="1"/>
    </row>
    <row r="64943" spans="17:17" x14ac:dyDescent="0.35">
      <c r="Q64943" s="1"/>
    </row>
    <row r="64945" spans="17:17" x14ac:dyDescent="0.35">
      <c r="Q64945" s="1"/>
    </row>
    <row r="64946" spans="17:17" x14ac:dyDescent="0.35">
      <c r="Q64946" s="1"/>
    </row>
    <row r="64952" spans="17:17" x14ac:dyDescent="0.35">
      <c r="Q64952" s="1"/>
    </row>
    <row r="64962" spans="17:17" x14ac:dyDescent="0.35">
      <c r="Q64962" s="1"/>
    </row>
    <row r="64974" spans="17:17" x14ac:dyDescent="0.35">
      <c r="Q64974" s="1"/>
    </row>
    <row r="64978" spans="17:17" x14ac:dyDescent="0.35">
      <c r="Q64978" s="1"/>
    </row>
    <row r="64979" spans="17:17" x14ac:dyDescent="0.35">
      <c r="Q64979" s="1"/>
    </row>
    <row r="64980" spans="17:17" x14ac:dyDescent="0.35">
      <c r="Q64980" s="1"/>
    </row>
    <row r="64981" spans="17:17" x14ac:dyDescent="0.35">
      <c r="Q64981" s="1"/>
    </row>
    <row r="64982" spans="17:17" x14ac:dyDescent="0.35">
      <c r="Q64982" s="1"/>
    </row>
    <row r="64983" spans="17:17" x14ac:dyDescent="0.35">
      <c r="Q64983" s="1"/>
    </row>
    <row r="64995" spans="17:17" x14ac:dyDescent="0.35">
      <c r="Q64995" s="1"/>
    </row>
    <row r="64998" spans="17:17" x14ac:dyDescent="0.35">
      <c r="Q64998" s="1"/>
    </row>
    <row r="65001" spans="17:17" x14ac:dyDescent="0.35">
      <c r="Q65001" s="1"/>
    </row>
    <row r="65003" spans="17:17" x14ac:dyDescent="0.35">
      <c r="Q65003" s="1"/>
    </row>
    <row r="65009" spans="17:17" x14ac:dyDescent="0.35">
      <c r="Q65009" s="1"/>
    </row>
    <row r="65014" spans="17:17" x14ac:dyDescent="0.35">
      <c r="Q65014" s="1"/>
    </row>
    <row r="65016" spans="17:17" x14ac:dyDescent="0.35">
      <c r="Q65016" s="1"/>
    </row>
    <row r="65022" spans="17:17" x14ac:dyDescent="0.35">
      <c r="Q65022" s="1"/>
    </row>
    <row r="65023" spans="17:17" x14ac:dyDescent="0.35">
      <c r="Q65023" s="1"/>
    </row>
    <row r="65027" spans="17:17" x14ac:dyDescent="0.35">
      <c r="Q65027" s="1"/>
    </row>
    <row r="65028" spans="17:17" x14ac:dyDescent="0.35">
      <c r="Q65028" s="1"/>
    </row>
    <row r="65031" spans="17:17" x14ac:dyDescent="0.35">
      <c r="Q65031" s="1"/>
    </row>
    <row r="65034" spans="17:17" x14ac:dyDescent="0.35">
      <c r="Q65034" s="1"/>
    </row>
    <row r="65036" spans="17:17" x14ac:dyDescent="0.35">
      <c r="Q65036" s="1"/>
    </row>
    <row r="65041" spans="17:17" x14ac:dyDescent="0.35">
      <c r="Q65041" s="1"/>
    </row>
    <row r="65045" spans="17:17" x14ac:dyDescent="0.35">
      <c r="Q65045" s="1"/>
    </row>
    <row r="65046" spans="17:17" x14ac:dyDescent="0.35">
      <c r="Q65046" s="1"/>
    </row>
    <row r="65047" spans="17:17" x14ac:dyDescent="0.35">
      <c r="Q65047" s="1"/>
    </row>
    <row r="65048" spans="17:17" x14ac:dyDescent="0.35">
      <c r="Q65048" s="1"/>
    </row>
    <row r="65049" spans="17:17" x14ac:dyDescent="0.35">
      <c r="Q65049" s="1"/>
    </row>
    <row r="65063" spans="17:17" x14ac:dyDescent="0.35">
      <c r="Q65063" s="1"/>
    </row>
    <row r="65075" spans="17:17" x14ac:dyDescent="0.35">
      <c r="Q65075" s="1"/>
    </row>
    <row r="65081" spans="17:17" x14ac:dyDescent="0.35">
      <c r="Q65081" s="1"/>
    </row>
    <row r="65083" spans="17:17" x14ac:dyDescent="0.35">
      <c r="Q65083" s="1"/>
    </row>
    <row r="65088" spans="17:17" x14ac:dyDescent="0.35">
      <c r="Q65088" s="1"/>
    </row>
    <row r="65095" spans="17:17" x14ac:dyDescent="0.35">
      <c r="Q65095" s="1"/>
    </row>
    <row r="65097" spans="17:17" x14ac:dyDescent="0.35">
      <c r="Q65097" s="1"/>
    </row>
    <row r="65098" spans="17:17" x14ac:dyDescent="0.35">
      <c r="Q65098" s="1"/>
    </row>
    <row r="65099" spans="17:17" x14ac:dyDescent="0.35">
      <c r="Q65099" s="1"/>
    </row>
    <row r="65105" spans="17:17" x14ac:dyDescent="0.35">
      <c r="Q65105" s="1"/>
    </row>
    <row r="65112" spans="17:17" x14ac:dyDescent="0.35">
      <c r="Q65112" s="1"/>
    </row>
    <row r="65113" spans="17:17" x14ac:dyDescent="0.35">
      <c r="Q65113" s="1"/>
    </row>
    <row r="65115" spans="17:17" x14ac:dyDescent="0.35">
      <c r="Q65115" s="1"/>
    </row>
    <row r="65116" spans="17:17" x14ac:dyDescent="0.35">
      <c r="Q65116" s="1"/>
    </row>
    <row r="65117" spans="17:17" x14ac:dyDescent="0.35">
      <c r="Q65117" s="1"/>
    </row>
    <row r="65118" spans="17:17" x14ac:dyDescent="0.35">
      <c r="Q65118" s="1"/>
    </row>
    <row r="65119" spans="17:17" x14ac:dyDescent="0.35">
      <c r="Q65119" s="1"/>
    </row>
    <row r="65120" spans="17:17" x14ac:dyDescent="0.35">
      <c r="Q65120" s="1"/>
    </row>
    <row r="65121" spans="17:17" x14ac:dyDescent="0.35">
      <c r="Q65121" s="1"/>
    </row>
    <row r="65131" spans="17:17" x14ac:dyDescent="0.35">
      <c r="Q65131" s="1"/>
    </row>
    <row r="65136" spans="17:17" x14ac:dyDescent="0.35">
      <c r="Q65136" s="1"/>
    </row>
    <row r="65137" spans="17:17" x14ac:dyDescent="0.35">
      <c r="Q65137" s="1"/>
    </row>
    <row r="65141" spans="17:17" x14ac:dyDescent="0.35">
      <c r="Q65141" s="1"/>
    </row>
    <row r="65144" spans="17:17" x14ac:dyDescent="0.35">
      <c r="Q65144" s="1"/>
    </row>
    <row r="65152" spans="17:17" x14ac:dyDescent="0.35">
      <c r="Q65152" s="1"/>
    </row>
    <row r="65158" spans="17:17" x14ac:dyDescent="0.35">
      <c r="Q65158" s="1"/>
    </row>
    <row r="65160" spans="17:17" x14ac:dyDescent="0.35">
      <c r="Q65160" s="1"/>
    </row>
    <row r="65161" spans="17:17" x14ac:dyDescent="0.35">
      <c r="Q65161" s="1"/>
    </row>
    <row r="65164" spans="17:17" x14ac:dyDescent="0.35">
      <c r="Q65164" s="1"/>
    </row>
    <row r="65167" spans="17:17" x14ac:dyDescent="0.35">
      <c r="Q65167" s="1"/>
    </row>
    <row r="65168" spans="17:17" x14ac:dyDescent="0.35">
      <c r="Q65168" s="1"/>
    </row>
    <row r="65169" spans="17:17" x14ac:dyDescent="0.35">
      <c r="Q65169" s="1"/>
    </row>
    <row r="65170" spans="17:17" x14ac:dyDescent="0.35">
      <c r="Q65170" s="1"/>
    </row>
    <row r="65186" spans="17:17" x14ac:dyDescent="0.35">
      <c r="Q65186" s="1"/>
    </row>
    <row r="65189" spans="17:17" x14ac:dyDescent="0.35">
      <c r="Q65189" s="1"/>
    </row>
    <row r="65191" spans="17:17" x14ac:dyDescent="0.35">
      <c r="Q65191" s="1"/>
    </row>
    <row r="65192" spans="17:17" x14ac:dyDescent="0.35">
      <c r="Q65192" s="1"/>
    </row>
    <row r="65196" spans="17:17" x14ac:dyDescent="0.35">
      <c r="Q65196" s="1"/>
    </row>
    <row r="65199" spans="17:17" x14ac:dyDescent="0.35">
      <c r="Q65199" s="1"/>
    </row>
    <row r="65200" spans="17:17" x14ac:dyDescent="0.35">
      <c r="Q65200" s="1"/>
    </row>
    <row r="65209" spans="17:17" x14ac:dyDescent="0.35">
      <c r="Q65209" s="1"/>
    </row>
    <row r="65222" spans="17:17" x14ac:dyDescent="0.35">
      <c r="Q65222" s="1"/>
    </row>
    <row r="65227" spans="17:17" x14ac:dyDescent="0.35">
      <c r="Q65227" s="1"/>
    </row>
    <row r="65229" spans="17:17" x14ac:dyDescent="0.35">
      <c r="Q65229" s="1"/>
    </row>
    <row r="65241" spans="17:17" x14ac:dyDescent="0.35">
      <c r="Q65241" s="1"/>
    </row>
    <row r="65243" spans="17:17" x14ac:dyDescent="0.35">
      <c r="Q65243" s="1"/>
    </row>
    <row r="65244" spans="17:17" x14ac:dyDescent="0.35">
      <c r="Q65244" s="1"/>
    </row>
    <row r="65248" spans="17:17" x14ac:dyDescent="0.35">
      <c r="Q65248" s="1"/>
    </row>
    <row r="65249" spans="17:17" x14ac:dyDescent="0.35">
      <c r="Q65249" s="1"/>
    </row>
    <row r="65252" spans="17:17" x14ac:dyDescent="0.35">
      <c r="Q65252" s="1"/>
    </row>
    <row r="65270" spans="17:17" x14ac:dyDescent="0.35">
      <c r="Q65270" s="1"/>
    </row>
    <row r="65272" spans="17:17" x14ac:dyDescent="0.35">
      <c r="Q65272" s="1"/>
    </row>
    <row r="65278" spans="17:17" x14ac:dyDescent="0.35">
      <c r="Q65278" s="1"/>
    </row>
    <row r="65281" spans="17:17" x14ac:dyDescent="0.35">
      <c r="Q65281" s="1"/>
    </row>
    <row r="65287" spans="17:17" x14ac:dyDescent="0.35">
      <c r="Q65287" s="1"/>
    </row>
    <row r="65291" spans="17:17" x14ac:dyDescent="0.35">
      <c r="Q65291" s="1"/>
    </row>
    <row r="65294" spans="17:17" x14ac:dyDescent="0.35">
      <c r="Q65294" s="1"/>
    </row>
    <row r="65295" spans="17:17" x14ac:dyDescent="0.35">
      <c r="Q65295" s="1"/>
    </row>
    <row r="65298" spans="17:17" x14ac:dyDescent="0.35">
      <c r="Q65298" s="1"/>
    </row>
    <row r="65315" spans="17:17" x14ac:dyDescent="0.35">
      <c r="Q65315" s="1"/>
    </row>
    <row r="65316" spans="17:17" x14ac:dyDescent="0.35">
      <c r="Q65316" s="1"/>
    </row>
    <row r="65323" spans="17:17" x14ac:dyDescent="0.35">
      <c r="Q65323" s="1"/>
    </row>
    <row r="65332" spans="17:17" x14ac:dyDescent="0.35">
      <c r="Q65332" s="1"/>
    </row>
    <row r="65335" spans="17:17" x14ac:dyDescent="0.35">
      <c r="Q65335" s="1"/>
    </row>
    <row r="65336" spans="17:17" x14ac:dyDescent="0.35">
      <c r="Q65336" s="1"/>
    </row>
    <row r="65339" spans="17:17" x14ac:dyDescent="0.35">
      <c r="Q65339" s="1"/>
    </row>
    <row r="65341" spans="17:17" x14ac:dyDescent="0.35">
      <c r="Q65341" s="1"/>
    </row>
    <row r="65348" spans="17:17" x14ac:dyDescent="0.35">
      <c r="Q65348" s="1"/>
    </row>
    <row r="65350" spans="17:17" x14ac:dyDescent="0.35">
      <c r="Q65350" s="1"/>
    </row>
    <row r="65351" spans="17:17" x14ac:dyDescent="0.35">
      <c r="Q65351" s="1"/>
    </row>
    <row r="65352" spans="17:17" x14ac:dyDescent="0.35">
      <c r="Q65352" s="1"/>
    </row>
    <row r="65356" spans="17:17" x14ac:dyDescent="0.35">
      <c r="Q65356" s="1"/>
    </row>
    <row r="65359" spans="17:17" x14ac:dyDescent="0.35">
      <c r="Q65359" s="1"/>
    </row>
    <row r="65361" spans="17:17" x14ac:dyDescent="0.35">
      <c r="Q65361" s="1"/>
    </row>
    <row r="65369" spans="17:17" x14ac:dyDescent="0.35">
      <c r="Q65369" s="1"/>
    </row>
    <row r="65370" spans="17:17" x14ac:dyDescent="0.35">
      <c r="Q65370" s="1"/>
    </row>
    <row r="65372" spans="17:17" x14ac:dyDescent="0.35">
      <c r="Q65372" s="1"/>
    </row>
    <row r="65374" spans="17:17" x14ac:dyDescent="0.35">
      <c r="Q65374" s="1"/>
    </row>
    <row r="65384" spans="17:17" x14ac:dyDescent="0.35">
      <c r="Q65384" s="1"/>
    </row>
    <row r="65387" spans="17:17" x14ac:dyDescent="0.35">
      <c r="Q65387" s="1"/>
    </row>
    <row r="65399" spans="17:17" x14ac:dyDescent="0.35">
      <c r="Q65399" s="1"/>
    </row>
    <row r="65402" spans="17:17" x14ac:dyDescent="0.35">
      <c r="Q65402" s="1"/>
    </row>
    <row r="65403" spans="17:17" x14ac:dyDescent="0.35">
      <c r="Q65403" s="1"/>
    </row>
    <row r="65405" spans="17:17" x14ac:dyDescent="0.35">
      <c r="Q65405" s="1"/>
    </row>
    <row r="65414" spans="17:17" x14ac:dyDescent="0.35">
      <c r="Q65414" s="1"/>
    </row>
    <row r="65415" spans="17:17" x14ac:dyDescent="0.35">
      <c r="Q65415" s="1"/>
    </row>
    <row r="65417" spans="17:17" x14ac:dyDescent="0.35">
      <c r="Q65417" s="1"/>
    </row>
    <row r="65419" spans="17:17" x14ac:dyDescent="0.35">
      <c r="Q65419" s="1"/>
    </row>
    <row r="65420" spans="17:17" x14ac:dyDescent="0.35">
      <c r="Q65420" s="1"/>
    </row>
    <row r="65424" spans="17:17" x14ac:dyDescent="0.35">
      <c r="Q65424" s="1"/>
    </row>
    <row r="65425" spans="17:17" x14ac:dyDescent="0.35">
      <c r="Q65425" s="1"/>
    </row>
    <row r="65426" spans="17:17" x14ac:dyDescent="0.35">
      <c r="Q65426" s="1"/>
    </row>
    <row r="65428" spans="17:17" x14ac:dyDescent="0.35">
      <c r="Q65428" s="1"/>
    </row>
    <row r="65431" spans="17:17" x14ac:dyDescent="0.35">
      <c r="Q65431" s="1"/>
    </row>
    <row r="65432" spans="17:17" x14ac:dyDescent="0.35">
      <c r="Q65432" s="1"/>
    </row>
    <row r="65444" spans="17:17" x14ac:dyDescent="0.35">
      <c r="Q65444" s="1"/>
    </row>
    <row r="65445" spans="17:17" x14ac:dyDescent="0.35">
      <c r="Q65445" s="1"/>
    </row>
    <row r="65459" spans="17:17" x14ac:dyDescent="0.35">
      <c r="Q65459" s="1"/>
    </row>
    <row r="65462" spans="17:17" x14ac:dyDescent="0.35">
      <c r="Q65462" s="1"/>
    </row>
    <row r="65463" spans="17:17" x14ac:dyDescent="0.35">
      <c r="Q65463" s="1"/>
    </row>
    <row r="65465" spans="17:17" x14ac:dyDescent="0.35">
      <c r="Q65465" s="1"/>
    </row>
    <row r="65466" spans="17:17" x14ac:dyDescent="0.35">
      <c r="Q65466" s="1"/>
    </row>
    <row r="65470" spans="17:17" x14ac:dyDescent="0.35">
      <c r="Q65470" s="1"/>
    </row>
    <row r="65475" spans="17:17" x14ac:dyDescent="0.35">
      <c r="Q65475" s="1"/>
    </row>
    <row r="65476" spans="17:17" x14ac:dyDescent="0.35">
      <c r="Q65476" s="1"/>
    </row>
    <row r="65477" spans="17:17" x14ac:dyDescent="0.35">
      <c r="Q65477" s="1"/>
    </row>
    <row r="65482" spans="17:17" x14ac:dyDescent="0.35">
      <c r="Q65482" s="1"/>
    </row>
    <row r="65490" spans="17:17" x14ac:dyDescent="0.35">
      <c r="Q65490" s="1"/>
    </row>
    <row r="65492" spans="17:17" x14ac:dyDescent="0.35">
      <c r="Q65492" s="1"/>
    </row>
    <row r="65503" spans="17:17" x14ac:dyDescent="0.35">
      <c r="Q65503" s="1"/>
    </row>
    <row r="65505" spans="17:17" x14ac:dyDescent="0.35">
      <c r="Q65505" s="1"/>
    </row>
    <row r="65517" spans="17:17" x14ac:dyDescent="0.35">
      <c r="Q65517" s="1"/>
    </row>
    <row r="65522" spans="17:17" x14ac:dyDescent="0.35">
      <c r="Q65522" s="1"/>
    </row>
    <row r="65523" spans="17:17" x14ac:dyDescent="0.35">
      <c r="Q65523" s="1"/>
    </row>
    <row r="65525" spans="17:17" x14ac:dyDescent="0.35">
      <c r="Q65525" s="1"/>
    </row>
    <row r="65527" spans="17:17" x14ac:dyDescent="0.35">
      <c r="Q65527" s="1"/>
    </row>
    <row r="65528" spans="17:17" x14ac:dyDescent="0.35">
      <c r="Q65528" s="1"/>
    </row>
    <row r="65530" spans="17:17" x14ac:dyDescent="0.35">
      <c r="Q65530" s="1"/>
    </row>
    <row r="65535" spans="17:17" x14ac:dyDescent="0.35">
      <c r="Q65535" s="1"/>
    </row>
    <row r="65541" spans="17:17" x14ac:dyDescent="0.35">
      <c r="Q65541" s="1"/>
    </row>
    <row r="65542" spans="17:17" x14ac:dyDescent="0.35">
      <c r="Q65542" s="1"/>
    </row>
    <row r="65543" spans="17:17" x14ac:dyDescent="0.35">
      <c r="Q65543" s="1"/>
    </row>
    <row r="65544" spans="17:17" x14ac:dyDescent="0.35">
      <c r="Q65544" s="1"/>
    </row>
    <row r="65548" spans="17:17" x14ac:dyDescent="0.35">
      <c r="Q65548" s="1"/>
    </row>
    <row r="65556" spans="17:17" x14ac:dyDescent="0.35">
      <c r="Q65556" s="1"/>
    </row>
    <row r="65557" spans="17:17" x14ac:dyDescent="0.35">
      <c r="Q65557" s="1"/>
    </row>
    <row r="65562" spans="17:17" x14ac:dyDescent="0.35">
      <c r="Q65562" s="1"/>
    </row>
    <row r="65572" spans="17:17" x14ac:dyDescent="0.35">
      <c r="Q65572" s="1"/>
    </row>
    <row r="65574" spans="17:17" x14ac:dyDescent="0.35">
      <c r="Q65574" s="1"/>
    </row>
    <row r="65577" spans="17:17" x14ac:dyDescent="0.35">
      <c r="Q65577" s="1"/>
    </row>
    <row r="65583" spans="17:17" x14ac:dyDescent="0.35">
      <c r="Q65583" s="1"/>
    </row>
    <row r="65595" spans="17:17" x14ac:dyDescent="0.35">
      <c r="Q65595" s="1"/>
    </row>
    <row r="65599" spans="17:17" x14ac:dyDescent="0.35">
      <c r="Q65599" s="1"/>
    </row>
    <row r="65601" spans="17:17" x14ac:dyDescent="0.35">
      <c r="Q65601" s="1"/>
    </row>
    <row r="65607" spans="17:17" x14ac:dyDescent="0.35">
      <c r="Q65607" s="1"/>
    </row>
    <row r="65608" spans="17:17" x14ac:dyDescent="0.35">
      <c r="Q65608" s="1"/>
    </row>
    <row r="65611" spans="17:17" x14ac:dyDescent="0.35">
      <c r="Q65611" s="1"/>
    </row>
    <row r="65612" spans="17:17" x14ac:dyDescent="0.35">
      <c r="Q65612" s="1"/>
    </row>
    <row r="65618" spans="17:17" x14ac:dyDescent="0.35">
      <c r="Q65618" s="1"/>
    </row>
    <row r="65620" spans="17:17" x14ac:dyDescent="0.35">
      <c r="Q65620" s="1"/>
    </row>
    <row r="65624" spans="17:17" x14ac:dyDescent="0.35">
      <c r="Q65624" s="1"/>
    </row>
    <row r="65628" spans="17:17" x14ac:dyDescent="0.35">
      <c r="Q65628" s="1"/>
    </row>
    <row r="65632" spans="17:17" x14ac:dyDescent="0.35">
      <c r="Q65632" s="1"/>
    </row>
    <row r="65634" spans="17:17" x14ac:dyDescent="0.35">
      <c r="Q65634" s="1"/>
    </row>
    <row r="65638" spans="17:17" x14ac:dyDescent="0.35">
      <c r="Q65638" s="1"/>
    </row>
    <row r="65641" spans="17:17" x14ac:dyDescent="0.35">
      <c r="Q65641" s="1"/>
    </row>
    <row r="65645" spans="17:17" x14ac:dyDescent="0.35">
      <c r="Q65645" s="1"/>
    </row>
    <row r="65646" spans="17:17" x14ac:dyDescent="0.35">
      <c r="Q65646" s="1"/>
    </row>
    <row r="65648" spans="17:17" x14ac:dyDescent="0.35">
      <c r="Q65648" s="1"/>
    </row>
    <row r="65651" spans="17:17" x14ac:dyDescent="0.35">
      <c r="Q65651" s="1"/>
    </row>
    <row r="65666" spans="17:17" x14ac:dyDescent="0.35">
      <c r="Q65666" s="1"/>
    </row>
    <row r="65669" spans="17:17" x14ac:dyDescent="0.35">
      <c r="Q65669" s="1"/>
    </row>
    <row r="65671" spans="17:17" x14ac:dyDescent="0.35">
      <c r="Q65671" s="1"/>
    </row>
    <row r="65676" spans="17:17" x14ac:dyDescent="0.35">
      <c r="Q65676" s="1"/>
    </row>
    <row r="65687" spans="17:17" x14ac:dyDescent="0.35">
      <c r="Q65687" s="1"/>
    </row>
    <row r="65688" spans="17:17" x14ac:dyDescent="0.35">
      <c r="Q65688" s="1"/>
    </row>
    <row r="65690" spans="17:17" x14ac:dyDescent="0.35">
      <c r="Q65690" s="1"/>
    </row>
    <row r="65694" spans="17:17" x14ac:dyDescent="0.35">
      <c r="Q65694" s="1"/>
    </row>
    <row r="65700" spans="17:17" x14ac:dyDescent="0.35">
      <c r="Q65700" s="1"/>
    </row>
    <row r="65701" spans="17:17" x14ac:dyDescent="0.35">
      <c r="Q65701" s="1"/>
    </row>
    <row r="65710" spans="17:17" x14ac:dyDescent="0.35">
      <c r="Q65710" s="1"/>
    </row>
    <row r="65715" spans="17:17" x14ac:dyDescent="0.35">
      <c r="Q65715" s="1"/>
    </row>
    <row r="65716" spans="17:17" x14ac:dyDescent="0.35">
      <c r="Q65716" s="1"/>
    </row>
    <row r="65722" spans="17:17" x14ac:dyDescent="0.35">
      <c r="Q65722" s="1"/>
    </row>
    <row r="65723" spans="17:17" x14ac:dyDescent="0.35">
      <c r="Q65723" s="1"/>
    </row>
    <row r="65726" spans="17:17" x14ac:dyDescent="0.35">
      <c r="Q65726" s="1"/>
    </row>
    <row r="65744" spans="17:17" x14ac:dyDescent="0.35">
      <c r="Q65744" s="1"/>
    </row>
    <row r="65747" spans="17:17" x14ac:dyDescent="0.35">
      <c r="Q65747" s="1"/>
    </row>
    <row r="65749" spans="17:17" x14ac:dyDescent="0.35">
      <c r="Q65749" s="1"/>
    </row>
    <row r="65753" spans="17:17" x14ac:dyDescent="0.35">
      <c r="Q65753" s="1"/>
    </row>
    <row r="65757" spans="17:17" x14ac:dyDescent="0.35">
      <c r="Q65757" s="1"/>
    </row>
    <row r="65760" spans="17:17" x14ac:dyDescent="0.35">
      <c r="Q65760" s="1"/>
    </row>
    <row r="65767" spans="17:17" x14ac:dyDescent="0.35">
      <c r="Q65767" s="1"/>
    </row>
    <row r="65773" spans="17:17" x14ac:dyDescent="0.35">
      <c r="Q65773" s="1"/>
    </row>
    <row r="65778" spans="17:17" x14ac:dyDescent="0.35">
      <c r="Q65778" s="1"/>
    </row>
    <row r="65785" spans="17:17" x14ac:dyDescent="0.35">
      <c r="Q65785" s="1"/>
    </row>
    <row r="65789" spans="17:17" x14ac:dyDescent="0.35">
      <c r="Q65789" s="1"/>
    </row>
    <row r="65791" spans="17:17" x14ac:dyDescent="0.35">
      <c r="Q65791" s="1"/>
    </row>
    <row r="65796" spans="17:17" x14ac:dyDescent="0.35">
      <c r="Q65796" s="1"/>
    </row>
    <row r="65797" spans="17:17" x14ac:dyDescent="0.35">
      <c r="Q65797" s="1"/>
    </row>
    <row r="65798" spans="17:17" x14ac:dyDescent="0.35">
      <c r="Q65798" s="1"/>
    </row>
    <row r="65800" spans="17:17" x14ac:dyDescent="0.35">
      <c r="Q65800" s="1"/>
    </row>
    <row r="65806" spans="17:17" x14ac:dyDescent="0.35">
      <c r="Q65806" s="1"/>
    </row>
    <row r="65808" spans="17:17" x14ac:dyDescent="0.35">
      <c r="Q65808" s="1"/>
    </row>
    <row r="65812" spans="17:17" x14ac:dyDescent="0.35">
      <c r="Q65812" s="1"/>
    </row>
    <row r="65813" spans="17:17" x14ac:dyDescent="0.35">
      <c r="Q65813" s="1"/>
    </row>
    <row r="65818" spans="17:17" x14ac:dyDescent="0.35">
      <c r="Q65818" s="1"/>
    </row>
    <row r="65821" spans="17:17" x14ac:dyDescent="0.35">
      <c r="Q65821" s="1"/>
    </row>
    <row r="65824" spans="17:17" x14ac:dyDescent="0.35">
      <c r="Q65824" s="1"/>
    </row>
    <row r="65828" spans="17:17" x14ac:dyDescent="0.35">
      <c r="Q65828" s="1"/>
    </row>
    <row r="65830" spans="17:17" x14ac:dyDescent="0.35">
      <c r="Q65830" s="1"/>
    </row>
    <row r="65832" spans="17:17" x14ac:dyDescent="0.35">
      <c r="Q65832" s="1"/>
    </row>
    <row r="65833" spans="17:17" x14ac:dyDescent="0.35">
      <c r="Q65833" s="1"/>
    </row>
    <row r="65848" spans="17:17" x14ac:dyDescent="0.35">
      <c r="Q65848" s="1"/>
    </row>
    <row r="65850" spans="17:17" x14ac:dyDescent="0.35">
      <c r="Q65850" s="1"/>
    </row>
    <row r="65851" spans="17:17" x14ac:dyDescent="0.35">
      <c r="Q65851" s="1"/>
    </row>
    <row r="65852" spans="17:17" x14ac:dyDescent="0.35">
      <c r="Q65852" s="1"/>
    </row>
    <row r="65863" spans="17:17" x14ac:dyDescent="0.35">
      <c r="Q65863" s="1"/>
    </row>
    <row r="65865" spans="17:17" x14ac:dyDescent="0.35">
      <c r="Q65865" s="1"/>
    </row>
    <row r="65869" spans="17:17" x14ac:dyDescent="0.35">
      <c r="Q65869" s="1"/>
    </row>
    <row r="65871" spans="17:17" x14ac:dyDescent="0.35">
      <c r="Q65871" s="1"/>
    </row>
    <row r="65877" spans="17:17" x14ac:dyDescent="0.35">
      <c r="Q65877" s="1"/>
    </row>
    <row r="65879" spans="17:17" x14ac:dyDescent="0.35">
      <c r="Q65879" s="1"/>
    </row>
    <row r="65891" spans="17:17" x14ac:dyDescent="0.35">
      <c r="Q65891" s="1"/>
    </row>
    <row r="65897" spans="17:17" x14ac:dyDescent="0.35">
      <c r="Q65897" s="1"/>
    </row>
    <row r="65904" spans="17:17" x14ac:dyDescent="0.35">
      <c r="Q65904" s="1"/>
    </row>
    <row r="65906" spans="17:17" x14ac:dyDescent="0.35">
      <c r="Q65906" s="1"/>
    </row>
    <row r="65908" spans="17:17" x14ac:dyDescent="0.35">
      <c r="Q65908" s="1"/>
    </row>
    <row r="65912" spans="17:17" x14ac:dyDescent="0.35">
      <c r="Q65912" s="1"/>
    </row>
    <row r="65917" spans="17:17" x14ac:dyDescent="0.35">
      <c r="Q65917" s="1"/>
    </row>
    <row r="65918" spans="17:17" x14ac:dyDescent="0.35">
      <c r="Q65918" s="1"/>
    </row>
    <row r="65925" spans="17:17" x14ac:dyDescent="0.35">
      <c r="Q65925" s="1"/>
    </row>
    <row r="65930" spans="17:17" x14ac:dyDescent="0.35">
      <c r="Q65930" s="1"/>
    </row>
    <row r="65932" spans="17:17" x14ac:dyDescent="0.35">
      <c r="Q65932" s="1"/>
    </row>
    <row r="65938" spans="17:17" x14ac:dyDescent="0.35">
      <c r="Q65938" s="1"/>
    </row>
    <row r="65942" spans="17:17" x14ac:dyDescent="0.35">
      <c r="Q65942" s="1"/>
    </row>
    <row r="65946" spans="17:17" x14ac:dyDescent="0.35">
      <c r="Q65946" s="1"/>
    </row>
    <row r="65947" spans="17:17" x14ac:dyDescent="0.35">
      <c r="Q65947" s="1"/>
    </row>
    <row r="65948" spans="17:17" x14ac:dyDescent="0.35">
      <c r="Q65948" s="1"/>
    </row>
    <row r="65959" spans="17:17" x14ac:dyDescent="0.35">
      <c r="Q65959" s="1"/>
    </row>
    <row r="65970" spans="17:17" x14ac:dyDescent="0.35">
      <c r="Q65970" s="1"/>
    </row>
    <row r="65973" spans="17:17" x14ac:dyDescent="0.35">
      <c r="Q65973" s="1"/>
    </row>
    <row r="65976" spans="17:17" x14ac:dyDescent="0.35">
      <c r="Q65976" s="1"/>
    </row>
    <row r="65979" spans="17:17" x14ac:dyDescent="0.35">
      <c r="Q65979" s="1"/>
    </row>
    <row r="65980" spans="17:17" x14ac:dyDescent="0.35">
      <c r="Q65980" s="1"/>
    </row>
    <row r="65983" spans="17:17" x14ac:dyDescent="0.35">
      <c r="Q65983" s="1"/>
    </row>
    <row r="65986" spans="17:17" x14ac:dyDescent="0.35">
      <c r="Q65986" s="1"/>
    </row>
    <row r="65990" spans="17:17" x14ac:dyDescent="0.35">
      <c r="Q65990" s="1"/>
    </row>
    <row r="65991" spans="17:17" x14ac:dyDescent="0.35">
      <c r="Q65991" s="1"/>
    </row>
    <row r="65995" spans="17:17" x14ac:dyDescent="0.35">
      <c r="Q65995" s="1"/>
    </row>
    <row r="66002" spans="17:17" x14ac:dyDescent="0.35">
      <c r="Q66002" s="1"/>
    </row>
    <row r="66010" spans="17:17" x14ac:dyDescent="0.35">
      <c r="Q66010" s="1"/>
    </row>
    <row r="66012" spans="17:17" x14ac:dyDescent="0.35">
      <c r="Q66012" s="1"/>
    </row>
    <row r="66020" spans="16:17" x14ac:dyDescent="0.35">
      <c r="Q66020" s="1"/>
    </row>
    <row r="66024" spans="16:17" x14ac:dyDescent="0.35">
      <c r="P66024" s="1"/>
    </row>
    <row r="66025" spans="16:17" x14ac:dyDescent="0.35">
      <c r="Q66025" s="1"/>
    </row>
    <row r="66026" spans="16:17" x14ac:dyDescent="0.35">
      <c r="Q66026" s="1"/>
    </row>
    <row r="66027" spans="16:17" x14ac:dyDescent="0.35">
      <c r="Q66027" s="1"/>
    </row>
    <row r="66041" spans="17:17" x14ac:dyDescent="0.35">
      <c r="Q66041" s="1"/>
    </row>
    <row r="66042" spans="17:17" x14ac:dyDescent="0.35">
      <c r="Q66042" s="1"/>
    </row>
    <row r="66043" spans="17:17" x14ac:dyDescent="0.35">
      <c r="Q66043" s="1"/>
    </row>
    <row r="66044" spans="17:17" x14ac:dyDescent="0.35">
      <c r="Q66044" s="1"/>
    </row>
    <row r="66045" spans="17:17" x14ac:dyDescent="0.35">
      <c r="Q66045" s="1"/>
    </row>
    <row r="66052" spans="17:17" x14ac:dyDescent="0.35">
      <c r="Q66052" s="1"/>
    </row>
    <row r="66056" spans="17:17" x14ac:dyDescent="0.35">
      <c r="Q66056" s="1"/>
    </row>
    <row r="66062" spans="17:17" x14ac:dyDescent="0.35">
      <c r="Q66062" s="1"/>
    </row>
    <row r="66064" spans="17:17" x14ac:dyDescent="0.35">
      <c r="Q66064" s="1"/>
    </row>
    <row r="66068" spans="17:17" x14ac:dyDescent="0.35">
      <c r="Q66068" s="1"/>
    </row>
    <row r="66074" spans="17:17" x14ac:dyDescent="0.35">
      <c r="Q66074" s="1"/>
    </row>
    <row r="66076" spans="17:17" x14ac:dyDescent="0.35">
      <c r="Q66076" s="1"/>
    </row>
    <row r="66085" spans="17:17" x14ac:dyDescent="0.35">
      <c r="Q66085" s="1"/>
    </row>
    <row r="66088" spans="17:17" x14ac:dyDescent="0.35">
      <c r="Q66088" s="1"/>
    </row>
    <row r="66094" spans="17:17" x14ac:dyDescent="0.35">
      <c r="Q66094" s="1"/>
    </row>
    <row r="66098" spans="17:17" x14ac:dyDescent="0.35">
      <c r="Q66098" s="1"/>
    </row>
    <row r="66104" spans="17:17" x14ac:dyDescent="0.35">
      <c r="Q66104" s="1"/>
    </row>
    <row r="66106" spans="17:17" x14ac:dyDescent="0.35">
      <c r="Q66106" s="1"/>
    </row>
    <row r="66107" spans="17:17" x14ac:dyDescent="0.35">
      <c r="Q66107" s="1"/>
    </row>
    <row r="66111" spans="17:17" x14ac:dyDescent="0.35">
      <c r="Q66111" s="1"/>
    </row>
    <row r="66113" spans="17:17" x14ac:dyDescent="0.35">
      <c r="Q66113" s="1"/>
    </row>
    <row r="66126" spans="17:17" x14ac:dyDescent="0.35">
      <c r="Q66126" s="1"/>
    </row>
    <row r="66130" spans="17:17" x14ac:dyDescent="0.35">
      <c r="Q66130" s="1"/>
    </row>
    <row r="66135" spans="17:17" x14ac:dyDescent="0.35">
      <c r="Q66135" s="1"/>
    </row>
    <row r="66138" spans="17:17" x14ac:dyDescent="0.35">
      <c r="Q66138" s="1"/>
    </row>
    <row r="66143" spans="17:17" x14ac:dyDescent="0.35">
      <c r="Q66143" s="1"/>
    </row>
    <row r="66147" spans="17:17" x14ac:dyDescent="0.35">
      <c r="Q66147" s="1"/>
    </row>
    <row r="66148" spans="17:17" x14ac:dyDescent="0.35">
      <c r="Q66148" s="1"/>
    </row>
    <row r="66151" spans="17:17" x14ac:dyDescent="0.35">
      <c r="Q66151" s="1"/>
    </row>
    <row r="66156" spans="17:17" x14ac:dyDescent="0.35">
      <c r="Q66156" s="1"/>
    </row>
    <row r="66174" spans="17:17" x14ac:dyDescent="0.35">
      <c r="Q66174" s="1"/>
    </row>
    <row r="66177" spans="16:17" x14ac:dyDescent="0.35">
      <c r="Q66177" s="1"/>
    </row>
    <row r="66179" spans="16:17" x14ac:dyDescent="0.35">
      <c r="Q66179" s="1"/>
    </row>
    <row r="66187" spans="16:17" x14ac:dyDescent="0.35">
      <c r="P66187" s="1"/>
      <c r="Q66187" s="1"/>
    </row>
    <row r="66189" spans="16:17" x14ac:dyDescent="0.35">
      <c r="Q66189" s="1"/>
    </row>
    <row r="66196" spans="17:17" x14ac:dyDescent="0.35">
      <c r="Q66196" s="1"/>
    </row>
    <row r="66198" spans="17:17" x14ac:dyDescent="0.35">
      <c r="Q66198" s="1"/>
    </row>
    <row r="66200" spans="17:17" x14ac:dyDescent="0.35">
      <c r="Q66200" s="1"/>
    </row>
    <row r="66201" spans="17:17" x14ac:dyDescent="0.35">
      <c r="Q66201" s="1"/>
    </row>
    <row r="66203" spans="17:17" x14ac:dyDescent="0.35">
      <c r="Q66203" s="1"/>
    </row>
    <row r="66213" spans="17:17" x14ac:dyDescent="0.35">
      <c r="Q66213" s="1"/>
    </row>
    <row r="66214" spans="17:17" x14ac:dyDescent="0.35">
      <c r="Q66214" s="1"/>
    </row>
    <row r="66222" spans="17:17" x14ac:dyDescent="0.35">
      <c r="Q66222" s="1"/>
    </row>
    <row r="66224" spans="17:17" x14ac:dyDescent="0.35">
      <c r="Q66224" s="1"/>
    </row>
    <row r="66226" spans="17:17" x14ac:dyDescent="0.35">
      <c r="Q66226" s="1"/>
    </row>
    <row r="66230" spans="17:17" x14ac:dyDescent="0.35">
      <c r="Q66230" s="1"/>
    </row>
    <row r="66239" spans="17:17" x14ac:dyDescent="0.35">
      <c r="Q66239" s="1"/>
    </row>
    <row r="66241" spans="17:17" x14ac:dyDescent="0.35">
      <c r="Q66241" s="1"/>
    </row>
    <row r="66255" spans="17:17" x14ac:dyDescent="0.35">
      <c r="Q66255" s="1"/>
    </row>
    <row r="66257" spans="17:17" x14ac:dyDescent="0.35">
      <c r="Q66257" s="1"/>
    </row>
    <row r="66261" spans="17:17" x14ac:dyDescent="0.35">
      <c r="Q66261" s="1"/>
    </row>
    <row r="66265" spans="17:17" x14ac:dyDescent="0.35">
      <c r="Q66265" s="1"/>
    </row>
    <row r="66270" spans="17:17" x14ac:dyDescent="0.35">
      <c r="Q66270" s="1"/>
    </row>
    <row r="66277" spans="17:17" x14ac:dyDescent="0.35">
      <c r="Q66277" s="1"/>
    </row>
    <row r="66281" spans="17:17" x14ac:dyDescent="0.35">
      <c r="Q66281" s="1"/>
    </row>
    <row r="66284" spans="17:17" x14ac:dyDescent="0.35">
      <c r="Q66284" s="1"/>
    </row>
    <row r="66291" spans="17:17" x14ac:dyDescent="0.35">
      <c r="Q66291" s="1"/>
    </row>
    <row r="66292" spans="17:17" x14ac:dyDescent="0.35">
      <c r="Q66292" s="1"/>
    </row>
    <row r="66297" spans="17:17" x14ac:dyDescent="0.35">
      <c r="Q66297" s="1"/>
    </row>
    <row r="66301" spans="17:17" x14ac:dyDescent="0.35">
      <c r="Q66301" s="1"/>
    </row>
    <row r="66304" spans="17:17" x14ac:dyDescent="0.35">
      <c r="Q66304" s="1"/>
    </row>
    <row r="66307" spans="17:17" x14ac:dyDescent="0.35">
      <c r="Q66307" s="1"/>
    </row>
    <row r="66308" spans="17:17" x14ac:dyDescent="0.35">
      <c r="Q66308" s="1"/>
    </row>
    <row r="66310" spans="17:17" x14ac:dyDescent="0.35">
      <c r="Q66310" s="1"/>
    </row>
    <row r="66318" spans="17:17" x14ac:dyDescent="0.35">
      <c r="Q66318" s="1"/>
    </row>
    <row r="66319" spans="17:17" x14ac:dyDescent="0.35">
      <c r="Q66319" s="1"/>
    </row>
    <row r="66327" spans="17:17" x14ac:dyDescent="0.35">
      <c r="Q66327" s="1"/>
    </row>
    <row r="66336" spans="17:17" x14ac:dyDescent="0.35">
      <c r="Q66336" s="1"/>
    </row>
    <row r="66344" spans="17:17" x14ac:dyDescent="0.35">
      <c r="Q66344" s="1"/>
    </row>
    <row r="66348" spans="17:17" x14ac:dyDescent="0.35">
      <c r="Q66348" s="1"/>
    </row>
    <row r="66349" spans="17:17" x14ac:dyDescent="0.35">
      <c r="Q66349" s="1"/>
    </row>
    <row r="66359" spans="17:17" x14ac:dyDescent="0.35">
      <c r="Q66359" s="1"/>
    </row>
    <row r="66362" spans="17:17" x14ac:dyDescent="0.35">
      <c r="Q66362" s="1"/>
    </row>
    <row r="66372" spans="17:17" x14ac:dyDescent="0.35">
      <c r="Q66372" s="1"/>
    </row>
    <row r="66382" spans="17:17" x14ac:dyDescent="0.35">
      <c r="Q66382" s="1"/>
    </row>
    <row r="66383" spans="17:17" x14ac:dyDescent="0.35">
      <c r="Q66383" s="1"/>
    </row>
    <row r="66388" spans="17:17" x14ac:dyDescent="0.35">
      <c r="Q66388" s="1"/>
    </row>
    <row r="66391" spans="17:17" x14ac:dyDescent="0.35">
      <c r="Q66391" s="1"/>
    </row>
    <row r="66403" spans="17:17" x14ac:dyDescent="0.35">
      <c r="Q66403" s="1"/>
    </row>
    <row r="66409" spans="17:17" x14ac:dyDescent="0.35">
      <c r="Q66409" s="1"/>
    </row>
    <row r="66428" spans="17:17" x14ac:dyDescent="0.35">
      <c r="Q66428" s="1"/>
    </row>
    <row r="66429" spans="17:17" x14ac:dyDescent="0.35">
      <c r="Q66429" s="1"/>
    </row>
    <row r="66431" spans="17:17" x14ac:dyDescent="0.35">
      <c r="Q66431" s="1"/>
    </row>
    <row r="66434" spans="17:17" x14ac:dyDescent="0.35">
      <c r="Q66434" s="1"/>
    </row>
    <row r="66438" spans="17:17" x14ac:dyDescent="0.35">
      <c r="Q66438" s="1"/>
    </row>
    <row r="66461" spans="17:17" x14ac:dyDescent="0.35">
      <c r="Q66461" s="1"/>
    </row>
    <row r="66464" spans="17:17" x14ac:dyDescent="0.35">
      <c r="Q66464" s="1"/>
    </row>
    <row r="66465" spans="17:17" x14ac:dyDescent="0.35">
      <c r="Q66465" s="1"/>
    </row>
    <row r="66470" spans="17:17" x14ac:dyDescent="0.35">
      <c r="Q66470" s="1"/>
    </row>
    <row r="66472" spans="17:17" x14ac:dyDescent="0.35">
      <c r="Q66472" s="1"/>
    </row>
    <row r="66475" spans="17:17" x14ac:dyDescent="0.35">
      <c r="Q66475" s="1"/>
    </row>
    <row r="66476" spans="17:17" x14ac:dyDescent="0.35">
      <c r="Q66476" s="1"/>
    </row>
    <row r="66479" spans="17:17" x14ac:dyDescent="0.35">
      <c r="Q66479" s="1"/>
    </row>
    <row r="66481" spans="17:17" x14ac:dyDescent="0.35">
      <c r="Q66481" s="1"/>
    </row>
    <row r="66482" spans="17:17" x14ac:dyDescent="0.35">
      <c r="Q66482" s="1"/>
    </row>
    <row r="66484" spans="17:17" x14ac:dyDescent="0.35">
      <c r="Q66484" s="1"/>
    </row>
    <row r="66492" spans="17:17" x14ac:dyDescent="0.35">
      <c r="Q66492" s="1"/>
    </row>
    <row r="66502" spans="17:17" x14ac:dyDescent="0.35">
      <c r="Q66502" s="1"/>
    </row>
    <row r="66513" spans="17:17" x14ac:dyDescent="0.35">
      <c r="Q66513" s="1"/>
    </row>
    <row r="66515" spans="17:17" x14ac:dyDescent="0.35">
      <c r="Q66515" s="1"/>
    </row>
    <row r="66516" spans="17:17" x14ac:dyDescent="0.35">
      <c r="Q66516" s="1"/>
    </row>
    <row r="66519" spans="17:17" x14ac:dyDescent="0.35">
      <c r="Q66519" s="1"/>
    </row>
    <row r="66521" spans="17:17" x14ac:dyDescent="0.35">
      <c r="Q66521" s="1"/>
    </row>
    <row r="66528" spans="17:17" x14ac:dyDescent="0.35">
      <c r="Q66528" s="1"/>
    </row>
    <row r="66532" spans="17:17" x14ac:dyDescent="0.35">
      <c r="Q66532" s="1"/>
    </row>
    <row r="66533" spans="17:17" x14ac:dyDescent="0.35">
      <c r="Q66533" s="1"/>
    </row>
    <row r="66537" spans="17:17" x14ac:dyDescent="0.35">
      <c r="Q66537" s="1"/>
    </row>
    <row r="66542" spans="17:17" x14ac:dyDescent="0.35">
      <c r="Q66542" s="1"/>
    </row>
    <row r="66546" spans="16:17" x14ac:dyDescent="0.35">
      <c r="Q66546" s="1"/>
    </row>
    <row r="66551" spans="16:17" x14ac:dyDescent="0.35">
      <c r="P66551" s="1"/>
    </row>
    <row r="66553" spans="16:17" x14ac:dyDescent="0.35">
      <c r="Q66553" s="1"/>
    </row>
    <row r="66564" spans="17:17" x14ac:dyDescent="0.35">
      <c r="Q66564" s="1"/>
    </row>
    <row r="66567" spans="17:17" x14ac:dyDescent="0.35">
      <c r="Q66567" s="1"/>
    </row>
    <row r="66570" spans="17:17" x14ac:dyDescent="0.35">
      <c r="Q66570" s="1"/>
    </row>
    <row r="66576" spans="17:17" x14ac:dyDescent="0.35">
      <c r="Q66576" s="1"/>
    </row>
    <row r="66579" spans="17:17" x14ac:dyDescent="0.35">
      <c r="Q66579" s="1"/>
    </row>
    <row r="66582" spans="17:17" x14ac:dyDescent="0.35">
      <c r="Q66582" s="1"/>
    </row>
    <row r="66592" spans="17:17" x14ac:dyDescent="0.35">
      <c r="Q66592" s="1"/>
    </row>
    <row r="66598" spans="17:17" x14ac:dyDescent="0.35">
      <c r="Q66598" s="1"/>
    </row>
    <row r="66603" spans="17:17" x14ac:dyDescent="0.35">
      <c r="Q66603" s="1"/>
    </row>
    <row r="66605" spans="17:17" x14ac:dyDescent="0.35">
      <c r="Q66605" s="1"/>
    </row>
    <row r="66607" spans="17:17" x14ac:dyDescent="0.35">
      <c r="Q66607" s="1"/>
    </row>
    <row r="66610" spans="16:17" x14ac:dyDescent="0.35">
      <c r="Q66610" s="1"/>
    </row>
    <row r="66613" spans="16:17" x14ac:dyDescent="0.35">
      <c r="P66613" s="1"/>
    </row>
    <row r="66624" spans="16:17" x14ac:dyDescent="0.35">
      <c r="Q66624" s="1"/>
    </row>
    <row r="66643" spans="17:17" x14ac:dyDescent="0.35">
      <c r="Q66643" s="1"/>
    </row>
    <row r="66644" spans="17:17" x14ac:dyDescent="0.35">
      <c r="Q66644" s="1"/>
    </row>
    <row r="66647" spans="17:17" x14ac:dyDescent="0.35">
      <c r="Q66647" s="1"/>
    </row>
    <row r="66652" spans="17:17" x14ac:dyDescent="0.35">
      <c r="Q66652" s="1"/>
    </row>
    <row r="66659" spans="17:17" x14ac:dyDescent="0.35">
      <c r="Q66659" s="1"/>
    </row>
    <row r="66663" spans="17:17" x14ac:dyDescent="0.35">
      <c r="Q66663" s="1"/>
    </row>
    <row r="66665" spans="17:17" x14ac:dyDescent="0.35">
      <c r="Q66665" s="1"/>
    </row>
    <row r="66668" spans="17:17" x14ac:dyDescent="0.35">
      <c r="Q66668" s="1"/>
    </row>
    <row r="66680" spans="17:17" x14ac:dyDescent="0.35">
      <c r="Q66680" s="1"/>
    </row>
    <row r="66685" spans="17:17" x14ac:dyDescent="0.35">
      <c r="Q66685" s="1"/>
    </row>
    <row r="66691" spans="17:17" x14ac:dyDescent="0.35">
      <c r="Q66691" s="1"/>
    </row>
    <row r="66693" spans="17:17" x14ac:dyDescent="0.35">
      <c r="Q66693" s="1"/>
    </row>
    <row r="66694" spans="17:17" x14ac:dyDescent="0.35">
      <c r="Q66694" s="1"/>
    </row>
    <row r="66700" spans="17:17" x14ac:dyDescent="0.35">
      <c r="Q66700" s="1"/>
    </row>
    <row r="66701" spans="17:17" x14ac:dyDescent="0.35">
      <c r="Q66701" s="1"/>
    </row>
    <row r="66705" spans="17:17" x14ac:dyDescent="0.35">
      <c r="Q66705" s="1"/>
    </row>
    <row r="66706" spans="17:17" x14ac:dyDescent="0.35">
      <c r="Q66706" s="1"/>
    </row>
    <row r="66711" spans="17:17" x14ac:dyDescent="0.35">
      <c r="Q66711" s="1"/>
    </row>
    <row r="66715" spans="17:17" x14ac:dyDescent="0.35">
      <c r="Q66715" s="1"/>
    </row>
    <row r="66724" spans="17:17" x14ac:dyDescent="0.35">
      <c r="Q66724" s="1"/>
    </row>
    <row r="66730" spans="17:17" x14ac:dyDescent="0.35">
      <c r="Q66730" s="1"/>
    </row>
    <row r="66739" spans="16:17" x14ac:dyDescent="0.35">
      <c r="Q66739" s="1"/>
    </row>
    <row r="66743" spans="16:17" x14ac:dyDescent="0.35">
      <c r="Q66743" s="1"/>
    </row>
    <row r="66744" spans="16:17" x14ac:dyDescent="0.35">
      <c r="Q66744" s="1"/>
    </row>
    <row r="66745" spans="16:17" x14ac:dyDescent="0.35">
      <c r="Q66745" s="1"/>
    </row>
    <row r="66750" spans="16:17" x14ac:dyDescent="0.35">
      <c r="Q66750" s="1"/>
    </row>
    <row r="66752" spans="16:17" x14ac:dyDescent="0.35">
      <c r="P66752" s="1"/>
    </row>
    <row r="66754" spans="17:17" x14ac:dyDescent="0.35">
      <c r="Q66754" s="1"/>
    </row>
    <row r="66759" spans="17:17" x14ac:dyDescent="0.35">
      <c r="Q66759" s="1"/>
    </row>
    <row r="66778" spans="17:17" x14ac:dyDescent="0.35">
      <c r="Q66778" s="1"/>
    </row>
    <row r="66791" spans="17:17" x14ac:dyDescent="0.35">
      <c r="Q66791" s="1"/>
    </row>
    <row r="66800" spans="17:17" x14ac:dyDescent="0.35">
      <c r="Q66800" s="1"/>
    </row>
    <row r="66802" spans="17:17" x14ac:dyDescent="0.35">
      <c r="Q66802" s="1"/>
    </row>
    <row r="66803" spans="17:17" x14ac:dyDescent="0.35">
      <c r="Q66803" s="1"/>
    </row>
    <row r="66804" spans="17:17" x14ac:dyDescent="0.35">
      <c r="Q66804" s="1"/>
    </row>
    <row r="66817" spans="17:17" x14ac:dyDescent="0.35">
      <c r="Q66817" s="1"/>
    </row>
    <row r="66824" spans="17:17" x14ac:dyDescent="0.35">
      <c r="Q66824" s="1"/>
    </row>
    <row r="66827" spans="17:17" x14ac:dyDescent="0.35">
      <c r="Q66827" s="1"/>
    </row>
    <row r="66828" spans="17:17" x14ac:dyDescent="0.35">
      <c r="Q66828" s="1"/>
    </row>
    <row r="66831" spans="17:17" x14ac:dyDescent="0.35">
      <c r="Q66831" s="1"/>
    </row>
    <row r="66838" spans="17:17" x14ac:dyDescent="0.35">
      <c r="Q66838" s="1"/>
    </row>
    <row r="66843" spans="17:17" x14ac:dyDescent="0.35">
      <c r="Q66843" s="1"/>
    </row>
    <row r="66847" spans="17:17" x14ac:dyDescent="0.35">
      <c r="Q66847" s="1"/>
    </row>
    <row r="66848" spans="17:17" x14ac:dyDescent="0.35">
      <c r="Q66848" s="1"/>
    </row>
    <row r="66852" spans="17:17" x14ac:dyDescent="0.35">
      <c r="Q66852" s="1"/>
    </row>
    <row r="66853" spans="17:17" x14ac:dyDescent="0.35">
      <c r="Q66853" s="1"/>
    </row>
    <row r="66854" spans="17:17" x14ac:dyDescent="0.35">
      <c r="Q66854" s="1"/>
    </row>
    <row r="66857" spans="17:17" x14ac:dyDescent="0.35">
      <c r="Q66857" s="1"/>
    </row>
    <row r="66863" spans="17:17" x14ac:dyDescent="0.35">
      <c r="Q66863" s="1"/>
    </row>
    <row r="66874" spans="17:17" x14ac:dyDescent="0.35">
      <c r="Q66874" s="1"/>
    </row>
    <row r="66877" spans="17:17" x14ac:dyDescent="0.35">
      <c r="Q66877" s="1"/>
    </row>
    <row r="66895" spans="17:17" x14ac:dyDescent="0.35">
      <c r="Q66895" s="1"/>
    </row>
    <row r="66896" spans="17:17" x14ac:dyDescent="0.35">
      <c r="Q66896" s="1"/>
    </row>
    <row r="66904" spans="17:17" x14ac:dyDescent="0.35">
      <c r="Q66904" s="1"/>
    </row>
    <row r="66905" spans="17:17" x14ac:dyDescent="0.35">
      <c r="Q66905" s="1"/>
    </row>
    <row r="66910" spans="17:17" x14ac:dyDescent="0.35">
      <c r="Q66910" s="1"/>
    </row>
    <row r="66911" spans="17:17" x14ac:dyDescent="0.35">
      <c r="Q66911" s="1"/>
    </row>
    <row r="66914" spans="17:17" x14ac:dyDescent="0.35">
      <c r="Q66914" s="1"/>
    </row>
    <row r="66919" spans="17:17" x14ac:dyDescent="0.35">
      <c r="Q66919" s="1"/>
    </row>
    <row r="66935" spans="17:17" x14ac:dyDescent="0.35">
      <c r="Q66935" s="1"/>
    </row>
    <row r="66937" spans="17:17" x14ac:dyDescent="0.35">
      <c r="Q66937" s="1"/>
    </row>
    <row r="66942" spans="17:17" x14ac:dyDescent="0.35">
      <c r="Q66942" s="1"/>
    </row>
    <row r="66955" spans="17:17" x14ac:dyDescent="0.35">
      <c r="Q66955" s="1"/>
    </row>
    <row r="66961" spans="17:17" x14ac:dyDescent="0.35">
      <c r="Q66961" s="1"/>
    </row>
    <row r="66962" spans="17:17" x14ac:dyDescent="0.35">
      <c r="Q66962" s="1"/>
    </row>
    <row r="66963" spans="17:17" x14ac:dyDescent="0.35">
      <c r="Q66963" s="1"/>
    </row>
    <row r="66972" spans="17:17" x14ac:dyDescent="0.35">
      <c r="Q66972" s="1"/>
    </row>
    <row r="66976" spans="17:17" x14ac:dyDescent="0.35">
      <c r="Q66976" s="1"/>
    </row>
    <row r="66987" spans="17:17" x14ac:dyDescent="0.35">
      <c r="Q66987" s="1"/>
    </row>
    <row r="66996" spans="17:17" x14ac:dyDescent="0.35">
      <c r="Q66996" s="1"/>
    </row>
    <row r="66999" spans="17:17" x14ac:dyDescent="0.35">
      <c r="Q66999" s="1"/>
    </row>
    <row r="67000" spans="17:17" x14ac:dyDescent="0.35">
      <c r="Q67000" s="1"/>
    </row>
    <row r="67003" spans="17:17" x14ac:dyDescent="0.35">
      <c r="Q67003" s="1"/>
    </row>
    <row r="67004" spans="17:17" x14ac:dyDescent="0.35">
      <c r="Q67004" s="1"/>
    </row>
    <row r="67006" spans="17:17" x14ac:dyDescent="0.35">
      <c r="Q67006" s="1"/>
    </row>
    <row r="67045" spans="17:17" x14ac:dyDescent="0.35">
      <c r="Q67045" s="1"/>
    </row>
    <row r="67047" spans="17:17" x14ac:dyDescent="0.35">
      <c r="Q67047" s="1"/>
    </row>
    <row r="67050" spans="17:17" x14ac:dyDescent="0.35">
      <c r="Q67050" s="1"/>
    </row>
    <row r="67069" spans="17:17" x14ac:dyDescent="0.35">
      <c r="Q67069" s="1"/>
    </row>
    <row r="67070" spans="17:17" x14ac:dyDescent="0.35">
      <c r="Q67070" s="1"/>
    </row>
    <row r="67074" spans="17:17" x14ac:dyDescent="0.35">
      <c r="Q67074" s="1"/>
    </row>
    <row r="67076" spans="17:17" x14ac:dyDescent="0.35">
      <c r="Q67076" s="1"/>
    </row>
    <row r="67078" spans="17:17" x14ac:dyDescent="0.35">
      <c r="Q67078" s="1"/>
    </row>
    <row r="67081" spans="17:17" x14ac:dyDescent="0.35">
      <c r="Q67081" s="1"/>
    </row>
    <row r="67084" spans="17:17" x14ac:dyDescent="0.35">
      <c r="Q67084" s="1"/>
    </row>
    <row r="67096" spans="17:17" x14ac:dyDescent="0.35">
      <c r="Q67096" s="1"/>
    </row>
    <row r="67097" spans="17:17" x14ac:dyDescent="0.35">
      <c r="Q67097" s="1"/>
    </row>
    <row r="67098" spans="17:17" x14ac:dyDescent="0.35">
      <c r="Q67098" s="1"/>
    </row>
    <row r="67102" spans="17:17" x14ac:dyDescent="0.35">
      <c r="Q67102" s="1"/>
    </row>
    <row r="67103" spans="17:17" x14ac:dyDescent="0.35">
      <c r="Q67103" s="1"/>
    </row>
    <row r="67104" spans="17:17" x14ac:dyDescent="0.35">
      <c r="Q67104" s="1"/>
    </row>
    <row r="67105" spans="17:17" x14ac:dyDescent="0.35">
      <c r="Q67105" s="1"/>
    </row>
    <row r="67106" spans="17:17" x14ac:dyDescent="0.35">
      <c r="Q67106" s="1"/>
    </row>
    <row r="67107" spans="17:17" x14ac:dyDescent="0.35">
      <c r="Q67107" s="1"/>
    </row>
    <row r="67108" spans="17:17" x14ac:dyDescent="0.35">
      <c r="Q67108" s="1"/>
    </row>
    <row r="67117" spans="17:17" x14ac:dyDescent="0.35">
      <c r="Q67117" s="1"/>
    </row>
    <row r="67118" spans="17:17" x14ac:dyDescent="0.35">
      <c r="Q67118" s="1"/>
    </row>
    <row r="67122" spans="17:17" x14ac:dyDescent="0.35">
      <c r="Q67122" s="1"/>
    </row>
    <row r="67123" spans="17:17" x14ac:dyDescent="0.35">
      <c r="Q67123" s="1"/>
    </row>
    <row r="67136" spans="17:17" x14ac:dyDescent="0.35">
      <c r="Q67136" s="1"/>
    </row>
    <row r="67138" spans="17:17" x14ac:dyDescent="0.35">
      <c r="Q67138" s="1"/>
    </row>
    <row r="67141" spans="17:17" x14ac:dyDescent="0.35">
      <c r="Q67141" s="1"/>
    </row>
    <row r="67148" spans="17:17" x14ac:dyDescent="0.35">
      <c r="Q67148" s="1"/>
    </row>
    <row r="67151" spans="17:17" x14ac:dyDescent="0.35">
      <c r="Q67151" s="1"/>
    </row>
    <row r="67152" spans="17:17" x14ac:dyDescent="0.35">
      <c r="Q67152" s="1"/>
    </row>
    <row r="67155" spans="17:17" x14ac:dyDescent="0.35">
      <c r="Q67155" s="1"/>
    </row>
    <row r="67156" spans="17:17" x14ac:dyDescent="0.35">
      <c r="Q67156" s="1"/>
    </row>
    <row r="67157" spans="17:17" x14ac:dyDescent="0.35">
      <c r="Q67157" s="1"/>
    </row>
    <row r="67158" spans="17:17" x14ac:dyDescent="0.35">
      <c r="Q67158" s="1"/>
    </row>
    <row r="67159" spans="17:17" x14ac:dyDescent="0.35">
      <c r="Q67159" s="1"/>
    </row>
    <row r="67164" spans="17:17" x14ac:dyDescent="0.35">
      <c r="Q67164" s="1"/>
    </row>
    <row r="67168" spans="17:17" x14ac:dyDescent="0.35">
      <c r="Q67168" s="1"/>
    </row>
    <row r="67169" spans="17:17" x14ac:dyDescent="0.35">
      <c r="Q67169" s="1"/>
    </row>
    <row r="67172" spans="17:17" x14ac:dyDescent="0.35">
      <c r="Q67172" s="1"/>
    </row>
    <row r="67180" spans="17:17" x14ac:dyDescent="0.35">
      <c r="Q67180" s="1"/>
    </row>
    <row r="67195" spans="17:17" x14ac:dyDescent="0.35">
      <c r="Q67195" s="1"/>
    </row>
    <row r="67197" spans="17:17" x14ac:dyDescent="0.35">
      <c r="Q67197" s="1"/>
    </row>
    <row r="67198" spans="17:17" x14ac:dyDescent="0.35">
      <c r="Q67198" s="1"/>
    </row>
    <row r="67200" spans="17:17" x14ac:dyDescent="0.35">
      <c r="Q67200" s="1"/>
    </row>
    <row r="67213" spans="17:17" x14ac:dyDescent="0.35">
      <c r="Q67213" s="1"/>
    </row>
    <row r="67221" spans="17:17" x14ac:dyDescent="0.35">
      <c r="Q67221" s="1"/>
    </row>
    <row r="67222" spans="17:17" x14ac:dyDescent="0.35">
      <c r="Q67222" s="1"/>
    </row>
    <row r="67226" spans="17:17" x14ac:dyDescent="0.35">
      <c r="Q67226" s="1"/>
    </row>
    <row r="67229" spans="17:17" x14ac:dyDescent="0.35">
      <c r="Q67229" s="1"/>
    </row>
    <row r="67231" spans="17:17" x14ac:dyDescent="0.35">
      <c r="Q67231" s="1"/>
    </row>
    <row r="67235" spans="17:17" x14ac:dyDescent="0.35">
      <c r="Q67235" s="1"/>
    </row>
    <row r="67236" spans="17:17" x14ac:dyDescent="0.35">
      <c r="Q67236" s="1"/>
    </row>
    <row r="67238" spans="17:17" x14ac:dyDescent="0.35">
      <c r="Q67238" s="1"/>
    </row>
    <row r="67239" spans="17:17" x14ac:dyDescent="0.35">
      <c r="Q67239" s="1"/>
    </row>
    <row r="67278" spans="17:17" x14ac:dyDescent="0.35">
      <c r="Q67278" s="1"/>
    </row>
    <row r="67280" spans="17:17" x14ac:dyDescent="0.35">
      <c r="Q67280" s="1"/>
    </row>
    <row r="67282" spans="17:17" x14ac:dyDescent="0.35">
      <c r="Q67282" s="1"/>
    </row>
    <row r="67286" spans="17:17" x14ac:dyDescent="0.35">
      <c r="Q67286" s="1"/>
    </row>
    <row r="67293" spans="17:17" x14ac:dyDescent="0.35">
      <c r="Q67293" s="1"/>
    </row>
    <row r="67295" spans="17:17" x14ac:dyDescent="0.35">
      <c r="Q67295" s="1"/>
    </row>
    <row r="67299" spans="17:17" x14ac:dyDescent="0.35">
      <c r="Q67299" s="1"/>
    </row>
    <row r="67304" spans="17:17" x14ac:dyDescent="0.35">
      <c r="Q67304" s="1"/>
    </row>
    <row r="67306" spans="17:17" x14ac:dyDescent="0.35">
      <c r="Q67306" s="1"/>
    </row>
    <row r="67309" spans="17:17" x14ac:dyDescent="0.35">
      <c r="Q67309" s="1"/>
    </row>
    <row r="67312" spans="17:17" x14ac:dyDescent="0.35">
      <c r="Q67312" s="1"/>
    </row>
    <row r="67319" spans="17:17" x14ac:dyDescent="0.35">
      <c r="Q67319" s="1"/>
    </row>
    <row r="67328" spans="17:17" x14ac:dyDescent="0.35">
      <c r="Q67328" s="1"/>
    </row>
    <row r="67330" spans="17:17" x14ac:dyDescent="0.35">
      <c r="Q67330" s="1"/>
    </row>
    <row r="67335" spans="17:17" x14ac:dyDescent="0.35">
      <c r="Q67335" s="1"/>
    </row>
    <row r="67337" spans="17:17" x14ac:dyDescent="0.35">
      <c r="Q67337" s="1"/>
    </row>
    <row r="67338" spans="17:17" x14ac:dyDescent="0.35">
      <c r="Q67338" s="1"/>
    </row>
    <row r="67350" spans="17:17" x14ac:dyDescent="0.35">
      <c r="Q67350" s="1"/>
    </row>
    <row r="67353" spans="17:17" x14ac:dyDescent="0.35">
      <c r="Q67353" s="1"/>
    </row>
    <row r="67355" spans="17:17" x14ac:dyDescent="0.35">
      <c r="Q67355" s="1"/>
    </row>
    <row r="67356" spans="17:17" x14ac:dyDescent="0.35">
      <c r="Q67356" s="1"/>
    </row>
    <row r="67357" spans="17:17" x14ac:dyDescent="0.35">
      <c r="Q67357" s="1"/>
    </row>
    <row r="67358" spans="17:17" x14ac:dyDescent="0.35">
      <c r="Q67358" s="1"/>
    </row>
    <row r="67359" spans="17:17" x14ac:dyDescent="0.35">
      <c r="Q67359" s="1"/>
    </row>
    <row r="67360" spans="17:17" x14ac:dyDescent="0.35">
      <c r="Q67360" s="1"/>
    </row>
    <row r="67372" spans="17:17" x14ac:dyDescent="0.35">
      <c r="Q67372" s="1"/>
    </row>
    <row r="67378" spans="17:17" x14ac:dyDescent="0.35">
      <c r="Q67378" s="1"/>
    </row>
    <row r="67388" spans="17:17" x14ac:dyDescent="0.35">
      <c r="Q67388" s="1"/>
    </row>
    <row r="67393" spans="17:17" x14ac:dyDescent="0.35">
      <c r="Q67393" s="1"/>
    </row>
    <row r="67396" spans="17:17" x14ac:dyDescent="0.35">
      <c r="Q67396" s="1"/>
    </row>
    <row r="67401" spans="17:17" x14ac:dyDescent="0.35">
      <c r="Q67401" s="1"/>
    </row>
    <row r="67411" spans="17:17" x14ac:dyDescent="0.35">
      <c r="Q67411" s="1"/>
    </row>
    <row r="67412" spans="17:17" x14ac:dyDescent="0.35">
      <c r="Q67412" s="1"/>
    </row>
    <row r="67413" spans="17:17" x14ac:dyDescent="0.35">
      <c r="Q67413" s="1"/>
    </row>
    <row r="67414" spans="17:17" x14ac:dyDescent="0.35">
      <c r="Q67414" s="1"/>
    </row>
    <row r="67449" spans="17:17" x14ac:dyDescent="0.35">
      <c r="Q67449" s="1"/>
    </row>
    <row r="67454" spans="17:17" x14ac:dyDescent="0.35">
      <c r="Q67454" s="1"/>
    </row>
    <row r="67456" spans="17:17" x14ac:dyDescent="0.35">
      <c r="Q67456" s="1"/>
    </row>
    <row r="67457" spans="17:17" x14ac:dyDescent="0.35">
      <c r="Q67457" s="1"/>
    </row>
    <row r="67459" spans="17:17" x14ac:dyDescent="0.35">
      <c r="Q67459" s="1"/>
    </row>
    <row r="67460" spans="17:17" x14ac:dyDescent="0.35">
      <c r="Q67460" s="1"/>
    </row>
    <row r="67472" spans="17:17" x14ac:dyDescent="0.35">
      <c r="Q67472" s="1"/>
    </row>
    <row r="67473" spans="17:17" x14ac:dyDescent="0.35">
      <c r="Q67473" s="1"/>
    </row>
    <row r="67477" spans="17:17" x14ac:dyDescent="0.35">
      <c r="Q67477" s="1"/>
    </row>
    <row r="67478" spans="17:17" x14ac:dyDescent="0.35">
      <c r="Q67478" s="1"/>
    </row>
    <row r="67481" spans="17:17" x14ac:dyDescent="0.35">
      <c r="Q67481" s="1"/>
    </row>
    <row r="67482" spans="17:17" x14ac:dyDescent="0.35">
      <c r="Q67482" s="1"/>
    </row>
    <row r="67494" spans="17:17" x14ac:dyDescent="0.35">
      <c r="Q67494" s="1"/>
    </row>
    <row r="67499" spans="17:17" x14ac:dyDescent="0.35">
      <c r="Q67499" s="1"/>
    </row>
    <row r="67502" spans="17:17" x14ac:dyDescent="0.35">
      <c r="Q67502" s="1"/>
    </row>
    <row r="67507" spans="17:17" x14ac:dyDescent="0.35">
      <c r="Q67507" s="1"/>
    </row>
    <row r="67510" spans="17:17" x14ac:dyDescent="0.35">
      <c r="Q67510" s="1"/>
    </row>
    <row r="67515" spans="17:17" x14ac:dyDescent="0.35">
      <c r="Q67515" s="1"/>
    </row>
    <row r="67516" spans="17:17" x14ac:dyDescent="0.35">
      <c r="Q67516" s="1"/>
    </row>
    <row r="67517" spans="17:17" x14ac:dyDescent="0.35">
      <c r="Q67517" s="1"/>
    </row>
    <row r="67518" spans="17:17" x14ac:dyDescent="0.35">
      <c r="Q67518" s="1"/>
    </row>
    <row r="67519" spans="17:17" x14ac:dyDescent="0.35">
      <c r="Q67519" s="1"/>
    </row>
    <row r="67520" spans="17:17" x14ac:dyDescent="0.35">
      <c r="Q67520" s="1"/>
    </row>
    <row r="67521" spans="17:17" x14ac:dyDescent="0.35">
      <c r="Q67521" s="1"/>
    </row>
    <row r="67523" spans="17:17" x14ac:dyDescent="0.35">
      <c r="Q67523" s="1"/>
    </row>
    <row r="67525" spans="17:17" x14ac:dyDescent="0.35">
      <c r="Q67525" s="1"/>
    </row>
    <row r="67532" spans="17:17" x14ac:dyDescent="0.35">
      <c r="Q67532" s="1"/>
    </row>
    <row r="67536" spans="17:17" x14ac:dyDescent="0.35">
      <c r="Q67536" s="1"/>
    </row>
    <row r="67538" spans="17:17" x14ac:dyDescent="0.35">
      <c r="Q67538" s="1"/>
    </row>
    <row r="67539" spans="17:17" x14ac:dyDescent="0.35">
      <c r="Q67539" s="1"/>
    </row>
    <row r="67542" spans="17:17" x14ac:dyDescent="0.35">
      <c r="Q67542" s="1"/>
    </row>
    <row r="67545" spans="17:17" x14ac:dyDescent="0.35">
      <c r="Q67545" s="1"/>
    </row>
    <row r="67546" spans="17:17" x14ac:dyDescent="0.35">
      <c r="Q67546" s="1"/>
    </row>
    <row r="67551" spans="17:17" x14ac:dyDescent="0.35">
      <c r="Q67551" s="1"/>
    </row>
    <row r="67552" spans="17:17" x14ac:dyDescent="0.35">
      <c r="Q67552" s="1"/>
    </row>
    <row r="67554" spans="17:17" x14ac:dyDescent="0.35">
      <c r="Q67554" s="1"/>
    </row>
    <row r="67555" spans="17:17" x14ac:dyDescent="0.35">
      <c r="Q67555" s="1"/>
    </row>
    <row r="67557" spans="17:17" x14ac:dyDescent="0.35">
      <c r="Q67557" s="1"/>
    </row>
    <row r="67560" spans="17:17" x14ac:dyDescent="0.35">
      <c r="Q67560" s="1"/>
    </row>
    <row r="67561" spans="17:17" x14ac:dyDescent="0.35">
      <c r="Q67561" s="1"/>
    </row>
    <row r="67575" spans="17:17" x14ac:dyDescent="0.35">
      <c r="Q67575" s="1"/>
    </row>
    <row r="67577" spans="17:17" x14ac:dyDescent="0.35">
      <c r="Q67577" s="1"/>
    </row>
    <row r="67580" spans="17:17" x14ac:dyDescent="0.35">
      <c r="Q67580" s="1"/>
    </row>
    <row r="67581" spans="17:17" x14ac:dyDescent="0.35">
      <c r="Q67581" s="1"/>
    </row>
    <row r="67584" spans="17:17" x14ac:dyDescent="0.35">
      <c r="Q67584" s="1"/>
    </row>
    <row r="67589" spans="17:17" x14ac:dyDescent="0.35">
      <c r="Q67589" s="1"/>
    </row>
    <row r="67594" spans="17:17" x14ac:dyDescent="0.35">
      <c r="Q67594" s="1"/>
    </row>
    <row r="67601" spans="17:17" x14ac:dyDescent="0.35">
      <c r="Q67601" s="1"/>
    </row>
    <row r="67602" spans="17:17" x14ac:dyDescent="0.35">
      <c r="Q67602" s="1"/>
    </row>
    <row r="67605" spans="17:17" x14ac:dyDescent="0.35">
      <c r="Q67605" s="1"/>
    </row>
    <row r="67606" spans="17:17" x14ac:dyDescent="0.35">
      <c r="Q67606" s="1"/>
    </row>
    <row r="67609" spans="17:17" x14ac:dyDescent="0.35">
      <c r="Q67609" s="1"/>
    </row>
    <row r="67615" spans="17:17" x14ac:dyDescent="0.35">
      <c r="Q67615" s="1"/>
    </row>
    <row r="67630" spans="17:17" x14ac:dyDescent="0.35">
      <c r="Q67630" s="1"/>
    </row>
    <row r="67633" spans="17:17" x14ac:dyDescent="0.35">
      <c r="Q67633" s="1"/>
    </row>
    <row r="67634" spans="17:17" x14ac:dyDescent="0.35">
      <c r="Q67634" s="1"/>
    </row>
    <row r="67635" spans="17:17" x14ac:dyDescent="0.35">
      <c r="Q67635" s="1"/>
    </row>
    <row r="67637" spans="17:17" x14ac:dyDescent="0.35">
      <c r="Q67637" s="1"/>
    </row>
    <row r="67638" spans="17:17" x14ac:dyDescent="0.35">
      <c r="Q67638" s="1"/>
    </row>
    <row r="67642" spans="17:17" x14ac:dyDescent="0.35">
      <c r="Q67642" s="1"/>
    </row>
    <row r="67643" spans="17:17" x14ac:dyDescent="0.35">
      <c r="Q67643" s="1"/>
    </row>
    <row r="67644" spans="17:17" x14ac:dyDescent="0.35">
      <c r="Q67644" s="1"/>
    </row>
    <row r="67646" spans="17:17" x14ac:dyDescent="0.35">
      <c r="Q67646" s="1"/>
    </row>
    <row r="67650" spans="17:17" x14ac:dyDescent="0.35">
      <c r="Q67650" s="1"/>
    </row>
    <row r="67651" spans="17:17" x14ac:dyDescent="0.35">
      <c r="Q67651" s="1"/>
    </row>
    <row r="67653" spans="17:17" x14ac:dyDescent="0.35">
      <c r="Q67653" s="1"/>
    </row>
    <row r="67655" spans="17:17" x14ac:dyDescent="0.35">
      <c r="Q67655" s="1"/>
    </row>
    <row r="67656" spans="17:17" x14ac:dyDescent="0.35">
      <c r="Q67656" s="1"/>
    </row>
    <row r="67658" spans="17:17" x14ac:dyDescent="0.35">
      <c r="Q67658" s="1"/>
    </row>
    <row r="67659" spans="17:17" x14ac:dyDescent="0.35">
      <c r="Q67659" s="1"/>
    </row>
    <row r="67660" spans="17:17" x14ac:dyDescent="0.35">
      <c r="Q67660" s="1"/>
    </row>
    <row r="67661" spans="17:17" x14ac:dyDescent="0.35">
      <c r="Q67661" s="1"/>
    </row>
    <row r="67662" spans="17:17" x14ac:dyDescent="0.35">
      <c r="Q67662" s="1"/>
    </row>
    <row r="67664" spans="17:17" x14ac:dyDescent="0.35">
      <c r="Q67664" s="1"/>
    </row>
    <row r="67665" spans="17:17" x14ac:dyDescent="0.35">
      <c r="Q67665" s="1"/>
    </row>
    <row r="67670" spans="17:17" x14ac:dyDescent="0.35">
      <c r="Q67670" s="1"/>
    </row>
    <row r="67672" spans="17:17" x14ac:dyDescent="0.35">
      <c r="Q67672" s="1"/>
    </row>
    <row r="67673" spans="17:17" x14ac:dyDescent="0.35">
      <c r="Q67673" s="1"/>
    </row>
    <row r="67675" spans="17:17" x14ac:dyDescent="0.35">
      <c r="Q67675" s="1"/>
    </row>
    <row r="67676" spans="17:17" x14ac:dyDescent="0.35">
      <c r="Q67676" s="1"/>
    </row>
    <row r="67677" spans="17:17" x14ac:dyDescent="0.35">
      <c r="Q67677" s="1"/>
    </row>
    <row r="67678" spans="17:17" x14ac:dyDescent="0.35">
      <c r="Q67678" s="1"/>
    </row>
    <row r="67684" spans="17:17" x14ac:dyDescent="0.35">
      <c r="Q67684" s="1"/>
    </row>
    <row r="67689" spans="17:17" x14ac:dyDescent="0.35">
      <c r="Q67689" s="1"/>
    </row>
    <row r="67694" spans="17:17" x14ac:dyDescent="0.35">
      <c r="Q67694" s="1"/>
    </row>
    <row r="67697" spans="17:17" x14ac:dyDescent="0.35">
      <c r="Q67697" s="1"/>
    </row>
    <row r="67698" spans="17:17" x14ac:dyDescent="0.35">
      <c r="Q67698" s="1"/>
    </row>
    <row r="67700" spans="17:17" x14ac:dyDescent="0.35">
      <c r="Q67700" s="1"/>
    </row>
    <row r="67703" spans="17:17" x14ac:dyDescent="0.35">
      <c r="Q67703" s="1"/>
    </row>
    <row r="67708" spans="17:17" x14ac:dyDescent="0.35">
      <c r="Q67708" s="1"/>
    </row>
    <row r="67709" spans="17:17" x14ac:dyDescent="0.35">
      <c r="Q67709" s="1"/>
    </row>
    <row r="67710" spans="17:17" x14ac:dyDescent="0.35">
      <c r="Q67710" s="1"/>
    </row>
    <row r="67711" spans="17:17" x14ac:dyDescent="0.35">
      <c r="Q67711" s="1"/>
    </row>
    <row r="67712" spans="17:17" x14ac:dyDescent="0.35">
      <c r="Q67712" s="1"/>
    </row>
    <row r="67713" spans="17:17" x14ac:dyDescent="0.35">
      <c r="Q67713" s="1"/>
    </row>
    <row r="67714" spans="17:17" x14ac:dyDescent="0.35">
      <c r="Q67714" s="1"/>
    </row>
    <row r="67716" spans="17:17" x14ac:dyDescent="0.35">
      <c r="Q67716" s="1"/>
    </row>
    <row r="67717" spans="17:17" x14ac:dyDescent="0.35">
      <c r="Q67717" s="1"/>
    </row>
    <row r="67724" spans="17:17" x14ac:dyDescent="0.35">
      <c r="Q67724" s="1"/>
    </row>
    <row r="67725" spans="17:17" x14ac:dyDescent="0.35">
      <c r="Q67725" s="1"/>
    </row>
    <row r="67731" spans="17:17" x14ac:dyDescent="0.35">
      <c r="Q67731" s="1"/>
    </row>
    <row r="67737" spans="17:17" x14ac:dyDescent="0.35">
      <c r="Q67737" s="1"/>
    </row>
    <row r="67744" spans="17:17" x14ac:dyDescent="0.35">
      <c r="Q67744" s="1"/>
    </row>
    <row r="67747" spans="17:17" x14ac:dyDescent="0.35">
      <c r="Q67747" s="1"/>
    </row>
    <row r="67748" spans="17:17" x14ac:dyDescent="0.35">
      <c r="Q67748" s="1"/>
    </row>
    <row r="67750" spans="17:17" x14ac:dyDescent="0.35">
      <c r="Q67750" s="1"/>
    </row>
    <row r="67751" spans="17:17" x14ac:dyDescent="0.35">
      <c r="Q67751" s="1"/>
    </row>
    <row r="67753" spans="17:17" x14ac:dyDescent="0.35">
      <c r="Q67753" s="1"/>
    </row>
    <row r="67755" spans="17:17" x14ac:dyDescent="0.35">
      <c r="Q67755" s="1"/>
    </row>
    <row r="67756" spans="17:17" x14ac:dyDescent="0.35">
      <c r="Q67756" s="1"/>
    </row>
    <row r="67757" spans="17:17" x14ac:dyDescent="0.35">
      <c r="Q67757" s="1"/>
    </row>
    <row r="67759" spans="17:17" x14ac:dyDescent="0.35">
      <c r="Q67759" s="1"/>
    </row>
    <row r="67760" spans="17:17" x14ac:dyDescent="0.35">
      <c r="Q67760" s="1"/>
    </row>
    <row r="67761" spans="17:17" x14ac:dyDescent="0.35">
      <c r="Q67761" s="1"/>
    </row>
    <row r="67762" spans="17:17" x14ac:dyDescent="0.35">
      <c r="Q67762" s="1"/>
    </row>
    <row r="67763" spans="17:17" x14ac:dyDescent="0.35">
      <c r="Q67763" s="1"/>
    </row>
    <row r="67764" spans="17:17" x14ac:dyDescent="0.35">
      <c r="Q67764" s="1"/>
    </row>
    <row r="67765" spans="17:17" x14ac:dyDescent="0.35">
      <c r="Q67765" s="1"/>
    </row>
    <row r="67766" spans="17:17" x14ac:dyDescent="0.35">
      <c r="Q67766" s="1"/>
    </row>
    <row r="67767" spans="17:17" x14ac:dyDescent="0.35">
      <c r="Q67767" s="1"/>
    </row>
    <row r="67768" spans="17:17" x14ac:dyDescent="0.35">
      <c r="Q67768" s="1"/>
    </row>
    <row r="67769" spans="17:17" x14ac:dyDescent="0.35">
      <c r="Q67769" s="1"/>
    </row>
    <row r="67771" spans="17:17" x14ac:dyDescent="0.35">
      <c r="Q67771" s="1"/>
    </row>
    <row r="67773" spans="17:17" x14ac:dyDescent="0.35">
      <c r="Q67773" s="1"/>
    </row>
    <row r="67774" spans="17:17" x14ac:dyDescent="0.35">
      <c r="Q67774" s="1"/>
    </row>
    <row r="67775" spans="17:17" x14ac:dyDescent="0.35">
      <c r="Q67775" s="1"/>
    </row>
    <row r="67776" spans="17:17" x14ac:dyDescent="0.35">
      <c r="Q67776" s="1"/>
    </row>
    <row r="67777" spans="17:17" x14ac:dyDescent="0.35">
      <c r="Q67777" s="1"/>
    </row>
    <row r="67778" spans="17:17" x14ac:dyDescent="0.35">
      <c r="Q67778" s="1"/>
    </row>
    <row r="67781" spans="17:17" x14ac:dyDescent="0.35">
      <c r="Q67781" s="1"/>
    </row>
    <row r="67789" spans="17:17" x14ac:dyDescent="0.35">
      <c r="Q67789" s="1"/>
    </row>
    <row r="67792" spans="17:17" x14ac:dyDescent="0.35">
      <c r="Q67792" s="1"/>
    </row>
    <row r="67793" spans="17:17" x14ac:dyDescent="0.35">
      <c r="Q67793" s="1"/>
    </row>
    <row r="67794" spans="17:17" x14ac:dyDescent="0.35">
      <c r="Q67794" s="1"/>
    </row>
    <row r="67797" spans="17:17" x14ac:dyDescent="0.35">
      <c r="Q67797" s="1"/>
    </row>
    <row r="67800" spans="17:17" x14ac:dyDescent="0.35">
      <c r="Q67800" s="1"/>
    </row>
    <row r="67803" spans="17:17" x14ac:dyDescent="0.35">
      <c r="Q67803" s="1"/>
    </row>
    <row r="67807" spans="17:17" x14ac:dyDescent="0.35">
      <c r="Q67807" s="1"/>
    </row>
    <row r="67814" spans="17:17" x14ac:dyDescent="0.35">
      <c r="Q67814" s="1"/>
    </row>
    <row r="67815" spans="17:17" x14ac:dyDescent="0.35">
      <c r="Q67815" s="1"/>
    </row>
    <row r="67816" spans="17:17" x14ac:dyDescent="0.35">
      <c r="Q67816" s="1"/>
    </row>
    <row r="67818" spans="17:17" x14ac:dyDescent="0.35">
      <c r="Q67818" s="1"/>
    </row>
    <row r="67820" spans="17:17" x14ac:dyDescent="0.35">
      <c r="Q67820" s="1"/>
    </row>
    <row r="67821" spans="17:17" x14ac:dyDescent="0.35">
      <c r="Q67821" s="1"/>
    </row>
    <row r="67823" spans="17:17" x14ac:dyDescent="0.35">
      <c r="Q67823" s="1"/>
    </row>
    <row r="67830" spans="17:17" x14ac:dyDescent="0.35">
      <c r="Q67830" s="1"/>
    </row>
    <row r="67831" spans="17:17" x14ac:dyDescent="0.35">
      <c r="Q67831" s="1"/>
    </row>
    <row r="67832" spans="17:17" x14ac:dyDescent="0.35">
      <c r="Q67832" s="1"/>
    </row>
    <row r="67836" spans="17:17" x14ac:dyDescent="0.35">
      <c r="Q67836" s="1"/>
    </row>
    <row r="67839" spans="17:17" x14ac:dyDescent="0.35">
      <c r="Q67839" s="1"/>
    </row>
    <row r="67840" spans="17:17" x14ac:dyDescent="0.35">
      <c r="Q67840" s="1"/>
    </row>
    <row r="67844" spans="5:17" x14ac:dyDescent="0.35">
      <c r="Q67844" s="1"/>
    </row>
    <row r="67845" spans="5:17" x14ac:dyDescent="0.35">
      <c r="Q67845" s="1"/>
    </row>
    <row r="67848" spans="5:17" x14ac:dyDescent="0.35">
      <c r="Q67848" s="1"/>
    </row>
    <row r="67849" spans="5:17" x14ac:dyDescent="0.35">
      <c r="Q67849" s="1"/>
    </row>
    <row r="67852" spans="5:17" x14ac:dyDescent="0.35">
      <c r="E67852" s="2"/>
      <c r="F67852" s="2"/>
      <c r="Q67852" s="1"/>
    </row>
    <row r="67857" spans="6:17" x14ac:dyDescent="0.35">
      <c r="Q67857" s="1"/>
    </row>
    <row r="67858" spans="6:17" x14ac:dyDescent="0.35">
      <c r="F67858" s="2"/>
      <c r="Q67858" s="1"/>
    </row>
    <row r="67871" spans="6:17" x14ac:dyDescent="0.35">
      <c r="Q67871" s="1"/>
    </row>
    <row r="67892" spans="17:17" x14ac:dyDescent="0.35">
      <c r="Q67892" s="1"/>
    </row>
    <row r="67902" spans="17:17" x14ac:dyDescent="0.35">
      <c r="Q67902" s="1"/>
    </row>
    <row r="67905" spans="17:17" x14ac:dyDescent="0.35">
      <c r="Q67905" s="1"/>
    </row>
    <row r="67907" spans="17:17" x14ac:dyDescent="0.35">
      <c r="Q67907" s="1"/>
    </row>
    <row r="67909" spans="17:17" x14ac:dyDescent="0.35">
      <c r="Q67909" s="1"/>
    </row>
    <row r="67913" spans="17:17" x14ac:dyDescent="0.35">
      <c r="Q67913" s="1"/>
    </row>
    <row r="67916" spans="17:17" x14ac:dyDescent="0.35">
      <c r="Q67916" s="1"/>
    </row>
    <row r="67920" spans="17:17" x14ac:dyDescent="0.35">
      <c r="Q67920" s="1"/>
    </row>
    <row r="67922" spans="17:17" x14ac:dyDescent="0.35">
      <c r="Q67922" s="1"/>
    </row>
    <row r="67923" spans="17:17" x14ac:dyDescent="0.35">
      <c r="Q67923" s="1"/>
    </row>
    <row r="67924" spans="17:17" x14ac:dyDescent="0.35">
      <c r="Q67924" s="1"/>
    </row>
    <row r="67926" spans="17:17" x14ac:dyDescent="0.35">
      <c r="Q67926" s="1"/>
    </row>
    <row r="67928" spans="17:17" x14ac:dyDescent="0.35">
      <c r="Q67928" s="1"/>
    </row>
    <row r="67930" spans="17:17" x14ac:dyDescent="0.35">
      <c r="Q67930" s="1"/>
    </row>
    <row r="67937" spans="17:17" x14ac:dyDescent="0.35">
      <c r="Q67937" s="1"/>
    </row>
    <row r="67940" spans="17:17" x14ac:dyDescent="0.35">
      <c r="Q67940" s="1"/>
    </row>
    <row r="67944" spans="17:17" x14ac:dyDescent="0.35">
      <c r="Q67944" s="1"/>
    </row>
    <row r="67945" spans="17:17" x14ac:dyDescent="0.35">
      <c r="Q67945" s="1"/>
    </row>
    <row r="67949" spans="17:17" x14ac:dyDescent="0.35">
      <c r="Q67949" s="1"/>
    </row>
    <row r="67951" spans="17:17" x14ac:dyDescent="0.35">
      <c r="Q67951" s="1"/>
    </row>
    <row r="67953" spans="17:17" x14ac:dyDescent="0.35">
      <c r="Q67953" s="1"/>
    </row>
    <row r="67957" spans="17:17" x14ac:dyDescent="0.35">
      <c r="Q67957" s="1"/>
    </row>
    <row r="67959" spans="17:17" x14ac:dyDescent="0.35">
      <c r="Q67959" s="1"/>
    </row>
    <row r="67966" spans="17:17" x14ac:dyDescent="0.35">
      <c r="Q67966" s="1"/>
    </row>
    <row r="67968" spans="17:17" x14ac:dyDescent="0.35">
      <c r="Q67968" s="1"/>
    </row>
    <row r="67969" spans="17:17" x14ac:dyDescent="0.35">
      <c r="Q67969" s="1"/>
    </row>
    <row r="67972" spans="17:17" x14ac:dyDescent="0.35">
      <c r="Q67972" s="1"/>
    </row>
    <row r="67973" spans="17:17" x14ac:dyDescent="0.35">
      <c r="Q67973" s="1"/>
    </row>
    <row r="67975" spans="17:17" x14ac:dyDescent="0.35">
      <c r="Q67975" s="1"/>
    </row>
    <row r="67977" spans="17:17" x14ac:dyDescent="0.35">
      <c r="Q67977" s="1"/>
    </row>
    <row r="67986" spans="17:17" x14ac:dyDescent="0.35">
      <c r="Q67986" s="1"/>
    </row>
    <row r="67992" spans="17:17" x14ac:dyDescent="0.35">
      <c r="Q67992" s="1"/>
    </row>
    <row r="67997" spans="17:17" x14ac:dyDescent="0.35">
      <c r="Q67997" s="1"/>
    </row>
    <row r="68019" spans="17:17" x14ac:dyDescent="0.35">
      <c r="Q68019" s="1"/>
    </row>
    <row r="68021" spans="17:17" x14ac:dyDescent="0.35">
      <c r="Q68021" s="1"/>
    </row>
    <row r="68026" spans="17:17" x14ac:dyDescent="0.35">
      <c r="Q68026" s="1"/>
    </row>
    <row r="68027" spans="17:17" x14ac:dyDescent="0.35">
      <c r="Q68027" s="1"/>
    </row>
    <row r="68028" spans="17:17" x14ac:dyDescent="0.35">
      <c r="Q68028" s="1"/>
    </row>
    <row r="68029" spans="17:17" x14ac:dyDescent="0.35">
      <c r="Q68029" s="1"/>
    </row>
    <row r="68031" spans="17:17" x14ac:dyDescent="0.35">
      <c r="Q68031" s="1"/>
    </row>
    <row r="68032" spans="17:17" x14ac:dyDescent="0.35">
      <c r="Q68032" s="1"/>
    </row>
    <row r="68047" spans="17:17" x14ac:dyDescent="0.35">
      <c r="Q68047" s="1"/>
    </row>
    <row r="68048" spans="17:17" x14ac:dyDescent="0.35">
      <c r="Q68048" s="1"/>
    </row>
    <row r="68054" spans="17:17" x14ac:dyDescent="0.35">
      <c r="Q68054" s="1"/>
    </row>
    <row r="68055" spans="17:17" x14ac:dyDescent="0.35">
      <c r="Q68055" s="1"/>
    </row>
    <row r="68056" spans="17:17" x14ac:dyDescent="0.35">
      <c r="Q68056" s="1"/>
    </row>
    <row r="68057" spans="17:17" x14ac:dyDescent="0.35">
      <c r="Q68057" s="1"/>
    </row>
    <row r="68058" spans="17:17" x14ac:dyDescent="0.35">
      <c r="Q68058" s="1"/>
    </row>
    <row r="68069" spans="17:17" x14ac:dyDescent="0.35">
      <c r="Q68069" s="1"/>
    </row>
    <row r="68080" spans="17:17" x14ac:dyDescent="0.35">
      <c r="Q68080" s="1"/>
    </row>
    <row r="68081" spans="17:17" x14ac:dyDescent="0.35">
      <c r="Q68081" s="1"/>
    </row>
    <row r="68083" spans="17:17" x14ac:dyDescent="0.35">
      <c r="Q68083" s="1"/>
    </row>
    <row r="68084" spans="17:17" x14ac:dyDescent="0.35">
      <c r="Q68084" s="1"/>
    </row>
    <row r="68086" spans="17:17" x14ac:dyDescent="0.35">
      <c r="Q68086" s="1"/>
    </row>
    <row r="68087" spans="17:17" x14ac:dyDescent="0.35">
      <c r="Q68087" s="1"/>
    </row>
    <row r="68088" spans="17:17" x14ac:dyDescent="0.35">
      <c r="Q68088" s="1"/>
    </row>
    <row r="68092" spans="17:17" x14ac:dyDescent="0.35">
      <c r="Q68092" s="1"/>
    </row>
    <row r="68094" spans="17:17" x14ac:dyDescent="0.35">
      <c r="Q68094" s="1"/>
    </row>
    <row r="68099" spans="17:17" x14ac:dyDescent="0.35">
      <c r="Q68099" s="1"/>
    </row>
    <row r="68100" spans="17:17" x14ac:dyDescent="0.35">
      <c r="Q68100" s="1"/>
    </row>
    <row r="68101" spans="17:17" x14ac:dyDescent="0.35">
      <c r="Q68101" s="1"/>
    </row>
    <row r="68102" spans="17:17" x14ac:dyDescent="0.35">
      <c r="Q68102" s="1"/>
    </row>
    <row r="68103" spans="17:17" x14ac:dyDescent="0.35">
      <c r="Q68103" s="1"/>
    </row>
    <row r="68104" spans="17:17" x14ac:dyDescent="0.35">
      <c r="Q68104" s="1"/>
    </row>
    <row r="68105" spans="17:17" x14ac:dyDescent="0.35">
      <c r="Q68105" s="1"/>
    </row>
    <row r="68107" spans="17:17" x14ac:dyDescent="0.35">
      <c r="Q68107" s="1"/>
    </row>
    <row r="68110" spans="17:17" x14ac:dyDescent="0.35">
      <c r="Q68110" s="1"/>
    </row>
    <row r="68117" spans="17:17" x14ac:dyDescent="0.35">
      <c r="Q68117" s="1"/>
    </row>
    <row r="68119" spans="17:17" x14ac:dyDescent="0.35">
      <c r="Q68119" s="1"/>
    </row>
    <row r="68151" spans="17:17" x14ac:dyDescent="0.35">
      <c r="Q68151" s="1"/>
    </row>
    <row r="68163" spans="17:17" x14ac:dyDescent="0.35">
      <c r="Q68163" s="1"/>
    </row>
    <row r="68188" spans="17:17" x14ac:dyDescent="0.35">
      <c r="Q68188" s="1"/>
    </row>
    <row r="68191" spans="17:17" x14ac:dyDescent="0.35">
      <c r="Q68191" s="1"/>
    </row>
    <row r="68194" spans="17:17" x14ac:dyDescent="0.35">
      <c r="Q68194" s="1"/>
    </row>
    <row r="68195" spans="17:17" x14ac:dyDescent="0.35">
      <c r="Q68195" s="1"/>
    </row>
    <row r="68196" spans="17:17" x14ac:dyDescent="0.35">
      <c r="Q68196" s="1"/>
    </row>
    <row r="68197" spans="17:17" x14ac:dyDescent="0.35">
      <c r="Q68197" s="1"/>
    </row>
    <row r="68225" spans="17:17" x14ac:dyDescent="0.35">
      <c r="Q68225" s="1"/>
    </row>
    <row r="68228" spans="17:17" x14ac:dyDescent="0.35">
      <c r="Q68228" s="1"/>
    </row>
    <row r="68230" spans="17:17" x14ac:dyDescent="0.35">
      <c r="Q68230" s="1"/>
    </row>
    <row r="68232" spans="17:17" x14ac:dyDescent="0.35">
      <c r="Q68232" s="1"/>
    </row>
    <row r="68235" spans="17:17" x14ac:dyDescent="0.35">
      <c r="Q68235" s="1"/>
    </row>
    <row r="68236" spans="17:17" x14ac:dyDescent="0.35">
      <c r="Q68236" s="1"/>
    </row>
    <row r="68245" spans="17:17" x14ac:dyDescent="0.35">
      <c r="Q68245" s="1"/>
    </row>
    <row r="68246" spans="17:17" x14ac:dyDescent="0.35">
      <c r="Q68246" s="1"/>
    </row>
    <row r="68247" spans="17:17" x14ac:dyDescent="0.35">
      <c r="Q68247" s="1"/>
    </row>
    <row r="68248" spans="17:17" x14ac:dyDescent="0.35">
      <c r="Q68248" s="1"/>
    </row>
    <row r="68268" spans="17:17" x14ac:dyDescent="0.35">
      <c r="Q68268" s="1"/>
    </row>
    <row r="68272" spans="17:17" x14ac:dyDescent="0.35">
      <c r="Q68272" s="1"/>
    </row>
    <row r="68284" spans="17:17" x14ac:dyDescent="0.35">
      <c r="Q68284" s="1"/>
    </row>
    <row r="68285" spans="17:17" x14ac:dyDescent="0.35">
      <c r="Q68285" s="1"/>
    </row>
    <row r="68286" spans="17:17" x14ac:dyDescent="0.35">
      <c r="Q68286" s="1"/>
    </row>
    <row r="68293" spans="17:17" x14ac:dyDescent="0.35">
      <c r="Q68293" s="1"/>
    </row>
    <row r="68298" spans="17:17" x14ac:dyDescent="0.35">
      <c r="Q68298" s="1"/>
    </row>
    <row r="68302" spans="17:17" x14ac:dyDescent="0.35">
      <c r="Q68302" s="1"/>
    </row>
    <row r="68304" spans="17:17" x14ac:dyDescent="0.35">
      <c r="Q68304" s="1"/>
    </row>
    <row r="68305" spans="17:17" x14ac:dyDescent="0.35">
      <c r="Q68305" s="1"/>
    </row>
    <row r="68307" spans="17:17" x14ac:dyDescent="0.35">
      <c r="Q68307" s="1"/>
    </row>
    <row r="68308" spans="17:17" x14ac:dyDescent="0.35">
      <c r="Q68308" s="1"/>
    </row>
    <row r="68309" spans="17:17" x14ac:dyDescent="0.35">
      <c r="Q68309" s="1"/>
    </row>
    <row r="68310" spans="17:17" x14ac:dyDescent="0.35">
      <c r="Q68310" s="1"/>
    </row>
    <row r="68312" spans="17:17" x14ac:dyDescent="0.35">
      <c r="Q68312" s="1"/>
    </row>
    <row r="68313" spans="17:17" x14ac:dyDescent="0.35">
      <c r="Q68313" s="1"/>
    </row>
    <row r="68326" spans="17:17" x14ac:dyDescent="0.35">
      <c r="Q68326" s="1"/>
    </row>
    <row r="68339" spans="17:17" x14ac:dyDescent="0.35">
      <c r="Q68339" s="1"/>
    </row>
    <row r="68340" spans="17:17" x14ac:dyDescent="0.35">
      <c r="Q68340" s="1"/>
    </row>
    <row r="68342" spans="17:17" x14ac:dyDescent="0.35">
      <c r="Q68342" s="1"/>
    </row>
    <row r="68344" spans="17:17" x14ac:dyDescent="0.35">
      <c r="Q68344" s="1"/>
    </row>
    <row r="68352" spans="17:17" x14ac:dyDescent="0.35">
      <c r="Q68352" s="1"/>
    </row>
    <row r="68353" spans="17:17" x14ac:dyDescent="0.35">
      <c r="Q68353" s="1"/>
    </row>
    <row r="68355" spans="17:17" x14ac:dyDescent="0.35">
      <c r="Q68355" s="1"/>
    </row>
    <row r="68357" spans="17:17" x14ac:dyDescent="0.35">
      <c r="Q68357" s="1"/>
    </row>
    <row r="68359" spans="17:17" x14ac:dyDescent="0.35">
      <c r="Q68359" s="1"/>
    </row>
    <row r="68360" spans="17:17" x14ac:dyDescent="0.35">
      <c r="Q68360" s="1"/>
    </row>
    <row r="68361" spans="17:17" x14ac:dyDescent="0.35">
      <c r="Q68361" s="1"/>
    </row>
    <row r="68368" spans="17:17" x14ac:dyDescent="0.35">
      <c r="Q68368" s="1"/>
    </row>
    <row r="68370" spans="17:17" x14ac:dyDescent="0.35">
      <c r="Q68370" s="1"/>
    </row>
    <row r="68372" spans="17:17" x14ac:dyDescent="0.35">
      <c r="Q68372" s="1"/>
    </row>
    <row r="68373" spans="17:17" x14ac:dyDescent="0.35">
      <c r="Q68373" s="1"/>
    </row>
    <row r="68374" spans="17:17" x14ac:dyDescent="0.35">
      <c r="Q68374" s="1"/>
    </row>
    <row r="68375" spans="17:17" x14ac:dyDescent="0.35">
      <c r="Q68375" s="1"/>
    </row>
    <row r="68377" spans="17:17" x14ac:dyDescent="0.35">
      <c r="Q68377" s="1"/>
    </row>
    <row r="68379" spans="17:17" x14ac:dyDescent="0.35">
      <c r="Q68379" s="1"/>
    </row>
    <row r="68380" spans="17:17" x14ac:dyDescent="0.35">
      <c r="Q68380" s="1"/>
    </row>
    <row r="68381" spans="17:17" x14ac:dyDescent="0.35">
      <c r="Q68381" s="1"/>
    </row>
    <row r="68383" spans="17:17" x14ac:dyDescent="0.35">
      <c r="Q68383" s="1"/>
    </row>
    <row r="68394" spans="17:17" x14ac:dyDescent="0.35">
      <c r="Q68394" s="1"/>
    </row>
    <row r="68395" spans="17:17" x14ac:dyDescent="0.35">
      <c r="Q68395" s="1"/>
    </row>
    <row r="68397" spans="17:17" x14ac:dyDescent="0.35">
      <c r="Q68397" s="1"/>
    </row>
    <row r="68403" spans="17:17" x14ac:dyDescent="0.35">
      <c r="Q68403" s="1"/>
    </row>
    <row r="68404" spans="17:17" x14ac:dyDescent="0.35">
      <c r="Q68404" s="1"/>
    </row>
    <row r="68405" spans="17:17" x14ac:dyDescent="0.35">
      <c r="Q68405" s="1"/>
    </row>
    <row r="68407" spans="17:17" x14ac:dyDescent="0.35">
      <c r="Q68407" s="1"/>
    </row>
    <row r="68410" spans="17:17" x14ac:dyDescent="0.35">
      <c r="Q68410" s="1"/>
    </row>
    <row r="68411" spans="17:17" x14ac:dyDescent="0.35">
      <c r="Q68411" s="1"/>
    </row>
    <row r="68412" spans="17:17" x14ac:dyDescent="0.35">
      <c r="Q68412" s="1"/>
    </row>
    <row r="68414" spans="17:17" x14ac:dyDescent="0.35">
      <c r="Q68414" s="1"/>
    </row>
    <row r="68416" spans="17:17" x14ac:dyDescent="0.35">
      <c r="Q68416" s="1"/>
    </row>
    <row r="68417" spans="17:17" x14ac:dyDescent="0.35">
      <c r="Q68417" s="1"/>
    </row>
    <row r="68418" spans="17:17" x14ac:dyDescent="0.35">
      <c r="Q68418" s="1"/>
    </row>
    <row r="68419" spans="17:17" x14ac:dyDescent="0.35">
      <c r="Q68419" s="1"/>
    </row>
    <row r="68420" spans="17:17" x14ac:dyDescent="0.35">
      <c r="Q68420" s="1"/>
    </row>
    <row r="68421" spans="17:17" x14ac:dyDescent="0.35">
      <c r="Q68421" s="1"/>
    </row>
    <row r="68422" spans="17:17" x14ac:dyDescent="0.35">
      <c r="Q68422" s="1"/>
    </row>
    <row r="68424" spans="17:17" x14ac:dyDescent="0.35">
      <c r="Q68424" s="1"/>
    </row>
    <row r="68425" spans="17:17" x14ac:dyDescent="0.35">
      <c r="Q68425" s="1"/>
    </row>
    <row r="68426" spans="17:17" x14ac:dyDescent="0.35">
      <c r="Q68426" s="1"/>
    </row>
    <row r="68428" spans="17:17" x14ac:dyDescent="0.35">
      <c r="Q68428" s="1"/>
    </row>
    <row r="68433" spans="17:17" x14ac:dyDescent="0.35">
      <c r="Q68433" s="1"/>
    </row>
    <row r="68438" spans="17:17" x14ac:dyDescent="0.35">
      <c r="Q68438" s="1"/>
    </row>
    <row r="68439" spans="17:17" x14ac:dyDescent="0.35">
      <c r="Q68439" s="1"/>
    </row>
    <row r="68452" spans="17:17" x14ac:dyDescent="0.35">
      <c r="Q68452" s="1"/>
    </row>
    <row r="68454" spans="17:17" x14ac:dyDescent="0.35">
      <c r="Q68454" s="1"/>
    </row>
    <row r="68455" spans="17:17" x14ac:dyDescent="0.35">
      <c r="Q68455" s="1"/>
    </row>
    <row r="68459" spans="17:17" x14ac:dyDescent="0.35">
      <c r="Q68459" s="1"/>
    </row>
    <row r="68461" spans="17:17" x14ac:dyDescent="0.35">
      <c r="Q68461" s="1"/>
    </row>
    <row r="68462" spans="17:17" x14ac:dyDescent="0.35">
      <c r="Q68462" s="1"/>
    </row>
    <row r="68464" spans="17:17" x14ac:dyDescent="0.35">
      <c r="Q68464" s="1"/>
    </row>
    <row r="68465" spans="17:17" x14ac:dyDescent="0.35">
      <c r="Q68465" s="1"/>
    </row>
    <row r="68466" spans="17:17" x14ac:dyDescent="0.35">
      <c r="Q68466" s="1"/>
    </row>
    <row r="68471" spans="17:17" x14ac:dyDescent="0.35">
      <c r="Q68471" s="1"/>
    </row>
    <row r="68474" spans="17:17" x14ac:dyDescent="0.35">
      <c r="Q68474" s="1"/>
    </row>
    <row r="68476" spans="17:17" x14ac:dyDescent="0.35">
      <c r="Q68476" s="1"/>
    </row>
    <row r="68477" spans="17:17" x14ac:dyDescent="0.35">
      <c r="Q68477" s="1"/>
    </row>
    <row r="68478" spans="17:17" x14ac:dyDescent="0.35">
      <c r="Q68478" s="1"/>
    </row>
    <row r="68479" spans="17:17" x14ac:dyDescent="0.35">
      <c r="Q68479" s="1"/>
    </row>
    <row r="68480" spans="17:17" x14ac:dyDescent="0.35">
      <c r="Q68480" s="1"/>
    </row>
    <row r="68489" spans="17:17" x14ac:dyDescent="0.35">
      <c r="Q68489" s="1"/>
    </row>
    <row r="68499" spans="5:17" x14ac:dyDescent="0.35">
      <c r="Q68499" s="1"/>
    </row>
    <row r="68502" spans="5:17" x14ac:dyDescent="0.35">
      <c r="Q68502" s="1"/>
    </row>
    <row r="68503" spans="5:17" x14ac:dyDescent="0.35">
      <c r="Q68503" s="1"/>
    </row>
    <row r="68505" spans="5:17" x14ac:dyDescent="0.35">
      <c r="E68505" s="2"/>
      <c r="F68505" s="2"/>
      <c r="Q68505" s="1"/>
    </row>
    <row r="68509" spans="5:17" x14ac:dyDescent="0.35">
      <c r="Q68509" s="1"/>
    </row>
    <row r="68512" spans="5:17" x14ac:dyDescent="0.35">
      <c r="Q68512" s="1"/>
    </row>
    <row r="68515" spans="6:17" x14ac:dyDescent="0.35">
      <c r="F68515" s="2"/>
      <c r="Q68515" s="1"/>
    </row>
    <row r="68525" spans="6:17" x14ac:dyDescent="0.35">
      <c r="Q68525" s="1"/>
    </row>
    <row r="68529" spans="17:17" x14ac:dyDescent="0.35">
      <c r="Q68529" s="1"/>
    </row>
    <row r="68530" spans="17:17" x14ac:dyDescent="0.35">
      <c r="Q68530" s="1"/>
    </row>
    <row r="68532" spans="17:17" x14ac:dyDescent="0.35">
      <c r="Q68532" s="1"/>
    </row>
    <row r="68533" spans="17:17" x14ac:dyDescent="0.35">
      <c r="Q68533" s="1"/>
    </row>
    <row r="68534" spans="17:17" x14ac:dyDescent="0.35">
      <c r="Q68534" s="1"/>
    </row>
    <row r="68537" spans="17:17" x14ac:dyDescent="0.35">
      <c r="Q68537" s="1"/>
    </row>
    <row r="68542" spans="17:17" x14ac:dyDescent="0.35">
      <c r="Q68542" s="1"/>
    </row>
    <row r="68552" spans="17:17" x14ac:dyDescent="0.35">
      <c r="Q68552" s="1"/>
    </row>
    <row r="68554" spans="17:17" x14ac:dyDescent="0.35">
      <c r="Q68554" s="1"/>
    </row>
    <row r="68556" spans="17:17" x14ac:dyDescent="0.35">
      <c r="Q68556" s="1"/>
    </row>
    <row r="68566" spans="17:17" x14ac:dyDescent="0.35">
      <c r="Q68566" s="1"/>
    </row>
    <row r="68569" spans="17:17" x14ac:dyDescent="0.35">
      <c r="Q68569" s="1"/>
    </row>
    <row r="68572" spans="17:17" x14ac:dyDescent="0.35">
      <c r="Q68572" s="1"/>
    </row>
    <row r="68577" spans="17:17" x14ac:dyDescent="0.35">
      <c r="Q68577" s="1"/>
    </row>
    <row r="68578" spans="17:17" x14ac:dyDescent="0.35">
      <c r="Q68578" s="1"/>
    </row>
    <row r="68580" spans="17:17" x14ac:dyDescent="0.35">
      <c r="Q68580" s="1"/>
    </row>
    <row r="68581" spans="17:17" x14ac:dyDescent="0.35">
      <c r="Q68581" s="1"/>
    </row>
    <row r="68582" spans="17:17" x14ac:dyDescent="0.35">
      <c r="Q68582" s="1"/>
    </row>
    <row r="68584" spans="17:17" x14ac:dyDescent="0.35">
      <c r="Q68584" s="1"/>
    </row>
    <row r="68586" spans="17:17" x14ac:dyDescent="0.35">
      <c r="Q68586" s="1"/>
    </row>
    <row r="68588" spans="17:17" x14ac:dyDescent="0.35">
      <c r="Q68588" s="1"/>
    </row>
    <row r="68589" spans="17:17" x14ac:dyDescent="0.35">
      <c r="Q68589" s="1"/>
    </row>
    <row r="68591" spans="17:17" x14ac:dyDescent="0.35">
      <c r="Q68591" s="1"/>
    </row>
    <row r="68592" spans="17:17" x14ac:dyDescent="0.35">
      <c r="Q68592" s="1"/>
    </row>
    <row r="68599" spans="17:17" x14ac:dyDescent="0.35">
      <c r="Q68599" s="1"/>
    </row>
    <row r="68600" spans="17:17" x14ac:dyDescent="0.35">
      <c r="Q68600" s="1"/>
    </row>
    <row r="68602" spans="17:17" x14ac:dyDescent="0.35">
      <c r="Q68602" s="1"/>
    </row>
    <row r="68608" spans="17:17" x14ac:dyDescent="0.35">
      <c r="Q68608" s="1"/>
    </row>
    <row r="68611" spans="17:17" x14ac:dyDescent="0.35">
      <c r="Q68611" s="1"/>
    </row>
    <row r="68615" spans="17:17" x14ac:dyDescent="0.35">
      <c r="Q68615" s="1"/>
    </row>
    <row r="68619" spans="17:17" x14ac:dyDescent="0.35">
      <c r="Q68619" s="1"/>
    </row>
    <row r="68621" spans="17:17" x14ac:dyDescent="0.35">
      <c r="Q68621" s="1"/>
    </row>
    <row r="68622" spans="17:17" x14ac:dyDescent="0.35">
      <c r="Q68622" s="1"/>
    </row>
    <row r="68630" spans="17:17" x14ac:dyDescent="0.35">
      <c r="Q68630" s="1"/>
    </row>
    <row r="68636" spans="17:17" x14ac:dyDescent="0.35">
      <c r="Q68636" s="1"/>
    </row>
    <row r="68643" spans="5:17" x14ac:dyDescent="0.35">
      <c r="Q68643" s="1"/>
    </row>
    <row r="68644" spans="5:17" x14ac:dyDescent="0.35">
      <c r="Q68644" s="1"/>
    </row>
    <row r="68651" spans="5:17" x14ac:dyDescent="0.35">
      <c r="E68651" s="2"/>
      <c r="F68651" s="2"/>
    </row>
    <row r="68652" spans="5:17" x14ac:dyDescent="0.35">
      <c r="Q68652" s="1"/>
    </row>
    <row r="68656" spans="5:17" x14ac:dyDescent="0.35">
      <c r="Q68656" s="1"/>
    </row>
    <row r="68657" spans="17:17" x14ac:dyDescent="0.35">
      <c r="Q68657" s="1"/>
    </row>
    <row r="68659" spans="17:17" x14ac:dyDescent="0.35">
      <c r="Q68659" s="1"/>
    </row>
    <row r="68660" spans="17:17" x14ac:dyDescent="0.35">
      <c r="Q68660" s="1"/>
    </row>
    <row r="68663" spans="17:17" x14ac:dyDescent="0.35">
      <c r="Q68663" s="1"/>
    </row>
    <row r="68665" spans="17:17" x14ac:dyDescent="0.35">
      <c r="Q68665" s="1"/>
    </row>
    <row r="68672" spans="17:17" x14ac:dyDescent="0.35">
      <c r="Q68672" s="1"/>
    </row>
    <row r="68676" spans="17:17" x14ac:dyDescent="0.35">
      <c r="Q68676" s="1"/>
    </row>
    <row r="68681" spans="17:17" x14ac:dyDescent="0.35">
      <c r="Q68681" s="1"/>
    </row>
    <row r="68685" spans="17:17" x14ac:dyDescent="0.35">
      <c r="Q68685" s="1"/>
    </row>
    <row r="68687" spans="17:17" x14ac:dyDescent="0.35">
      <c r="Q68687" s="1"/>
    </row>
    <row r="68697" spans="17:17" x14ac:dyDescent="0.35">
      <c r="Q68697" s="1"/>
    </row>
    <row r="68699" spans="17:17" x14ac:dyDescent="0.35">
      <c r="Q68699" s="1"/>
    </row>
    <row r="68700" spans="17:17" x14ac:dyDescent="0.35">
      <c r="Q68700" s="1"/>
    </row>
    <row r="68701" spans="17:17" x14ac:dyDescent="0.35">
      <c r="Q68701" s="1"/>
    </row>
    <row r="68703" spans="17:17" x14ac:dyDescent="0.35">
      <c r="Q68703" s="1"/>
    </row>
    <row r="68704" spans="17:17" x14ac:dyDescent="0.35">
      <c r="Q68704" s="1"/>
    </row>
    <row r="68708" spans="17:17" x14ac:dyDescent="0.35">
      <c r="Q68708" s="1"/>
    </row>
    <row r="68716" spans="17:17" x14ac:dyDescent="0.35">
      <c r="Q68716" s="1"/>
    </row>
    <row r="68718" spans="17:17" x14ac:dyDescent="0.35">
      <c r="Q68718" s="1"/>
    </row>
    <row r="68724" spans="17:17" x14ac:dyDescent="0.35">
      <c r="Q68724" s="1"/>
    </row>
    <row r="68729" spans="17:17" x14ac:dyDescent="0.35">
      <c r="Q68729" s="1"/>
    </row>
    <row r="68736" spans="17:17" x14ac:dyDescent="0.35">
      <c r="Q68736" s="1"/>
    </row>
    <row r="68741" spans="17:17" x14ac:dyDescent="0.35">
      <c r="Q68741" s="1"/>
    </row>
    <row r="68746" spans="17:17" x14ac:dyDescent="0.35">
      <c r="Q68746" s="1"/>
    </row>
    <row r="68747" spans="17:17" x14ac:dyDescent="0.35">
      <c r="Q68747" s="1"/>
    </row>
    <row r="68756" spans="5:17" x14ac:dyDescent="0.35">
      <c r="Q68756" s="1"/>
    </row>
    <row r="68757" spans="5:17" x14ac:dyDescent="0.35">
      <c r="E68757" s="2"/>
      <c r="F68757" s="7"/>
    </row>
    <row r="68760" spans="5:17" x14ac:dyDescent="0.35">
      <c r="Q68760" s="1"/>
    </row>
    <row r="68761" spans="5:17" x14ac:dyDescent="0.35">
      <c r="Q68761" s="1"/>
    </row>
    <row r="68766" spans="5:17" x14ac:dyDescent="0.35">
      <c r="Q68766" s="1"/>
    </row>
    <row r="68771" spans="17:17" x14ac:dyDescent="0.35">
      <c r="Q68771" s="1"/>
    </row>
    <row r="68775" spans="17:17" x14ac:dyDescent="0.35">
      <c r="Q68775" s="1"/>
    </row>
    <row r="68777" spans="17:17" x14ac:dyDescent="0.35">
      <c r="Q68777" s="1"/>
    </row>
    <row r="68780" spans="17:17" x14ac:dyDescent="0.35">
      <c r="Q68780" s="1"/>
    </row>
    <row r="68783" spans="17:17" x14ac:dyDescent="0.35">
      <c r="Q68783" s="1"/>
    </row>
    <row r="68787" spans="17:17" x14ac:dyDescent="0.35">
      <c r="Q68787" s="1"/>
    </row>
    <row r="68788" spans="17:17" x14ac:dyDescent="0.35">
      <c r="Q68788" s="1"/>
    </row>
    <row r="68789" spans="17:17" x14ac:dyDescent="0.35">
      <c r="Q68789" s="1"/>
    </row>
    <row r="68790" spans="17:17" x14ac:dyDescent="0.35">
      <c r="Q68790" s="1"/>
    </row>
    <row r="68793" spans="17:17" x14ac:dyDescent="0.35">
      <c r="Q68793" s="1"/>
    </row>
    <row r="68807" spans="17:17" x14ac:dyDescent="0.35">
      <c r="Q68807" s="1"/>
    </row>
    <row r="68812" spans="17:17" x14ac:dyDescent="0.35">
      <c r="Q68812" s="1"/>
    </row>
    <row r="68813" spans="17:17" x14ac:dyDescent="0.35">
      <c r="Q68813" s="1"/>
    </row>
    <row r="68815" spans="17:17" x14ac:dyDescent="0.35">
      <c r="Q68815" s="1"/>
    </row>
    <row r="68816" spans="17:17" x14ac:dyDescent="0.35">
      <c r="Q68816" s="1"/>
    </row>
    <row r="68823" spans="5:17" x14ac:dyDescent="0.35">
      <c r="E68823" s="7"/>
      <c r="F68823" s="7"/>
      <c r="Q68823" s="1"/>
    </row>
    <row r="68825" spans="5:17" x14ac:dyDescent="0.35">
      <c r="Q68825" s="1"/>
    </row>
    <row r="68826" spans="5:17" x14ac:dyDescent="0.35">
      <c r="Q68826" s="1"/>
    </row>
    <row r="68836" spans="17:17" x14ac:dyDescent="0.35">
      <c r="Q68836" s="1"/>
    </row>
    <row r="68838" spans="17:17" x14ac:dyDescent="0.35">
      <c r="Q68838" s="1"/>
    </row>
    <row r="68840" spans="17:17" x14ac:dyDescent="0.35">
      <c r="Q68840" s="1"/>
    </row>
    <row r="68841" spans="17:17" x14ac:dyDescent="0.35">
      <c r="Q68841" s="1"/>
    </row>
    <row r="68846" spans="17:17" x14ac:dyDescent="0.35">
      <c r="Q68846" s="1"/>
    </row>
    <row r="68850" spans="17:17" x14ac:dyDescent="0.35">
      <c r="Q68850" s="1"/>
    </row>
    <row r="68852" spans="17:17" x14ac:dyDescent="0.35">
      <c r="Q68852" s="1"/>
    </row>
    <row r="68859" spans="17:17" x14ac:dyDescent="0.35">
      <c r="Q68859" s="1"/>
    </row>
    <row r="68862" spans="17:17" x14ac:dyDescent="0.35">
      <c r="Q68862" s="1"/>
    </row>
    <row r="68864" spans="17:17" x14ac:dyDescent="0.35">
      <c r="Q68864" s="1"/>
    </row>
    <row r="68865" spans="17:17" x14ac:dyDescent="0.35">
      <c r="Q68865" s="1"/>
    </row>
    <row r="68866" spans="17:17" x14ac:dyDescent="0.35">
      <c r="Q68866" s="1"/>
    </row>
    <row r="68868" spans="17:17" x14ac:dyDescent="0.35">
      <c r="Q68868" s="1"/>
    </row>
    <row r="68869" spans="17:17" x14ac:dyDescent="0.35">
      <c r="Q68869" s="1"/>
    </row>
    <row r="68872" spans="17:17" x14ac:dyDescent="0.35">
      <c r="Q68872" s="1"/>
    </row>
    <row r="68873" spans="17:17" x14ac:dyDescent="0.35">
      <c r="Q68873" s="1"/>
    </row>
    <row r="68875" spans="17:17" x14ac:dyDescent="0.35">
      <c r="Q68875" s="1"/>
    </row>
    <row r="68877" spans="17:17" x14ac:dyDescent="0.35">
      <c r="Q68877" s="1"/>
    </row>
    <row r="68879" spans="17:17" x14ac:dyDescent="0.35">
      <c r="Q68879" s="1"/>
    </row>
    <row r="68880" spans="17:17" x14ac:dyDescent="0.35">
      <c r="Q68880" s="1"/>
    </row>
    <row r="68882" spans="17:17" x14ac:dyDescent="0.35">
      <c r="Q68882" s="1"/>
    </row>
    <row r="68893" spans="17:17" x14ac:dyDescent="0.35">
      <c r="Q68893" s="1"/>
    </row>
    <row r="68904" spans="17:17" x14ac:dyDescent="0.35">
      <c r="Q68904" s="1"/>
    </row>
    <row r="68905" spans="17:17" x14ac:dyDescent="0.35">
      <c r="Q68905" s="1"/>
    </row>
    <row r="68911" spans="17:17" x14ac:dyDescent="0.35">
      <c r="Q68911" s="1"/>
    </row>
    <row r="68914" spans="17:17" x14ac:dyDescent="0.35">
      <c r="Q68914" s="1"/>
    </row>
    <row r="68915" spans="17:17" x14ac:dyDescent="0.35">
      <c r="Q68915" s="1"/>
    </row>
    <row r="68919" spans="17:17" x14ac:dyDescent="0.35">
      <c r="Q68919" s="1"/>
    </row>
    <row r="68921" spans="17:17" x14ac:dyDescent="0.35">
      <c r="Q68921" s="1"/>
    </row>
    <row r="68923" spans="17:17" x14ac:dyDescent="0.35">
      <c r="Q68923" s="1"/>
    </row>
    <row r="68926" spans="17:17" x14ac:dyDescent="0.35">
      <c r="Q68926" s="1"/>
    </row>
    <row r="68941" spans="17:17" x14ac:dyDescent="0.35">
      <c r="Q68941" s="1"/>
    </row>
    <row r="68944" spans="17:17" x14ac:dyDescent="0.35">
      <c r="Q68944" s="1"/>
    </row>
    <row r="68946" spans="17:17" x14ac:dyDescent="0.35">
      <c r="Q68946" s="1"/>
    </row>
    <row r="68953" spans="17:17" x14ac:dyDescent="0.35">
      <c r="Q68953" s="1"/>
    </row>
    <row r="68955" spans="17:17" x14ac:dyDescent="0.35">
      <c r="Q68955" s="1"/>
    </row>
    <row r="68962" spans="5:17" x14ac:dyDescent="0.35">
      <c r="Q68962" s="1"/>
    </row>
    <row r="68963" spans="5:17" x14ac:dyDescent="0.35">
      <c r="E68963" s="2"/>
      <c r="Q68963" s="1"/>
    </row>
    <row r="68967" spans="5:17" x14ac:dyDescent="0.35">
      <c r="Q68967" s="1"/>
    </row>
    <row r="68969" spans="5:17" x14ac:dyDescent="0.35">
      <c r="Q68969" s="1"/>
    </row>
    <row r="68973" spans="5:17" x14ac:dyDescent="0.35">
      <c r="Q68973" s="1"/>
    </row>
    <row r="68986" spans="17:17" x14ac:dyDescent="0.35">
      <c r="Q68986" s="1"/>
    </row>
    <row r="68990" spans="17:17" x14ac:dyDescent="0.35">
      <c r="Q68990" s="1"/>
    </row>
    <row r="68999" spans="17:17" x14ac:dyDescent="0.35">
      <c r="Q68999" s="1"/>
    </row>
    <row r="69006" spans="17:17" x14ac:dyDescent="0.35">
      <c r="Q69006" s="1"/>
    </row>
    <row r="69007" spans="17:17" x14ac:dyDescent="0.35">
      <c r="Q69007" s="1"/>
    </row>
    <row r="69008" spans="17:17" x14ac:dyDescent="0.35">
      <c r="Q69008" s="1"/>
    </row>
    <row r="69011" spans="17:17" x14ac:dyDescent="0.35">
      <c r="Q69011" s="1"/>
    </row>
    <row r="69013" spans="17:17" x14ac:dyDescent="0.35">
      <c r="Q69013" s="1"/>
    </row>
    <row r="69014" spans="17:17" x14ac:dyDescent="0.35">
      <c r="Q69014" s="1"/>
    </row>
    <row r="69024" spans="17:17" x14ac:dyDescent="0.35">
      <c r="Q69024" s="1"/>
    </row>
    <row r="69028" spans="17:17" x14ac:dyDescent="0.35">
      <c r="Q69028" s="1"/>
    </row>
    <row r="69029" spans="17:17" x14ac:dyDescent="0.35">
      <c r="Q69029" s="1"/>
    </row>
    <row r="69032" spans="17:17" x14ac:dyDescent="0.35">
      <c r="Q69032" s="1"/>
    </row>
    <row r="69037" spans="17:17" x14ac:dyDescent="0.35">
      <c r="Q69037" s="1"/>
    </row>
    <row r="69042" spans="17:17" x14ac:dyDescent="0.35">
      <c r="Q69042" s="1"/>
    </row>
    <row r="69045" spans="17:17" x14ac:dyDescent="0.35">
      <c r="Q69045" s="1"/>
    </row>
    <row r="69047" spans="17:17" x14ac:dyDescent="0.35">
      <c r="Q69047" s="1"/>
    </row>
    <row r="69050" spans="17:17" x14ac:dyDescent="0.35">
      <c r="Q69050" s="1"/>
    </row>
    <row r="69051" spans="17:17" x14ac:dyDescent="0.35">
      <c r="Q69051" s="1"/>
    </row>
    <row r="69053" spans="17:17" x14ac:dyDescent="0.35">
      <c r="Q69053" s="1"/>
    </row>
    <row r="69057" spans="17:17" x14ac:dyDescent="0.35">
      <c r="Q69057" s="1"/>
    </row>
    <row r="69061" spans="17:17" x14ac:dyDescent="0.35">
      <c r="Q69061" s="1"/>
    </row>
    <row r="69068" spans="17:17" x14ac:dyDescent="0.35">
      <c r="Q69068" s="1"/>
    </row>
    <row r="69070" spans="17:17" x14ac:dyDescent="0.35">
      <c r="Q69070" s="1"/>
    </row>
    <row r="69071" spans="17:17" x14ac:dyDescent="0.35">
      <c r="Q69071" s="1"/>
    </row>
    <row r="69074" spans="17:17" x14ac:dyDescent="0.35">
      <c r="Q69074" s="1"/>
    </row>
    <row r="69079" spans="17:17" x14ac:dyDescent="0.35">
      <c r="Q69079" s="1"/>
    </row>
    <row r="69082" spans="17:17" x14ac:dyDescent="0.35">
      <c r="Q69082" s="1"/>
    </row>
    <row r="69084" spans="17:17" x14ac:dyDescent="0.35">
      <c r="Q69084" s="1"/>
    </row>
    <row r="69087" spans="17:17" x14ac:dyDescent="0.35">
      <c r="Q69087" s="1"/>
    </row>
    <row r="69090" spans="17:17" x14ac:dyDescent="0.35">
      <c r="Q69090" s="1"/>
    </row>
    <row r="69093" spans="17:17" x14ac:dyDescent="0.35">
      <c r="Q69093" s="1"/>
    </row>
    <row r="69099" spans="17:17" x14ac:dyDescent="0.35">
      <c r="Q69099" s="1"/>
    </row>
    <row r="69102" spans="17:17" x14ac:dyDescent="0.35">
      <c r="Q69102" s="1"/>
    </row>
    <row r="69110" spans="17:17" x14ac:dyDescent="0.35">
      <c r="Q69110" s="1"/>
    </row>
    <row r="69111" spans="17:17" x14ac:dyDescent="0.35">
      <c r="Q69111" s="1"/>
    </row>
    <row r="69114" spans="17:17" x14ac:dyDescent="0.35">
      <c r="Q69114" s="1"/>
    </row>
    <row r="69117" spans="17:17" x14ac:dyDescent="0.35">
      <c r="Q69117" s="1"/>
    </row>
    <row r="69118" spans="17:17" x14ac:dyDescent="0.35">
      <c r="Q69118" s="1"/>
    </row>
    <row r="69123" spans="17:17" x14ac:dyDescent="0.35">
      <c r="Q69123" s="1"/>
    </row>
    <row r="69124" spans="17:17" x14ac:dyDescent="0.35">
      <c r="Q69124" s="1"/>
    </row>
    <row r="69126" spans="17:17" x14ac:dyDescent="0.35">
      <c r="Q69126" s="1"/>
    </row>
    <row r="69127" spans="17:17" x14ac:dyDescent="0.35">
      <c r="Q69127" s="1"/>
    </row>
    <row r="69133" spans="17:17" x14ac:dyDescent="0.35">
      <c r="Q69133" s="1"/>
    </row>
    <row r="69137" spans="17:17" x14ac:dyDescent="0.35">
      <c r="Q69137" s="1"/>
    </row>
    <row r="69139" spans="17:17" x14ac:dyDescent="0.35">
      <c r="Q69139" s="1"/>
    </row>
    <row r="69140" spans="17:17" x14ac:dyDescent="0.35">
      <c r="Q69140" s="1"/>
    </row>
    <row r="69141" spans="17:17" x14ac:dyDescent="0.35">
      <c r="Q69141" s="1"/>
    </row>
    <row r="69145" spans="17:17" x14ac:dyDescent="0.35">
      <c r="Q69145" s="1"/>
    </row>
    <row r="69149" spans="17:17" x14ac:dyDescent="0.35">
      <c r="Q69149" s="1"/>
    </row>
    <row r="69158" spans="17:17" x14ac:dyDescent="0.35">
      <c r="Q69158" s="1"/>
    </row>
    <row r="69159" spans="17:17" x14ac:dyDescent="0.35">
      <c r="Q69159" s="1"/>
    </row>
    <row r="69173" spans="17:17" x14ac:dyDescent="0.35">
      <c r="Q69173" s="1"/>
    </row>
    <row r="69176" spans="17:17" x14ac:dyDescent="0.35">
      <c r="Q69176" s="1"/>
    </row>
    <row r="69177" spans="17:17" x14ac:dyDescent="0.35">
      <c r="Q69177" s="1"/>
    </row>
    <row r="69179" spans="17:17" x14ac:dyDescent="0.35">
      <c r="Q69179" s="1"/>
    </row>
    <row r="69180" spans="17:17" x14ac:dyDescent="0.35">
      <c r="Q69180" s="1"/>
    </row>
    <row r="69186" spans="17:17" x14ac:dyDescent="0.35">
      <c r="Q69186" s="1"/>
    </row>
    <row r="69191" spans="17:17" x14ac:dyDescent="0.35">
      <c r="Q69191" s="1"/>
    </row>
    <row r="69192" spans="17:17" x14ac:dyDescent="0.35">
      <c r="Q69192" s="1"/>
    </row>
    <row r="69195" spans="17:17" x14ac:dyDescent="0.35">
      <c r="Q69195" s="1"/>
    </row>
    <row r="69196" spans="17:17" x14ac:dyDescent="0.35">
      <c r="Q69196" s="1"/>
    </row>
    <row r="69197" spans="17:17" x14ac:dyDescent="0.35">
      <c r="Q69197" s="1"/>
    </row>
    <row r="69198" spans="17:17" x14ac:dyDescent="0.35">
      <c r="Q69198" s="1"/>
    </row>
    <row r="69199" spans="17:17" x14ac:dyDescent="0.35">
      <c r="Q69199" s="1"/>
    </row>
    <row r="69200" spans="17:17" x14ac:dyDescent="0.35">
      <c r="Q69200" s="1"/>
    </row>
    <row r="69208" spans="17:17" x14ac:dyDescent="0.35">
      <c r="Q69208" s="1"/>
    </row>
    <row r="69212" spans="17:17" x14ac:dyDescent="0.35">
      <c r="Q69212" s="1"/>
    </row>
    <row r="69213" spans="17:17" x14ac:dyDescent="0.35">
      <c r="Q69213" s="1"/>
    </row>
    <row r="69214" spans="17:17" x14ac:dyDescent="0.35">
      <c r="Q69214" s="1"/>
    </row>
    <row r="69215" spans="17:17" x14ac:dyDescent="0.35">
      <c r="Q69215" s="1"/>
    </row>
    <row r="69218" spans="17:17" x14ac:dyDescent="0.35">
      <c r="Q69218" s="1"/>
    </row>
    <row r="69224" spans="17:17" x14ac:dyDescent="0.35">
      <c r="Q69224" s="1"/>
    </row>
    <row r="69230" spans="17:17" x14ac:dyDescent="0.35">
      <c r="Q69230" s="1"/>
    </row>
    <row r="69233" spans="17:17" x14ac:dyDescent="0.35">
      <c r="Q69233" s="1"/>
    </row>
    <row r="69238" spans="17:17" x14ac:dyDescent="0.35">
      <c r="Q69238" s="1"/>
    </row>
    <row r="69243" spans="17:17" x14ac:dyDescent="0.35">
      <c r="Q69243" s="1"/>
    </row>
    <row r="69246" spans="17:17" x14ac:dyDescent="0.35">
      <c r="Q69246" s="1"/>
    </row>
    <row r="69260" spans="17:17" x14ac:dyDescent="0.35">
      <c r="Q69260" s="1"/>
    </row>
    <row r="69262" spans="17:17" x14ac:dyDescent="0.35">
      <c r="Q69262" s="1"/>
    </row>
    <row r="69268" spans="17:17" x14ac:dyDescent="0.35">
      <c r="Q69268" s="1"/>
    </row>
    <row r="69270" spans="17:17" x14ac:dyDescent="0.35">
      <c r="Q69270" s="1"/>
    </row>
    <row r="69271" spans="17:17" x14ac:dyDescent="0.35">
      <c r="Q69271" s="1"/>
    </row>
    <row r="69272" spans="17:17" x14ac:dyDescent="0.35">
      <c r="Q69272" s="1"/>
    </row>
    <row r="69273" spans="17:17" x14ac:dyDescent="0.35">
      <c r="Q69273" s="1"/>
    </row>
    <row r="69275" spans="17:17" x14ac:dyDescent="0.35">
      <c r="Q69275" s="1"/>
    </row>
    <row r="69277" spans="17:17" x14ac:dyDescent="0.35">
      <c r="Q69277" s="1"/>
    </row>
    <row r="69286" spans="17:17" x14ac:dyDescent="0.35">
      <c r="Q69286" s="1"/>
    </row>
    <row r="69293" spans="17:17" x14ac:dyDescent="0.35">
      <c r="Q69293" s="1"/>
    </row>
    <row r="69299" spans="17:17" x14ac:dyDescent="0.35">
      <c r="Q69299" s="1"/>
    </row>
    <row r="69303" spans="17:17" x14ac:dyDescent="0.35">
      <c r="Q69303" s="1"/>
    </row>
    <row r="69307" spans="17:17" x14ac:dyDescent="0.35">
      <c r="Q69307" s="1"/>
    </row>
    <row r="69310" spans="17:17" x14ac:dyDescent="0.35">
      <c r="Q69310" s="1"/>
    </row>
    <row r="69313" spans="17:17" x14ac:dyDescent="0.35">
      <c r="Q69313" s="1"/>
    </row>
    <row r="69314" spans="17:17" x14ac:dyDescent="0.35">
      <c r="Q69314" s="1"/>
    </row>
    <row r="69315" spans="17:17" x14ac:dyDescent="0.35">
      <c r="Q69315" s="1"/>
    </row>
    <row r="69325" spans="17:17" x14ac:dyDescent="0.35">
      <c r="Q69325" s="1"/>
    </row>
    <row r="69329" spans="17:17" x14ac:dyDescent="0.35">
      <c r="Q69329" s="1"/>
    </row>
    <row r="69341" spans="17:17" x14ac:dyDescent="0.35">
      <c r="Q69341" s="1"/>
    </row>
    <row r="69342" spans="17:17" x14ac:dyDescent="0.35">
      <c r="Q69342" s="1"/>
    </row>
    <row r="69343" spans="17:17" x14ac:dyDescent="0.35">
      <c r="Q69343" s="1"/>
    </row>
    <row r="69345" spans="17:17" x14ac:dyDescent="0.35">
      <c r="Q69345" s="1"/>
    </row>
    <row r="69347" spans="17:17" x14ac:dyDescent="0.35">
      <c r="Q69347" s="1"/>
    </row>
    <row r="69348" spans="17:17" x14ac:dyDescent="0.35">
      <c r="Q69348" s="1"/>
    </row>
    <row r="69349" spans="17:17" x14ac:dyDescent="0.35">
      <c r="Q69349" s="1"/>
    </row>
    <row r="69350" spans="17:17" x14ac:dyDescent="0.35">
      <c r="Q69350" s="1"/>
    </row>
    <row r="69352" spans="17:17" x14ac:dyDescent="0.35">
      <c r="Q69352" s="1"/>
    </row>
    <row r="69358" spans="17:17" x14ac:dyDescent="0.35">
      <c r="Q69358" s="1"/>
    </row>
    <row r="69359" spans="17:17" x14ac:dyDescent="0.35">
      <c r="Q69359" s="1"/>
    </row>
    <row r="69360" spans="17:17" x14ac:dyDescent="0.35">
      <c r="Q69360" s="1"/>
    </row>
    <row r="69361" spans="17:17" x14ac:dyDescent="0.35">
      <c r="Q69361" s="1"/>
    </row>
    <row r="69362" spans="17:17" x14ac:dyDescent="0.35">
      <c r="Q69362" s="1"/>
    </row>
    <row r="69363" spans="17:17" x14ac:dyDescent="0.35">
      <c r="Q69363" s="1"/>
    </row>
    <row r="69368" spans="17:17" x14ac:dyDescent="0.35">
      <c r="Q69368" s="1"/>
    </row>
    <row r="69369" spans="17:17" x14ac:dyDescent="0.35">
      <c r="Q69369" s="1"/>
    </row>
    <row r="69373" spans="17:17" x14ac:dyDescent="0.35">
      <c r="Q69373" s="1"/>
    </row>
    <row r="69379" spans="17:17" x14ac:dyDescent="0.35">
      <c r="Q69379" s="1"/>
    </row>
    <row r="69380" spans="17:17" x14ac:dyDescent="0.35">
      <c r="Q69380" s="1"/>
    </row>
    <row r="69382" spans="17:17" x14ac:dyDescent="0.35">
      <c r="Q69382" s="1"/>
    </row>
    <row r="69383" spans="17:17" x14ac:dyDescent="0.35">
      <c r="Q69383" s="1"/>
    </row>
    <row r="69384" spans="17:17" x14ac:dyDescent="0.35">
      <c r="Q69384" s="1"/>
    </row>
    <row r="69397" spans="17:17" x14ac:dyDescent="0.35">
      <c r="Q69397" s="1"/>
    </row>
    <row r="69399" spans="17:17" x14ac:dyDescent="0.35">
      <c r="Q69399" s="1"/>
    </row>
    <row r="69400" spans="17:17" x14ac:dyDescent="0.35">
      <c r="Q69400" s="1"/>
    </row>
    <row r="69402" spans="17:17" x14ac:dyDescent="0.35">
      <c r="Q69402" s="1"/>
    </row>
    <row r="69405" spans="17:17" x14ac:dyDescent="0.35">
      <c r="Q69405" s="1"/>
    </row>
    <row r="69409" spans="17:17" x14ac:dyDescent="0.35">
      <c r="Q69409" s="1"/>
    </row>
    <row r="69411" spans="17:17" x14ac:dyDescent="0.35">
      <c r="Q69411" s="1"/>
    </row>
    <row r="69415" spans="17:17" x14ac:dyDescent="0.35">
      <c r="Q69415" s="1"/>
    </row>
    <row r="69419" spans="17:17" x14ac:dyDescent="0.35">
      <c r="Q69419" s="1"/>
    </row>
    <row r="69420" spans="17:17" x14ac:dyDescent="0.35">
      <c r="Q69420" s="1"/>
    </row>
    <row r="69421" spans="17:17" x14ac:dyDescent="0.35">
      <c r="Q69421" s="1"/>
    </row>
    <row r="69423" spans="17:17" x14ac:dyDescent="0.35">
      <c r="Q69423" s="1"/>
    </row>
    <row r="69425" spans="17:17" x14ac:dyDescent="0.35">
      <c r="Q69425" s="1"/>
    </row>
    <row r="69436" spans="17:17" x14ac:dyDescent="0.35">
      <c r="Q69436" s="1"/>
    </row>
    <row r="69438" spans="17:17" x14ac:dyDescent="0.35">
      <c r="Q69438" s="1"/>
    </row>
    <row r="69442" spans="17:17" x14ac:dyDescent="0.35">
      <c r="Q69442" s="1"/>
    </row>
    <row r="69443" spans="17:17" x14ac:dyDescent="0.35">
      <c r="Q69443" s="1"/>
    </row>
    <row r="69444" spans="17:17" x14ac:dyDescent="0.35">
      <c r="Q69444" s="1"/>
    </row>
    <row r="69445" spans="17:17" x14ac:dyDescent="0.35">
      <c r="Q69445" s="1"/>
    </row>
    <row r="69449" spans="17:17" x14ac:dyDescent="0.35">
      <c r="Q69449" s="1"/>
    </row>
    <row r="69459" spans="17:17" x14ac:dyDescent="0.35">
      <c r="Q69459" s="1"/>
    </row>
    <row r="69464" spans="17:17" x14ac:dyDescent="0.35">
      <c r="Q69464" s="1"/>
    </row>
    <row r="69465" spans="17:17" x14ac:dyDescent="0.35">
      <c r="Q69465" s="1"/>
    </row>
    <row r="69475" spans="17:17" x14ac:dyDescent="0.35">
      <c r="Q69475" s="1"/>
    </row>
    <row r="69476" spans="17:17" x14ac:dyDescent="0.35">
      <c r="Q69476" s="1"/>
    </row>
    <row r="69477" spans="17:17" x14ac:dyDescent="0.35">
      <c r="Q69477" s="1"/>
    </row>
    <row r="69481" spans="17:17" x14ac:dyDescent="0.35">
      <c r="Q69481" s="1"/>
    </row>
    <row r="69482" spans="17:17" x14ac:dyDescent="0.35">
      <c r="Q69482" s="1"/>
    </row>
    <row r="69483" spans="17:17" x14ac:dyDescent="0.35">
      <c r="Q69483" s="1"/>
    </row>
    <row r="69487" spans="17:17" x14ac:dyDescent="0.35">
      <c r="Q69487" s="1"/>
    </row>
    <row r="69489" spans="17:17" x14ac:dyDescent="0.35">
      <c r="Q69489" s="1"/>
    </row>
    <row r="69491" spans="17:17" x14ac:dyDescent="0.35">
      <c r="Q69491" s="1"/>
    </row>
    <row r="69494" spans="17:17" x14ac:dyDescent="0.35">
      <c r="Q69494" s="1"/>
    </row>
    <row r="69497" spans="17:17" x14ac:dyDescent="0.35">
      <c r="Q69497" s="1"/>
    </row>
    <row r="69504" spans="17:17" x14ac:dyDescent="0.35">
      <c r="Q69504" s="1"/>
    </row>
    <row r="69506" spans="17:17" x14ac:dyDescent="0.35">
      <c r="Q69506" s="1"/>
    </row>
    <row r="69507" spans="17:17" x14ac:dyDescent="0.35">
      <c r="Q69507" s="1"/>
    </row>
    <row r="69514" spans="17:17" x14ac:dyDescent="0.35">
      <c r="Q69514" s="1"/>
    </row>
    <row r="69520" spans="17:17" x14ac:dyDescent="0.35">
      <c r="Q69520" s="1"/>
    </row>
    <row r="69525" spans="17:17" x14ac:dyDescent="0.35">
      <c r="Q69525" s="1"/>
    </row>
    <row r="69527" spans="17:17" x14ac:dyDescent="0.35">
      <c r="Q69527" s="1"/>
    </row>
    <row r="69537" spans="17:17" x14ac:dyDescent="0.35">
      <c r="Q69537" s="1"/>
    </row>
    <row r="69540" spans="17:17" x14ac:dyDescent="0.35">
      <c r="Q69540" s="1"/>
    </row>
    <row r="69542" spans="17:17" x14ac:dyDescent="0.35">
      <c r="Q69542" s="1"/>
    </row>
    <row r="69544" spans="17:17" x14ac:dyDescent="0.35">
      <c r="Q69544" s="1"/>
    </row>
    <row r="69546" spans="17:17" x14ac:dyDescent="0.35">
      <c r="Q69546" s="1"/>
    </row>
    <row r="69549" spans="17:17" x14ac:dyDescent="0.35">
      <c r="Q69549" s="1"/>
    </row>
    <row r="69550" spans="17:17" x14ac:dyDescent="0.35">
      <c r="Q69550" s="1"/>
    </row>
    <row r="69551" spans="17:17" x14ac:dyDescent="0.35">
      <c r="Q69551" s="1"/>
    </row>
    <row r="69552" spans="17:17" x14ac:dyDescent="0.35">
      <c r="Q69552" s="1"/>
    </row>
    <row r="69556" spans="17:17" x14ac:dyDescent="0.35">
      <c r="Q69556" s="1"/>
    </row>
    <row r="69557" spans="17:17" x14ac:dyDescent="0.35">
      <c r="Q69557" s="1"/>
    </row>
    <row r="69559" spans="17:17" x14ac:dyDescent="0.35">
      <c r="Q69559" s="1"/>
    </row>
    <row r="69562" spans="17:17" x14ac:dyDescent="0.35">
      <c r="Q69562" s="1"/>
    </row>
    <row r="69564" spans="17:17" x14ac:dyDescent="0.35">
      <c r="Q69564" s="1"/>
    </row>
    <row r="69565" spans="17:17" x14ac:dyDescent="0.35">
      <c r="Q69565" s="1"/>
    </row>
    <row r="69566" spans="17:17" x14ac:dyDescent="0.35">
      <c r="Q69566" s="1"/>
    </row>
    <row r="69568" spans="17:17" x14ac:dyDescent="0.35">
      <c r="Q69568" s="1"/>
    </row>
    <row r="69572" spans="17:17" x14ac:dyDescent="0.35">
      <c r="Q69572" s="1"/>
    </row>
    <row r="69575" spans="17:17" x14ac:dyDescent="0.35">
      <c r="Q69575" s="1"/>
    </row>
    <row r="69583" spans="17:17" x14ac:dyDescent="0.35">
      <c r="Q69583" s="1"/>
    </row>
    <row r="69585" spans="17:17" x14ac:dyDescent="0.35">
      <c r="Q69585" s="1"/>
    </row>
    <row r="69594" spans="17:17" x14ac:dyDescent="0.35">
      <c r="Q69594" s="1"/>
    </row>
    <row r="69600" spans="17:17" x14ac:dyDescent="0.35">
      <c r="Q69600" s="1"/>
    </row>
    <row r="69602" spans="17:17" x14ac:dyDescent="0.35">
      <c r="Q69602" s="1"/>
    </row>
    <row r="69605" spans="17:17" x14ac:dyDescent="0.35">
      <c r="Q69605" s="1"/>
    </row>
    <row r="69608" spans="17:17" x14ac:dyDescent="0.35">
      <c r="Q69608" s="1"/>
    </row>
    <row r="69609" spans="17:17" x14ac:dyDescent="0.35">
      <c r="Q69609" s="1"/>
    </row>
    <row r="69611" spans="17:17" x14ac:dyDescent="0.35">
      <c r="Q69611" s="1"/>
    </row>
    <row r="69614" spans="17:17" x14ac:dyDescent="0.35">
      <c r="Q69614" s="1"/>
    </row>
    <row r="69619" spans="17:17" x14ac:dyDescent="0.35">
      <c r="Q69619" s="1"/>
    </row>
    <row r="69621" spans="17:17" x14ac:dyDescent="0.35">
      <c r="Q69621" s="1"/>
    </row>
    <row r="69625" spans="17:17" x14ac:dyDescent="0.35">
      <c r="Q69625" s="1"/>
    </row>
    <row r="69626" spans="17:17" x14ac:dyDescent="0.35">
      <c r="Q69626" s="1"/>
    </row>
    <row r="69634" spans="17:17" x14ac:dyDescent="0.35">
      <c r="Q69634" s="1"/>
    </row>
    <row r="69641" spans="17:17" x14ac:dyDescent="0.35">
      <c r="Q69641" s="1"/>
    </row>
    <row r="69642" spans="17:17" x14ac:dyDescent="0.35">
      <c r="Q69642" s="1"/>
    </row>
    <row r="69643" spans="17:17" x14ac:dyDescent="0.35">
      <c r="Q69643" s="1"/>
    </row>
    <row r="69644" spans="17:17" x14ac:dyDescent="0.35">
      <c r="Q69644" s="1"/>
    </row>
    <row r="69645" spans="17:17" x14ac:dyDescent="0.35">
      <c r="Q69645" s="1"/>
    </row>
    <row r="69647" spans="17:17" x14ac:dyDescent="0.35">
      <c r="Q69647" s="1"/>
    </row>
    <row r="69648" spans="17:17" x14ac:dyDescent="0.35">
      <c r="Q69648" s="1"/>
    </row>
    <row r="69651" spans="17:17" x14ac:dyDescent="0.35">
      <c r="Q69651" s="1"/>
    </row>
    <row r="69657" spans="17:17" x14ac:dyDescent="0.35">
      <c r="Q69657" s="1"/>
    </row>
    <row r="69658" spans="17:17" x14ac:dyDescent="0.35">
      <c r="Q69658" s="1"/>
    </row>
    <row r="69662" spans="17:17" x14ac:dyDescent="0.35">
      <c r="Q69662" s="1"/>
    </row>
    <row r="69664" spans="17:17" x14ac:dyDescent="0.35">
      <c r="Q69664" s="1"/>
    </row>
    <row r="69669" spans="17:17" x14ac:dyDescent="0.35">
      <c r="Q69669" s="1"/>
    </row>
    <row r="69670" spans="17:17" x14ac:dyDescent="0.35">
      <c r="Q69670" s="1"/>
    </row>
    <row r="69671" spans="17:17" x14ac:dyDescent="0.35">
      <c r="Q69671" s="1"/>
    </row>
    <row r="69672" spans="17:17" x14ac:dyDescent="0.35">
      <c r="Q69672" s="1"/>
    </row>
    <row r="69679" spans="17:17" x14ac:dyDescent="0.35">
      <c r="Q69679" s="1"/>
    </row>
    <row r="69681" spans="17:17" x14ac:dyDescent="0.35">
      <c r="Q69681" s="1"/>
    </row>
    <row r="69683" spans="17:17" x14ac:dyDescent="0.35">
      <c r="Q69683" s="1"/>
    </row>
    <row r="69684" spans="17:17" x14ac:dyDescent="0.35">
      <c r="Q69684" s="1"/>
    </row>
    <row r="69692" spans="17:17" x14ac:dyDescent="0.35">
      <c r="Q69692" s="1"/>
    </row>
    <row r="69693" spans="17:17" x14ac:dyDescent="0.35">
      <c r="Q69693" s="1"/>
    </row>
    <row r="69697" spans="17:17" x14ac:dyDescent="0.35">
      <c r="Q69697" s="1"/>
    </row>
    <row r="69702" spans="17:17" x14ac:dyDescent="0.35">
      <c r="Q69702" s="1"/>
    </row>
    <row r="69703" spans="17:17" x14ac:dyDescent="0.35">
      <c r="Q69703" s="1"/>
    </row>
    <row r="69711" spans="17:17" x14ac:dyDescent="0.35">
      <c r="Q69711" s="1"/>
    </row>
    <row r="69713" spans="17:17" x14ac:dyDescent="0.35">
      <c r="Q69713" s="1"/>
    </row>
    <row r="69718" spans="17:17" x14ac:dyDescent="0.35">
      <c r="Q69718" s="1"/>
    </row>
    <row r="69719" spans="17:17" x14ac:dyDescent="0.35">
      <c r="Q69719" s="1"/>
    </row>
    <row r="69727" spans="17:17" x14ac:dyDescent="0.35">
      <c r="Q69727" s="1"/>
    </row>
    <row r="69731" spans="17:17" x14ac:dyDescent="0.35">
      <c r="Q69731" s="1"/>
    </row>
    <row r="69734" spans="17:17" x14ac:dyDescent="0.35">
      <c r="Q69734" s="1"/>
    </row>
    <row r="69735" spans="17:17" x14ac:dyDescent="0.35">
      <c r="Q69735" s="1"/>
    </row>
    <row r="69742" spans="17:17" x14ac:dyDescent="0.35">
      <c r="Q69742" s="1"/>
    </row>
    <row r="69744" spans="17:17" x14ac:dyDescent="0.35">
      <c r="Q69744" s="1"/>
    </row>
    <row r="69746" spans="17:17" x14ac:dyDescent="0.35">
      <c r="Q69746" s="1"/>
    </row>
    <row r="69761" spans="17:17" x14ac:dyDescent="0.35">
      <c r="Q69761" s="1"/>
    </row>
    <row r="69763" spans="17:17" x14ac:dyDescent="0.35">
      <c r="Q69763" s="1"/>
    </row>
    <row r="69767" spans="17:17" x14ac:dyDescent="0.35">
      <c r="Q69767" s="1"/>
    </row>
    <row r="69768" spans="17:17" x14ac:dyDescent="0.35">
      <c r="Q69768" s="1"/>
    </row>
    <row r="69769" spans="17:17" x14ac:dyDescent="0.35">
      <c r="Q69769" s="1"/>
    </row>
    <row r="69773" spans="17:17" x14ac:dyDescent="0.35">
      <c r="Q69773" s="1"/>
    </row>
    <row r="69777" spans="17:17" x14ac:dyDescent="0.35">
      <c r="Q69777" s="1"/>
    </row>
    <row r="69781" spans="17:17" x14ac:dyDescent="0.35">
      <c r="Q69781" s="1"/>
    </row>
    <row r="69783" spans="17:17" x14ac:dyDescent="0.35">
      <c r="Q69783" s="1"/>
    </row>
    <row r="69786" spans="17:17" x14ac:dyDescent="0.35">
      <c r="Q69786" s="1"/>
    </row>
    <row r="69789" spans="17:17" x14ac:dyDescent="0.35">
      <c r="Q69789" s="1"/>
    </row>
    <row r="69790" spans="17:17" x14ac:dyDescent="0.35">
      <c r="Q69790" s="1"/>
    </row>
    <row r="69791" spans="17:17" x14ac:dyDescent="0.35">
      <c r="Q69791" s="1"/>
    </row>
    <row r="69796" spans="17:17" x14ac:dyDescent="0.35">
      <c r="Q69796" s="1"/>
    </row>
    <row r="69797" spans="17:17" x14ac:dyDescent="0.35">
      <c r="Q69797" s="1"/>
    </row>
    <row r="69798" spans="17:17" x14ac:dyDescent="0.35">
      <c r="Q69798" s="1"/>
    </row>
    <row r="69801" spans="17:17" x14ac:dyDescent="0.35">
      <c r="Q69801" s="1"/>
    </row>
    <row r="69802" spans="17:17" x14ac:dyDescent="0.35">
      <c r="Q69802" s="1"/>
    </row>
    <row r="69803" spans="17:17" x14ac:dyDescent="0.35">
      <c r="Q69803" s="1"/>
    </row>
    <row r="69805" spans="17:17" x14ac:dyDescent="0.35">
      <c r="Q69805" s="1"/>
    </row>
    <row r="69808" spans="17:17" x14ac:dyDescent="0.35">
      <c r="Q69808" s="1"/>
    </row>
    <row r="69811" spans="17:17" x14ac:dyDescent="0.35">
      <c r="Q69811" s="1"/>
    </row>
    <row r="69815" spans="17:17" x14ac:dyDescent="0.35">
      <c r="Q69815" s="1"/>
    </row>
    <row r="69820" spans="17:17" x14ac:dyDescent="0.35">
      <c r="Q69820" s="1"/>
    </row>
    <row r="69821" spans="17:17" x14ac:dyDescent="0.35">
      <c r="Q69821" s="1"/>
    </row>
    <row r="69824" spans="17:17" x14ac:dyDescent="0.35">
      <c r="Q69824" s="1"/>
    </row>
    <row r="69825" spans="17:17" x14ac:dyDescent="0.35">
      <c r="Q69825" s="1"/>
    </row>
    <row r="69827" spans="17:17" x14ac:dyDescent="0.35">
      <c r="Q69827" s="1"/>
    </row>
    <row r="69835" spans="17:17" x14ac:dyDescent="0.35">
      <c r="Q69835" s="1"/>
    </row>
    <row r="69836" spans="17:17" x14ac:dyDescent="0.35">
      <c r="Q69836" s="1"/>
    </row>
    <row r="69840" spans="17:17" x14ac:dyDescent="0.35">
      <c r="Q69840" s="1"/>
    </row>
    <row r="69843" spans="17:17" x14ac:dyDescent="0.35">
      <c r="Q69843" s="1"/>
    </row>
    <row r="69846" spans="17:17" x14ac:dyDescent="0.35">
      <c r="Q69846" s="1"/>
    </row>
    <row r="69847" spans="17:17" x14ac:dyDescent="0.35">
      <c r="Q69847" s="1"/>
    </row>
    <row r="69849" spans="17:17" x14ac:dyDescent="0.35">
      <c r="Q69849" s="1"/>
    </row>
    <row r="69853" spans="17:17" x14ac:dyDescent="0.35">
      <c r="Q69853" s="1"/>
    </row>
    <row r="69860" spans="17:17" x14ac:dyDescent="0.35">
      <c r="Q69860" s="1"/>
    </row>
    <row r="69866" spans="17:17" x14ac:dyDescent="0.35">
      <c r="Q69866" s="1"/>
    </row>
    <row r="69874" spans="17:17" x14ac:dyDescent="0.35">
      <c r="Q69874" s="1"/>
    </row>
    <row r="69877" spans="17:17" x14ac:dyDescent="0.35">
      <c r="Q69877" s="1"/>
    </row>
    <row r="69880" spans="17:17" x14ac:dyDescent="0.35">
      <c r="Q69880" s="1"/>
    </row>
    <row r="69888" spans="17:17" x14ac:dyDescent="0.35">
      <c r="Q69888" s="1"/>
    </row>
    <row r="69891" spans="17:17" x14ac:dyDescent="0.35">
      <c r="Q69891" s="1"/>
    </row>
    <row r="69894" spans="17:17" x14ac:dyDescent="0.35">
      <c r="Q69894" s="1"/>
    </row>
    <row r="69897" spans="17:17" x14ac:dyDescent="0.35">
      <c r="Q69897" s="1"/>
    </row>
    <row r="69899" spans="17:17" x14ac:dyDescent="0.35">
      <c r="Q69899" s="1"/>
    </row>
    <row r="69905" spans="17:17" x14ac:dyDescent="0.35">
      <c r="Q69905" s="1"/>
    </row>
    <row r="69906" spans="17:17" x14ac:dyDescent="0.35">
      <c r="Q69906" s="1"/>
    </row>
    <row r="69907" spans="17:17" x14ac:dyDescent="0.35">
      <c r="Q69907" s="1"/>
    </row>
    <row r="69908" spans="17:17" x14ac:dyDescent="0.35">
      <c r="Q69908" s="1"/>
    </row>
    <row r="69914" spans="17:17" x14ac:dyDescent="0.35">
      <c r="Q69914" s="1"/>
    </row>
    <row r="69921" spans="17:17" x14ac:dyDescent="0.35">
      <c r="Q69921" s="1"/>
    </row>
    <row r="69923" spans="17:17" x14ac:dyDescent="0.35">
      <c r="Q69923" s="1"/>
    </row>
    <row r="69925" spans="17:17" x14ac:dyDescent="0.35">
      <c r="Q69925" s="1"/>
    </row>
    <row r="69926" spans="17:17" x14ac:dyDescent="0.35">
      <c r="Q69926" s="1"/>
    </row>
    <row r="69927" spans="17:17" x14ac:dyDescent="0.35">
      <c r="Q69927" s="1"/>
    </row>
    <row r="69939" spans="17:17" x14ac:dyDescent="0.35">
      <c r="Q69939" s="1"/>
    </row>
    <row r="69940" spans="17:17" x14ac:dyDescent="0.35">
      <c r="Q69940" s="1"/>
    </row>
    <row r="69945" spans="17:17" x14ac:dyDescent="0.35">
      <c r="Q69945" s="1"/>
    </row>
    <row r="69946" spans="17:17" x14ac:dyDescent="0.35">
      <c r="Q69946" s="1"/>
    </row>
    <row r="69950" spans="17:17" x14ac:dyDescent="0.35">
      <c r="Q69950" s="1"/>
    </row>
    <row r="69955" spans="17:17" x14ac:dyDescent="0.35">
      <c r="Q69955" s="1"/>
    </row>
    <row r="69958" spans="17:17" x14ac:dyDescent="0.35">
      <c r="Q69958" s="1"/>
    </row>
    <row r="69961" spans="17:17" x14ac:dyDescent="0.35">
      <c r="Q69961" s="1"/>
    </row>
    <row r="69964" spans="17:17" x14ac:dyDescent="0.35">
      <c r="Q69964" s="1"/>
    </row>
    <row r="69966" spans="17:17" x14ac:dyDescent="0.35">
      <c r="Q69966" s="1"/>
    </row>
    <row r="69971" spans="17:17" x14ac:dyDescent="0.35">
      <c r="Q69971" s="1"/>
    </row>
    <row r="69974" spans="17:17" x14ac:dyDescent="0.35">
      <c r="Q69974" s="1"/>
    </row>
    <row r="69980" spans="17:17" x14ac:dyDescent="0.35">
      <c r="Q69980" s="1"/>
    </row>
    <row r="69982" spans="17:17" x14ac:dyDescent="0.35">
      <c r="Q69982" s="1"/>
    </row>
    <row r="69983" spans="17:17" x14ac:dyDescent="0.35">
      <c r="Q69983" s="1"/>
    </row>
    <row r="69985" spans="17:17" x14ac:dyDescent="0.35">
      <c r="Q69985" s="1"/>
    </row>
    <row r="69986" spans="17:17" x14ac:dyDescent="0.35">
      <c r="Q69986" s="1"/>
    </row>
    <row r="69988" spans="17:17" x14ac:dyDescent="0.35">
      <c r="Q69988" s="1"/>
    </row>
    <row r="69991" spans="17:17" x14ac:dyDescent="0.35">
      <c r="Q69991" s="1"/>
    </row>
    <row r="69994" spans="17:17" x14ac:dyDescent="0.35">
      <c r="Q69994" s="1"/>
    </row>
    <row r="69995" spans="17:17" x14ac:dyDescent="0.35">
      <c r="Q69995" s="1"/>
    </row>
    <row r="69999" spans="17:17" x14ac:dyDescent="0.35">
      <c r="Q69999" s="1"/>
    </row>
    <row r="70006" spans="17:17" x14ac:dyDescent="0.35">
      <c r="Q70006" s="1"/>
    </row>
    <row r="70014" spans="17:17" x14ac:dyDescent="0.35">
      <c r="Q70014" s="1"/>
    </row>
    <row r="70016" spans="17:17" x14ac:dyDescent="0.35">
      <c r="Q70016" s="1"/>
    </row>
    <row r="70020" spans="17:17" x14ac:dyDescent="0.35">
      <c r="Q70020" s="1"/>
    </row>
    <row r="70028" spans="17:17" x14ac:dyDescent="0.35">
      <c r="Q70028" s="1"/>
    </row>
    <row r="70029" spans="17:17" x14ac:dyDescent="0.35">
      <c r="Q70029" s="1"/>
    </row>
    <row r="70043" spans="17:17" x14ac:dyDescent="0.35">
      <c r="Q70043" s="1"/>
    </row>
    <row r="70054" spans="17:17" x14ac:dyDescent="0.35">
      <c r="Q70054" s="1"/>
    </row>
    <row r="70055" spans="17:17" x14ac:dyDescent="0.35">
      <c r="Q70055" s="1"/>
    </row>
    <row r="70057" spans="17:17" x14ac:dyDescent="0.35">
      <c r="Q70057" s="1"/>
    </row>
    <row r="70059" spans="17:17" x14ac:dyDescent="0.35">
      <c r="Q70059" s="1"/>
    </row>
    <row r="70060" spans="17:17" x14ac:dyDescent="0.35">
      <c r="Q70060" s="1"/>
    </row>
    <row r="70064" spans="17:17" x14ac:dyDescent="0.35">
      <c r="Q70064" s="1"/>
    </row>
    <row r="70068" spans="17:17" x14ac:dyDescent="0.35">
      <c r="Q70068" s="1"/>
    </row>
    <row r="70069" spans="17:17" x14ac:dyDescent="0.35">
      <c r="Q70069" s="1"/>
    </row>
    <row r="70070" spans="17:17" x14ac:dyDescent="0.35">
      <c r="Q70070" s="1"/>
    </row>
    <row r="70078" spans="17:17" x14ac:dyDescent="0.35">
      <c r="Q70078" s="1"/>
    </row>
    <row r="70082" spans="17:17" x14ac:dyDescent="0.35">
      <c r="Q70082" s="1"/>
    </row>
    <row r="70085" spans="17:17" x14ac:dyDescent="0.35">
      <c r="Q70085" s="1"/>
    </row>
    <row r="70089" spans="17:17" x14ac:dyDescent="0.35">
      <c r="Q70089" s="1"/>
    </row>
    <row r="70091" spans="17:17" x14ac:dyDescent="0.35">
      <c r="Q70091" s="1"/>
    </row>
    <row r="70093" spans="17:17" x14ac:dyDescent="0.35">
      <c r="Q70093" s="1"/>
    </row>
    <row r="70098" spans="17:17" x14ac:dyDescent="0.35">
      <c r="Q70098" s="1"/>
    </row>
    <row r="70107" spans="17:17" x14ac:dyDescent="0.35">
      <c r="Q70107" s="1"/>
    </row>
    <row r="70108" spans="17:17" x14ac:dyDescent="0.35">
      <c r="Q70108" s="1"/>
    </row>
    <row r="70112" spans="17:17" x14ac:dyDescent="0.35">
      <c r="Q70112" s="1"/>
    </row>
    <row r="70119" spans="17:17" x14ac:dyDescent="0.35">
      <c r="Q70119" s="1"/>
    </row>
    <row r="70136" spans="17:17" x14ac:dyDescent="0.35">
      <c r="Q70136" s="1"/>
    </row>
    <row r="70147" spans="17:17" x14ac:dyDescent="0.35">
      <c r="Q70147" s="1"/>
    </row>
    <row r="70149" spans="17:17" x14ac:dyDescent="0.35">
      <c r="Q70149" s="1"/>
    </row>
    <row r="70151" spans="17:17" x14ac:dyDescent="0.35">
      <c r="Q70151" s="1"/>
    </row>
    <row r="70155" spans="17:17" x14ac:dyDescent="0.35">
      <c r="Q70155" s="1"/>
    </row>
    <row r="70156" spans="17:17" x14ac:dyDescent="0.35">
      <c r="Q70156" s="1"/>
    </row>
    <row r="70158" spans="17:17" x14ac:dyDescent="0.35">
      <c r="Q70158" s="1"/>
    </row>
    <row r="70161" spans="17:17" x14ac:dyDescent="0.35">
      <c r="Q70161" s="1"/>
    </row>
    <row r="70170" spans="17:17" x14ac:dyDescent="0.35">
      <c r="Q70170" s="1"/>
    </row>
    <row r="70172" spans="17:17" x14ac:dyDescent="0.35">
      <c r="Q70172" s="1"/>
    </row>
    <row r="70173" spans="17:17" x14ac:dyDescent="0.35">
      <c r="Q70173" s="1"/>
    </row>
    <row r="70176" spans="17:17" x14ac:dyDescent="0.35">
      <c r="Q70176" s="1"/>
    </row>
    <row r="70180" spans="17:17" x14ac:dyDescent="0.35">
      <c r="Q70180" s="1"/>
    </row>
    <row r="70184" spans="17:17" x14ac:dyDescent="0.35">
      <c r="Q70184" s="1"/>
    </row>
    <row r="70189" spans="17:17" x14ac:dyDescent="0.35">
      <c r="Q70189" s="1"/>
    </row>
    <row r="70194" spans="17:17" x14ac:dyDescent="0.35">
      <c r="Q70194" s="1"/>
    </row>
    <row r="70197" spans="17:17" x14ac:dyDescent="0.35">
      <c r="Q70197" s="1"/>
    </row>
    <row r="70198" spans="17:17" x14ac:dyDescent="0.35">
      <c r="Q70198" s="1"/>
    </row>
    <row r="70202" spans="17:17" x14ac:dyDescent="0.35">
      <c r="Q70202" s="1"/>
    </row>
    <row r="70218" spans="17:17" x14ac:dyDescent="0.35">
      <c r="Q70218" s="1"/>
    </row>
    <row r="70221" spans="17:17" x14ac:dyDescent="0.35">
      <c r="Q70221" s="1"/>
    </row>
    <row r="70226" spans="17:17" x14ac:dyDescent="0.35">
      <c r="Q70226" s="1"/>
    </row>
    <row r="70230" spans="17:17" x14ac:dyDescent="0.35">
      <c r="Q70230" s="1"/>
    </row>
    <row r="70232" spans="17:17" x14ac:dyDescent="0.35">
      <c r="Q70232" s="1"/>
    </row>
    <row r="70234" spans="17:17" x14ac:dyDescent="0.35">
      <c r="Q70234" s="1"/>
    </row>
    <row r="70238" spans="17:17" x14ac:dyDescent="0.35">
      <c r="Q70238" s="1"/>
    </row>
    <row r="70256" spans="17:17" x14ac:dyDescent="0.35">
      <c r="Q70256" s="1"/>
    </row>
    <row r="70258" spans="17:17" x14ac:dyDescent="0.35">
      <c r="Q70258" s="1"/>
    </row>
    <row r="70260" spans="17:17" x14ac:dyDescent="0.35">
      <c r="Q70260" s="1"/>
    </row>
    <row r="70263" spans="17:17" x14ac:dyDescent="0.35">
      <c r="Q70263" s="1"/>
    </row>
    <row r="70264" spans="17:17" x14ac:dyDescent="0.35">
      <c r="Q70264" s="1"/>
    </row>
    <row r="70267" spans="17:17" x14ac:dyDescent="0.35">
      <c r="Q70267" s="1"/>
    </row>
    <row r="70273" spans="17:17" x14ac:dyDescent="0.35">
      <c r="Q70273" s="1"/>
    </row>
    <row r="70274" spans="17:17" x14ac:dyDescent="0.35">
      <c r="Q70274" s="1"/>
    </row>
    <row r="70275" spans="17:17" x14ac:dyDescent="0.35">
      <c r="Q70275" s="1"/>
    </row>
    <row r="70276" spans="17:17" x14ac:dyDescent="0.35">
      <c r="Q70276" s="1"/>
    </row>
    <row r="70284" spans="17:17" x14ac:dyDescent="0.35">
      <c r="Q70284" s="1"/>
    </row>
    <row r="70285" spans="17:17" x14ac:dyDescent="0.35">
      <c r="Q70285" s="1"/>
    </row>
    <row r="70287" spans="17:17" x14ac:dyDescent="0.35">
      <c r="Q70287" s="1"/>
    </row>
    <row r="70288" spans="17:17" x14ac:dyDescent="0.35">
      <c r="Q70288" s="1"/>
    </row>
    <row r="70295" spans="17:17" x14ac:dyDescent="0.35">
      <c r="Q70295" s="1"/>
    </row>
    <row r="70297" spans="17:17" x14ac:dyDescent="0.35">
      <c r="Q70297" s="1"/>
    </row>
    <row r="70299" spans="17:17" x14ac:dyDescent="0.35">
      <c r="Q70299" s="1"/>
    </row>
    <row r="70304" spans="17:17" x14ac:dyDescent="0.35">
      <c r="Q70304" s="1"/>
    </row>
    <row r="70309" spans="17:17" x14ac:dyDescent="0.35">
      <c r="Q70309" s="1"/>
    </row>
    <row r="70312" spans="17:17" x14ac:dyDescent="0.35">
      <c r="Q70312" s="1"/>
    </row>
    <row r="70329" spans="17:17" x14ac:dyDescent="0.35">
      <c r="Q70329" s="1"/>
    </row>
    <row r="70330" spans="17:17" x14ac:dyDescent="0.35">
      <c r="Q70330" s="1"/>
    </row>
    <row r="70335" spans="17:17" x14ac:dyDescent="0.35">
      <c r="Q70335" s="1"/>
    </row>
    <row r="70336" spans="17:17" x14ac:dyDescent="0.35">
      <c r="Q70336" s="1"/>
    </row>
    <row r="70339" spans="17:17" x14ac:dyDescent="0.35">
      <c r="Q70339" s="1"/>
    </row>
    <row r="70345" spans="17:17" x14ac:dyDescent="0.35">
      <c r="Q70345" s="1"/>
    </row>
    <row r="70349" spans="17:17" x14ac:dyDescent="0.35">
      <c r="Q70349" s="1"/>
    </row>
    <row r="70350" spans="17:17" x14ac:dyDescent="0.35">
      <c r="Q70350" s="1"/>
    </row>
    <row r="70351" spans="17:17" x14ac:dyDescent="0.35">
      <c r="Q70351" s="1"/>
    </row>
    <row r="70353" spans="17:17" x14ac:dyDescent="0.35">
      <c r="Q70353" s="1"/>
    </row>
    <row r="70360" spans="17:17" x14ac:dyDescent="0.35">
      <c r="Q70360" s="1"/>
    </row>
    <row r="70364" spans="17:17" x14ac:dyDescent="0.35">
      <c r="Q70364" s="1"/>
    </row>
    <row r="70370" spans="17:17" x14ac:dyDescent="0.35">
      <c r="Q70370" s="1"/>
    </row>
    <row r="70373" spans="17:17" x14ac:dyDescent="0.35">
      <c r="Q70373" s="1"/>
    </row>
    <row r="70374" spans="17:17" x14ac:dyDescent="0.35">
      <c r="Q70374" s="1"/>
    </row>
    <row r="70375" spans="17:17" x14ac:dyDescent="0.35">
      <c r="Q70375" s="1"/>
    </row>
    <row r="70377" spans="17:17" x14ac:dyDescent="0.35">
      <c r="Q70377" s="1"/>
    </row>
    <row r="70379" spans="17:17" x14ac:dyDescent="0.35">
      <c r="Q70379" s="1"/>
    </row>
    <row r="70382" spans="17:17" x14ac:dyDescent="0.35">
      <c r="Q70382" s="1"/>
    </row>
    <row r="70384" spans="17:17" x14ac:dyDescent="0.35">
      <c r="Q70384" s="1"/>
    </row>
    <row r="70386" spans="17:17" x14ac:dyDescent="0.35">
      <c r="Q70386" s="1"/>
    </row>
    <row r="70387" spans="17:17" x14ac:dyDescent="0.35">
      <c r="Q70387" s="1"/>
    </row>
    <row r="70390" spans="17:17" x14ac:dyDescent="0.35">
      <c r="Q70390" s="1"/>
    </row>
    <row r="70391" spans="17:17" x14ac:dyDescent="0.35">
      <c r="Q70391" s="1"/>
    </row>
    <row r="70393" spans="17:17" x14ac:dyDescent="0.35">
      <c r="Q70393" s="1"/>
    </row>
    <row r="70399" spans="17:17" x14ac:dyDescent="0.35">
      <c r="Q70399" s="1"/>
    </row>
    <row r="70404" spans="17:17" x14ac:dyDescent="0.35">
      <c r="Q70404" s="1"/>
    </row>
    <row r="70408" spans="17:17" x14ac:dyDescent="0.35">
      <c r="Q70408" s="1"/>
    </row>
    <row r="70413" spans="17:17" x14ac:dyDescent="0.35">
      <c r="Q70413" s="1"/>
    </row>
    <row r="70417" spans="17:17" x14ac:dyDescent="0.35">
      <c r="Q70417" s="1"/>
    </row>
    <row r="70422" spans="17:17" x14ac:dyDescent="0.35">
      <c r="Q70422" s="1"/>
    </row>
    <row r="70426" spans="17:17" x14ac:dyDescent="0.35">
      <c r="Q70426" s="1"/>
    </row>
    <row r="70428" spans="17:17" x14ac:dyDescent="0.35">
      <c r="Q70428" s="1"/>
    </row>
    <row r="70433" spans="17:17" x14ac:dyDescent="0.35">
      <c r="Q70433" s="1"/>
    </row>
    <row r="70439" spans="17:17" x14ac:dyDescent="0.35">
      <c r="Q70439" s="1"/>
    </row>
    <row r="70440" spans="17:17" x14ac:dyDescent="0.35">
      <c r="Q70440" s="1"/>
    </row>
    <row r="70442" spans="17:17" x14ac:dyDescent="0.35">
      <c r="Q70442" s="1"/>
    </row>
    <row r="70443" spans="17:17" x14ac:dyDescent="0.35">
      <c r="Q70443" s="1"/>
    </row>
    <row r="70455" spans="17:17" x14ac:dyDescent="0.35">
      <c r="Q70455" s="1"/>
    </row>
    <row r="70456" spans="17:17" x14ac:dyDescent="0.35">
      <c r="Q70456" s="1"/>
    </row>
    <row r="70457" spans="17:17" x14ac:dyDescent="0.35">
      <c r="Q70457" s="1"/>
    </row>
    <row r="70459" spans="17:17" x14ac:dyDescent="0.35">
      <c r="Q70459" s="1"/>
    </row>
    <row r="70464" spans="17:17" x14ac:dyDescent="0.35">
      <c r="Q70464" s="1"/>
    </row>
    <row r="70466" spans="17:17" x14ac:dyDescent="0.35">
      <c r="Q70466" s="1"/>
    </row>
    <row r="70467" spans="17:17" x14ac:dyDescent="0.35">
      <c r="Q70467" s="1"/>
    </row>
    <row r="70470" spans="17:17" x14ac:dyDescent="0.35">
      <c r="Q70470" s="1"/>
    </row>
    <row r="70471" spans="17:17" x14ac:dyDescent="0.35">
      <c r="Q70471" s="1"/>
    </row>
    <row r="70472" spans="17:17" x14ac:dyDescent="0.35">
      <c r="Q70472" s="1"/>
    </row>
    <row r="70475" spans="17:17" x14ac:dyDescent="0.35">
      <c r="Q70475" s="1"/>
    </row>
    <row r="70484" spans="17:17" x14ac:dyDescent="0.35">
      <c r="Q70484" s="1"/>
    </row>
    <row r="70487" spans="17:17" x14ac:dyDescent="0.35">
      <c r="Q70487" s="1"/>
    </row>
    <row r="70496" spans="17:17" x14ac:dyDescent="0.35">
      <c r="Q70496" s="1"/>
    </row>
    <row r="70503" spans="17:17" x14ac:dyDescent="0.35">
      <c r="Q70503" s="1"/>
    </row>
    <row r="70508" spans="17:17" x14ac:dyDescent="0.35">
      <c r="Q70508" s="1"/>
    </row>
    <row r="70512" spans="17:17" x14ac:dyDescent="0.35">
      <c r="Q70512" s="1"/>
    </row>
    <row r="70516" spans="17:17" x14ac:dyDescent="0.35">
      <c r="Q70516" s="1"/>
    </row>
    <row r="70519" spans="17:17" x14ac:dyDescent="0.35">
      <c r="Q70519" s="1"/>
    </row>
    <row r="70523" spans="17:17" x14ac:dyDescent="0.35">
      <c r="Q70523" s="1"/>
    </row>
    <row r="70524" spans="17:17" x14ac:dyDescent="0.35">
      <c r="Q70524" s="1"/>
    </row>
    <row r="70528" spans="17:17" x14ac:dyDescent="0.35">
      <c r="Q70528" s="1"/>
    </row>
    <row r="70531" spans="17:17" x14ac:dyDescent="0.35">
      <c r="Q70531" s="1"/>
    </row>
    <row r="70532" spans="17:17" x14ac:dyDescent="0.35">
      <c r="Q70532" s="1"/>
    </row>
    <row r="70535" spans="17:17" x14ac:dyDescent="0.35">
      <c r="Q70535" s="1"/>
    </row>
    <row r="70537" spans="17:17" x14ac:dyDescent="0.35">
      <c r="Q70537" s="1"/>
    </row>
    <row r="70538" spans="17:17" x14ac:dyDescent="0.35">
      <c r="Q70538" s="1"/>
    </row>
    <row r="70539" spans="17:17" x14ac:dyDescent="0.35">
      <c r="Q70539" s="1"/>
    </row>
    <row r="70545" spans="17:17" x14ac:dyDescent="0.35">
      <c r="Q70545" s="1"/>
    </row>
    <row r="70547" spans="17:17" x14ac:dyDescent="0.35">
      <c r="Q70547" s="1"/>
    </row>
    <row r="70548" spans="17:17" x14ac:dyDescent="0.35">
      <c r="Q70548" s="1"/>
    </row>
    <row r="70553" spans="17:17" x14ac:dyDescent="0.35">
      <c r="Q70553" s="1"/>
    </row>
    <row r="70562" spans="17:17" x14ac:dyDescent="0.35">
      <c r="Q70562" s="1"/>
    </row>
    <row r="70575" spans="17:17" x14ac:dyDescent="0.35">
      <c r="Q70575" s="1"/>
    </row>
    <row r="70581" spans="17:17" x14ac:dyDescent="0.35">
      <c r="Q70581" s="1"/>
    </row>
    <row r="70591" spans="17:17" x14ac:dyDescent="0.35">
      <c r="Q70591" s="1"/>
    </row>
    <row r="70592" spans="17:17" x14ac:dyDescent="0.35">
      <c r="Q70592" s="1"/>
    </row>
    <row r="70595" spans="17:17" x14ac:dyDescent="0.35">
      <c r="Q70595" s="1"/>
    </row>
    <row r="70597" spans="17:17" x14ac:dyDescent="0.35">
      <c r="Q70597" s="1"/>
    </row>
    <row r="70599" spans="17:17" x14ac:dyDescent="0.35">
      <c r="Q70599" s="1"/>
    </row>
    <row r="70600" spans="17:17" x14ac:dyDescent="0.35">
      <c r="Q70600" s="1"/>
    </row>
    <row r="70603" spans="17:17" x14ac:dyDescent="0.35">
      <c r="Q70603" s="1"/>
    </row>
    <row r="70604" spans="17:17" x14ac:dyDescent="0.35">
      <c r="Q70604" s="1"/>
    </row>
    <row r="70606" spans="17:17" x14ac:dyDescent="0.35">
      <c r="Q70606" s="1"/>
    </row>
    <row r="70613" spans="17:17" x14ac:dyDescent="0.35">
      <c r="Q70613" s="1"/>
    </row>
    <row r="70614" spans="17:17" x14ac:dyDescent="0.35">
      <c r="Q70614" s="1"/>
    </row>
    <row r="70620" spans="17:17" x14ac:dyDescent="0.35">
      <c r="Q70620" s="1"/>
    </row>
    <row r="70635" spans="17:17" x14ac:dyDescent="0.35">
      <c r="Q70635" s="1"/>
    </row>
    <row r="70649" spans="16:17" x14ac:dyDescent="0.35">
      <c r="Q70649" s="1"/>
    </row>
    <row r="70653" spans="16:17" x14ac:dyDescent="0.35">
      <c r="P70653" s="1"/>
      <c r="Q70653" s="1"/>
    </row>
    <row r="70655" spans="16:17" x14ac:dyDescent="0.35">
      <c r="Q70655" s="1"/>
    </row>
    <row r="70658" spans="17:17" x14ac:dyDescent="0.35">
      <c r="Q70658" s="1"/>
    </row>
    <row r="70659" spans="17:17" x14ac:dyDescent="0.35">
      <c r="Q70659" s="1"/>
    </row>
    <row r="70665" spans="17:17" x14ac:dyDescent="0.35">
      <c r="Q70665" s="1"/>
    </row>
    <row r="70668" spans="17:17" x14ac:dyDescent="0.35">
      <c r="Q70668" s="1"/>
    </row>
    <row r="70669" spans="17:17" x14ac:dyDescent="0.35">
      <c r="Q70669" s="1"/>
    </row>
    <row r="70670" spans="17:17" x14ac:dyDescent="0.35">
      <c r="Q70670" s="1"/>
    </row>
    <row r="70672" spans="17:17" x14ac:dyDescent="0.35">
      <c r="Q70672" s="1"/>
    </row>
    <row r="70675" spans="17:17" x14ac:dyDescent="0.35">
      <c r="Q70675" s="1"/>
    </row>
    <row r="70681" spans="17:17" x14ac:dyDescent="0.35">
      <c r="Q70681" s="1"/>
    </row>
    <row r="70686" spans="17:17" x14ac:dyDescent="0.35">
      <c r="Q70686" s="1"/>
    </row>
    <row r="70688" spans="17:17" x14ac:dyDescent="0.35">
      <c r="Q70688" s="1"/>
    </row>
    <row r="70694" spans="17:17" x14ac:dyDescent="0.35">
      <c r="Q70694" s="1"/>
    </row>
    <row r="70695" spans="17:17" x14ac:dyDescent="0.35">
      <c r="Q70695" s="1"/>
    </row>
    <row r="70696" spans="17:17" x14ac:dyDescent="0.35">
      <c r="Q70696" s="1"/>
    </row>
    <row r="70698" spans="17:17" x14ac:dyDescent="0.35">
      <c r="Q70698" s="1"/>
    </row>
    <row r="70708" spans="17:17" x14ac:dyDescent="0.35">
      <c r="Q70708" s="1"/>
    </row>
    <row r="70713" spans="17:17" x14ac:dyDescent="0.35">
      <c r="Q70713" s="1"/>
    </row>
    <row r="70715" spans="17:17" x14ac:dyDescent="0.35">
      <c r="Q70715" s="1"/>
    </row>
    <row r="70716" spans="17:17" x14ac:dyDescent="0.35">
      <c r="Q70716" s="1"/>
    </row>
    <row r="70717" spans="17:17" x14ac:dyDescent="0.35">
      <c r="Q70717" s="1"/>
    </row>
    <row r="70719" spans="17:17" x14ac:dyDescent="0.35">
      <c r="Q70719" s="1"/>
    </row>
    <row r="70731" spans="17:17" x14ac:dyDescent="0.35">
      <c r="Q70731" s="1"/>
    </row>
    <row r="70732" spans="17:17" x14ac:dyDescent="0.35">
      <c r="Q70732" s="1"/>
    </row>
    <row r="70734" spans="17:17" x14ac:dyDescent="0.35">
      <c r="Q70734" s="1"/>
    </row>
    <row r="70736" spans="17:17" x14ac:dyDescent="0.35">
      <c r="Q70736" s="1"/>
    </row>
    <row r="70739" spans="17:17" x14ac:dyDescent="0.35">
      <c r="Q70739" s="1"/>
    </row>
    <row r="70742" spans="17:17" x14ac:dyDescent="0.35">
      <c r="Q70742" s="1"/>
    </row>
    <row r="70745" spans="17:17" x14ac:dyDescent="0.35">
      <c r="Q70745" s="1"/>
    </row>
    <row r="70747" spans="17:17" x14ac:dyDescent="0.35">
      <c r="Q70747" s="1"/>
    </row>
    <row r="70765" spans="17:17" x14ac:dyDescent="0.35">
      <c r="Q70765" s="1"/>
    </row>
    <row r="70768" spans="17:17" x14ac:dyDescent="0.35">
      <c r="Q70768" s="1"/>
    </row>
    <row r="70769" spans="17:17" x14ac:dyDescent="0.35">
      <c r="Q70769" s="1"/>
    </row>
    <row r="70770" spans="17:17" x14ac:dyDescent="0.35">
      <c r="Q70770" s="1"/>
    </row>
    <row r="70779" spans="17:17" x14ac:dyDescent="0.35">
      <c r="Q70779" s="1"/>
    </row>
    <row r="70782" spans="17:17" x14ac:dyDescent="0.35">
      <c r="Q70782" s="1"/>
    </row>
    <row r="70783" spans="17:17" x14ac:dyDescent="0.35">
      <c r="Q70783" s="1"/>
    </row>
    <row r="70788" spans="17:17" x14ac:dyDescent="0.35">
      <c r="Q70788" s="1"/>
    </row>
    <row r="70791" spans="17:17" x14ac:dyDescent="0.35">
      <c r="Q70791" s="1"/>
    </row>
    <row r="70792" spans="17:17" x14ac:dyDescent="0.35">
      <c r="Q70792" s="1"/>
    </row>
    <row r="70794" spans="17:17" x14ac:dyDescent="0.35">
      <c r="Q70794" s="1"/>
    </row>
    <row r="70796" spans="17:17" x14ac:dyDescent="0.35">
      <c r="Q70796" s="1"/>
    </row>
    <row r="70797" spans="17:17" x14ac:dyDescent="0.35">
      <c r="Q70797" s="1"/>
    </row>
    <row r="70801" spans="17:17" x14ac:dyDescent="0.35">
      <c r="Q70801" s="1"/>
    </row>
    <row r="70806" spans="17:17" x14ac:dyDescent="0.35">
      <c r="Q70806" s="1"/>
    </row>
    <row r="70810" spans="17:17" x14ac:dyDescent="0.35">
      <c r="Q70810" s="1"/>
    </row>
    <row r="70812" spans="17:17" x14ac:dyDescent="0.35">
      <c r="Q70812" s="1"/>
    </row>
    <row r="70813" spans="17:17" x14ac:dyDescent="0.35">
      <c r="Q70813" s="1"/>
    </row>
    <row r="70814" spans="17:17" x14ac:dyDescent="0.35">
      <c r="Q70814" s="1"/>
    </row>
    <row r="70823" spans="17:17" x14ac:dyDescent="0.35">
      <c r="Q70823" s="1"/>
    </row>
    <row r="70824" spans="17:17" x14ac:dyDescent="0.35">
      <c r="Q70824" s="1"/>
    </row>
    <row r="70827" spans="17:17" x14ac:dyDescent="0.35">
      <c r="Q70827" s="1"/>
    </row>
    <row r="70840" spans="17:17" x14ac:dyDescent="0.35">
      <c r="Q70840" s="1"/>
    </row>
    <row r="70842" spans="17:17" x14ac:dyDescent="0.35">
      <c r="Q70842" s="1"/>
    </row>
    <row r="70844" spans="17:17" x14ac:dyDescent="0.35">
      <c r="Q70844" s="1"/>
    </row>
    <row r="70848" spans="17:17" x14ac:dyDescent="0.35">
      <c r="Q70848" s="1"/>
    </row>
    <row r="70858" spans="17:17" x14ac:dyDescent="0.35">
      <c r="Q70858" s="1"/>
    </row>
    <row r="70859" spans="17:17" x14ac:dyDescent="0.35">
      <c r="Q70859" s="1"/>
    </row>
    <row r="70863" spans="17:17" x14ac:dyDescent="0.35">
      <c r="Q70863" s="1"/>
    </row>
    <row r="70866" spans="17:17" x14ac:dyDescent="0.35">
      <c r="Q70866" s="1"/>
    </row>
    <row r="70867" spans="17:17" x14ac:dyDescent="0.35">
      <c r="Q70867" s="1"/>
    </row>
    <row r="70874" spans="17:17" x14ac:dyDescent="0.35">
      <c r="Q70874" s="1"/>
    </row>
    <row r="70878" spans="17:17" x14ac:dyDescent="0.35">
      <c r="Q70878" s="1"/>
    </row>
    <row r="70882" spans="17:17" x14ac:dyDescent="0.35">
      <c r="Q70882" s="1"/>
    </row>
    <row r="70886" spans="17:17" x14ac:dyDescent="0.35">
      <c r="Q70886" s="1"/>
    </row>
    <row r="70887" spans="17:17" x14ac:dyDescent="0.35">
      <c r="Q70887" s="1"/>
    </row>
    <row r="70888" spans="17:17" x14ac:dyDescent="0.35">
      <c r="Q70888" s="1"/>
    </row>
    <row r="70889" spans="17:17" x14ac:dyDescent="0.35">
      <c r="Q70889" s="1"/>
    </row>
    <row r="70898" spans="17:17" x14ac:dyDescent="0.35">
      <c r="Q70898" s="1"/>
    </row>
    <row r="70901" spans="17:17" x14ac:dyDescent="0.35">
      <c r="Q70901" s="1"/>
    </row>
    <row r="70902" spans="17:17" x14ac:dyDescent="0.35">
      <c r="Q70902" s="1"/>
    </row>
    <row r="70903" spans="17:17" x14ac:dyDescent="0.35">
      <c r="Q70903" s="1"/>
    </row>
    <row r="70904" spans="17:17" x14ac:dyDescent="0.35">
      <c r="Q70904" s="1"/>
    </row>
    <row r="70905" spans="17:17" x14ac:dyDescent="0.35">
      <c r="Q70905" s="1"/>
    </row>
    <row r="70922" spans="17:17" x14ac:dyDescent="0.35">
      <c r="Q70922" s="1"/>
    </row>
    <row r="70924" spans="17:17" x14ac:dyDescent="0.35">
      <c r="Q70924" s="1"/>
    </row>
    <row r="70931" spans="17:17" x14ac:dyDescent="0.35">
      <c r="Q70931" s="1"/>
    </row>
    <row r="70934" spans="17:17" x14ac:dyDescent="0.35">
      <c r="Q70934" s="1"/>
    </row>
    <row r="70948" spans="17:17" x14ac:dyDescent="0.35">
      <c r="Q70948" s="1"/>
    </row>
    <row r="70952" spans="17:17" x14ac:dyDescent="0.35">
      <c r="Q70952" s="1"/>
    </row>
    <row r="70955" spans="17:17" x14ac:dyDescent="0.35">
      <c r="Q70955" s="1"/>
    </row>
    <row r="70957" spans="17:17" x14ac:dyDescent="0.35">
      <c r="Q70957" s="1"/>
    </row>
    <row r="70962" spans="17:17" x14ac:dyDescent="0.35">
      <c r="Q70962" s="1"/>
    </row>
    <row r="70966" spans="17:17" x14ac:dyDescent="0.35">
      <c r="Q70966" s="1"/>
    </row>
    <row r="70971" spans="17:17" x14ac:dyDescent="0.35">
      <c r="Q70971" s="1"/>
    </row>
    <row r="70973" spans="17:17" x14ac:dyDescent="0.35">
      <c r="Q70973" s="1"/>
    </row>
    <row r="70975" spans="17:17" x14ac:dyDescent="0.35">
      <c r="Q70975" s="1"/>
    </row>
    <row r="70976" spans="17:17" x14ac:dyDescent="0.35">
      <c r="Q70976" s="1"/>
    </row>
    <row r="70977" spans="17:17" x14ac:dyDescent="0.35">
      <c r="Q70977" s="1"/>
    </row>
    <row r="70987" spans="17:17" x14ac:dyDescent="0.35">
      <c r="Q70987" s="1"/>
    </row>
    <row r="70990" spans="17:17" x14ac:dyDescent="0.35">
      <c r="Q70990" s="1"/>
    </row>
    <row r="70991" spans="17:17" x14ac:dyDescent="0.35">
      <c r="Q70991" s="1"/>
    </row>
    <row r="70998" spans="17:17" x14ac:dyDescent="0.35">
      <c r="Q70998" s="1"/>
    </row>
    <row r="71019" spans="16:17" x14ac:dyDescent="0.35">
      <c r="P71019" s="1"/>
    </row>
    <row r="71020" spans="16:17" x14ac:dyDescent="0.35">
      <c r="Q71020" s="1"/>
    </row>
    <row r="71021" spans="16:17" x14ac:dyDescent="0.35">
      <c r="P71021" s="1"/>
    </row>
    <row r="71026" spans="16:17" x14ac:dyDescent="0.35">
      <c r="P71026" s="1"/>
    </row>
    <row r="71027" spans="16:17" x14ac:dyDescent="0.35">
      <c r="Q71027" s="1"/>
    </row>
    <row r="71032" spans="16:17" x14ac:dyDescent="0.35">
      <c r="P71032" s="1"/>
    </row>
    <row r="71034" spans="16:17" x14ac:dyDescent="0.35">
      <c r="Q71034" s="1"/>
    </row>
    <row r="71035" spans="16:17" x14ac:dyDescent="0.35">
      <c r="P71035" s="1"/>
    </row>
    <row r="71038" spans="16:17" x14ac:dyDescent="0.35">
      <c r="P71038" s="1"/>
    </row>
    <row r="71044" spans="16:16" x14ac:dyDescent="0.35">
      <c r="P71044" s="1"/>
    </row>
    <row r="71052" spans="16:16" x14ac:dyDescent="0.35">
      <c r="P71052" s="1"/>
    </row>
    <row r="71057" spans="16:17" x14ac:dyDescent="0.35">
      <c r="Q71057" s="1"/>
    </row>
    <row r="71059" spans="16:17" x14ac:dyDescent="0.35">
      <c r="Q71059" s="1"/>
    </row>
    <row r="71064" spans="16:17" x14ac:dyDescent="0.35">
      <c r="Q71064" s="1"/>
    </row>
    <row r="71065" spans="16:17" x14ac:dyDescent="0.35">
      <c r="P71065" s="1"/>
    </row>
    <row r="71066" spans="16:17" x14ac:dyDescent="0.35">
      <c r="P71066" s="1"/>
      <c r="Q71066" s="1"/>
    </row>
    <row r="71068" spans="16:17" x14ac:dyDescent="0.35">
      <c r="Q71068" s="1"/>
    </row>
    <row r="71069" spans="16:17" x14ac:dyDescent="0.35">
      <c r="P71069" s="1"/>
    </row>
    <row r="71070" spans="16:17" x14ac:dyDescent="0.35">
      <c r="Q71070" s="1"/>
    </row>
    <row r="71071" spans="16:17" x14ac:dyDescent="0.35">
      <c r="P71071" s="1"/>
      <c r="Q71071" s="1"/>
    </row>
    <row r="71072" spans="16:17" x14ac:dyDescent="0.35">
      <c r="P71072" s="1"/>
      <c r="Q71072" s="1"/>
    </row>
    <row r="71073" spans="16:17" x14ac:dyDescent="0.35">
      <c r="Q71073" s="1"/>
    </row>
    <row r="71076" spans="16:17" x14ac:dyDescent="0.35">
      <c r="Q71076" s="1"/>
    </row>
    <row r="71077" spans="16:17" x14ac:dyDescent="0.35">
      <c r="P71077" s="1"/>
    </row>
    <row r="71078" spans="16:17" x14ac:dyDescent="0.35">
      <c r="P71078" s="1"/>
    </row>
    <row r="71079" spans="16:17" x14ac:dyDescent="0.35">
      <c r="P71079" s="1"/>
      <c r="Q71079" s="1"/>
    </row>
    <row r="71080" spans="16:17" x14ac:dyDescent="0.35">
      <c r="P71080" s="1"/>
    </row>
    <row r="71083" spans="16:17" x14ac:dyDescent="0.35">
      <c r="P71083" s="1"/>
    </row>
    <row r="71084" spans="16:17" x14ac:dyDescent="0.35">
      <c r="P71084" s="1"/>
    </row>
    <row r="71085" spans="16:17" x14ac:dyDescent="0.35">
      <c r="Q71085" s="1"/>
    </row>
    <row r="71088" spans="16:17" x14ac:dyDescent="0.35">
      <c r="Q71088" s="1"/>
    </row>
    <row r="71089" spans="16:17" x14ac:dyDescent="0.35">
      <c r="P71089" s="1"/>
    </row>
    <row r="71091" spans="16:17" x14ac:dyDescent="0.35">
      <c r="P71091" s="1"/>
    </row>
    <row r="71092" spans="16:17" x14ac:dyDescent="0.35">
      <c r="Q71092" s="1"/>
    </row>
    <row r="71093" spans="16:17" x14ac:dyDescent="0.35">
      <c r="P71093" s="1"/>
    </row>
    <row r="71094" spans="16:17" x14ac:dyDescent="0.35">
      <c r="P71094" s="1"/>
    </row>
    <row r="71097" spans="16:17" x14ac:dyDescent="0.35">
      <c r="Q71097" s="1"/>
    </row>
    <row r="71099" spans="16:17" x14ac:dyDescent="0.35">
      <c r="P71099" s="1"/>
    </row>
    <row r="71102" spans="16:17" x14ac:dyDescent="0.35">
      <c r="Q71102" s="1"/>
    </row>
    <row r="71106" spans="17:17" x14ac:dyDescent="0.35">
      <c r="Q71106" s="1"/>
    </row>
    <row r="71111" spans="17:17" x14ac:dyDescent="0.35">
      <c r="Q71111" s="1"/>
    </row>
    <row r="71112" spans="17:17" x14ac:dyDescent="0.35">
      <c r="Q71112" s="1"/>
    </row>
    <row r="71117" spans="17:17" x14ac:dyDescent="0.35">
      <c r="Q71117" s="1"/>
    </row>
    <row r="71118" spans="17:17" x14ac:dyDescent="0.35">
      <c r="Q71118" s="1"/>
    </row>
    <row r="71119" spans="17:17" x14ac:dyDescent="0.35">
      <c r="Q71119" s="1"/>
    </row>
    <row r="71120" spans="17:17" x14ac:dyDescent="0.35">
      <c r="Q71120" s="1"/>
    </row>
    <row r="71121" spans="16:17" x14ac:dyDescent="0.35">
      <c r="Q71121" s="1"/>
    </row>
    <row r="71124" spans="16:17" x14ac:dyDescent="0.35">
      <c r="P71124" s="1"/>
    </row>
    <row r="71126" spans="16:17" x14ac:dyDescent="0.35">
      <c r="Q71126" s="1"/>
    </row>
    <row r="71130" spans="16:17" x14ac:dyDescent="0.35">
      <c r="Q71130" s="1"/>
    </row>
    <row r="71131" spans="16:17" x14ac:dyDescent="0.35">
      <c r="Q71131" s="1"/>
    </row>
    <row r="71134" spans="16:17" x14ac:dyDescent="0.35">
      <c r="P71134" s="1"/>
    </row>
    <row r="71135" spans="16:17" x14ac:dyDescent="0.35">
      <c r="P71135" s="1"/>
    </row>
    <row r="71148" spans="16:17" x14ac:dyDescent="0.35">
      <c r="P71148" s="1"/>
    </row>
    <row r="71152" spans="16:17" x14ac:dyDescent="0.35">
      <c r="Q71152" s="1"/>
    </row>
    <row r="71154" spans="17:17" x14ac:dyDescent="0.35">
      <c r="Q71154" s="1"/>
    </row>
    <row r="71160" spans="17:17" x14ac:dyDescent="0.35">
      <c r="Q71160" s="1"/>
    </row>
    <row r="71162" spans="17:17" x14ac:dyDescent="0.35">
      <c r="Q71162" s="1"/>
    </row>
    <row r="71165" spans="17:17" x14ac:dyDescent="0.35">
      <c r="Q71165" s="1"/>
    </row>
    <row r="71172" spans="16:17" x14ac:dyDescent="0.35">
      <c r="P71172" s="1"/>
    </row>
    <row r="71173" spans="16:17" x14ac:dyDescent="0.35">
      <c r="Q71173" s="1"/>
    </row>
    <row r="71175" spans="16:17" x14ac:dyDescent="0.35">
      <c r="Q71175" s="1"/>
    </row>
    <row r="71177" spans="16:17" x14ac:dyDescent="0.35">
      <c r="P71177" s="1"/>
    </row>
    <row r="71179" spans="16:17" x14ac:dyDescent="0.35">
      <c r="Q71179" s="1"/>
    </row>
    <row r="71180" spans="16:17" x14ac:dyDescent="0.35">
      <c r="P71180" s="1"/>
    </row>
    <row r="71183" spans="16:17" x14ac:dyDescent="0.35">
      <c r="P71183" s="1"/>
    </row>
    <row r="71184" spans="16:17" x14ac:dyDescent="0.35">
      <c r="P71184" s="1"/>
    </row>
    <row r="71185" spans="16:17" x14ac:dyDescent="0.35">
      <c r="P71185" s="1"/>
    </row>
    <row r="71187" spans="16:17" x14ac:dyDescent="0.35">
      <c r="P71187" s="1"/>
    </row>
    <row r="71195" spans="16:17" x14ac:dyDescent="0.35">
      <c r="P71195" s="1"/>
    </row>
    <row r="71196" spans="16:17" x14ac:dyDescent="0.35">
      <c r="P71196" s="1"/>
    </row>
    <row r="71198" spans="16:17" x14ac:dyDescent="0.35">
      <c r="P71198" s="1"/>
    </row>
    <row r="71199" spans="16:17" x14ac:dyDescent="0.35">
      <c r="P71199" s="1"/>
    </row>
    <row r="71200" spans="16:17" x14ac:dyDescent="0.35">
      <c r="Q71200" s="1"/>
    </row>
    <row r="71201" spans="16:17" x14ac:dyDescent="0.35">
      <c r="P71201" s="1"/>
    </row>
    <row r="71203" spans="16:17" x14ac:dyDescent="0.35">
      <c r="Q71203" s="1"/>
    </row>
    <row r="71204" spans="16:17" x14ac:dyDescent="0.35">
      <c r="Q71204" s="1"/>
    </row>
    <row r="71206" spans="16:17" x14ac:dyDescent="0.35">
      <c r="P71206" s="1"/>
    </row>
    <row r="71214" spans="16:17" x14ac:dyDescent="0.35">
      <c r="Q71214" s="1"/>
    </row>
    <row r="71225" spans="16:17" x14ac:dyDescent="0.35">
      <c r="P71225" s="1"/>
    </row>
    <row r="71232" spans="16:17" x14ac:dyDescent="0.35">
      <c r="Q71232" s="1"/>
    </row>
    <row r="71234" spans="16:17" x14ac:dyDescent="0.35">
      <c r="P71234" s="1"/>
    </row>
    <row r="71236" spans="16:17" x14ac:dyDescent="0.35">
      <c r="P71236" s="1"/>
    </row>
    <row r="71238" spans="16:17" x14ac:dyDescent="0.35">
      <c r="P71238" s="1"/>
    </row>
    <row r="71240" spans="16:17" x14ac:dyDescent="0.35">
      <c r="Q71240" s="1"/>
    </row>
    <row r="71241" spans="16:17" x14ac:dyDescent="0.35">
      <c r="P71241" s="1"/>
    </row>
    <row r="71244" spans="16:17" x14ac:dyDescent="0.35">
      <c r="P71244" s="1"/>
    </row>
    <row r="71245" spans="16:17" x14ac:dyDescent="0.35">
      <c r="P71245" s="1"/>
    </row>
    <row r="71246" spans="16:17" x14ac:dyDescent="0.35">
      <c r="P71246" s="1"/>
    </row>
    <row r="71249" spans="16:17" x14ac:dyDescent="0.35">
      <c r="P71249" s="1"/>
    </row>
    <row r="71251" spans="16:17" x14ac:dyDescent="0.35">
      <c r="Q71251" s="1"/>
    </row>
    <row r="71252" spans="16:17" x14ac:dyDescent="0.35">
      <c r="P71252" s="1"/>
    </row>
    <row r="71260" spans="16:17" x14ac:dyDescent="0.35">
      <c r="Q71260" s="1"/>
    </row>
    <row r="71264" spans="16:17" x14ac:dyDescent="0.35">
      <c r="P71264" s="1"/>
    </row>
    <row r="71265" spans="16:17" x14ac:dyDescent="0.35">
      <c r="Q71265" s="1"/>
    </row>
    <row r="71269" spans="16:17" x14ac:dyDescent="0.35">
      <c r="Q71269" s="1"/>
    </row>
    <row r="71270" spans="16:17" x14ac:dyDescent="0.35">
      <c r="Q71270" s="1"/>
    </row>
    <row r="71271" spans="16:17" x14ac:dyDescent="0.35">
      <c r="Q71271" s="1"/>
    </row>
    <row r="71278" spans="16:17" x14ac:dyDescent="0.35">
      <c r="P71278" s="1"/>
      <c r="Q71278" s="1"/>
    </row>
    <row r="71279" spans="16:17" x14ac:dyDescent="0.35">
      <c r="Q71279" s="1"/>
    </row>
    <row r="71280" spans="16:17" x14ac:dyDescent="0.35">
      <c r="Q71280" s="1"/>
    </row>
    <row r="71284" spans="16:17" x14ac:dyDescent="0.35">
      <c r="P71284" s="1"/>
    </row>
    <row r="71290" spans="16:17" x14ac:dyDescent="0.35">
      <c r="P71290" s="1"/>
    </row>
    <row r="71291" spans="16:17" x14ac:dyDescent="0.35">
      <c r="Q71291" s="1"/>
    </row>
    <row r="71295" spans="16:17" x14ac:dyDescent="0.35">
      <c r="P71295" s="1"/>
      <c r="Q71295" s="1"/>
    </row>
    <row r="71298" spans="16:17" x14ac:dyDescent="0.35">
      <c r="Q71298" s="1"/>
    </row>
    <row r="71299" spans="16:17" x14ac:dyDescent="0.35">
      <c r="Q71299" s="1"/>
    </row>
    <row r="71301" spans="16:17" x14ac:dyDescent="0.35">
      <c r="P71301" s="1"/>
    </row>
    <row r="71304" spans="16:17" x14ac:dyDescent="0.35">
      <c r="Q71304" s="1"/>
    </row>
    <row r="71310" spans="16:17" x14ac:dyDescent="0.35">
      <c r="Q71310" s="1"/>
    </row>
    <row r="71313" spans="16:17" x14ac:dyDescent="0.35">
      <c r="Q71313" s="1"/>
    </row>
    <row r="71319" spans="16:17" x14ac:dyDescent="0.35">
      <c r="P71319" s="1"/>
    </row>
    <row r="71322" spans="16:17" x14ac:dyDescent="0.35">
      <c r="Q71322" s="1"/>
    </row>
    <row r="71324" spans="16:17" x14ac:dyDescent="0.35">
      <c r="P71324" s="1"/>
    </row>
    <row r="71328" spans="16:17" x14ac:dyDescent="0.35">
      <c r="Q71328" s="1"/>
    </row>
    <row r="71330" spans="16:17" x14ac:dyDescent="0.35">
      <c r="P71330" s="1"/>
    </row>
    <row r="71332" spans="16:17" x14ac:dyDescent="0.35">
      <c r="Q71332" s="1"/>
    </row>
    <row r="71338" spans="16:17" x14ac:dyDescent="0.35">
      <c r="Q71338" s="1"/>
    </row>
    <row r="71339" spans="16:17" x14ac:dyDescent="0.35">
      <c r="Q71339" s="1"/>
    </row>
    <row r="71340" spans="16:17" x14ac:dyDescent="0.35">
      <c r="Q71340" s="1"/>
    </row>
    <row r="71342" spans="16:17" x14ac:dyDescent="0.35">
      <c r="P71342" s="1"/>
    </row>
    <row r="71344" spans="16:17" x14ac:dyDescent="0.35">
      <c r="P71344" s="1"/>
    </row>
    <row r="71345" spans="16:17" x14ac:dyDescent="0.35">
      <c r="P71345" s="1"/>
    </row>
    <row r="71346" spans="16:17" x14ac:dyDescent="0.35">
      <c r="P71346" s="1"/>
    </row>
    <row r="71347" spans="16:17" x14ac:dyDescent="0.35">
      <c r="P71347" s="1"/>
    </row>
    <row r="71348" spans="16:17" x14ac:dyDescent="0.35">
      <c r="P71348" s="1"/>
    </row>
    <row r="71349" spans="16:17" x14ac:dyDescent="0.35">
      <c r="Q71349" s="1"/>
    </row>
    <row r="71351" spans="16:17" x14ac:dyDescent="0.35">
      <c r="Q71351" s="1"/>
    </row>
    <row r="71352" spans="16:17" x14ac:dyDescent="0.35">
      <c r="Q71352" s="1"/>
    </row>
    <row r="71360" spans="16:17" x14ac:dyDescent="0.35">
      <c r="Q71360" s="1"/>
    </row>
    <row r="71369" spans="17:17" x14ac:dyDescent="0.35">
      <c r="Q71369" s="1"/>
    </row>
    <row r="71378" spans="16:17" x14ac:dyDescent="0.35">
      <c r="Q71378" s="1"/>
    </row>
    <row r="71384" spans="16:17" x14ac:dyDescent="0.35">
      <c r="P71384" s="1"/>
    </row>
    <row r="71396" spans="16:17" x14ac:dyDescent="0.35">
      <c r="Q71396" s="1"/>
    </row>
    <row r="71405" spans="16:17" x14ac:dyDescent="0.35">
      <c r="P71405" s="1"/>
    </row>
    <row r="71407" spans="16:17" x14ac:dyDescent="0.35">
      <c r="Q71407" s="1"/>
    </row>
    <row r="71413" spans="16:17" x14ac:dyDescent="0.35">
      <c r="Q71413" s="1"/>
    </row>
    <row r="71414" spans="16:17" x14ac:dyDescent="0.35">
      <c r="Q71414" s="1"/>
    </row>
    <row r="71416" spans="16:17" x14ac:dyDescent="0.35">
      <c r="Q71416" s="1"/>
    </row>
    <row r="71420" spans="16:17" x14ac:dyDescent="0.35">
      <c r="P71420" s="1"/>
    </row>
    <row r="71424" spans="16:17" x14ac:dyDescent="0.35">
      <c r="Q71424" s="1"/>
    </row>
    <row r="71428" spans="17:17" x14ac:dyDescent="0.35">
      <c r="Q71428" s="1"/>
    </row>
    <row r="71430" spans="17:17" x14ac:dyDescent="0.35">
      <c r="Q71430" s="1"/>
    </row>
    <row r="71433" spans="17:17" x14ac:dyDescent="0.35">
      <c r="Q71433" s="1"/>
    </row>
    <row r="71435" spans="17:17" x14ac:dyDescent="0.35">
      <c r="Q71435" s="1"/>
    </row>
    <row r="71440" spans="17:17" x14ac:dyDescent="0.35">
      <c r="Q71440" s="1"/>
    </row>
    <row r="71442" spans="16:17" x14ac:dyDescent="0.35">
      <c r="P71442" s="1"/>
    </row>
    <row r="71451" spans="16:17" x14ac:dyDescent="0.35">
      <c r="Q71451" s="1"/>
    </row>
    <row r="71452" spans="16:17" x14ac:dyDescent="0.35">
      <c r="Q71452" s="1"/>
    </row>
    <row r="71454" spans="16:17" x14ac:dyDescent="0.35">
      <c r="P71454" s="1"/>
    </row>
    <row r="71460" spans="16:17" x14ac:dyDescent="0.35">
      <c r="Q71460" s="1"/>
    </row>
    <row r="71466" spans="16:17" x14ac:dyDescent="0.35">
      <c r="P71466" s="1"/>
      <c r="Q71466" s="1"/>
    </row>
    <row r="71469" spans="16:17" x14ac:dyDescent="0.35">
      <c r="Q71469" s="1"/>
    </row>
    <row r="71471" spans="16:17" x14ac:dyDescent="0.35">
      <c r="P71471" s="1"/>
    </row>
    <row r="71473" spans="16:17" x14ac:dyDescent="0.35">
      <c r="Q71473" s="1"/>
    </row>
    <row r="71476" spans="16:17" x14ac:dyDescent="0.35">
      <c r="P71476" s="1"/>
    </row>
    <row r="71480" spans="16:17" x14ac:dyDescent="0.35">
      <c r="P71480" s="1"/>
    </row>
    <row r="71481" spans="16:17" x14ac:dyDescent="0.35">
      <c r="Q71481" s="1"/>
    </row>
    <row r="71483" spans="16:17" x14ac:dyDescent="0.35">
      <c r="Q71483" s="1"/>
    </row>
    <row r="71484" spans="16:17" x14ac:dyDescent="0.35">
      <c r="Q71484" s="1"/>
    </row>
    <row r="71489" spans="16:17" x14ac:dyDescent="0.35">
      <c r="Q71489" s="1"/>
    </row>
    <row r="71491" spans="16:17" x14ac:dyDescent="0.35">
      <c r="Q71491" s="1"/>
    </row>
    <row r="71493" spans="16:17" x14ac:dyDescent="0.35">
      <c r="P71493" s="1"/>
    </row>
    <row r="71496" spans="16:17" x14ac:dyDescent="0.35">
      <c r="Q71496" s="1"/>
    </row>
    <row r="71499" spans="16:17" x14ac:dyDescent="0.35">
      <c r="P71499" s="1"/>
    </row>
    <row r="71503" spans="16:17" x14ac:dyDescent="0.35">
      <c r="Q71503" s="1"/>
    </row>
    <row r="71510" spans="16:17" x14ac:dyDescent="0.35">
      <c r="Q71510" s="1"/>
    </row>
    <row r="71511" spans="16:17" x14ac:dyDescent="0.35">
      <c r="Q71511" s="1"/>
    </row>
    <row r="71514" spans="16:17" x14ac:dyDescent="0.35">
      <c r="P71514" s="1"/>
    </row>
    <row r="71521" spans="16:17" x14ac:dyDescent="0.35">
      <c r="P71521" s="1"/>
    </row>
    <row r="71525" spans="16:17" x14ac:dyDescent="0.35">
      <c r="P71525" s="1"/>
    </row>
    <row r="71527" spans="16:17" x14ac:dyDescent="0.35">
      <c r="Q71527" s="1"/>
    </row>
    <row r="71531" spans="16:17" x14ac:dyDescent="0.35">
      <c r="Q71531" s="1"/>
    </row>
    <row r="71535" spans="16:17" x14ac:dyDescent="0.35">
      <c r="Q71535" s="1"/>
    </row>
    <row r="71536" spans="16:17" x14ac:dyDescent="0.35">
      <c r="P71536" s="1"/>
    </row>
    <row r="71538" spans="17:17" x14ac:dyDescent="0.35">
      <c r="Q71538" s="1"/>
    </row>
    <row r="71540" spans="17:17" x14ac:dyDescent="0.35">
      <c r="Q71540" s="1"/>
    </row>
    <row r="71543" spans="17:17" x14ac:dyDescent="0.35">
      <c r="Q71543" s="1"/>
    </row>
    <row r="71549" spans="17:17" x14ac:dyDescent="0.35">
      <c r="Q71549" s="1"/>
    </row>
    <row r="71550" spans="17:17" x14ac:dyDescent="0.35">
      <c r="Q71550" s="1"/>
    </row>
    <row r="71551" spans="17:17" x14ac:dyDescent="0.35">
      <c r="Q71551" s="1"/>
    </row>
    <row r="71554" spans="16:17" x14ac:dyDescent="0.35">
      <c r="Q71554" s="1"/>
    </row>
    <row r="71556" spans="16:17" x14ac:dyDescent="0.35">
      <c r="P71556" s="1"/>
    </row>
    <row r="71559" spans="16:17" x14ac:dyDescent="0.35">
      <c r="P71559" s="1"/>
    </row>
    <row r="71562" spans="16:17" x14ac:dyDescent="0.35">
      <c r="Q71562" s="1"/>
    </row>
    <row r="71565" spans="16:17" x14ac:dyDescent="0.35">
      <c r="Q71565" s="1"/>
    </row>
    <row r="71566" spans="16:17" x14ac:dyDescent="0.35">
      <c r="Q71566" s="1"/>
    </row>
    <row r="71570" spans="16:17" x14ac:dyDescent="0.35">
      <c r="P71570" s="1"/>
    </row>
    <row r="71576" spans="16:17" x14ac:dyDescent="0.35">
      <c r="P71576" s="1"/>
    </row>
    <row r="71580" spans="16:17" x14ac:dyDescent="0.35">
      <c r="Q71580" s="1"/>
    </row>
    <row r="71592" spans="16:17" x14ac:dyDescent="0.35">
      <c r="Q71592" s="1"/>
    </row>
    <row r="71597" spans="16:17" x14ac:dyDescent="0.35">
      <c r="P71597" s="1"/>
    </row>
    <row r="71598" spans="16:17" x14ac:dyDescent="0.35">
      <c r="P71598" s="1"/>
    </row>
    <row r="71600" spans="16:17" x14ac:dyDescent="0.35">
      <c r="Q71600" s="1"/>
    </row>
    <row r="71601" spans="16:17" x14ac:dyDescent="0.35">
      <c r="P71601" s="1"/>
    </row>
    <row r="71603" spans="16:17" x14ac:dyDescent="0.35">
      <c r="Q71603" s="1"/>
    </row>
    <row r="71604" spans="16:17" x14ac:dyDescent="0.35">
      <c r="P71604" s="1"/>
    </row>
    <row r="71606" spans="16:17" x14ac:dyDescent="0.35">
      <c r="P71606" s="1"/>
    </row>
    <row r="71608" spans="16:17" x14ac:dyDescent="0.35">
      <c r="P71608" s="1"/>
    </row>
    <row r="71610" spans="16:17" x14ac:dyDescent="0.35">
      <c r="Q71610" s="1"/>
    </row>
    <row r="71612" spans="16:17" x14ac:dyDescent="0.35">
      <c r="Q71612" s="1"/>
    </row>
    <row r="71619" spans="17:17" x14ac:dyDescent="0.35">
      <c r="Q71619" s="1"/>
    </row>
    <row r="71621" spans="17:17" x14ac:dyDescent="0.35">
      <c r="Q71621" s="1"/>
    </row>
    <row r="71624" spans="17:17" x14ac:dyDescent="0.35">
      <c r="Q71624" s="1"/>
    </row>
    <row r="71625" spans="17:17" x14ac:dyDescent="0.35">
      <c r="Q71625" s="1"/>
    </row>
    <row r="71632" spans="17:17" x14ac:dyDescent="0.35">
      <c r="Q71632" s="1"/>
    </row>
    <row r="71634" spans="16:17" x14ac:dyDescent="0.35">
      <c r="Q71634" s="1"/>
    </row>
    <row r="71635" spans="16:17" x14ac:dyDescent="0.35">
      <c r="P71635" s="1"/>
    </row>
    <row r="71638" spans="16:17" x14ac:dyDescent="0.35">
      <c r="Q71638" s="1"/>
    </row>
    <row r="71640" spans="16:17" x14ac:dyDescent="0.35">
      <c r="Q71640" s="1"/>
    </row>
    <row r="71642" spans="16:17" x14ac:dyDescent="0.35">
      <c r="P71642" s="1"/>
    </row>
    <row r="71643" spans="16:17" x14ac:dyDescent="0.35">
      <c r="P71643" s="1"/>
      <c r="Q71643" s="1"/>
    </row>
    <row r="71651" spans="16:17" x14ac:dyDescent="0.35">
      <c r="Q71651" s="1"/>
    </row>
    <row r="71655" spans="16:17" x14ac:dyDescent="0.35">
      <c r="P71655" s="1"/>
    </row>
    <row r="71657" spans="16:17" x14ac:dyDescent="0.35">
      <c r="P71657" s="1"/>
    </row>
    <row r="71659" spans="16:17" x14ac:dyDescent="0.35">
      <c r="P71659" s="1"/>
    </row>
    <row r="71662" spans="16:17" x14ac:dyDescent="0.35">
      <c r="Q71662" s="1"/>
    </row>
    <row r="71663" spans="16:17" x14ac:dyDescent="0.35">
      <c r="Q71663" s="1"/>
    </row>
    <row r="71664" spans="16:17" x14ac:dyDescent="0.35">
      <c r="P71664" s="1"/>
    </row>
    <row r="71673" spans="17:17" x14ac:dyDescent="0.35">
      <c r="Q71673" s="1"/>
    </row>
    <row r="71674" spans="17:17" x14ac:dyDescent="0.35">
      <c r="Q71674" s="1"/>
    </row>
    <row r="71676" spans="17:17" x14ac:dyDescent="0.35">
      <c r="Q71676" s="1"/>
    </row>
    <row r="71678" spans="17:17" x14ac:dyDescent="0.35">
      <c r="Q71678" s="1"/>
    </row>
    <row r="71680" spans="17:17" x14ac:dyDescent="0.35">
      <c r="Q71680" s="1"/>
    </row>
    <row r="71683" spans="17:17" x14ac:dyDescent="0.35">
      <c r="Q71683" s="1"/>
    </row>
    <row r="71685" spans="17:17" x14ac:dyDescent="0.35">
      <c r="Q71685" s="1"/>
    </row>
    <row r="71686" spans="17:17" x14ac:dyDescent="0.35">
      <c r="Q71686" s="1"/>
    </row>
    <row r="71689" spans="17:17" x14ac:dyDescent="0.35">
      <c r="Q71689" s="1"/>
    </row>
    <row r="71692" spans="17:17" x14ac:dyDescent="0.35">
      <c r="Q71692" s="1"/>
    </row>
    <row r="71693" spans="17:17" x14ac:dyDescent="0.35">
      <c r="Q71693" s="1"/>
    </row>
    <row r="71697" spans="16:17" x14ac:dyDescent="0.35">
      <c r="Q71697" s="1"/>
    </row>
    <row r="71698" spans="16:17" x14ac:dyDescent="0.35">
      <c r="Q71698" s="1"/>
    </row>
    <row r="71702" spans="16:17" x14ac:dyDescent="0.35">
      <c r="Q71702" s="1"/>
    </row>
    <row r="71704" spans="16:17" x14ac:dyDescent="0.35">
      <c r="P71704" s="1"/>
      <c r="Q71704" s="1"/>
    </row>
    <row r="71706" spans="16:17" x14ac:dyDescent="0.35">
      <c r="Q71706" s="1"/>
    </row>
    <row r="71708" spans="16:17" x14ac:dyDescent="0.35">
      <c r="Q71708" s="1"/>
    </row>
    <row r="71709" spans="16:17" x14ac:dyDescent="0.35">
      <c r="Q71709" s="1"/>
    </row>
    <row r="71712" spans="16:17" x14ac:dyDescent="0.35">
      <c r="P71712" s="1"/>
    </row>
    <row r="71719" spans="16:17" x14ac:dyDescent="0.35">
      <c r="Q71719" s="1"/>
    </row>
    <row r="71727" spans="16:17" x14ac:dyDescent="0.35">
      <c r="Q71727" s="1"/>
    </row>
    <row r="71728" spans="16:17" x14ac:dyDescent="0.35">
      <c r="P71728" s="1"/>
    </row>
    <row r="71729" spans="16:17" x14ac:dyDescent="0.35">
      <c r="Q71729" s="1"/>
    </row>
    <row r="71739" spans="16:17" x14ac:dyDescent="0.35">
      <c r="Q71739" s="1"/>
    </row>
    <row r="71740" spans="16:17" x14ac:dyDescent="0.35">
      <c r="P71740" s="1"/>
    </row>
    <row r="71741" spans="16:17" x14ac:dyDescent="0.35">
      <c r="P71741" s="1"/>
    </row>
    <row r="71742" spans="16:17" x14ac:dyDescent="0.35">
      <c r="P71742" s="1"/>
    </row>
    <row r="71743" spans="16:17" x14ac:dyDescent="0.35">
      <c r="Q71743" s="1"/>
    </row>
    <row r="71744" spans="16:17" x14ac:dyDescent="0.35">
      <c r="Q71744" s="1"/>
    </row>
    <row r="71746" spans="16:17" x14ac:dyDescent="0.35">
      <c r="P71746" s="1"/>
    </row>
    <row r="71751" spans="16:17" x14ac:dyDescent="0.35">
      <c r="P71751" s="1"/>
    </row>
    <row r="71753" spans="16:17" x14ac:dyDescent="0.35">
      <c r="Q71753" s="1"/>
    </row>
    <row r="71754" spans="16:17" x14ac:dyDescent="0.35">
      <c r="P71754" s="1"/>
    </row>
    <row r="71759" spans="16:17" x14ac:dyDescent="0.35">
      <c r="P71759" s="1"/>
    </row>
    <row r="71762" spans="16:17" x14ac:dyDescent="0.35">
      <c r="Q71762" s="1"/>
    </row>
    <row r="71764" spans="16:17" x14ac:dyDescent="0.35">
      <c r="Q71764" s="1"/>
    </row>
    <row r="71772" spans="16:17" x14ac:dyDescent="0.35">
      <c r="P71772" s="1"/>
    </row>
    <row r="71773" spans="16:17" x14ac:dyDescent="0.35">
      <c r="P71773" s="1"/>
    </row>
    <row r="71782" spans="16:17" x14ac:dyDescent="0.35">
      <c r="P71782" s="1"/>
    </row>
    <row r="71786" spans="16:17" x14ac:dyDescent="0.35">
      <c r="Q71786" s="1"/>
    </row>
    <row r="71788" spans="16:17" x14ac:dyDescent="0.35">
      <c r="P71788" s="1"/>
    </row>
    <row r="71790" spans="16:17" x14ac:dyDescent="0.35">
      <c r="Q71790" s="1"/>
    </row>
    <row r="71792" spans="16:17" x14ac:dyDescent="0.35">
      <c r="Q71792" s="1"/>
    </row>
    <row r="71794" spans="16:17" x14ac:dyDescent="0.35">
      <c r="Q71794" s="1"/>
    </row>
    <row r="71796" spans="16:17" x14ac:dyDescent="0.35">
      <c r="Q71796" s="1"/>
    </row>
    <row r="71799" spans="16:17" x14ac:dyDescent="0.35">
      <c r="Q71799" s="1"/>
    </row>
    <row r="71800" spans="16:17" x14ac:dyDescent="0.35">
      <c r="P71800" s="1"/>
    </row>
    <row r="71804" spans="16:17" x14ac:dyDescent="0.35">
      <c r="Q71804" s="1"/>
    </row>
    <row r="71807" spans="16:17" x14ac:dyDescent="0.35">
      <c r="P71807" s="1"/>
    </row>
    <row r="71812" spans="16:17" x14ac:dyDescent="0.35">
      <c r="P71812" s="1"/>
    </row>
    <row r="71813" spans="16:17" x14ac:dyDescent="0.35">
      <c r="Q71813" s="1"/>
    </row>
    <row r="71816" spans="16:17" x14ac:dyDescent="0.35">
      <c r="Q71816" s="1"/>
    </row>
    <row r="71818" spans="16:17" x14ac:dyDescent="0.35">
      <c r="P71818" s="1"/>
    </row>
    <row r="71823" spans="16:17" x14ac:dyDescent="0.35">
      <c r="P71823" s="1"/>
    </row>
    <row r="71829" spans="16:17" x14ac:dyDescent="0.35">
      <c r="Q71829" s="1"/>
    </row>
    <row r="71830" spans="16:17" x14ac:dyDescent="0.35">
      <c r="P71830" s="1"/>
    </row>
    <row r="71831" spans="16:17" x14ac:dyDescent="0.35">
      <c r="Q71831" s="1"/>
    </row>
    <row r="71834" spans="16:17" x14ac:dyDescent="0.35">
      <c r="Q71834" s="1"/>
    </row>
    <row r="71836" spans="16:17" x14ac:dyDescent="0.35">
      <c r="P71836" s="1"/>
    </row>
    <row r="71837" spans="16:17" x14ac:dyDescent="0.35">
      <c r="Q71837" s="1"/>
    </row>
    <row r="71840" spans="16:17" x14ac:dyDescent="0.35">
      <c r="Q71840" s="1"/>
    </row>
    <row r="71850" spans="17:17" x14ac:dyDescent="0.35">
      <c r="Q71850" s="1"/>
    </row>
    <row r="71854" spans="17:17" x14ac:dyDescent="0.35">
      <c r="Q71854" s="1"/>
    </row>
    <row r="71856" spans="17:17" x14ac:dyDescent="0.35">
      <c r="Q71856" s="1"/>
    </row>
    <row r="71857" spans="16:17" x14ac:dyDescent="0.35">
      <c r="Q71857" s="1"/>
    </row>
    <row r="71859" spans="16:17" x14ac:dyDescent="0.35">
      <c r="P71859" s="1"/>
    </row>
    <row r="71863" spans="16:17" x14ac:dyDescent="0.35">
      <c r="Q71863" s="1"/>
    </row>
    <row r="71864" spans="16:17" x14ac:dyDescent="0.35">
      <c r="P71864" s="1"/>
    </row>
    <row r="71865" spans="16:17" x14ac:dyDescent="0.35">
      <c r="Q71865" s="1"/>
    </row>
    <row r="71870" spans="16:17" x14ac:dyDescent="0.35">
      <c r="Q71870" s="1"/>
    </row>
    <row r="71871" spans="16:17" x14ac:dyDescent="0.35">
      <c r="Q71871" s="1"/>
    </row>
    <row r="71873" spans="16:17" x14ac:dyDescent="0.35">
      <c r="Q71873" s="1"/>
    </row>
    <row r="71874" spans="16:17" x14ac:dyDescent="0.35">
      <c r="P71874" s="1"/>
    </row>
    <row r="71875" spans="16:17" x14ac:dyDescent="0.35">
      <c r="Q71875" s="1"/>
    </row>
    <row r="71880" spans="16:17" x14ac:dyDescent="0.35">
      <c r="P71880" s="1"/>
    </row>
    <row r="71883" spans="16:17" x14ac:dyDescent="0.35">
      <c r="P71883" s="1"/>
    </row>
    <row r="71884" spans="16:17" x14ac:dyDescent="0.35">
      <c r="Q71884" s="1"/>
    </row>
    <row r="71885" spans="16:17" x14ac:dyDescent="0.35">
      <c r="Q71885" s="1"/>
    </row>
    <row r="71886" spans="16:17" x14ac:dyDescent="0.35">
      <c r="P71886" s="1"/>
    </row>
    <row r="71888" spans="16:17" x14ac:dyDescent="0.35">
      <c r="Q71888" s="1"/>
    </row>
    <row r="71891" spans="16:17" x14ac:dyDescent="0.35">
      <c r="Q71891" s="1"/>
    </row>
    <row r="71893" spans="16:17" x14ac:dyDescent="0.35">
      <c r="Q71893" s="1"/>
    </row>
    <row r="71894" spans="16:17" x14ac:dyDescent="0.35">
      <c r="Q71894" s="1"/>
    </row>
    <row r="71896" spans="16:17" x14ac:dyDescent="0.35">
      <c r="P71896" s="1"/>
    </row>
    <row r="71900" spans="16:17" x14ac:dyDescent="0.35">
      <c r="P71900" s="1"/>
    </row>
    <row r="71901" spans="16:17" x14ac:dyDescent="0.35">
      <c r="Q71901" s="1"/>
    </row>
    <row r="71903" spans="16:17" x14ac:dyDescent="0.35">
      <c r="Q71903" s="1"/>
    </row>
    <row r="71909" spans="16:17" x14ac:dyDescent="0.35">
      <c r="Q71909" s="1"/>
    </row>
    <row r="71910" spans="16:17" x14ac:dyDescent="0.35">
      <c r="P71910" s="1"/>
    </row>
    <row r="71911" spans="16:17" x14ac:dyDescent="0.35">
      <c r="Q71911" s="1"/>
    </row>
    <row r="71914" spans="16:17" x14ac:dyDescent="0.35">
      <c r="P71914" s="1"/>
    </row>
    <row r="71917" spans="16:17" x14ac:dyDescent="0.35">
      <c r="Q71917" s="1"/>
    </row>
    <row r="71923" spans="16:17" x14ac:dyDescent="0.35">
      <c r="P71923" s="1"/>
      <c r="Q71923" s="1"/>
    </row>
    <row r="71927" spans="16:17" x14ac:dyDescent="0.35">
      <c r="P71927" s="1"/>
    </row>
    <row r="71928" spans="16:17" x14ac:dyDescent="0.35">
      <c r="Q71928" s="1"/>
    </row>
    <row r="71932" spans="16:17" x14ac:dyDescent="0.35">
      <c r="Q71932" s="1"/>
    </row>
    <row r="71934" spans="16:17" x14ac:dyDescent="0.35">
      <c r="Q71934" s="1"/>
    </row>
    <row r="71935" spans="16:17" x14ac:dyDescent="0.35">
      <c r="Q71935" s="1"/>
    </row>
    <row r="71936" spans="16:17" x14ac:dyDescent="0.35">
      <c r="P71936" s="1"/>
    </row>
    <row r="71937" spans="16:17" x14ac:dyDescent="0.35">
      <c r="Q71937" s="1"/>
    </row>
    <row r="71939" spans="16:17" x14ac:dyDescent="0.35">
      <c r="P71939" s="1"/>
    </row>
    <row r="71941" spans="16:17" x14ac:dyDescent="0.35">
      <c r="P71941" s="1"/>
    </row>
    <row r="71942" spans="16:17" x14ac:dyDescent="0.35">
      <c r="Q71942" s="1"/>
    </row>
    <row r="71947" spans="16:17" x14ac:dyDescent="0.35">
      <c r="P71947" s="1"/>
    </row>
    <row r="71949" spans="16:17" x14ac:dyDescent="0.35">
      <c r="Q71949" s="1"/>
    </row>
    <row r="71951" spans="16:17" x14ac:dyDescent="0.35">
      <c r="P71951" s="1"/>
      <c r="Q71951" s="1"/>
    </row>
    <row r="71957" spans="16:17" x14ac:dyDescent="0.35">
      <c r="P71957" s="1"/>
    </row>
    <row r="71959" spans="16:17" x14ac:dyDescent="0.35">
      <c r="Q71959" s="1"/>
    </row>
    <row r="71966" spans="16:17" x14ac:dyDescent="0.35">
      <c r="Q71966" s="1"/>
    </row>
    <row r="71967" spans="16:17" x14ac:dyDescent="0.35">
      <c r="Q71967" s="1"/>
    </row>
    <row r="71968" spans="16:17" x14ac:dyDescent="0.35">
      <c r="Q71968" s="1"/>
    </row>
    <row r="71969" spans="17:17" x14ac:dyDescent="0.35">
      <c r="Q71969" s="1"/>
    </row>
    <row r="71971" spans="17:17" x14ac:dyDescent="0.35">
      <c r="Q71971" s="1"/>
    </row>
    <row r="71972" spans="17:17" x14ac:dyDescent="0.35">
      <c r="Q71972" s="1"/>
    </row>
    <row r="71973" spans="17:17" x14ac:dyDescent="0.35">
      <c r="Q71973" s="1"/>
    </row>
    <row r="71977" spans="17:17" x14ac:dyDescent="0.35">
      <c r="Q71977" s="1"/>
    </row>
    <row r="71978" spans="17:17" x14ac:dyDescent="0.35">
      <c r="Q71978" s="1"/>
    </row>
    <row r="71986" spans="16:17" x14ac:dyDescent="0.35">
      <c r="P71986" s="1"/>
    </row>
    <row r="71991" spans="16:17" x14ac:dyDescent="0.35">
      <c r="P71991" s="1"/>
    </row>
    <row r="71992" spans="16:17" x14ac:dyDescent="0.35">
      <c r="P71992" s="1"/>
    </row>
    <row r="71993" spans="16:17" x14ac:dyDescent="0.35">
      <c r="P71993" s="1"/>
    </row>
    <row r="71996" spans="16:17" x14ac:dyDescent="0.35">
      <c r="P71996" s="1"/>
    </row>
    <row r="71998" spans="16:17" x14ac:dyDescent="0.35">
      <c r="P71998" s="1"/>
    </row>
    <row r="72000" spans="16:17" x14ac:dyDescent="0.35">
      <c r="Q72000" s="1"/>
    </row>
    <row r="72002" spans="16:17" x14ac:dyDescent="0.35">
      <c r="P72002" s="1"/>
    </row>
    <row r="72005" spans="16:17" x14ac:dyDescent="0.35">
      <c r="Q72005" s="1"/>
    </row>
    <row r="72007" spans="16:17" x14ac:dyDescent="0.35">
      <c r="P72007" s="1"/>
    </row>
    <row r="72008" spans="16:17" x14ac:dyDescent="0.35">
      <c r="Q72008" s="1"/>
    </row>
    <row r="72009" spans="16:17" x14ac:dyDescent="0.35">
      <c r="Q72009" s="1"/>
    </row>
    <row r="72013" spans="16:17" x14ac:dyDescent="0.35">
      <c r="Q72013" s="1"/>
    </row>
    <row r="72014" spans="16:17" x14ac:dyDescent="0.35">
      <c r="Q72014" s="1"/>
    </row>
    <row r="72016" spans="16:17" x14ac:dyDescent="0.35">
      <c r="Q72016" s="1"/>
    </row>
    <row r="72017" spans="16:17" x14ac:dyDescent="0.35">
      <c r="Q72017" s="1"/>
    </row>
    <row r="72020" spans="16:17" x14ac:dyDescent="0.35">
      <c r="P72020" s="1"/>
    </row>
    <row r="72022" spans="16:17" x14ac:dyDescent="0.35">
      <c r="P72022" s="1"/>
    </row>
    <row r="72024" spans="16:17" x14ac:dyDescent="0.35">
      <c r="P72024" s="1"/>
    </row>
    <row r="72028" spans="16:17" x14ac:dyDescent="0.35">
      <c r="P72028" s="1"/>
    </row>
    <row r="72029" spans="16:17" x14ac:dyDescent="0.35">
      <c r="P72029" s="1"/>
      <c r="Q72029" s="1"/>
    </row>
    <row r="72030" spans="16:17" x14ac:dyDescent="0.35">
      <c r="Q72030" s="1"/>
    </row>
    <row r="72033" spans="16:17" x14ac:dyDescent="0.35">
      <c r="Q72033" s="1"/>
    </row>
    <row r="72035" spans="16:17" x14ac:dyDescent="0.35">
      <c r="P72035" s="1"/>
    </row>
    <row r="72036" spans="16:17" x14ac:dyDescent="0.35">
      <c r="P72036" s="1"/>
    </row>
    <row r="72037" spans="16:17" x14ac:dyDescent="0.35">
      <c r="P72037" s="1"/>
    </row>
    <row r="72039" spans="16:17" x14ac:dyDescent="0.35">
      <c r="P72039" s="1"/>
      <c r="Q72039" s="1"/>
    </row>
    <row r="72040" spans="16:17" x14ac:dyDescent="0.35">
      <c r="P72040" s="1"/>
    </row>
    <row r="72044" spans="16:17" x14ac:dyDescent="0.35">
      <c r="P72044" s="1"/>
    </row>
    <row r="72046" spans="16:17" x14ac:dyDescent="0.35">
      <c r="Q72046" s="1"/>
    </row>
    <row r="72048" spans="16:17" x14ac:dyDescent="0.35">
      <c r="Q72048" s="1"/>
    </row>
    <row r="72052" spans="16:17" x14ac:dyDescent="0.35">
      <c r="Q72052" s="1"/>
    </row>
    <row r="72053" spans="16:17" x14ac:dyDescent="0.35">
      <c r="P72053" s="1"/>
    </row>
    <row r="72057" spans="16:17" x14ac:dyDescent="0.35">
      <c r="Q72057" s="1"/>
    </row>
    <row r="72058" spans="16:17" x14ac:dyDescent="0.35">
      <c r="P72058" s="1"/>
      <c r="Q72058" s="1"/>
    </row>
    <row r="72059" spans="16:17" x14ac:dyDescent="0.35">
      <c r="P72059" s="1"/>
      <c r="Q72059" s="1"/>
    </row>
    <row r="72060" spans="16:17" x14ac:dyDescent="0.35">
      <c r="Q72060" s="1"/>
    </row>
    <row r="72061" spans="16:17" x14ac:dyDescent="0.35">
      <c r="Q72061" s="1"/>
    </row>
    <row r="72062" spans="16:17" x14ac:dyDescent="0.35">
      <c r="P72062" s="1"/>
    </row>
    <row r="72065" spans="16:17" x14ac:dyDescent="0.35">
      <c r="Q72065" s="1"/>
    </row>
    <row r="72068" spans="16:17" x14ac:dyDescent="0.35">
      <c r="Q72068" s="1"/>
    </row>
    <row r="72073" spans="16:17" x14ac:dyDescent="0.35">
      <c r="P72073" s="1"/>
    </row>
    <row r="72074" spans="16:17" x14ac:dyDescent="0.35">
      <c r="Q72074" s="1"/>
    </row>
    <row r="72079" spans="16:17" x14ac:dyDescent="0.35">
      <c r="Q72079" s="1"/>
    </row>
    <row r="72080" spans="16:17" x14ac:dyDescent="0.35">
      <c r="Q72080" s="1"/>
    </row>
    <row r="72082" spans="16:17" x14ac:dyDescent="0.35">
      <c r="Q72082" s="1"/>
    </row>
    <row r="72088" spans="16:17" x14ac:dyDescent="0.35">
      <c r="P72088" s="1"/>
    </row>
    <row r="72089" spans="16:17" x14ac:dyDescent="0.35">
      <c r="P72089" s="1"/>
    </row>
    <row r="72094" spans="16:17" x14ac:dyDescent="0.35">
      <c r="Q72094" s="1"/>
    </row>
    <row r="72097" spans="16:17" x14ac:dyDescent="0.35">
      <c r="P72097" s="1"/>
    </row>
    <row r="72098" spans="16:17" x14ac:dyDescent="0.35">
      <c r="P72098" s="1"/>
      <c r="Q72098" s="1"/>
    </row>
    <row r="72100" spans="16:17" x14ac:dyDescent="0.35">
      <c r="Q72100" s="1"/>
    </row>
    <row r="72101" spans="16:17" x14ac:dyDescent="0.35">
      <c r="P72101" s="1"/>
    </row>
    <row r="72102" spans="16:17" x14ac:dyDescent="0.35">
      <c r="Q72102" s="1"/>
    </row>
    <row r="72107" spans="16:17" x14ac:dyDescent="0.35">
      <c r="Q72107" s="1"/>
    </row>
    <row r="72110" spans="16:17" x14ac:dyDescent="0.35">
      <c r="P72110" s="1"/>
      <c r="Q72110" s="1"/>
    </row>
    <row r="72111" spans="16:17" x14ac:dyDescent="0.35">
      <c r="P72111" s="1"/>
    </row>
    <row r="72112" spans="16:17" x14ac:dyDescent="0.35">
      <c r="P72112" s="1"/>
    </row>
    <row r="72113" spans="16:17" x14ac:dyDescent="0.35">
      <c r="P72113" s="1"/>
      <c r="Q72113" s="1"/>
    </row>
    <row r="72116" spans="16:17" x14ac:dyDescent="0.35">
      <c r="P72116" s="1"/>
    </row>
    <row r="72121" spans="16:17" x14ac:dyDescent="0.35">
      <c r="P72121" s="1"/>
      <c r="Q72121" s="1"/>
    </row>
    <row r="72122" spans="16:17" x14ac:dyDescent="0.35">
      <c r="Q72122" s="1"/>
    </row>
    <row r="72128" spans="16:17" x14ac:dyDescent="0.35">
      <c r="Q72128" s="1"/>
    </row>
    <row r="72133" spans="16:17" x14ac:dyDescent="0.35">
      <c r="P72133" s="1"/>
    </row>
    <row r="72135" spans="16:17" x14ac:dyDescent="0.35">
      <c r="P72135" s="1"/>
    </row>
    <row r="72138" spans="16:17" x14ac:dyDescent="0.35">
      <c r="P72138" s="1"/>
    </row>
    <row r="72139" spans="16:17" x14ac:dyDescent="0.35">
      <c r="Q72139" s="1"/>
    </row>
    <row r="72141" spans="16:17" x14ac:dyDescent="0.35">
      <c r="Q72141" s="1"/>
    </row>
    <row r="72142" spans="16:17" x14ac:dyDescent="0.35">
      <c r="Q72142" s="1"/>
    </row>
    <row r="72143" spans="16:17" x14ac:dyDescent="0.35">
      <c r="P72143" s="1"/>
    </row>
    <row r="72146" spans="16:17" x14ac:dyDescent="0.35">
      <c r="P72146" s="1"/>
    </row>
    <row r="72148" spans="16:17" x14ac:dyDescent="0.35">
      <c r="P72148" s="1"/>
    </row>
    <row r="72149" spans="16:17" x14ac:dyDescent="0.35">
      <c r="P72149" s="1"/>
    </row>
    <row r="72150" spans="16:17" x14ac:dyDescent="0.35">
      <c r="P72150" s="1"/>
      <c r="Q72150" s="1"/>
    </row>
    <row r="72152" spans="16:17" x14ac:dyDescent="0.35">
      <c r="Q72152" s="1"/>
    </row>
    <row r="72153" spans="16:17" x14ac:dyDescent="0.35">
      <c r="Q72153" s="1"/>
    </row>
    <row r="72155" spans="16:17" x14ac:dyDescent="0.35">
      <c r="Q72155" s="1"/>
    </row>
    <row r="72157" spans="16:17" x14ac:dyDescent="0.35">
      <c r="Q72157" s="1"/>
    </row>
    <row r="72159" spans="16:17" x14ac:dyDescent="0.35">
      <c r="Q72159" s="1"/>
    </row>
    <row r="72160" spans="16:17" x14ac:dyDescent="0.35">
      <c r="Q72160" s="1"/>
    </row>
    <row r="72161" spans="16:17" x14ac:dyDescent="0.35">
      <c r="Q72161" s="1"/>
    </row>
    <row r="72162" spans="16:17" x14ac:dyDescent="0.35">
      <c r="P72162" s="1"/>
    </row>
    <row r="72163" spans="16:17" x14ac:dyDescent="0.35">
      <c r="Q72163" s="1"/>
    </row>
    <row r="72167" spans="16:17" x14ac:dyDescent="0.35">
      <c r="Q72167" s="1"/>
    </row>
    <row r="72174" spans="16:17" x14ac:dyDescent="0.35">
      <c r="Q72174" s="1"/>
    </row>
    <row r="72176" spans="16:17" x14ac:dyDescent="0.35">
      <c r="Q72176" s="1"/>
    </row>
    <row r="72183" spans="16:17" x14ac:dyDescent="0.35">
      <c r="Q72183" s="1"/>
    </row>
    <row r="72185" spans="16:17" x14ac:dyDescent="0.35">
      <c r="Q72185" s="1"/>
    </row>
    <row r="72187" spans="16:17" x14ac:dyDescent="0.35">
      <c r="P72187" s="1"/>
      <c r="Q72187" s="1"/>
    </row>
    <row r="72189" spans="16:17" x14ac:dyDescent="0.35">
      <c r="P72189" s="1"/>
    </row>
    <row r="72191" spans="16:17" x14ac:dyDescent="0.35">
      <c r="P72191" s="1"/>
    </row>
    <row r="72192" spans="16:17" x14ac:dyDescent="0.35">
      <c r="P72192" s="1"/>
      <c r="Q72192" s="1"/>
    </row>
    <row r="72196" spans="16:17" x14ac:dyDescent="0.35">
      <c r="P72196" s="1"/>
    </row>
    <row r="72199" spans="16:17" x14ac:dyDescent="0.35">
      <c r="P72199" s="1"/>
    </row>
    <row r="72200" spans="16:17" x14ac:dyDescent="0.35">
      <c r="P72200" s="1"/>
    </row>
    <row r="72201" spans="16:17" x14ac:dyDescent="0.35">
      <c r="P72201" s="1"/>
    </row>
    <row r="72205" spans="16:17" x14ac:dyDescent="0.35">
      <c r="Q72205" s="1"/>
    </row>
    <row r="72208" spans="16:17" x14ac:dyDescent="0.35">
      <c r="P72208" s="1"/>
    </row>
    <row r="72211" spans="16:17" x14ac:dyDescent="0.35">
      <c r="P72211" s="1"/>
    </row>
    <row r="72213" spans="16:17" x14ac:dyDescent="0.35">
      <c r="Q72213" s="1"/>
    </row>
    <row r="72215" spans="16:17" x14ac:dyDescent="0.35">
      <c r="P72215" s="1"/>
    </row>
    <row r="72218" spans="16:17" x14ac:dyDescent="0.35">
      <c r="P72218" s="1"/>
    </row>
    <row r="72221" spans="16:17" x14ac:dyDescent="0.35">
      <c r="Q72221" s="1"/>
    </row>
    <row r="72222" spans="16:17" x14ac:dyDescent="0.35">
      <c r="P72222" s="1"/>
    </row>
    <row r="72228" spans="16:17" x14ac:dyDescent="0.35">
      <c r="P72228" s="1"/>
    </row>
    <row r="72229" spans="16:17" x14ac:dyDescent="0.35">
      <c r="P72229" s="1"/>
    </row>
    <row r="72230" spans="16:17" x14ac:dyDescent="0.35">
      <c r="Q72230" s="1"/>
    </row>
    <row r="72239" spans="16:17" x14ac:dyDescent="0.35">
      <c r="P72239" s="1"/>
    </row>
    <row r="72242" spans="16:17" x14ac:dyDescent="0.35">
      <c r="P72242" s="1"/>
    </row>
    <row r="72246" spans="16:17" x14ac:dyDescent="0.35">
      <c r="Q72246" s="1"/>
    </row>
    <row r="72250" spans="16:17" x14ac:dyDescent="0.35">
      <c r="P72250" s="1"/>
    </row>
    <row r="72251" spans="16:17" x14ac:dyDescent="0.35">
      <c r="Q72251" s="1"/>
    </row>
    <row r="72254" spans="16:17" x14ac:dyDescent="0.35">
      <c r="Q72254" s="1"/>
    </row>
    <row r="72255" spans="16:17" x14ac:dyDescent="0.35">
      <c r="P72255" s="1"/>
    </row>
    <row r="72257" spans="16:17" x14ac:dyDescent="0.35">
      <c r="Q72257" s="1"/>
    </row>
    <row r="72263" spans="16:17" x14ac:dyDescent="0.35">
      <c r="Q72263" s="1"/>
    </row>
    <row r="72267" spans="16:17" x14ac:dyDescent="0.35">
      <c r="Q72267" s="1"/>
    </row>
    <row r="72268" spans="16:17" x14ac:dyDescent="0.35">
      <c r="P72268" s="1"/>
    </row>
    <row r="72269" spans="16:17" x14ac:dyDescent="0.35">
      <c r="Q72269" s="1"/>
    </row>
    <row r="72270" spans="16:17" x14ac:dyDescent="0.35">
      <c r="P72270" s="1"/>
      <c r="Q72270" s="1"/>
    </row>
    <row r="72273" spans="16:17" x14ac:dyDescent="0.35">
      <c r="P72273" s="1"/>
    </row>
    <row r="72274" spans="16:17" x14ac:dyDescent="0.35">
      <c r="Q72274" s="1"/>
    </row>
    <row r="72275" spans="16:17" x14ac:dyDescent="0.35">
      <c r="Q72275" s="1"/>
    </row>
    <row r="72276" spans="16:17" x14ac:dyDescent="0.35">
      <c r="Q72276" s="1"/>
    </row>
    <row r="72279" spans="16:17" x14ac:dyDescent="0.35">
      <c r="P72279" s="1"/>
    </row>
    <row r="72280" spans="16:17" x14ac:dyDescent="0.35">
      <c r="P72280" s="1"/>
      <c r="Q72280" s="1"/>
    </row>
    <row r="72282" spans="16:17" x14ac:dyDescent="0.35">
      <c r="Q72282" s="1"/>
    </row>
    <row r="72287" spans="16:17" x14ac:dyDescent="0.35">
      <c r="P72287" s="1"/>
      <c r="Q72287" s="1"/>
    </row>
    <row r="72289" spans="16:17" x14ac:dyDescent="0.35">
      <c r="P72289" s="1"/>
      <c r="Q72289" s="1"/>
    </row>
    <row r="72290" spans="16:17" x14ac:dyDescent="0.35">
      <c r="Q72290" s="1"/>
    </row>
    <row r="72291" spans="16:17" x14ac:dyDescent="0.35">
      <c r="Q72291" s="1"/>
    </row>
    <row r="72292" spans="16:17" x14ac:dyDescent="0.35">
      <c r="Q72292" s="1"/>
    </row>
    <row r="72293" spans="16:17" x14ac:dyDescent="0.35">
      <c r="P72293" s="1"/>
    </row>
    <row r="72294" spans="16:17" x14ac:dyDescent="0.35">
      <c r="P72294" s="1"/>
      <c r="Q72294" s="1"/>
    </row>
    <row r="72295" spans="16:17" x14ac:dyDescent="0.35">
      <c r="P72295" s="1"/>
      <c r="Q72295" s="1"/>
    </row>
    <row r="72296" spans="16:17" x14ac:dyDescent="0.35">
      <c r="Q72296" s="1"/>
    </row>
    <row r="72298" spans="16:17" x14ac:dyDescent="0.35">
      <c r="P72298" s="1"/>
    </row>
    <row r="72299" spans="16:17" x14ac:dyDescent="0.35">
      <c r="P72299" s="1"/>
    </row>
    <row r="72300" spans="16:17" x14ac:dyDescent="0.35">
      <c r="Q72300" s="1"/>
    </row>
    <row r="72305" spans="16:17" x14ac:dyDescent="0.35">
      <c r="Q72305" s="1"/>
    </row>
    <row r="72308" spans="16:17" x14ac:dyDescent="0.35">
      <c r="Q72308" s="1"/>
    </row>
    <row r="72309" spans="16:17" x14ac:dyDescent="0.35">
      <c r="P72309" s="1"/>
    </row>
    <row r="72310" spans="16:17" x14ac:dyDescent="0.35">
      <c r="Q72310" s="1"/>
    </row>
    <row r="72314" spans="16:17" x14ac:dyDescent="0.35">
      <c r="P72314" s="1"/>
    </row>
    <row r="72315" spans="16:17" x14ac:dyDescent="0.35">
      <c r="Q72315" s="1"/>
    </row>
    <row r="72317" spans="16:17" x14ac:dyDescent="0.35">
      <c r="P72317" s="1"/>
    </row>
    <row r="72318" spans="16:17" x14ac:dyDescent="0.35">
      <c r="P72318" s="1"/>
      <c r="Q72318" s="1"/>
    </row>
    <row r="72320" spans="16:17" x14ac:dyDescent="0.35">
      <c r="P72320" s="1"/>
      <c r="Q72320" s="1"/>
    </row>
    <row r="72321" spans="16:17" x14ac:dyDescent="0.35">
      <c r="Q72321" s="1"/>
    </row>
    <row r="72322" spans="16:17" x14ac:dyDescent="0.35">
      <c r="Q72322" s="1"/>
    </row>
    <row r="72324" spans="16:17" x14ac:dyDescent="0.35">
      <c r="Q72324" s="1"/>
    </row>
    <row r="72325" spans="16:17" x14ac:dyDescent="0.35">
      <c r="Q72325" s="1"/>
    </row>
    <row r="72326" spans="16:17" x14ac:dyDescent="0.35">
      <c r="Q72326" s="1"/>
    </row>
    <row r="72327" spans="16:17" x14ac:dyDescent="0.35">
      <c r="P72327" s="1"/>
    </row>
    <row r="72330" spans="16:17" x14ac:dyDescent="0.35">
      <c r="Q72330" s="1"/>
    </row>
    <row r="72331" spans="16:17" x14ac:dyDescent="0.35">
      <c r="P72331" s="1"/>
    </row>
    <row r="72334" spans="16:17" x14ac:dyDescent="0.35">
      <c r="P72334" s="1"/>
    </row>
    <row r="72336" spans="16:17" x14ac:dyDescent="0.35">
      <c r="P72336" s="1"/>
    </row>
    <row r="72338" spans="16:17" x14ac:dyDescent="0.35">
      <c r="P72338" s="1"/>
    </row>
    <row r="72340" spans="16:17" x14ac:dyDescent="0.35">
      <c r="P72340" s="1"/>
    </row>
    <row r="72342" spans="16:17" x14ac:dyDescent="0.35">
      <c r="P72342" s="1"/>
    </row>
    <row r="72344" spans="16:17" x14ac:dyDescent="0.35">
      <c r="Q72344" s="1"/>
    </row>
    <row r="72345" spans="16:17" x14ac:dyDescent="0.35">
      <c r="Q72345" s="1"/>
    </row>
    <row r="72347" spans="16:17" x14ac:dyDescent="0.35">
      <c r="P72347" s="1"/>
      <c r="Q72347" s="1"/>
    </row>
    <row r="72348" spans="16:17" x14ac:dyDescent="0.35">
      <c r="Q72348" s="1"/>
    </row>
    <row r="72349" spans="16:17" x14ac:dyDescent="0.35">
      <c r="P72349" s="1"/>
      <c r="Q72349" s="1"/>
    </row>
    <row r="72350" spans="16:17" x14ac:dyDescent="0.35">
      <c r="P72350" s="1"/>
    </row>
    <row r="72352" spans="16:17" x14ac:dyDescent="0.35">
      <c r="Q72352" s="1"/>
    </row>
    <row r="72358" spans="16:17" x14ac:dyDescent="0.35">
      <c r="Q72358" s="1"/>
    </row>
    <row r="72359" spans="16:17" x14ac:dyDescent="0.35">
      <c r="Q72359" s="1"/>
    </row>
    <row r="72360" spans="16:17" x14ac:dyDescent="0.35">
      <c r="P72360" s="1"/>
      <c r="Q72360" s="1"/>
    </row>
    <row r="72363" spans="16:17" x14ac:dyDescent="0.35">
      <c r="P72363" s="1"/>
      <c r="Q72363" s="1"/>
    </row>
    <row r="72367" spans="16:17" x14ac:dyDescent="0.35">
      <c r="Q72367" s="1"/>
    </row>
    <row r="72370" spans="16:17" x14ac:dyDescent="0.35">
      <c r="P72370" s="1"/>
      <c r="Q72370" s="1"/>
    </row>
    <row r="72373" spans="16:17" x14ac:dyDescent="0.35">
      <c r="Q72373" s="1"/>
    </row>
    <row r="72374" spans="16:17" x14ac:dyDescent="0.35">
      <c r="P72374" s="1"/>
      <c r="Q72374" s="1"/>
    </row>
    <row r="72376" spans="16:17" x14ac:dyDescent="0.35">
      <c r="P72376" s="1"/>
      <c r="Q72376" s="1"/>
    </row>
    <row r="72377" spans="16:17" x14ac:dyDescent="0.35">
      <c r="P72377" s="1"/>
    </row>
    <row r="72379" spans="16:17" x14ac:dyDescent="0.35">
      <c r="Q72379" s="1"/>
    </row>
    <row r="72382" spans="16:17" x14ac:dyDescent="0.35">
      <c r="P72382" s="1"/>
    </row>
    <row r="72383" spans="16:17" x14ac:dyDescent="0.35">
      <c r="P72383" s="1"/>
      <c r="Q72383" s="1"/>
    </row>
    <row r="72386" spans="16:17" x14ac:dyDescent="0.35">
      <c r="P72386" s="1"/>
    </row>
    <row r="72387" spans="16:17" x14ac:dyDescent="0.35">
      <c r="P72387" s="1"/>
    </row>
    <row r="72388" spans="16:17" x14ac:dyDescent="0.35">
      <c r="P72388" s="1"/>
    </row>
    <row r="72390" spans="16:17" x14ac:dyDescent="0.35">
      <c r="P72390" s="1"/>
    </row>
    <row r="72391" spans="16:17" x14ac:dyDescent="0.35">
      <c r="P72391" s="1"/>
    </row>
    <row r="72393" spans="16:17" x14ac:dyDescent="0.35">
      <c r="Q72393" s="1"/>
    </row>
    <row r="72394" spans="16:17" x14ac:dyDescent="0.35">
      <c r="Q72394" s="1"/>
    </row>
    <row r="72395" spans="16:17" x14ac:dyDescent="0.35">
      <c r="Q72395" s="1"/>
    </row>
    <row r="72396" spans="16:17" x14ac:dyDescent="0.35">
      <c r="P72396" s="1"/>
    </row>
    <row r="72406" spans="16:17" x14ac:dyDescent="0.35">
      <c r="P72406" s="1"/>
    </row>
    <row r="72407" spans="16:17" x14ac:dyDescent="0.35">
      <c r="P72407" s="1"/>
      <c r="Q72407" s="1"/>
    </row>
    <row r="72408" spans="16:17" x14ac:dyDescent="0.35">
      <c r="P72408" s="1"/>
    </row>
    <row r="72409" spans="16:17" x14ac:dyDescent="0.35">
      <c r="P72409" s="1"/>
    </row>
    <row r="72410" spans="16:17" x14ac:dyDescent="0.35">
      <c r="P72410" s="1"/>
      <c r="Q72410" s="1"/>
    </row>
    <row r="72415" spans="16:17" x14ac:dyDescent="0.35">
      <c r="P72415" s="1"/>
    </row>
    <row r="72417" spans="16:17" x14ac:dyDescent="0.35">
      <c r="P72417" s="1"/>
    </row>
    <row r="72418" spans="16:17" x14ac:dyDescent="0.35">
      <c r="P72418" s="1"/>
    </row>
    <row r="72422" spans="16:17" x14ac:dyDescent="0.35">
      <c r="Q72422" s="1"/>
    </row>
    <row r="72423" spans="16:17" x14ac:dyDescent="0.35">
      <c r="P72423" s="1"/>
    </row>
    <row r="72427" spans="16:17" x14ac:dyDescent="0.35">
      <c r="Q72427" s="1"/>
    </row>
    <row r="72429" spans="16:17" x14ac:dyDescent="0.35">
      <c r="P72429" s="1"/>
    </row>
    <row r="72430" spans="16:17" x14ac:dyDescent="0.35">
      <c r="P72430" s="1"/>
    </row>
    <row r="72433" spans="16:17" x14ac:dyDescent="0.35">
      <c r="P72433" s="1"/>
    </row>
    <row r="72434" spans="16:17" x14ac:dyDescent="0.35">
      <c r="P72434" s="1"/>
    </row>
    <row r="72438" spans="16:17" x14ac:dyDescent="0.35">
      <c r="P72438" s="1"/>
    </row>
    <row r="72439" spans="16:17" x14ac:dyDescent="0.35">
      <c r="P72439" s="1"/>
    </row>
    <row r="72440" spans="16:17" x14ac:dyDescent="0.35">
      <c r="P72440" s="1"/>
      <c r="Q72440" s="1"/>
    </row>
    <row r="72441" spans="16:17" x14ac:dyDescent="0.35">
      <c r="P72441" s="1"/>
    </row>
    <row r="72444" spans="16:17" x14ac:dyDescent="0.35">
      <c r="P72444" s="1"/>
      <c r="Q72444" s="1"/>
    </row>
    <row r="72445" spans="16:17" x14ac:dyDescent="0.35">
      <c r="P72445" s="1"/>
    </row>
    <row r="72446" spans="16:17" x14ac:dyDescent="0.35">
      <c r="Q72446" s="1"/>
    </row>
    <row r="72447" spans="16:17" x14ac:dyDescent="0.35">
      <c r="P72447" s="1"/>
    </row>
    <row r="72448" spans="16:17" x14ac:dyDescent="0.35">
      <c r="P72448" s="1"/>
    </row>
    <row r="72449" spans="16:17" x14ac:dyDescent="0.35">
      <c r="P72449" s="1"/>
      <c r="Q72449" s="1"/>
    </row>
    <row r="72450" spans="16:17" x14ac:dyDescent="0.35">
      <c r="P72450" s="1"/>
    </row>
    <row r="72451" spans="16:17" x14ac:dyDescent="0.35">
      <c r="Q72451" s="1"/>
    </row>
    <row r="72454" spans="16:17" x14ac:dyDescent="0.35">
      <c r="Q72454" s="1"/>
    </row>
    <row r="72455" spans="16:17" x14ac:dyDescent="0.35">
      <c r="P72455" s="1"/>
    </row>
    <row r="72458" spans="16:17" x14ac:dyDescent="0.35">
      <c r="P72458" s="1"/>
      <c r="Q72458" s="1"/>
    </row>
    <row r="72459" spans="16:17" x14ac:dyDescent="0.35">
      <c r="Q72459" s="1"/>
    </row>
    <row r="72464" spans="16:17" x14ac:dyDescent="0.35">
      <c r="P72464" s="1"/>
      <c r="Q72464" s="1"/>
    </row>
    <row r="72467" spans="16:17" x14ac:dyDescent="0.35">
      <c r="P72467" s="1"/>
    </row>
    <row r="72469" spans="16:17" x14ac:dyDescent="0.35">
      <c r="P72469" s="1"/>
    </row>
    <row r="72470" spans="16:17" x14ac:dyDescent="0.35">
      <c r="P72470" s="1"/>
      <c r="Q72470" s="1"/>
    </row>
    <row r="72472" spans="16:17" x14ac:dyDescent="0.35">
      <c r="Q72472" s="1"/>
    </row>
    <row r="72473" spans="16:17" x14ac:dyDescent="0.35">
      <c r="Q72473" s="1"/>
    </row>
    <row r="72475" spans="16:17" x14ac:dyDescent="0.35">
      <c r="P72475" s="1"/>
      <c r="Q72475" s="1"/>
    </row>
    <row r="72477" spans="16:17" x14ac:dyDescent="0.35">
      <c r="Q72477" s="1"/>
    </row>
    <row r="72478" spans="16:17" x14ac:dyDescent="0.35">
      <c r="Q72478" s="1"/>
    </row>
    <row r="72481" spans="16:17" x14ac:dyDescent="0.35">
      <c r="P72481" s="1"/>
    </row>
    <row r="72482" spans="16:17" x14ac:dyDescent="0.35">
      <c r="Q72482" s="1"/>
    </row>
    <row r="72483" spans="16:17" x14ac:dyDescent="0.35">
      <c r="Q72483" s="1"/>
    </row>
    <row r="72486" spans="16:17" x14ac:dyDescent="0.35">
      <c r="P72486" s="1"/>
      <c r="Q72486" s="1"/>
    </row>
    <row r="72487" spans="16:17" x14ac:dyDescent="0.35">
      <c r="P72487" s="1"/>
      <c r="Q72487" s="1"/>
    </row>
    <row r="72488" spans="16:17" x14ac:dyDescent="0.35">
      <c r="Q72488" s="1"/>
    </row>
    <row r="72489" spans="16:17" x14ac:dyDescent="0.35">
      <c r="Q72489" s="1"/>
    </row>
    <row r="72493" spans="16:17" x14ac:dyDescent="0.35">
      <c r="Q72493" s="1"/>
    </row>
    <row r="72494" spans="16:17" x14ac:dyDescent="0.35">
      <c r="P72494" s="1"/>
    </row>
    <row r="72496" spans="16:17" x14ac:dyDescent="0.35">
      <c r="P72496" s="1"/>
    </row>
    <row r="72497" spans="16:17" x14ac:dyDescent="0.35">
      <c r="P72497" s="1"/>
    </row>
    <row r="72498" spans="16:17" x14ac:dyDescent="0.35">
      <c r="P72498" s="1"/>
    </row>
    <row r="72499" spans="16:17" x14ac:dyDescent="0.35">
      <c r="P72499" s="1"/>
    </row>
    <row r="72500" spans="16:17" x14ac:dyDescent="0.35">
      <c r="P72500" s="1"/>
    </row>
    <row r="72501" spans="16:17" x14ac:dyDescent="0.35">
      <c r="P72501" s="1"/>
    </row>
    <row r="72503" spans="16:17" x14ac:dyDescent="0.35">
      <c r="Q72503" s="1"/>
    </row>
    <row r="72504" spans="16:17" x14ac:dyDescent="0.35">
      <c r="P72504" s="1"/>
      <c r="Q72504" s="1"/>
    </row>
    <row r="72505" spans="16:17" x14ac:dyDescent="0.35">
      <c r="P72505" s="1"/>
    </row>
    <row r="72512" spans="16:17" x14ac:dyDescent="0.35">
      <c r="P72512" s="1"/>
      <c r="Q72512" s="1"/>
    </row>
    <row r="72514" spans="16:17" x14ac:dyDescent="0.35">
      <c r="P72514" s="1"/>
    </row>
    <row r="72515" spans="16:17" x14ac:dyDescent="0.35">
      <c r="P72515" s="1"/>
    </row>
    <row r="72519" spans="16:17" x14ac:dyDescent="0.35">
      <c r="Q72519" s="1"/>
    </row>
    <row r="72520" spans="16:17" x14ac:dyDescent="0.35">
      <c r="Q72520" s="1"/>
    </row>
    <row r="72522" spans="16:17" x14ac:dyDescent="0.35">
      <c r="Q72522" s="1"/>
    </row>
    <row r="72524" spans="16:17" x14ac:dyDescent="0.35">
      <c r="Q72524" s="1"/>
    </row>
    <row r="72525" spans="16:17" x14ac:dyDescent="0.35">
      <c r="P72525" s="1"/>
    </row>
    <row r="72526" spans="16:17" x14ac:dyDescent="0.35">
      <c r="Q72526" s="1"/>
    </row>
    <row r="72527" spans="16:17" x14ac:dyDescent="0.35">
      <c r="Q72527" s="1"/>
    </row>
    <row r="72528" spans="16:17" x14ac:dyDescent="0.35">
      <c r="Q72528" s="1"/>
    </row>
    <row r="72533" spans="16:17" x14ac:dyDescent="0.35">
      <c r="Q72533" s="1"/>
    </row>
    <row r="72535" spans="16:17" x14ac:dyDescent="0.35">
      <c r="P72535" s="1"/>
    </row>
    <row r="72536" spans="16:17" x14ac:dyDescent="0.35">
      <c r="P72536" s="1"/>
    </row>
    <row r="72537" spans="16:17" x14ac:dyDescent="0.35">
      <c r="P72537" s="1"/>
    </row>
    <row r="72538" spans="16:17" x14ac:dyDescent="0.35">
      <c r="P72538" s="1"/>
    </row>
    <row r="72541" spans="16:17" x14ac:dyDescent="0.35">
      <c r="P72541" s="1"/>
      <c r="Q72541" s="1"/>
    </row>
    <row r="72542" spans="16:17" x14ac:dyDescent="0.35">
      <c r="P72542" s="1"/>
      <c r="Q72542" s="1"/>
    </row>
    <row r="72544" spans="16:17" x14ac:dyDescent="0.35">
      <c r="P72544" s="1"/>
    </row>
    <row r="72545" spans="16:17" x14ac:dyDescent="0.35">
      <c r="Q72545" s="1"/>
    </row>
    <row r="72546" spans="16:17" x14ac:dyDescent="0.35">
      <c r="Q72546" s="1"/>
    </row>
    <row r="72547" spans="16:17" x14ac:dyDescent="0.35">
      <c r="P72547" s="1"/>
    </row>
    <row r="72550" spans="16:17" x14ac:dyDescent="0.35">
      <c r="P72550" s="1"/>
    </row>
    <row r="72552" spans="16:17" x14ac:dyDescent="0.35">
      <c r="P72552" s="1"/>
    </row>
    <row r="72553" spans="16:17" x14ac:dyDescent="0.35">
      <c r="P72553" s="1"/>
      <c r="Q72553" s="1"/>
    </row>
    <row r="72557" spans="16:17" x14ac:dyDescent="0.35">
      <c r="P72557" s="1"/>
    </row>
    <row r="72558" spans="16:17" x14ac:dyDescent="0.35">
      <c r="Q72558" s="1"/>
    </row>
    <row r="72559" spans="16:17" x14ac:dyDescent="0.35">
      <c r="Q72559" s="1"/>
    </row>
    <row r="72561" spans="16:17" x14ac:dyDescent="0.35">
      <c r="P72561" s="1"/>
    </row>
    <row r="72563" spans="16:17" x14ac:dyDescent="0.35">
      <c r="P72563" s="1"/>
      <c r="Q72563" s="1"/>
    </row>
    <row r="72564" spans="16:17" x14ac:dyDescent="0.35">
      <c r="P72564" s="1"/>
      <c r="Q72564" s="1"/>
    </row>
    <row r="72565" spans="16:17" x14ac:dyDescent="0.35">
      <c r="P72565" s="1"/>
    </row>
    <row r="72566" spans="16:17" x14ac:dyDescent="0.35">
      <c r="Q72566" s="1"/>
    </row>
    <row r="72567" spans="16:17" x14ac:dyDescent="0.35">
      <c r="P72567" s="1"/>
    </row>
    <row r="72568" spans="16:17" x14ac:dyDescent="0.35">
      <c r="P72568" s="1"/>
    </row>
    <row r="72569" spans="16:17" x14ac:dyDescent="0.35">
      <c r="P72569" s="1"/>
      <c r="Q72569" s="1"/>
    </row>
    <row r="72571" spans="16:17" x14ac:dyDescent="0.35">
      <c r="P72571" s="1"/>
    </row>
    <row r="72573" spans="16:17" x14ac:dyDescent="0.35">
      <c r="P72573" s="1"/>
      <c r="Q72573" s="1"/>
    </row>
    <row r="72576" spans="16:17" x14ac:dyDescent="0.35">
      <c r="P72576" s="1"/>
      <c r="Q72576" s="1"/>
    </row>
    <row r="72583" spans="16:17" x14ac:dyDescent="0.35">
      <c r="P72583" s="1"/>
    </row>
    <row r="72585" spans="16:17" x14ac:dyDescent="0.35">
      <c r="P72585" s="1"/>
    </row>
    <row r="72586" spans="16:17" x14ac:dyDescent="0.35">
      <c r="P72586" s="1"/>
    </row>
    <row r="72588" spans="16:17" x14ac:dyDescent="0.35">
      <c r="Q72588" s="1"/>
    </row>
    <row r="72591" spans="16:17" x14ac:dyDescent="0.35">
      <c r="P72591" s="1"/>
    </row>
    <row r="72595" spans="16:17" x14ac:dyDescent="0.35">
      <c r="P72595" s="1"/>
      <c r="Q72595" s="1"/>
    </row>
    <row r="72605" spans="16:17" x14ac:dyDescent="0.35">
      <c r="Q72605" s="1"/>
    </row>
    <row r="72610" spans="16:17" x14ac:dyDescent="0.35">
      <c r="P72610" s="1"/>
      <c r="Q72610" s="1"/>
    </row>
    <row r="72611" spans="16:17" x14ac:dyDescent="0.35">
      <c r="Q72611" s="1"/>
    </row>
    <row r="72615" spans="16:17" x14ac:dyDescent="0.35">
      <c r="P72615" s="1"/>
    </row>
    <row r="72616" spans="16:17" x14ac:dyDescent="0.35">
      <c r="P72616" s="1"/>
    </row>
    <row r="72618" spans="16:17" x14ac:dyDescent="0.35">
      <c r="P72618" s="1"/>
    </row>
    <row r="72620" spans="16:17" x14ac:dyDescent="0.35">
      <c r="P72620" s="1"/>
    </row>
    <row r="72622" spans="16:17" x14ac:dyDescent="0.35">
      <c r="P72622" s="1"/>
    </row>
    <row r="72626" spans="16:17" x14ac:dyDescent="0.35">
      <c r="P72626" s="1"/>
    </row>
    <row r="72627" spans="16:17" x14ac:dyDescent="0.35">
      <c r="P72627" s="1"/>
    </row>
    <row r="72628" spans="16:17" x14ac:dyDescent="0.35">
      <c r="P72628" s="1"/>
    </row>
    <row r="72629" spans="16:17" x14ac:dyDescent="0.35">
      <c r="P72629" s="1"/>
    </row>
    <row r="72634" spans="16:17" x14ac:dyDescent="0.35">
      <c r="Q72634" s="1"/>
    </row>
    <row r="72635" spans="16:17" x14ac:dyDescent="0.35">
      <c r="P72635" s="1"/>
      <c r="Q72635" s="1"/>
    </row>
    <row r="72636" spans="16:17" x14ac:dyDescent="0.35">
      <c r="P72636" s="1"/>
    </row>
    <row r="72638" spans="16:17" x14ac:dyDescent="0.35">
      <c r="P72638" s="1"/>
    </row>
    <row r="72640" spans="16:17" x14ac:dyDescent="0.35">
      <c r="Q72640" s="1"/>
    </row>
    <row r="72641" spans="16:17" x14ac:dyDescent="0.35">
      <c r="P72641" s="1"/>
    </row>
    <row r="72643" spans="16:17" x14ac:dyDescent="0.35">
      <c r="P72643" s="1"/>
    </row>
    <row r="72644" spans="16:17" x14ac:dyDescent="0.35">
      <c r="Q72644" s="1"/>
    </row>
    <row r="72646" spans="16:17" x14ac:dyDescent="0.35">
      <c r="P72646" s="1"/>
      <c r="Q72646" s="1"/>
    </row>
    <row r="72654" spans="16:17" x14ac:dyDescent="0.35">
      <c r="Q72654" s="1"/>
    </row>
    <row r="72657" spans="16:17" x14ac:dyDescent="0.35">
      <c r="P72657" s="1"/>
    </row>
    <row r="72659" spans="16:17" x14ac:dyDescent="0.35">
      <c r="P72659" s="1"/>
      <c r="Q72659" s="1"/>
    </row>
    <row r="72660" spans="16:17" x14ac:dyDescent="0.35">
      <c r="Q72660" s="1"/>
    </row>
    <row r="72662" spans="16:17" x14ac:dyDescent="0.35">
      <c r="P72662" s="1"/>
      <c r="Q72662" s="1"/>
    </row>
    <row r="72664" spans="16:17" x14ac:dyDescent="0.35">
      <c r="P72664" s="1"/>
    </row>
    <row r="72665" spans="16:17" x14ac:dyDescent="0.35">
      <c r="P72665" s="1"/>
    </row>
    <row r="72667" spans="16:17" x14ac:dyDescent="0.35">
      <c r="P72667" s="1"/>
    </row>
    <row r="72672" spans="16:17" x14ac:dyDescent="0.35">
      <c r="P72672" s="1"/>
      <c r="Q72672" s="1"/>
    </row>
    <row r="72673" spans="16:17" x14ac:dyDescent="0.35">
      <c r="P72673" s="1"/>
    </row>
    <row r="72675" spans="16:17" x14ac:dyDescent="0.35">
      <c r="Q72675" s="1"/>
    </row>
    <row r="72677" spans="16:17" x14ac:dyDescent="0.35">
      <c r="P72677" s="1"/>
    </row>
    <row r="72679" spans="16:17" x14ac:dyDescent="0.35">
      <c r="P72679" s="1"/>
    </row>
    <row r="72680" spans="16:17" x14ac:dyDescent="0.35">
      <c r="P72680" s="1"/>
    </row>
    <row r="72681" spans="16:17" x14ac:dyDescent="0.35">
      <c r="P72681" s="1"/>
    </row>
    <row r="72682" spans="16:17" x14ac:dyDescent="0.35">
      <c r="P72682" s="1"/>
    </row>
    <row r="72683" spans="16:17" x14ac:dyDescent="0.35">
      <c r="P72683" s="1"/>
    </row>
    <row r="72684" spans="16:17" x14ac:dyDescent="0.35">
      <c r="P72684" s="1"/>
    </row>
    <row r="72685" spans="16:17" x14ac:dyDescent="0.35">
      <c r="P72685" s="1"/>
      <c r="Q72685" s="1"/>
    </row>
    <row r="72686" spans="16:17" x14ac:dyDescent="0.35">
      <c r="P72686" s="1"/>
    </row>
    <row r="72687" spans="16:17" x14ac:dyDescent="0.35">
      <c r="P72687" s="1"/>
    </row>
    <row r="72689" spans="16:17" x14ac:dyDescent="0.35">
      <c r="P72689" s="1"/>
    </row>
    <row r="72694" spans="16:17" x14ac:dyDescent="0.35">
      <c r="P72694" s="1"/>
    </row>
    <row r="72695" spans="16:17" x14ac:dyDescent="0.35">
      <c r="P72695" s="1"/>
    </row>
    <row r="72701" spans="16:17" x14ac:dyDescent="0.35">
      <c r="P72701" s="1"/>
      <c r="Q72701" s="1"/>
    </row>
    <row r="72702" spans="16:17" x14ac:dyDescent="0.35">
      <c r="P72702" s="1"/>
      <c r="Q72702" s="1"/>
    </row>
    <row r="72703" spans="16:17" x14ac:dyDescent="0.35">
      <c r="Q72703" s="1"/>
    </row>
    <row r="72704" spans="16:17" x14ac:dyDescent="0.35">
      <c r="Q72704" s="1"/>
    </row>
    <row r="72706" spans="16:17" x14ac:dyDescent="0.35">
      <c r="P72706" s="1"/>
      <c r="Q72706" s="1"/>
    </row>
    <row r="72707" spans="16:17" x14ac:dyDescent="0.35">
      <c r="P72707" s="1"/>
    </row>
    <row r="72708" spans="16:17" x14ac:dyDescent="0.35">
      <c r="Q72708" s="1"/>
    </row>
    <row r="72714" spans="16:17" x14ac:dyDescent="0.35">
      <c r="P72714" s="1"/>
    </row>
    <row r="72716" spans="16:17" x14ac:dyDescent="0.35">
      <c r="P72716" s="1"/>
    </row>
    <row r="72718" spans="16:17" x14ac:dyDescent="0.35">
      <c r="Q72718" s="1"/>
    </row>
    <row r="72720" spans="16:17" x14ac:dyDescent="0.35">
      <c r="Q72720" s="1"/>
    </row>
    <row r="72722" spans="16:17" x14ac:dyDescent="0.35">
      <c r="P72722" s="1"/>
    </row>
    <row r="72723" spans="16:17" x14ac:dyDescent="0.35">
      <c r="Q72723" s="1"/>
    </row>
    <row r="72724" spans="16:17" x14ac:dyDescent="0.35">
      <c r="P72724" s="1"/>
      <c r="Q72724" s="1"/>
    </row>
    <row r="72727" spans="16:17" x14ac:dyDescent="0.35">
      <c r="P72727" s="1"/>
    </row>
    <row r="72729" spans="16:17" x14ac:dyDescent="0.35">
      <c r="P72729" s="1"/>
    </row>
    <row r="72730" spans="16:17" x14ac:dyDescent="0.35">
      <c r="P72730" s="1"/>
    </row>
    <row r="72731" spans="16:17" x14ac:dyDescent="0.35">
      <c r="P72731" s="1"/>
    </row>
    <row r="72732" spans="16:17" x14ac:dyDescent="0.35">
      <c r="P72732" s="1"/>
    </row>
    <row r="72733" spans="16:17" x14ac:dyDescent="0.35">
      <c r="P72733" s="1"/>
    </row>
    <row r="72735" spans="16:17" x14ac:dyDescent="0.35">
      <c r="Q72735" s="1"/>
    </row>
    <row r="72736" spans="16:17" x14ac:dyDescent="0.35">
      <c r="P72736" s="1"/>
      <c r="Q72736" s="1"/>
    </row>
    <row r="72737" spans="16:17" x14ac:dyDescent="0.35">
      <c r="Q72737" s="1"/>
    </row>
    <row r="72740" spans="16:17" x14ac:dyDescent="0.35">
      <c r="P72740" s="1"/>
    </row>
    <row r="72741" spans="16:17" x14ac:dyDescent="0.35">
      <c r="Q72741" s="1"/>
    </row>
    <row r="72742" spans="16:17" x14ac:dyDescent="0.35">
      <c r="P72742" s="1"/>
    </row>
    <row r="72743" spans="16:17" x14ac:dyDescent="0.35">
      <c r="P72743" s="1"/>
    </row>
    <row r="72744" spans="16:17" x14ac:dyDescent="0.35">
      <c r="Q72744" s="1"/>
    </row>
    <row r="72745" spans="16:17" x14ac:dyDescent="0.35">
      <c r="P72745" s="1"/>
    </row>
    <row r="72747" spans="16:17" x14ac:dyDescent="0.35">
      <c r="P72747" s="1"/>
    </row>
    <row r="72750" spans="16:17" x14ac:dyDescent="0.35">
      <c r="P72750" s="1"/>
    </row>
    <row r="72753" spans="16:17" x14ac:dyDescent="0.35">
      <c r="Q72753" s="1"/>
    </row>
    <row r="72754" spans="16:17" x14ac:dyDescent="0.35">
      <c r="P72754" s="1"/>
      <c r="Q72754" s="1"/>
    </row>
    <row r="72757" spans="16:17" x14ac:dyDescent="0.35">
      <c r="P72757" s="1"/>
    </row>
    <row r="72759" spans="16:17" x14ac:dyDescent="0.35">
      <c r="P72759" s="1"/>
    </row>
    <row r="72761" spans="16:17" x14ac:dyDescent="0.35">
      <c r="P72761" s="1"/>
    </row>
    <row r="72762" spans="16:17" x14ac:dyDescent="0.35">
      <c r="P72762" s="1"/>
    </row>
    <row r="72763" spans="16:17" x14ac:dyDescent="0.35">
      <c r="P72763" s="1"/>
    </row>
    <row r="72764" spans="16:17" x14ac:dyDescent="0.35">
      <c r="P72764" s="1"/>
    </row>
    <row r="72766" spans="16:17" x14ac:dyDescent="0.35">
      <c r="P72766" s="1"/>
      <c r="Q72766" s="1"/>
    </row>
    <row r="72769" spans="16:17" x14ac:dyDescent="0.35">
      <c r="P72769" s="1"/>
    </row>
    <row r="72775" spans="16:17" x14ac:dyDescent="0.35">
      <c r="P72775" s="1"/>
      <c r="Q72775" s="1"/>
    </row>
    <row r="72776" spans="16:17" x14ac:dyDescent="0.35">
      <c r="Q72776" s="1"/>
    </row>
    <row r="72777" spans="16:17" x14ac:dyDescent="0.35">
      <c r="P72777" s="1"/>
    </row>
    <row r="72778" spans="16:17" x14ac:dyDescent="0.35">
      <c r="P72778" s="1"/>
    </row>
    <row r="72779" spans="16:17" x14ac:dyDescent="0.35">
      <c r="P72779" s="1"/>
    </row>
    <row r="72780" spans="16:17" x14ac:dyDescent="0.35">
      <c r="Q72780" s="1"/>
    </row>
    <row r="72781" spans="16:17" x14ac:dyDescent="0.35">
      <c r="P72781" s="1"/>
      <c r="Q72781" s="1"/>
    </row>
    <row r="72783" spans="16:17" x14ac:dyDescent="0.35">
      <c r="P72783" s="1"/>
    </row>
    <row r="72785" spans="16:17" x14ac:dyDescent="0.35">
      <c r="Q72785" s="1"/>
    </row>
    <row r="72786" spans="16:17" x14ac:dyDescent="0.35">
      <c r="P72786" s="1"/>
      <c r="Q72786" s="1"/>
    </row>
    <row r="72787" spans="16:17" x14ac:dyDescent="0.35">
      <c r="P72787" s="1"/>
    </row>
    <row r="72788" spans="16:17" x14ac:dyDescent="0.35">
      <c r="Q72788" s="1"/>
    </row>
    <row r="72791" spans="16:17" x14ac:dyDescent="0.35">
      <c r="P72791" s="1"/>
    </row>
    <row r="72792" spans="16:17" x14ac:dyDescent="0.35">
      <c r="P72792" s="1"/>
      <c r="Q72792" s="1"/>
    </row>
    <row r="72794" spans="16:17" x14ac:dyDescent="0.35">
      <c r="P72794" s="1"/>
    </row>
    <row r="72795" spans="16:17" x14ac:dyDescent="0.35">
      <c r="Q72795" s="1"/>
    </row>
    <row r="72801" spans="16:17" x14ac:dyDescent="0.35">
      <c r="Q72801" s="1"/>
    </row>
    <row r="72803" spans="16:17" x14ac:dyDescent="0.35">
      <c r="P72803" s="1"/>
      <c r="Q72803" s="1"/>
    </row>
    <row r="72805" spans="16:17" x14ac:dyDescent="0.35">
      <c r="P72805" s="1"/>
      <c r="Q72805" s="1"/>
    </row>
    <row r="72807" spans="16:17" x14ac:dyDescent="0.35">
      <c r="P72807" s="1"/>
    </row>
    <row r="72808" spans="16:17" x14ac:dyDescent="0.35">
      <c r="P72808" s="1"/>
    </row>
    <row r="72813" spans="16:17" x14ac:dyDescent="0.35">
      <c r="P72813" s="1"/>
    </row>
    <row r="72815" spans="16:17" x14ac:dyDescent="0.35">
      <c r="Q72815" s="1"/>
    </row>
    <row r="72818" spans="16:17" x14ac:dyDescent="0.35">
      <c r="P72818" s="1"/>
    </row>
    <row r="72819" spans="16:17" x14ac:dyDescent="0.35">
      <c r="Q72819" s="1"/>
    </row>
    <row r="72820" spans="16:17" x14ac:dyDescent="0.35">
      <c r="P72820" s="1"/>
    </row>
    <row r="72821" spans="16:17" x14ac:dyDescent="0.35">
      <c r="P72821" s="1"/>
      <c r="Q72821" s="1"/>
    </row>
    <row r="72822" spans="16:17" x14ac:dyDescent="0.35">
      <c r="P72822" s="1"/>
      <c r="Q72822" s="1"/>
    </row>
    <row r="72823" spans="16:17" x14ac:dyDescent="0.35">
      <c r="P72823" s="1"/>
    </row>
    <row r="72824" spans="16:17" x14ac:dyDescent="0.35">
      <c r="P72824" s="1"/>
    </row>
    <row r="72825" spans="16:17" x14ac:dyDescent="0.35">
      <c r="P72825" s="1"/>
    </row>
    <row r="72827" spans="16:17" x14ac:dyDescent="0.35">
      <c r="Q72827" s="1"/>
    </row>
    <row r="72828" spans="16:17" x14ac:dyDescent="0.35">
      <c r="P72828" s="1"/>
    </row>
    <row r="72830" spans="16:17" x14ac:dyDescent="0.35">
      <c r="Q72830" s="1"/>
    </row>
    <row r="72833" spans="16:17" x14ac:dyDescent="0.35">
      <c r="P72833" s="1"/>
      <c r="Q72833" s="1"/>
    </row>
    <row r="72835" spans="16:17" x14ac:dyDescent="0.35">
      <c r="P72835" s="1"/>
      <c r="Q72835" s="1"/>
    </row>
    <row r="72836" spans="16:17" x14ac:dyDescent="0.35">
      <c r="P72836" s="1"/>
    </row>
    <row r="72837" spans="16:17" x14ac:dyDescent="0.35">
      <c r="P72837" s="1"/>
      <c r="Q72837" s="1"/>
    </row>
    <row r="72838" spans="16:17" x14ac:dyDescent="0.35">
      <c r="P72838" s="1"/>
      <c r="Q72838" s="1"/>
    </row>
    <row r="72840" spans="16:17" x14ac:dyDescent="0.35">
      <c r="P72840" s="1"/>
    </row>
    <row r="72844" spans="16:17" x14ac:dyDescent="0.35">
      <c r="Q72844" s="1"/>
    </row>
    <row r="72845" spans="16:17" x14ac:dyDescent="0.35">
      <c r="P72845" s="1"/>
    </row>
    <row r="72847" spans="16:17" x14ac:dyDescent="0.35">
      <c r="P72847" s="1"/>
    </row>
    <row r="72850" spans="16:17" x14ac:dyDescent="0.35">
      <c r="P72850" s="1"/>
    </row>
    <row r="72852" spans="16:17" x14ac:dyDescent="0.35">
      <c r="P72852" s="1"/>
    </row>
    <row r="72857" spans="16:17" x14ac:dyDescent="0.35">
      <c r="Q72857" s="1"/>
    </row>
    <row r="72858" spans="16:17" x14ac:dyDescent="0.35">
      <c r="P72858" s="1"/>
    </row>
    <row r="72859" spans="16:17" x14ac:dyDescent="0.35">
      <c r="P72859" s="1"/>
    </row>
    <row r="72860" spans="16:17" x14ac:dyDescent="0.35">
      <c r="P72860" s="1"/>
      <c r="Q72860" s="1"/>
    </row>
    <row r="72861" spans="16:17" x14ac:dyDescent="0.35">
      <c r="P72861" s="1"/>
      <c r="Q72861" s="1"/>
    </row>
    <row r="72862" spans="16:17" x14ac:dyDescent="0.35">
      <c r="Q72862" s="1"/>
    </row>
    <row r="72864" spans="16:17" x14ac:dyDescent="0.35">
      <c r="Q72864" s="1"/>
    </row>
    <row r="72866" spans="16:17" x14ac:dyDescent="0.35">
      <c r="Q72866" s="1"/>
    </row>
    <row r="72867" spans="16:17" x14ac:dyDescent="0.35">
      <c r="P72867" s="1"/>
    </row>
    <row r="72868" spans="16:17" x14ac:dyDescent="0.35">
      <c r="P72868" s="1"/>
    </row>
    <row r="72869" spans="16:17" x14ac:dyDescent="0.35">
      <c r="Q72869" s="1"/>
    </row>
    <row r="72873" spans="16:17" x14ac:dyDescent="0.35">
      <c r="P72873" s="1"/>
    </row>
    <row r="72879" spans="16:17" x14ac:dyDescent="0.35">
      <c r="P72879" s="1"/>
      <c r="Q72879" s="1"/>
    </row>
    <row r="72880" spans="16:17" x14ac:dyDescent="0.35">
      <c r="P72880" s="1"/>
      <c r="Q72880" s="1"/>
    </row>
    <row r="72883" spans="16:17" x14ac:dyDescent="0.35">
      <c r="P72883" s="1"/>
    </row>
    <row r="72884" spans="16:17" x14ac:dyDescent="0.35">
      <c r="Q72884" s="1"/>
    </row>
    <row r="72885" spans="16:17" x14ac:dyDescent="0.35">
      <c r="P72885" s="1"/>
    </row>
    <row r="72886" spans="16:17" x14ac:dyDescent="0.35">
      <c r="P72886" s="1"/>
      <c r="Q72886" s="1"/>
    </row>
    <row r="72887" spans="16:17" x14ac:dyDescent="0.35">
      <c r="P72887" s="1"/>
    </row>
    <row r="72888" spans="16:17" x14ac:dyDescent="0.35">
      <c r="P72888" s="1"/>
    </row>
    <row r="72891" spans="16:17" x14ac:dyDescent="0.35">
      <c r="P72891" s="1"/>
      <c r="Q72891" s="1"/>
    </row>
    <row r="72892" spans="16:17" x14ac:dyDescent="0.35">
      <c r="P72892" s="1"/>
    </row>
    <row r="72894" spans="16:17" x14ac:dyDescent="0.35">
      <c r="P72894" s="1"/>
    </row>
    <row r="72896" spans="16:17" x14ac:dyDescent="0.35">
      <c r="P72896" s="1"/>
    </row>
    <row r="72897" spans="16:17" x14ac:dyDescent="0.35">
      <c r="P72897" s="1"/>
    </row>
    <row r="72898" spans="16:17" x14ac:dyDescent="0.35">
      <c r="Q72898" s="1"/>
    </row>
    <row r="72899" spans="16:17" x14ac:dyDescent="0.35">
      <c r="P72899" s="1"/>
      <c r="Q72899" s="1"/>
    </row>
    <row r="72900" spans="16:17" x14ac:dyDescent="0.35">
      <c r="P72900" s="1"/>
      <c r="Q72900" s="1"/>
    </row>
    <row r="72901" spans="16:17" x14ac:dyDescent="0.35">
      <c r="P72901" s="1"/>
      <c r="Q72901" s="1"/>
    </row>
    <row r="72905" spans="16:17" x14ac:dyDescent="0.35">
      <c r="P72905" s="1"/>
      <c r="Q72905" s="1"/>
    </row>
    <row r="72910" spans="16:17" x14ac:dyDescent="0.35">
      <c r="Q72910" s="1"/>
    </row>
    <row r="72912" spans="16:17" x14ac:dyDescent="0.35">
      <c r="P72912" s="1"/>
    </row>
    <row r="72916" spans="16:17" x14ac:dyDescent="0.35">
      <c r="Q72916" s="1"/>
    </row>
    <row r="72917" spans="16:17" x14ac:dyDescent="0.35">
      <c r="Q72917" s="1"/>
    </row>
    <row r="72918" spans="16:17" x14ac:dyDescent="0.35">
      <c r="Q72918" s="1"/>
    </row>
    <row r="72919" spans="16:17" x14ac:dyDescent="0.35">
      <c r="P72919" s="1"/>
    </row>
    <row r="72922" spans="16:17" x14ac:dyDescent="0.35">
      <c r="P72922" s="1"/>
      <c r="Q72922" s="1"/>
    </row>
    <row r="72924" spans="16:17" x14ac:dyDescent="0.35">
      <c r="P72924" s="1"/>
    </row>
    <row r="72927" spans="16:17" x14ac:dyDescent="0.35">
      <c r="P72927" s="1"/>
    </row>
    <row r="72928" spans="16:17" x14ac:dyDescent="0.35">
      <c r="Q72928" s="1"/>
    </row>
    <row r="72929" spans="16:17" x14ac:dyDescent="0.35">
      <c r="Q72929" s="1"/>
    </row>
    <row r="72932" spans="16:17" x14ac:dyDescent="0.35">
      <c r="Q72932" s="1"/>
    </row>
    <row r="72933" spans="16:17" x14ac:dyDescent="0.35">
      <c r="P72933" s="1"/>
    </row>
    <row r="72934" spans="16:17" x14ac:dyDescent="0.35">
      <c r="Q72934" s="1"/>
    </row>
    <row r="72935" spans="16:17" x14ac:dyDescent="0.35">
      <c r="Q72935" s="1"/>
    </row>
    <row r="72936" spans="16:17" x14ac:dyDescent="0.35">
      <c r="P72936" s="1"/>
    </row>
    <row r="72937" spans="16:17" x14ac:dyDescent="0.35">
      <c r="Q72937" s="1"/>
    </row>
    <row r="72938" spans="16:17" x14ac:dyDescent="0.35">
      <c r="P72938" s="1"/>
    </row>
    <row r="72942" spans="16:17" x14ac:dyDescent="0.35">
      <c r="Q72942" s="1"/>
    </row>
    <row r="72943" spans="16:17" x14ac:dyDescent="0.35">
      <c r="Q72943" s="1"/>
    </row>
    <row r="72944" spans="16:17" x14ac:dyDescent="0.35">
      <c r="P72944" s="1"/>
    </row>
    <row r="72946" spans="16:17" x14ac:dyDescent="0.35">
      <c r="Q72946" s="1"/>
    </row>
    <row r="72949" spans="16:17" x14ac:dyDescent="0.35">
      <c r="P72949" s="1"/>
    </row>
    <row r="72951" spans="16:17" x14ac:dyDescent="0.35">
      <c r="P72951" s="1"/>
    </row>
    <row r="72954" spans="16:17" x14ac:dyDescent="0.35">
      <c r="P72954" s="1"/>
      <c r="Q72954" s="1"/>
    </row>
    <row r="72955" spans="16:17" x14ac:dyDescent="0.35">
      <c r="P72955" s="1"/>
      <c r="Q72955" s="1"/>
    </row>
    <row r="72956" spans="16:17" x14ac:dyDescent="0.35">
      <c r="Q72956" s="1"/>
    </row>
    <row r="72957" spans="16:17" x14ac:dyDescent="0.35">
      <c r="Q72957" s="1"/>
    </row>
    <row r="72958" spans="16:17" x14ac:dyDescent="0.35">
      <c r="P72958" s="1"/>
    </row>
    <row r="72959" spans="16:17" x14ac:dyDescent="0.35">
      <c r="Q72959" s="1"/>
    </row>
    <row r="72960" spans="16:17" x14ac:dyDescent="0.35">
      <c r="P72960" s="1"/>
    </row>
    <row r="72961" spans="16:17" x14ac:dyDescent="0.35">
      <c r="P72961" s="1"/>
    </row>
    <row r="72962" spans="16:17" x14ac:dyDescent="0.35">
      <c r="P72962" s="1"/>
    </row>
    <row r="72964" spans="16:17" x14ac:dyDescent="0.35">
      <c r="Q72964" s="1"/>
    </row>
    <row r="72965" spans="16:17" x14ac:dyDescent="0.35">
      <c r="Q72965" s="1"/>
    </row>
    <row r="72966" spans="16:17" x14ac:dyDescent="0.35">
      <c r="P72966" s="1"/>
    </row>
    <row r="72967" spans="16:17" x14ac:dyDescent="0.35">
      <c r="P72967" s="1"/>
    </row>
    <row r="72968" spans="16:17" x14ac:dyDescent="0.35">
      <c r="P72968" s="1"/>
    </row>
    <row r="72976" spans="16:17" x14ac:dyDescent="0.35">
      <c r="P72976" s="1"/>
    </row>
    <row r="72978" spans="16:17" x14ac:dyDescent="0.35">
      <c r="P72978" s="1"/>
    </row>
    <row r="72980" spans="16:17" x14ac:dyDescent="0.35">
      <c r="Q72980" s="1"/>
    </row>
    <row r="72981" spans="16:17" x14ac:dyDescent="0.35">
      <c r="P72981" s="1"/>
      <c r="Q72981" s="1"/>
    </row>
    <row r="72986" spans="16:17" x14ac:dyDescent="0.35">
      <c r="P72986" s="1"/>
    </row>
    <row r="72988" spans="16:17" x14ac:dyDescent="0.35">
      <c r="Q72988" s="1"/>
    </row>
    <row r="72990" spans="16:17" x14ac:dyDescent="0.35">
      <c r="P72990" s="1"/>
    </row>
    <row r="72993" spans="16:17" x14ac:dyDescent="0.35">
      <c r="P72993" s="1"/>
      <c r="Q72993" s="1"/>
    </row>
    <row r="73072" spans="16:16" x14ac:dyDescent="0.35">
      <c r="P73072" s="1"/>
    </row>
    <row r="73076" spans="16:16" x14ac:dyDescent="0.35">
      <c r="P73076" s="1"/>
    </row>
    <row r="73092" spans="16:16" x14ac:dyDescent="0.35">
      <c r="P73092" s="1"/>
    </row>
    <row r="73103" spans="16:16" x14ac:dyDescent="0.35">
      <c r="P73103" s="1"/>
    </row>
    <row r="73151" spans="16:16" x14ac:dyDescent="0.35">
      <c r="P73151" s="1"/>
    </row>
    <row r="73155" spans="16:16" x14ac:dyDescent="0.35">
      <c r="P73155" s="1"/>
    </row>
    <row r="73191" spans="16:17" x14ac:dyDescent="0.35">
      <c r="P73191" s="1"/>
    </row>
    <row r="73192" spans="16:17" x14ac:dyDescent="0.35">
      <c r="P73192" s="1"/>
    </row>
    <row r="73195" spans="16:17" x14ac:dyDescent="0.35">
      <c r="P73195" s="1"/>
    </row>
    <row r="73197" spans="16:17" x14ac:dyDescent="0.35">
      <c r="Q73197" s="1"/>
    </row>
    <row r="73230" spans="16:16" x14ac:dyDescent="0.35">
      <c r="P73230" s="1"/>
    </row>
    <row r="73281" spans="16:16" x14ac:dyDescent="0.35">
      <c r="P73281" s="1"/>
    </row>
    <row r="73285" spans="16:16" x14ac:dyDescent="0.35">
      <c r="P73285" s="1"/>
    </row>
    <row r="73292" spans="16:16" x14ac:dyDescent="0.35">
      <c r="P73292" s="1"/>
    </row>
    <row r="73296" spans="16:16" x14ac:dyDescent="0.35">
      <c r="P73296" s="1"/>
    </row>
    <row r="73335" spans="16:16" x14ac:dyDescent="0.35">
      <c r="P73335" s="1"/>
    </row>
    <row r="73347" spans="16:16" x14ac:dyDescent="0.35">
      <c r="P73347" s="1"/>
    </row>
    <row r="73380" spans="16:16" x14ac:dyDescent="0.35">
      <c r="P73380" s="1"/>
    </row>
    <row r="73399" spans="16:16" x14ac:dyDescent="0.35">
      <c r="P73399" s="1"/>
    </row>
    <row r="73428" spans="16:16" x14ac:dyDescent="0.35">
      <c r="P73428" s="1"/>
    </row>
    <row r="73442" spans="16:16" x14ac:dyDescent="0.35">
      <c r="P73442" s="1"/>
    </row>
    <row r="73449" spans="16:16" x14ac:dyDescent="0.35">
      <c r="P73449" s="1"/>
    </row>
    <row r="73452" spans="16:16" x14ac:dyDescent="0.35">
      <c r="P73452" s="1"/>
    </row>
    <row r="73485" spans="16:16" x14ac:dyDescent="0.35">
      <c r="P73485" s="1"/>
    </row>
    <row r="73488" spans="16:16" x14ac:dyDescent="0.35">
      <c r="P73488" s="1"/>
    </row>
    <row r="73493" spans="16:17" x14ac:dyDescent="0.35">
      <c r="P73493" s="1"/>
    </row>
    <row r="73495" spans="16:17" x14ac:dyDescent="0.35">
      <c r="P73495" s="1"/>
    </row>
    <row r="73502" spans="16:17" x14ac:dyDescent="0.35">
      <c r="Q73502" s="1"/>
    </row>
    <row r="73504" spans="16:17" x14ac:dyDescent="0.35">
      <c r="P73504" s="1"/>
    </row>
    <row r="73556" spans="17:17" x14ac:dyDescent="0.35">
      <c r="Q73556" s="1"/>
    </row>
    <row r="73573" spans="16:16" x14ac:dyDescent="0.35">
      <c r="P73573" s="1"/>
    </row>
    <row r="73592" spans="16:16" x14ac:dyDescent="0.35">
      <c r="P73592" s="1"/>
    </row>
    <row r="73600" spans="16:16" x14ac:dyDescent="0.35">
      <c r="P73600" s="1"/>
    </row>
    <row r="73613" spans="16:16" x14ac:dyDescent="0.35">
      <c r="P73613" s="1"/>
    </row>
    <row r="73638" spans="16:16" x14ac:dyDescent="0.35">
      <c r="P73638" s="1"/>
    </row>
    <row r="73642" spans="16:16" x14ac:dyDescent="0.35">
      <c r="P73642" s="1"/>
    </row>
    <row r="73661" spans="16:16" x14ac:dyDescent="0.35">
      <c r="P73661" s="1"/>
    </row>
    <row r="73694" spans="16:16" x14ac:dyDescent="0.35">
      <c r="P73694" s="1"/>
    </row>
    <row r="73700" spans="16:16" x14ac:dyDescent="0.35">
      <c r="P73700" s="1"/>
    </row>
    <row r="73715" spans="16:16" x14ac:dyDescent="0.35">
      <c r="P73715" s="1"/>
    </row>
    <row r="73725" spans="16:16" x14ac:dyDescent="0.35">
      <c r="P73725" s="1"/>
    </row>
    <row r="73734" spans="16:16" x14ac:dyDescent="0.35">
      <c r="P73734" s="1"/>
    </row>
    <row r="73738" spans="16:16" x14ac:dyDescent="0.35">
      <c r="P73738" s="1"/>
    </row>
    <row r="73767" spans="16:16" x14ac:dyDescent="0.35">
      <c r="P73767" s="1"/>
    </row>
    <row r="73769" spans="16:16" x14ac:dyDescent="0.35">
      <c r="P73769" s="1"/>
    </row>
    <row r="73833" spans="16:16" x14ac:dyDescent="0.35">
      <c r="P73833" s="1"/>
    </row>
    <row r="73851" spans="16:16" x14ac:dyDescent="0.35">
      <c r="P73851" s="1"/>
    </row>
    <row r="73903" spans="16:16" x14ac:dyDescent="0.35">
      <c r="P73903" s="1"/>
    </row>
    <row r="73910" spans="16:16" x14ac:dyDescent="0.35">
      <c r="P73910" s="1"/>
    </row>
    <row r="73931" spans="16:16" x14ac:dyDescent="0.35">
      <c r="P73931" s="1"/>
    </row>
    <row r="73975" spans="16:16" x14ac:dyDescent="0.35">
      <c r="P73975" s="1"/>
    </row>
    <row r="73985" spans="16:17" x14ac:dyDescent="0.35">
      <c r="Q73985" s="1"/>
    </row>
    <row r="73990" spans="16:17" x14ac:dyDescent="0.35">
      <c r="P73990" s="1"/>
    </row>
    <row r="73992" spans="16:17" x14ac:dyDescent="0.35">
      <c r="P73992" s="1"/>
    </row>
    <row r="74004" spans="17:17" x14ac:dyDescent="0.35">
      <c r="Q74004" s="1"/>
    </row>
    <row r="74006" spans="17:17" x14ac:dyDescent="0.35">
      <c r="Q74006" s="1"/>
    </row>
    <row r="74010" spans="17:17" x14ac:dyDescent="0.35">
      <c r="Q74010" s="1"/>
    </row>
    <row r="74014" spans="17:17" x14ac:dyDescent="0.35">
      <c r="Q74014" s="1"/>
    </row>
    <row r="74016" spans="17:17" x14ac:dyDescent="0.35">
      <c r="Q74016" s="1"/>
    </row>
    <row r="74018" spans="17:17" x14ac:dyDescent="0.35">
      <c r="Q74018" s="1"/>
    </row>
    <row r="74025" spans="17:17" x14ac:dyDescent="0.35">
      <c r="Q74025" s="1"/>
    </row>
    <row r="74026" spans="17:17" x14ac:dyDescent="0.35">
      <c r="Q74026" s="1"/>
    </row>
    <row r="74027" spans="17:17" x14ac:dyDescent="0.35">
      <c r="Q74027" s="1"/>
    </row>
    <row r="74032" spans="17:17" x14ac:dyDescent="0.35">
      <c r="Q74032" s="1"/>
    </row>
    <row r="74034" spans="17:17" x14ac:dyDescent="0.35">
      <c r="Q74034" s="1"/>
    </row>
    <row r="74039" spans="17:17" x14ac:dyDescent="0.35">
      <c r="Q74039" s="1"/>
    </row>
    <row r="74041" spans="17:17" x14ac:dyDescent="0.35">
      <c r="Q74041" s="1"/>
    </row>
    <row r="74042" spans="17:17" x14ac:dyDescent="0.35">
      <c r="Q74042" s="1"/>
    </row>
    <row r="74043" spans="17:17" x14ac:dyDescent="0.35">
      <c r="Q74043" s="1"/>
    </row>
    <row r="74044" spans="17:17" x14ac:dyDescent="0.35">
      <c r="Q74044" s="1"/>
    </row>
    <row r="74052" spans="17:17" x14ac:dyDescent="0.35">
      <c r="Q74052" s="1"/>
    </row>
    <row r="74056" spans="17:17" x14ac:dyDescent="0.35">
      <c r="Q74056" s="1"/>
    </row>
    <row r="74057" spans="17:17" x14ac:dyDescent="0.35">
      <c r="Q74057" s="1"/>
    </row>
    <row r="74059" spans="17:17" x14ac:dyDescent="0.35">
      <c r="Q74059" s="1"/>
    </row>
    <row r="74061" spans="17:17" x14ac:dyDescent="0.35">
      <c r="Q74061" s="1"/>
    </row>
    <row r="74071" spans="17:17" x14ac:dyDescent="0.35">
      <c r="Q74071" s="1"/>
    </row>
    <row r="74073" spans="17:17" x14ac:dyDescent="0.35">
      <c r="Q74073" s="1"/>
    </row>
    <row r="74075" spans="17:17" x14ac:dyDescent="0.35">
      <c r="Q74075" s="1"/>
    </row>
    <row r="74079" spans="17:17" x14ac:dyDescent="0.35">
      <c r="Q74079" s="1"/>
    </row>
    <row r="74081" spans="17:17" x14ac:dyDescent="0.35">
      <c r="Q74081" s="1"/>
    </row>
    <row r="74083" spans="17:17" x14ac:dyDescent="0.35">
      <c r="Q74083" s="1"/>
    </row>
    <row r="74086" spans="17:17" x14ac:dyDescent="0.35">
      <c r="Q74086" s="1"/>
    </row>
    <row r="74088" spans="17:17" x14ac:dyDescent="0.35">
      <c r="Q74088" s="1"/>
    </row>
    <row r="74091" spans="17:17" x14ac:dyDescent="0.35">
      <c r="Q74091" s="1"/>
    </row>
    <row r="74092" spans="17:17" x14ac:dyDescent="0.35">
      <c r="Q74092" s="1"/>
    </row>
    <row r="74095" spans="17:17" x14ac:dyDescent="0.35">
      <c r="Q74095" s="1"/>
    </row>
    <row r="74103" spans="17:17" x14ac:dyDescent="0.35">
      <c r="Q74103" s="1"/>
    </row>
    <row r="74105" spans="17:17" x14ac:dyDescent="0.35">
      <c r="Q74105" s="1"/>
    </row>
    <row r="74111" spans="17:17" x14ac:dyDescent="0.35">
      <c r="Q74111" s="1"/>
    </row>
    <row r="74117" spans="17:17" x14ac:dyDescent="0.35">
      <c r="Q74117" s="1"/>
    </row>
    <row r="74120" spans="17:17" x14ac:dyDescent="0.35">
      <c r="Q74120" s="1"/>
    </row>
    <row r="74121" spans="17:17" x14ac:dyDescent="0.35">
      <c r="Q74121" s="1"/>
    </row>
    <row r="74132" spans="17:17" x14ac:dyDescent="0.35">
      <c r="Q74132" s="1"/>
    </row>
    <row r="74134" spans="17:17" x14ac:dyDescent="0.35">
      <c r="Q74134" s="1"/>
    </row>
    <row r="74135" spans="17:17" x14ac:dyDescent="0.35">
      <c r="Q74135" s="1"/>
    </row>
    <row r="74138" spans="17:17" x14ac:dyDescent="0.35">
      <c r="Q74138" s="1"/>
    </row>
    <row r="74139" spans="17:17" x14ac:dyDescent="0.35">
      <c r="Q74139" s="1"/>
    </row>
    <row r="74141" spans="17:17" x14ac:dyDescent="0.35">
      <c r="Q74141" s="1"/>
    </row>
    <row r="74143" spans="17:17" x14ac:dyDescent="0.35">
      <c r="Q74143" s="1"/>
    </row>
    <row r="74144" spans="17:17" x14ac:dyDescent="0.35">
      <c r="Q74144" s="1"/>
    </row>
    <row r="74157" spans="17:17" x14ac:dyDescent="0.35">
      <c r="Q74157" s="1"/>
    </row>
    <row r="74158" spans="17:17" x14ac:dyDescent="0.35">
      <c r="Q74158" s="1"/>
    </row>
    <row r="74159" spans="17:17" x14ac:dyDescent="0.35">
      <c r="Q74159" s="1"/>
    </row>
    <row r="74160" spans="17:17" x14ac:dyDescent="0.35">
      <c r="Q74160" s="1"/>
    </row>
    <row r="74162" spans="17:17" x14ac:dyDescent="0.35">
      <c r="Q74162" s="1"/>
    </row>
    <row r="74167" spans="17:17" x14ac:dyDescent="0.35">
      <c r="Q74167" s="1"/>
    </row>
    <row r="74168" spans="17:17" x14ac:dyDescent="0.35">
      <c r="Q74168" s="1"/>
    </row>
    <row r="74169" spans="17:17" x14ac:dyDescent="0.35">
      <c r="Q74169" s="1"/>
    </row>
    <row r="74171" spans="17:17" x14ac:dyDescent="0.35">
      <c r="Q74171" s="1"/>
    </row>
    <row r="74174" spans="17:17" x14ac:dyDescent="0.35">
      <c r="Q74174" s="1"/>
    </row>
    <row r="74175" spans="17:17" x14ac:dyDescent="0.35">
      <c r="Q74175" s="1"/>
    </row>
    <row r="74178" spans="17:17" x14ac:dyDescent="0.35">
      <c r="Q74178" s="1"/>
    </row>
    <row r="74179" spans="17:17" x14ac:dyDescent="0.35">
      <c r="Q74179" s="1"/>
    </row>
    <row r="74182" spans="17:17" x14ac:dyDescent="0.35">
      <c r="Q74182" s="1"/>
    </row>
    <row r="74185" spans="17:17" x14ac:dyDescent="0.35">
      <c r="Q74185" s="1"/>
    </row>
    <row r="74194" spans="17:17" x14ac:dyDescent="0.35">
      <c r="Q74194" s="1"/>
    </row>
    <row r="74198" spans="17:17" x14ac:dyDescent="0.35">
      <c r="Q74198" s="1"/>
    </row>
    <row r="74200" spans="17:17" x14ac:dyDescent="0.35">
      <c r="Q74200" s="1"/>
    </row>
    <row r="74202" spans="17:17" x14ac:dyDescent="0.35">
      <c r="Q74202" s="1"/>
    </row>
    <row r="74206" spans="17:17" x14ac:dyDescent="0.35">
      <c r="Q74206" s="1"/>
    </row>
    <row r="74208" spans="17:17" x14ac:dyDescent="0.35">
      <c r="Q74208" s="1"/>
    </row>
    <row r="74209" spans="17:17" x14ac:dyDescent="0.35">
      <c r="Q74209" s="1"/>
    </row>
    <row r="74213" spans="17:17" x14ac:dyDescent="0.35">
      <c r="Q74213" s="1"/>
    </row>
    <row r="74219" spans="17:17" x14ac:dyDescent="0.35">
      <c r="Q74219" s="1"/>
    </row>
    <row r="74220" spans="17:17" x14ac:dyDescent="0.35">
      <c r="Q74220" s="1"/>
    </row>
    <row r="74222" spans="17:17" x14ac:dyDescent="0.35">
      <c r="Q74222" s="1"/>
    </row>
    <row r="74225" spans="17:17" x14ac:dyDescent="0.35">
      <c r="Q74225" s="1"/>
    </row>
    <row r="74233" spans="17:17" x14ac:dyDescent="0.35">
      <c r="Q74233" s="1"/>
    </row>
    <row r="74234" spans="17:17" x14ac:dyDescent="0.35">
      <c r="Q74234" s="1"/>
    </row>
    <row r="74240" spans="17:17" x14ac:dyDescent="0.35">
      <c r="Q74240" s="1"/>
    </row>
    <row r="74244" spans="17:17" x14ac:dyDescent="0.35">
      <c r="Q74244" s="1"/>
    </row>
    <row r="74249" spans="17:17" x14ac:dyDescent="0.35">
      <c r="Q74249" s="1"/>
    </row>
    <row r="74250" spans="17:17" x14ac:dyDescent="0.35">
      <c r="Q74250" s="1"/>
    </row>
    <row r="74251" spans="17:17" x14ac:dyDescent="0.35">
      <c r="Q74251" s="1"/>
    </row>
    <row r="74252" spans="17:17" x14ac:dyDescent="0.35">
      <c r="Q74252" s="1"/>
    </row>
    <row r="74263" spans="17:17" x14ac:dyDescent="0.35">
      <c r="Q74263" s="1"/>
    </row>
    <row r="74264" spans="17:17" x14ac:dyDescent="0.35">
      <c r="Q74264" s="1"/>
    </row>
    <row r="74265" spans="17:17" x14ac:dyDescent="0.35">
      <c r="Q74265" s="1"/>
    </row>
    <row r="74266" spans="17:17" x14ac:dyDescent="0.35">
      <c r="Q74266" s="1"/>
    </row>
    <row r="74267" spans="17:17" x14ac:dyDescent="0.35">
      <c r="Q74267" s="1"/>
    </row>
    <row r="74274" spans="17:17" x14ac:dyDescent="0.35">
      <c r="Q74274" s="1"/>
    </row>
    <row r="74279" spans="17:17" x14ac:dyDescent="0.35">
      <c r="Q74279" s="1"/>
    </row>
    <row r="74282" spans="17:17" x14ac:dyDescent="0.35">
      <c r="Q74282" s="1"/>
    </row>
    <row r="74290" spans="17:17" x14ac:dyDescent="0.35">
      <c r="Q74290" s="1"/>
    </row>
    <row r="74292" spans="17:17" x14ac:dyDescent="0.35">
      <c r="Q74292" s="1"/>
    </row>
    <row r="74294" spans="17:17" x14ac:dyDescent="0.35">
      <c r="Q74294" s="1"/>
    </row>
    <row r="74297" spans="17:17" x14ac:dyDescent="0.35">
      <c r="Q74297" s="1"/>
    </row>
    <row r="74303" spans="17:17" x14ac:dyDescent="0.35">
      <c r="Q74303" s="1"/>
    </row>
    <row r="74305" spans="17:17" x14ac:dyDescent="0.35">
      <c r="Q74305" s="1"/>
    </row>
    <row r="74307" spans="17:17" x14ac:dyDescent="0.35">
      <c r="Q74307" s="1"/>
    </row>
    <row r="74310" spans="17:17" x14ac:dyDescent="0.35">
      <c r="Q74310" s="1"/>
    </row>
    <row r="74312" spans="17:17" x14ac:dyDescent="0.35">
      <c r="Q74312" s="1"/>
    </row>
    <row r="74316" spans="17:17" x14ac:dyDescent="0.35">
      <c r="Q74316" s="1"/>
    </row>
    <row r="74326" spans="17:17" x14ac:dyDescent="0.35">
      <c r="Q74326" s="1"/>
    </row>
    <row r="74329" spans="17:17" x14ac:dyDescent="0.35">
      <c r="Q74329" s="1"/>
    </row>
    <row r="74330" spans="17:17" x14ac:dyDescent="0.35">
      <c r="Q74330" s="1"/>
    </row>
    <row r="74341" spans="17:17" x14ac:dyDescent="0.35">
      <c r="Q74341" s="1"/>
    </row>
    <row r="74346" spans="17:17" x14ac:dyDescent="0.35">
      <c r="Q74346" s="1"/>
    </row>
    <row r="74348" spans="17:17" x14ac:dyDescent="0.35">
      <c r="Q74348" s="1"/>
    </row>
    <row r="74349" spans="17:17" x14ac:dyDescent="0.35">
      <c r="Q74349" s="1"/>
    </row>
    <row r="74350" spans="17:17" x14ac:dyDescent="0.35">
      <c r="Q74350" s="1"/>
    </row>
    <row r="74351" spans="17:17" x14ac:dyDescent="0.35">
      <c r="Q74351" s="1"/>
    </row>
    <row r="74358" spans="17:17" x14ac:dyDescent="0.35">
      <c r="Q74358" s="1"/>
    </row>
    <row r="74362" spans="17:17" x14ac:dyDescent="0.35">
      <c r="Q74362" s="1"/>
    </row>
    <row r="74375" spans="17:17" x14ac:dyDescent="0.35">
      <c r="Q74375" s="1"/>
    </row>
    <row r="74383" spans="17:17" x14ac:dyDescent="0.35">
      <c r="Q74383" s="1"/>
    </row>
    <row r="74385" spans="17:17" x14ac:dyDescent="0.35">
      <c r="Q74385" s="1"/>
    </row>
    <row r="74387" spans="17:17" x14ac:dyDescent="0.35">
      <c r="Q74387" s="1"/>
    </row>
    <row r="74399" spans="17:17" x14ac:dyDescent="0.35">
      <c r="Q74399" s="1"/>
    </row>
    <row r="74404" spans="17:17" x14ac:dyDescent="0.35">
      <c r="Q74404" s="1"/>
    </row>
    <row r="74410" spans="17:17" x14ac:dyDescent="0.35">
      <c r="Q74410" s="1"/>
    </row>
    <row r="74413" spans="17:17" x14ac:dyDescent="0.35">
      <c r="Q74413" s="1"/>
    </row>
    <row r="74418" spans="17:17" x14ac:dyDescent="0.35">
      <c r="Q74418" s="1"/>
    </row>
    <row r="74422" spans="17:17" x14ac:dyDescent="0.35">
      <c r="Q74422" s="1"/>
    </row>
    <row r="74424" spans="17:17" x14ac:dyDescent="0.35">
      <c r="Q74424" s="1"/>
    </row>
    <row r="74431" spans="17:17" x14ac:dyDescent="0.35">
      <c r="Q74431" s="1"/>
    </row>
    <row r="74432" spans="17:17" x14ac:dyDescent="0.35">
      <c r="Q74432" s="1"/>
    </row>
    <row r="74437" spans="17:17" x14ac:dyDescent="0.35">
      <c r="Q74437" s="1"/>
    </row>
    <row r="74440" spans="17:17" x14ac:dyDescent="0.35">
      <c r="Q74440" s="1"/>
    </row>
    <row r="74448" spans="17:17" x14ac:dyDescent="0.35">
      <c r="Q74448" s="1"/>
    </row>
    <row r="74449" spans="17:17" x14ac:dyDescent="0.35">
      <c r="Q74449" s="1"/>
    </row>
    <row r="74452" spans="17:17" x14ac:dyDescent="0.35">
      <c r="Q74452" s="1"/>
    </row>
    <row r="74455" spans="17:17" x14ac:dyDescent="0.35">
      <c r="Q74455" s="1"/>
    </row>
    <row r="74457" spans="17:17" x14ac:dyDescent="0.35">
      <c r="Q74457" s="1"/>
    </row>
    <row r="74464" spans="17:17" x14ac:dyDescent="0.35">
      <c r="Q74464" s="1"/>
    </row>
    <row r="74466" spans="17:17" x14ac:dyDescent="0.35">
      <c r="Q74466" s="1"/>
    </row>
    <row r="74468" spans="17:17" x14ac:dyDescent="0.35">
      <c r="Q74468" s="1"/>
    </row>
    <row r="74469" spans="17:17" x14ac:dyDescent="0.35">
      <c r="Q74469" s="1"/>
    </row>
    <row r="74480" spans="17:17" x14ac:dyDescent="0.35">
      <c r="Q74480" s="1"/>
    </row>
    <row r="74481" spans="17:17" x14ac:dyDescent="0.35">
      <c r="Q74481" s="1"/>
    </row>
    <row r="74483" spans="17:17" x14ac:dyDescent="0.35">
      <c r="Q74483" s="1"/>
    </row>
    <row r="74485" spans="17:17" x14ac:dyDescent="0.35">
      <c r="Q74485" s="1"/>
    </row>
    <row r="74486" spans="17:17" x14ac:dyDescent="0.35">
      <c r="Q74486" s="1"/>
    </row>
    <row r="74487" spans="17:17" x14ac:dyDescent="0.35">
      <c r="Q74487" s="1"/>
    </row>
    <row r="74488" spans="17:17" x14ac:dyDescent="0.35">
      <c r="Q74488" s="1"/>
    </row>
    <row r="74491" spans="17:17" x14ac:dyDescent="0.35">
      <c r="Q74491" s="1"/>
    </row>
    <row r="74495" spans="17:17" x14ac:dyDescent="0.35">
      <c r="Q74495" s="1"/>
    </row>
    <row r="74498" spans="17:17" x14ac:dyDescent="0.35">
      <c r="Q74498" s="1"/>
    </row>
    <row r="74505" spans="17:17" x14ac:dyDescent="0.35">
      <c r="Q74505" s="1"/>
    </row>
    <row r="74510" spans="17:17" x14ac:dyDescent="0.35">
      <c r="Q74510" s="1"/>
    </row>
    <row r="74513" spans="17:17" x14ac:dyDescent="0.35">
      <c r="Q74513" s="1"/>
    </row>
    <row r="74517" spans="17:17" x14ac:dyDescent="0.35">
      <c r="Q74517" s="1"/>
    </row>
    <row r="74523" spans="17:17" x14ac:dyDescent="0.35">
      <c r="Q74523" s="1"/>
    </row>
    <row r="74529" spans="17:17" x14ac:dyDescent="0.35">
      <c r="Q74529" s="1"/>
    </row>
    <row r="74530" spans="17:17" x14ac:dyDescent="0.35">
      <c r="Q74530" s="1"/>
    </row>
    <row r="74532" spans="17:17" x14ac:dyDescent="0.35">
      <c r="Q74532" s="1"/>
    </row>
    <row r="74533" spans="17:17" x14ac:dyDescent="0.35">
      <c r="Q74533" s="1"/>
    </row>
    <row r="74534" spans="17:17" x14ac:dyDescent="0.35">
      <c r="Q74534" s="1"/>
    </row>
    <row r="74536" spans="17:17" x14ac:dyDescent="0.35">
      <c r="Q74536" s="1"/>
    </row>
    <row r="74539" spans="17:17" x14ac:dyDescent="0.35">
      <c r="Q74539" s="1"/>
    </row>
    <row r="74542" spans="17:17" x14ac:dyDescent="0.35">
      <c r="Q74542" s="1"/>
    </row>
    <row r="74543" spans="17:17" x14ac:dyDescent="0.35">
      <c r="Q74543" s="1"/>
    </row>
    <row r="74544" spans="17:17" x14ac:dyDescent="0.35">
      <c r="Q74544" s="1"/>
    </row>
    <row r="74545" spans="17:17" x14ac:dyDescent="0.35">
      <c r="Q74545" s="1"/>
    </row>
    <row r="74551" spans="17:17" x14ac:dyDescent="0.35">
      <c r="Q74551" s="1"/>
    </row>
    <row r="74552" spans="17:17" x14ac:dyDescent="0.35">
      <c r="Q74552" s="1"/>
    </row>
    <row r="74558" spans="17:17" x14ac:dyDescent="0.35">
      <c r="Q74558" s="1"/>
    </row>
    <row r="74561" spans="17:17" x14ac:dyDescent="0.35">
      <c r="Q74561" s="1"/>
    </row>
    <row r="74569" spans="17:17" x14ac:dyDescent="0.35">
      <c r="Q74569" s="1"/>
    </row>
    <row r="74571" spans="17:17" x14ac:dyDescent="0.35">
      <c r="Q74571" s="1"/>
    </row>
    <row r="74573" spans="17:17" x14ac:dyDescent="0.35">
      <c r="Q74573" s="1"/>
    </row>
    <row r="74575" spans="17:17" x14ac:dyDescent="0.35">
      <c r="Q74575" s="1"/>
    </row>
    <row r="74576" spans="17:17" x14ac:dyDescent="0.35">
      <c r="Q74576" s="1"/>
    </row>
    <row r="74582" spans="3:17" x14ac:dyDescent="0.35">
      <c r="C74582" s="4"/>
    </row>
    <row r="74583" spans="3:17" x14ac:dyDescent="0.35">
      <c r="K74583" s="1"/>
    </row>
    <row r="74585" spans="3:17" x14ac:dyDescent="0.35">
      <c r="Q74585" s="1"/>
    </row>
    <row r="74586" spans="3:17" x14ac:dyDescent="0.35">
      <c r="Q74586" s="1"/>
    </row>
    <row r="74588" spans="3:17" x14ac:dyDescent="0.35">
      <c r="Q74588" s="1"/>
    </row>
    <row r="74589" spans="3:17" x14ac:dyDescent="0.35">
      <c r="Q74589" s="1"/>
    </row>
    <row r="74590" spans="3:17" x14ac:dyDescent="0.35">
      <c r="Q74590" s="1"/>
    </row>
    <row r="74591" spans="3:17" x14ac:dyDescent="0.35">
      <c r="Q74591" s="1"/>
    </row>
    <row r="74595" spans="17:17" x14ac:dyDescent="0.35">
      <c r="Q74595" s="1"/>
    </row>
    <row r="74597" spans="17:17" x14ac:dyDescent="0.35">
      <c r="Q74597" s="1"/>
    </row>
    <row r="74598" spans="17:17" x14ac:dyDescent="0.35">
      <c r="Q74598" s="1"/>
    </row>
    <row r="74604" spans="17:17" x14ac:dyDescent="0.35">
      <c r="Q74604" s="1"/>
    </row>
    <row r="74605" spans="17:17" x14ac:dyDescent="0.35">
      <c r="Q74605" s="1"/>
    </row>
    <row r="74611" spans="17:17" x14ac:dyDescent="0.35">
      <c r="Q74611" s="1"/>
    </row>
    <row r="74612" spans="17:17" x14ac:dyDescent="0.35">
      <c r="Q74612" s="1"/>
    </row>
    <row r="74617" spans="17:17" x14ac:dyDescent="0.35">
      <c r="Q74617" s="1"/>
    </row>
    <row r="74620" spans="17:17" x14ac:dyDescent="0.35">
      <c r="Q74620" s="1"/>
    </row>
    <row r="74621" spans="17:17" x14ac:dyDescent="0.35">
      <c r="Q74621" s="1"/>
    </row>
    <row r="74623" spans="17:17" x14ac:dyDescent="0.35">
      <c r="Q74623" s="1"/>
    </row>
    <row r="74633" spans="17:17" x14ac:dyDescent="0.35">
      <c r="Q74633" s="1"/>
    </row>
    <row r="74639" spans="17:17" x14ac:dyDescent="0.35">
      <c r="Q74639" s="1"/>
    </row>
    <row r="74640" spans="17:17" x14ac:dyDescent="0.35">
      <c r="Q74640" s="1"/>
    </row>
    <row r="74643" spans="17:17" x14ac:dyDescent="0.35">
      <c r="Q74643" s="1"/>
    </row>
    <row r="74645" spans="17:17" x14ac:dyDescent="0.35">
      <c r="Q74645" s="1"/>
    </row>
    <row r="74654" spans="17:17" x14ac:dyDescent="0.35">
      <c r="Q74654" s="1"/>
    </row>
    <row r="74660" spans="5:17" x14ac:dyDescent="0.35">
      <c r="Q74660" s="1"/>
    </row>
    <row r="74661" spans="5:17" x14ac:dyDescent="0.35">
      <c r="Q74661" s="1"/>
    </row>
    <row r="74663" spans="5:17" x14ac:dyDescent="0.35">
      <c r="Q74663" s="1"/>
    </row>
    <row r="74665" spans="5:17" x14ac:dyDescent="0.35">
      <c r="Q74665" s="1"/>
    </row>
    <row r="74667" spans="5:17" x14ac:dyDescent="0.35">
      <c r="E74667" s="2"/>
    </row>
    <row r="74670" spans="5:17" x14ac:dyDescent="0.35">
      <c r="Q74670" s="1"/>
    </row>
    <row r="74674" spans="17:17" x14ac:dyDescent="0.35">
      <c r="Q74674" s="1"/>
    </row>
    <row r="74675" spans="17:17" x14ac:dyDescent="0.35">
      <c r="Q74675" s="1"/>
    </row>
    <row r="74677" spans="17:17" x14ac:dyDescent="0.35">
      <c r="Q74677" s="1"/>
    </row>
    <row r="74682" spans="17:17" x14ac:dyDescent="0.35">
      <c r="Q74682" s="1"/>
    </row>
    <row r="74684" spans="17:17" x14ac:dyDescent="0.35">
      <c r="Q74684" s="1"/>
    </row>
    <row r="74688" spans="17:17" x14ac:dyDescent="0.35">
      <c r="Q74688" s="1"/>
    </row>
    <row r="74691" spans="17:17" x14ac:dyDescent="0.35">
      <c r="Q74691" s="1"/>
    </row>
    <row r="74692" spans="17:17" x14ac:dyDescent="0.35">
      <c r="Q74692" s="1"/>
    </row>
    <row r="74694" spans="17:17" x14ac:dyDescent="0.35">
      <c r="Q74694" s="1"/>
    </row>
    <row r="74696" spans="17:17" x14ac:dyDescent="0.35">
      <c r="Q74696" s="1"/>
    </row>
    <row r="74697" spans="17:17" x14ac:dyDescent="0.35">
      <c r="Q74697" s="1"/>
    </row>
    <row r="74699" spans="17:17" x14ac:dyDescent="0.35">
      <c r="Q74699" s="1"/>
    </row>
    <row r="74707" spans="17:17" x14ac:dyDescent="0.35">
      <c r="Q74707" s="1"/>
    </row>
    <row r="74708" spans="17:17" x14ac:dyDescent="0.35">
      <c r="Q74708" s="1"/>
    </row>
    <row r="74712" spans="17:17" x14ac:dyDescent="0.35">
      <c r="Q74712" s="1"/>
    </row>
    <row r="74717" spans="17:17" x14ac:dyDescent="0.35">
      <c r="Q74717" s="1"/>
    </row>
    <row r="74718" spans="17:17" x14ac:dyDescent="0.35">
      <c r="Q74718" s="1"/>
    </row>
    <row r="74727" spans="17:17" x14ac:dyDescent="0.35">
      <c r="Q74727" s="1"/>
    </row>
    <row r="74728" spans="17:17" x14ac:dyDescent="0.35">
      <c r="Q74728" s="1"/>
    </row>
    <row r="74739" spans="17:17" x14ac:dyDescent="0.35">
      <c r="Q74739" s="1"/>
    </row>
    <row r="74744" spans="17:17" x14ac:dyDescent="0.35">
      <c r="Q74744" s="1"/>
    </row>
    <row r="74747" spans="17:17" x14ac:dyDescent="0.35">
      <c r="Q74747" s="1"/>
    </row>
    <row r="74751" spans="17:17" x14ac:dyDescent="0.35">
      <c r="Q74751" s="1"/>
    </row>
    <row r="74764" spans="17:17" x14ac:dyDescent="0.35">
      <c r="Q74764" s="1"/>
    </row>
    <row r="74766" spans="17:17" x14ac:dyDescent="0.35">
      <c r="Q74766" s="1"/>
    </row>
    <row r="74772" spans="17:17" x14ac:dyDescent="0.35">
      <c r="Q74772" s="1"/>
    </row>
    <row r="74776" spans="17:17" x14ac:dyDescent="0.35">
      <c r="Q74776" s="1"/>
    </row>
    <row r="74777" spans="17:17" x14ac:dyDescent="0.35">
      <c r="Q74777" s="1"/>
    </row>
    <row r="74778" spans="17:17" x14ac:dyDescent="0.35">
      <c r="Q74778" s="1"/>
    </row>
    <row r="74782" spans="17:17" x14ac:dyDescent="0.35">
      <c r="Q74782" s="1"/>
    </row>
    <row r="74790" spans="17:17" x14ac:dyDescent="0.35">
      <c r="Q74790" s="1"/>
    </row>
    <row r="74797" spans="17:17" x14ac:dyDescent="0.35">
      <c r="Q74797" s="1"/>
    </row>
    <row r="74799" spans="17:17" x14ac:dyDescent="0.35">
      <c r="Q74799" s="1"/>
    </row>
    <row r="74803" spans="17:17" x14ac:dyDescent="0.35">
      <c r="Q74803" s="1"/>
    </row>
    <row r="74804" spans="17:17" x14ac:dyDescent="0.35">
      <c r="Q74804" s="1"/>
    </row>
    <row r="74813" spans="17:17" x14ac:dyDescent="0.35">
      <c r="Q74813" s="1"/>
    </row>
    <row r="74815" spans="17:17" x14ac:dyDescent="0.35">
      <c r="Q74815" s="1"/>
    </row>
    <row r="74821" spans="17:17" x14ac:dyDescent="0.35">
      <c r="Q74821" s="1"/>
    </row>
    <row r="74834" spans="17:17" x14ac:dyDescent="0.35">
      <c r="Q74834" s="1"/>
    </row>
    <row r="74835" spans="17:17" x14ac:dyDescent="0.35">
      <c r="Q74835" s="1"/>
    </row>
    <row r="74840" spans="17:17" x14ac:dyDescent="0.35">
      <c r="Q74840" s="1"/>
    </row>
    <row r="74842" spans="17:17" x14ac:dyDescent="0.35">
      <c r="Q74842" s="1"/>
    </row>
    <row r="74846" spans="17:17" x14ac:dyDescent="0.35">
      <c r="Q74846" s="1"/>
    </row>
    <row r="74847" spans="17:17" x14ac:dyDescent="0.35">
      <c r="Q74847" s="1"/>
    </row>
    <row r="74856" spans="17:17" x14ac:dyDescent="0.35">
      <c r="Q74856" s="1"/>
    </row>
    <row r="74858" spans="17:17" x14ac:dyDescent="0.35">
      <c r="Q74858" s="1"/>
    </row>
    <row r="74859" spans="17:17" x14ac:dyDescent="0.35">
      <c r="Q74859" s="1"/>
    </row>
    <row r="74861" spans="17:17" x14ac:dyDescent="0.35">
      <c r="Q74861" s="1"/>
    </row>
    <row r="74862" spans="17:17" x14ac:dyDescent="0.35">
      <c r="Q74862" s="1"/>
    </row>
    <row r="74872" spans="17:17" x14ac:dyDescent="0.35">
      <c r="Q74872" s="1"/>
    </row>
    <row r="74874" spans="17:17" x14ac:dyDescent="0.35">
      <c r="Q74874" s="1"/>
    </row>
    <row r="74877" spans="17:17" x14ac:dyDescent="0.35">
      <c r="Q74877" s="1"/>
    </row>
    <row r="74886" spans="17:17" x14ac:dyDescent="0.35">
      <c r="Q74886" s="1"/>
    </row>
    <row r="74892" spans="17:17" x14ac:dyDescent="0.35">
      <c r="Q74892" s="1"/>
    </row>
    <row r="74895" spans="17:17" x14ac:dyDescent="0.35">
      <c r="Q74895" s="1"/>
    </row>
    <row r="74898" spans="17:17" x14ac:dyDescent="0.35">
      <c r="Q74898" s="1"/>
    </row>
    <row r="74902" spans="17:17" x14ac:dyDescent="0.35">
      <c r="Q74902" s="1"/>
    </row>
    <row r="74908" spans="17:17" x14ac:dyDescent="0.35">
      <c r="Q74908" s="1"/>
    </row>
    <row r="74910" spans="17:17" x14ac:dyDescent="0.35">
      <c r="Q74910" s="1"/>
    </row>
    <row r="74911" spans="17:17" x14ac:dyDescent="0.35">
      <c r="Q74911" s="1"/>
    </row>
    <row r="74914" spans="17:17" x14ac:dyDescent="0.35">
      <c r="Q74914" s="1"/>
    </row>
    <row r="74916" spans="17:17" x14ac:dyDescent="0.35">
      <c r="Q74916" s="1"/>
    </row>
    <row r="74918" spans="17:17" x14ac:dyDescent="0.35">
      <c r="Q74918" s="1"/>
    </row>
    <row r="74923" spans="17:17" x14ac:dyDescent="0.35">
      <c r="Q74923" s="1"/>
    </row>
    <row r="74924" spans="17:17" x14ac:dyDescent="0.35">
      <c r="Q74924" s="1"/>
    </row>
    <row r="74934" spans="17:17" x14ac:dyDescent="0.35">
      <c r="Q74934" s="1"/>
    </row>
    <row r="74937" spans="17:17" x14ac:dyDescent="0.35">
      <c r="Q74937" s="1"/>
    </row>
    <row r="74939" spans="17:17" x14ac:dyDescent="0.35">
      <c r="Q74939" s="1"/>
    </row>
    <row r="74941" spans="17:17" x14ac:dyDescent="0.35">
      <c r="Q74941" s="1"/>
    </row>
    <row r="74943" spans="17:17" x14ac:dyDescent="0.35">
      <c r="Q74943" s="1"/>
    </row>
    <row r="74945" spans="17:17" x14ac:dyDescent="0.35">
      <c r="Q74945" s="1"/>
    </row>
    <row r="74948" spans="17:17" x14ac:dyDescent="0.35">
      <c r="Q74948" s="1"/>
    </row>
    <row r="74950" spans="17:17" x14ac:dyDescent="0.35">
      <c r="Q74950" s="1"/>
    </row>
    <row r="74952" spans="17:17" x14ac:dyDescent="0.35">
      <c r="Q74952" s="1"/>
    </row>
    <row r="74955" spans="17:17" x14ac:dyDescent="0.35">
      <c r="Q74955" s="1"/>
    </row>
    <row r="74956" spans="17:17" x14ac:dyDescent="0.35">
      <c r="Q74956" s="1"/>
    </row>
    <row r="74957" spans="17:17" x14ac:dyDescent="0.35">
      <c r="Q74957" s="1"/>
    </row>
    <row r="74959" spans="17:17" x14ac:dyDescent="0.35">
      <c r="Q74959" s="1"/>
    </row>
    <row r="74961" spans="5:17" x14ac:dyDescent="0.35">
      <c r="Q74961" s="1"/>
    </row>
    <row r="74962" spans="5:17" x14ac:dyDescent="0.35">
      <c r="E74962" s="2"/>
    </row>
    <row r="74964" spans="5:17" x14ac:dyDescent="0.35">
      <c r="Q74964" s="1"/>
    </row>
    <row r="74965" spans="5:17" x14ac:dyDescent="0.35">
      <c r="Q74965" s="1"/>
    </row>
    <row r="74967" spans="5:17" x14ac:dyDescent="0.35">
      <c r="Q74967" s="1"/>
    </row>
    <row r="74968" spans="5:17" x14ac:dyDescent="0.35">
      <c r="Q74968" s="1"/>
    </row>
    <row r="74971" spans="5:17" x14ac:dyDescent="0.35">
      <c r="Q74971" s="1"/>
    </row>
    <row r="74976" spans="5:17" x14ac:dyDescent="0.35">
      <c r="Q74976" s="1"/>
    </row>
    <row r="74978" spans="17:17" x14ac:dyDescent="0.35">
      <c r="Q74978" s="1"/>
    </row>
    <row r="74979" spans="17:17" x14ac:dyDescent="0.35">
      <c r="Q74979" s="1"/>
    </row>
    <row r="74983" spans="17:17" x14ac:dyDescent="0.35">
      <c r="Q74983" s="1"/>
    </row>
    <row r="74984" spans="17:17" x14ac:dyDescent="0.35">
      <c r="Q74984" s="1"/>
    </row>
    <row r="74986" spans="17:17" x14ac:dyDescent="0.35">
      <c r="Q74986" s="1"/>
    </row>
    <row r="74988" spans="17:17" x14ac:dyDescent="0.35">
      <c r="Q74988" s="1"/>
    </row>
    <row r="74990" spans="17:17" x14ac:dyDescent="0.35">
      <c r="Q74990" s="1"/>
    </row>
    <row r="74996" spans="17:17" x14ac:dyDescent="0.35">
      <c r="Q74996" s="1"/>
    </row>
    <row r="74997" spans="17:17" x14ac:dyDescent="0.35">
      <c r="Q74997" s="1"/>
    </row>
    <row r="75047" spans="17:17" x14ac:dyDescent="0.35">
      <c r="Q75047" s="1"/>
    </row>
    <row r="75048" spans="17:17" x14ac:dyDescent="0.35">
      <c r="Q75048" s="1"/>
    </row>
    <row r="75049" spans="17:17" x14ac:dyDescent="0.35">
      <c r="Q75049" s="1"/>
    </row>
    <row r="75082" spans="17:17" x14ac:dyDescent="0.35">
      <c r="Q75082" s="1"/>
    </row>
    <row r="75089" spans="17:17" x14ac:dyDescent="0.35">
      <c r="Q75089" s="1"/>
    </row>
    <row r="75134" spans="17:17" x14ac:dyDescent="0.35">
      <c r="Q75134" s="1"/>
    </row>
    <row r="75150" spans="17:17" x14ac:dyDescent="0.35">
      <c r="Q75150" s="1"/>
    </row>
    <row r="75194" spans="17:17" x14ac:dyDescent="0.35">
      <c r="Q75194" s="1"/>
    </row>
    <row r="75198" spans="17:17" x14ac:dyDescent="0.35">
      <c r="Q75198" s="1"/>
    </row>
    <row r="75224" spans="17:17" x14ac:dyDescent="0.35">
      <c r="Q75224" s="1"/>
    </row>
    <row r="75250" spans="17:17" x14ac:dyDescent="0.35">
      <c r="Q75250" s="1"/>
    </row>
    <row r="75282" spans="17:17" x14ac:dyDescent="0.35">
      <c r="Q75282" s="1"/>
    </row>
    <row r="75289" spans="17:17" x14ac:dyDescent="0.35">
      <c r="Q75289" s="1"/>
    </row>
    <row r="75301" spans="17:17" x14ac:dyDescent="0.35">
      <c r="Q75301" s="1"/>
    </row>
    <row r="75399" spans="17:17" x14ac:dyDescent="0.35">
      <c r="Q75399" s="1"/>
    </row>
    <row r="75427" spans="17:17" x14ac:dyDescent="0.35">
      <c r="Q75427" s="1"/>
    </row>
    <row r="75452" spans="17:17" x14ac:dyDescent="0.35">
      <c r="Q75452" s="1"/>
    </row>
    <row r="75462" spans="17:17" x14ac:dyDescent="0.35">
      <c r="Q75462" s="1"/>
    </row>
    <row r="75529" spans="17:17" x14ac:dyDescent="0.35">
      <c r="Q75529" s="1"/>
    </row>
    <row r="75548" spans="17:17" x14ac:dyDescent="0.35">
      <c r="Q75548" s="1"/>
    </row>
    <row r="75551" spans="17:17" x14ac:dyDescent="0.35">
      <c r="Q75551" s="1"/>
    </row>
    <row r="75662" spans="17:17" x14ac:dyDescent="0.35">
      <c r="Q75662" s="1"/>
    </row>
    <row r="75666" spans="17:17" x14ac:dyDescent="0.35">
      <c r="Q75666" s="1"/>
    </row>
    <row r="75678" spans="17:17" x14ac:dyDescent="0.35">
      <c r="Q75678" s="1"/>
    </row>
    <row r="75699" spans="17:17" x14ac:dyDescent="0.35">
      <c r="Q75699" s="1"/>
    </row>
    <row r="75745" spans="17:17" x14ac:dyDescent="0.35">
      <c r="Q75745" s="1"/>
    </row>
    <row r="75945" spans="17:17" x14ac:dyDescent="0.35">
      <c r="Q75945" s="1"/>
    </row>
    <row r="75951" spans="17:17" x14ac:dyDescent="0.35">
      <c r="Q75951" s="1"/>
    </row>
    <row r="75963" spans="17:17" x14ac:dyDescent="0.35">
      <c r="Q75963" s="1"/>
    </row>
    <row r="75993" spans="17:17" x14ac:dyDescent="0.35">
      <c r="Q75993" s="1"/>
    </row>
    <row r="76005" spans="17:17" x14ac:dyDescent="0.35">
      <c r="Q76005" s="1"/>
    </row>
    <row r="76007" spans="17:17" x14ac:dyDescent="0.35">
      <c r="Q76007" s="1"/>
    </row>
    <row r="76011" spans="17:17" x14ac:dyDescent="0.35">
      <c r="Q76011" s="1"/>
    </row>
    <row r="76013" spans="17:17" x14ac:dyDescent="0.35">
      <c r="Q76013" s="1"/>
    </row>
    <row r="76017" spans="16:17" x14ac:dyDescent="0.35">
      <c r="Q76017" s="1"/>
    </row>
    <row r="76019" spans="16:17" x14ac:dyDescent="0.35">
      <c r="Q76019" s="1"/>
    </row>
    <row r="76020" spans="16:17" x14ac:dyDescent="0.35">
      <c r="P76020" s="1"/>
    </row>
    <row r="76045" spans="17:17" x14ac:dyDescent="0.35">
      <c r="Q76045" s="1"/>
    </row>
    <row r="76052" spans="17:17" x14ac:dyDescent="0.35">
      <c r="Q76052" s="1"/>
    </row>
    <row r="76057" spans="17:17" x14ac:dyDescent="0.35">
      <c r="Q76057" s="1"/>
    </row>
    <row r="76066" spans="17:17" x14ac:dyDescent="0.35">
      <c r="Q76066" s="1"/>
    </row>
    <row r="76067" spans="17:17" x14ac:dyDescent="0.35">
      <c r="Q76067" s="1"/>
    </row>
    <row r="76070" spans="17:17" x14ac:dyDescent="0.35">
      <c r="Q76070" s="1"/>
    </row>
    <row r="76071" spans="17:17" x14ac:dyDescent="0.35">
      <c r="Q76071" s="1"/>
    </row>
    <row r="76075" spans="17:17" x14ac:dyDescent="0.35">
      <c r="Q76075" s="1"/>
    </row>
    <row r="76090" spans="17:17" x14ac:dyDescent="0.35">
      <c r="Q76090" s="1"/>
    </row>
    <row r="76104" spans="16:17" x14ac:dyDescent="0.35">
      <c r="P76104" s="1"/>
    </row>
    <row r="76105" spans="16:17" x14ac:dyDescent="0.35">
      <c r="Q76105" s="1"/>
    </row>
    <row r="76106" spans="16:17" x14ac:dyDescent="0.35">
      <c r="Q76106" s="1"/>
    </row>
    <row r="76117" spans="17:17" x14ac:dyDescent="0.35">
      <c r="Q76117" s="1"/>
    </row>
    <row r="76119" spans="17:17" x14ac:dyDescent="0.35">
      <c r="Q76119" s="1"/>
    </row>
    <row r="76123" spans="17:17" x14ac:dyDescent="0.35">
      <c r="Q76123" s="1"/>
    </row>
    <row r="76132" spans="17:17" x14ac:dyDescent="0.35">
      <c r="Q76132" s="1"/>
    </row>
    <row r="76144" spans="17:17" x14ac:dyDescent="0.35">
      <c r="Q76144" s="1"/>
    </row>
    <row r="76151" spans="17:17" x14ac:dyDescent="0.35">
      <c r="Q76151" s="1"/>
    </row>
    <row r="76152" spans="17:17" x14ac:dyDescent="0.35">
      <c r="Q76152" s="1"/>
    </row>
    <row r="76153" spans="17:17" x14ac:dyDescent="0.35">
      <c r="Q76153" s="1"/>
    </row>
    <row r="76154" spans="17:17" x14ac:dyDescent="0.35">
      <c r="Q76154" s="1"/>
    </row>
    <row r="76156" spans="17:17" x14ac:dyDescent="0.35">
      <c r="Q76156" s="1"/>
    </row>
    <row r="76163" spans="17:17" x14ac:dyDescent="0.35">
      <c r="Q76163" s="1"/>
    </row>
    <row r="76172" spans="17:17" x14ac:dyDescent="0.35">
      <c r="Q76172" s="1"/>
    </row>
    <row r="76173" spans="17:17" x14ac:dyDescent="0.35">
      <c r="Q76173" s="1"/>
    </row>
    <row r="76175" spans="17:17" x14ac:dyDescent="0.35">
      <c r="Q76175" s="1"/>
    </row>
    <row r="76181" spans="17:17" x14ac:dyDescent="0.35">
      <c r="Q76181" s="1"/>
    </row>
    <row r="76185" spans="17:17" x14ac:dyDescent="0.35">
      <c r="Q76185" s="1"/>
    </row>
    <row r="76192" spans="17:17" x14ac:dyDescent="0.35">
      <c r="Q76192" s="1"/>
    </row>
    <row r="76193" spans="16:17" x14ac:dyDescent="0.35">
      <c r="P76193" s="1"/>
    </row>
    <row r="76195" spans="16:17" x14ac:dyDescent="0.35">
      <c r="P76195" s="1"/>
    </row>
    <row r="76203" spans="16:17" x14ac:dyDescent="0.35">
      <c r="Q76203" s="1"/>
    </row>
    <row r="76207" spans="16:17" x14ac:dyDescent="0.35">
      <c r="Q76207" s="1"/>
    </row>
    <row r="76211" spans="17:17" x14ac:dyDescent="0.35">
      <c r="Q76211" s="1"/>
    </row>
    <row r="76215" spans="17:17" x14ac:dyDescent="0.35">
      <c r="Q76215" s="1"/>
    </row>
    <row r="76221" spans="17:17" x14ac:dyDescent="0.35">
      <c r="Q76221" s="1"/>
    </row>
    <row r="76223" spans="17:17" x14ac:dyDescent="0.35">
      <c r="Q76223" s="1"/>
    </row>
    <row r="76235" spans="17:17" x14ac:dyDescent="0.35">
      <c r="Q76235" s="1"/>
    </row>
    <row r="76241" spans="17:17" x14ac:dyDescent="0.35">
      <c r="Q76241" s="1"/>
    </row>
    <row r="76242" spans="17:17" x14ac:dyDescent="0.35">
      <c r="Q76242" s="1"/>
    </row>
    <row r="76244" spans="17:17" x14ac:dyDescent="0.35">
      <c r="Q76244" s="1"/>
    </row>
    <row r="76248" spans="17:17" x14ac:dyDescent="0.35">
      <c r="Q76248" s="1"/>
    </row>
    <row r="76254" spans="17:17" x14ac:dyDescent="0.35">
      <c r="Q76254" s="1"/>
    </row>
    <row r="76259" spans="17:17" x14ac:dyDescent="0.35">
      <c r="Q76259" s="1"/>
    </row>
    <row r="76261" spans="17:17" x14ac:dyDescent="0.35">
      <c r="Q76261" s="1"/>
    </row>
    <row r="76262" spans="17:17" x14ac:dyDescent="0.35">
      <c r="Q76262" s="1"/>
    </row>
    <row r="76263" spans="17:17" x14ac:dyDescent="0.35">
      <c r="Q76263" s="1"/>
    </row>
    <row r="76265" spans="17:17" x14ac:dyDescent="0.35">
      <c r="Q76265" s="1"/>
    </row>
    <row r="76267" spans="17:17" x14ac:dyDescent="0.35">
      <c r="Q76267" s="1"/>
    </row>
    <row r="76268" spans="17:17" x14ac:dyDescent="0.35">
      <c r="Q76268" s="1"/>
    </row>
    <row r="76272" spans="17:17" x14ac:dyDescent="0.35">
      <c r="Q76272" s="1"/>
    </row>
    <row r="76274" spans="17:17" x14ac:dyDescent="0.35">
      <c r="Q76274" s="1"/>
    </row>
    <row r="76282" spans="17:17" x14ac:dyDescent="0.35">
      <c r="Q76282" s="1"/>
    </row>
    <row r="76288" spans="17:17" x14ac:dyDescent="0.35">
      <c r="Q76288" s="1"/>
    </row>
    <row r="76291" spans="17:17" x14ac:dyDescent="0.35">
      <c r="Q76291" s="1"/>
    </row>
    <row r="76292" spans="17:17" x14ac:dyDescent="0.35">
      <c r="Q76292" s="1"/>
    </row>
    <row r="76295" spans="17:17" x14ac:dyDescent="0.35">
      <c r="Q76295" s="1"/>
    </row>
    <row r="76299" spans="17:17" x14ac:dyDescent="0.35">
      <c r="Q76299" s="1"/>
    </row>
    <row r="76308" spans="17:17" x14ac:dyDescent="0.35">
      <c r="Q76308" s="1"/>
    </row>
    <row r="76315" spans="17:17" x14ac:dyDescent="0.35">
      <c r="Q76315" s="1"/>
    </row>
    <row r="76317" spans="17:17" x14ac:dyDescent="0.35">
      <c r="Q76317" s="1"/>
    </row>
    <row r="76321" spans="17:17" x14ac:dyDescent="0.35">
      <c r="Q76321" s="1"/>
    </row>
    <row r="76328" spans="17:17" x14ac:dyDescent="0.35">
      <c r="Q76328" s="1"/>
    </row>
    <row r="76334" spans="17:17" x14ac:dyDescent="0.35">
      <c r="Q76334" s="1"/>
    </row>
    <row r="76345" spans="17:17" x14ac:dyDescent="0.35">
      <c r="Q76345" s="1"/>
    </row>
    <row r="76346" spans="17:17" x14ac:dyDescent="0.35">
      <c r="Q76346" s="1"/>
    </row>
    <row r="76348" spans="17:17" x14ac:dyDescent="0.35">
      <c r="Q76348" s="1"/>
    </row>
    <row r="76349" spans="17:17" x14ac:dyDescent="0.35">
      <c r="Q76349" s="1"/>
    </row>
    <row r="76355" spans="17:17" x14ac:dyDescent="0.35">
      <c r="Q76355" s="1"/>
    </row>
    <row r="76356" spans="17:17" x14ac:dyDescent="0.35">
      <c r="Q76356" s="1"/>
    </row>
    <row r="76360" spans="17:17" x14ac:dyDescent="0.35">
      <c r="Q76360" s="1"/>
    </row>
    <row r="76363" spans="17:17" x14ac:dyDescent="0.35">
      <c r="Q76363" s="1"/>
    </row>
    <row r="76364" spans="17:17" x14ac:dyDescent="0.35">
      <c r="Q76364" s="1"/>
    </row>
    <row r="76370" spans="17:17" x14ac:dyDescent="0.35">
      <c r="Q76370" s="1"/>
    </row>
    <row r="76372" spans="17:17" x14ac:dyDescent="0.35">
      <c r="Q76372" s="1"/>
    </row>
    <row r="76377" spans="17:17" x14ac:dyDescent="0.35">
      <c r="Q76377" s="1"/>
    </row>
    <row r="76379" spans="17:17" x14ac:dyDescent="0.35">
      <c r="Q76379" s="1"/>
    </row>
    <row r="76382" spans="17:17" x14ac:dyDescent="0.35">
      <c r="Q76382" s="1"/>
    </row>
    <row r="76389" spans="17:17" x14ac:dyDescent="0.35">
      <c r="Q76389" s="1"/>
    </row>
    <row r="76402" spans="17:17" x14ac:dyDescent="0.35">
      <c r="Q76402" s="1"/>
    </row>
    <row r="76425" spans="17:17" x14ac:dyDescent="0.35">
      <c r="Q76425" s="1"/>
    </row>
    <row r="76438" spans="17:17" x14ac:dyDescent="0.35">
      <c r="Q76438" s="1"/>
    </row>
    <row r="76440" spans="17:17" x14ac:dyDescent="0.35">
      <c r="Q76440" s="1"/>
    </row>
    <row r="76442" spans="17:17" x14ac:dyDescent="0.35">
      <c r="Q76442" s="1"/>
    </row>
    <row r="76446" spans="17:17" x14ac:dyDescent="0.35">
      <c r="Q76446" s="1"/>
    </row>
    <row r="76448" spans="17:17" x14ac:dyDescent="0.35">
      <c r="Q76448" s="1"/>
    </row>
    <row r="76453" spans="17:17" x14ac:dyDescent="0.35">
      <c r="Q76453" s="1"/>
    </row>
    <row r="76461" spans="17:17" x14ac:dyDescent="0.35">
      <c r="Q76461" s="1"/>
    </row>
    <row r="76463" spans="17:17" x14ac:dyDescent="0.35">
      <c r="Q76463" s="1"/>
    </row>
    <row r="76467" spans="17:17" x14ac:dyDescent="0.35">
      <c r="Q76467" s="1"/>
    </row>
    <row r="76468" spans="17:17" x14ac:dyDescent="0.35">
      <c r="Q76468" s="1"/>
    </row>
    <row r="76470" spans="17:17" x14ac:dyDescent="0.35">
      <c r="Q76470" s="1"/>
    </row>
    <row r="76480" spans="17:17" x14ac:dyDescent="0.35">
      <c r="Q76480" s="1"/>
    </row>
    <row r="76486" spans="17:17" x14ac:dyDescent="0.35">
      <c r="Q76486" s="1"/>
    </row>
    <row r="76498" spans="17:17" x14ac:dyDescent="0.35">
      <c r="Q76498" s="1"/>
    </row>
    <row r="76502" spans="17:17" x14ac:dyDescent="0.35">
      <c r="Q76502" s="1"/>
    </row>
    <row r="76506" spans="17:17" x14ac:dyDescent="0.35">
      <c r="Q76506" s="1"/>
    </row>
    <row r="76511" spans="17:17" x14ac:dyDescent="0.35">
      <c r="Q76511" s="1"/>
    </row>
    <row r="76514" spans="16:17" x14ac:dyDescent="0.35">
      <c r="Q76514" s="1"/>
    </row>
    <row r="76515" spans="16:17" x14ac:dyDescent="0.35">
      <c r="Q76515" s="1"/>
    </row>
    <row r="76520" spans="16:17" x14ac:dyDescent="0.35">
      <c r="Q76520" s="1"/>
    </row>
    <row r="76521" spans="16:17" x14ac:dyDescent="0.35">
      <c r="P76521" s="1"/>
    </row>
    <row r="76528" spans="16:17" x14ac:dyDescent="0.35">
      <c r="Q76528" s="1"/>
    </row>
    <row r="76532" spans="17:17" x14ac:dyDescent="0.35">
      <c r="Q76532" s="1"/>
    </row>
    <row r="76534" spans="17:17" x14ac:dyDescent="0.35">
      <c r="Q76534" s="1"/>
    </row>
    <row r="76539" spans="17:17" x14ac:dyDescent="0.35">
      <c r="Q76539" s="1"/>
    </row>
    <row r="76542" spans="17:17" x14ac:dyDescent="0.35">
      <c r="Q76542" s="1"/>
    </row>
    <row r="76543" spans="17:17" x14ac:dyDescent="0.35">
      <c r="Q76543" s="1"/>
    </row>
    <row r="76560" spans="17:17" x14ac:dyDescent="0.35">
      <c r="Q76560" s="1"/>
    </row>
    <row r="76565" spans="17:17" x14ac:dyDescent="0.35">
      <c r="Q76565" s="1"/>
    </row>
    <row r="76573" spans="17:17" x14ac:dyDescent="0.35">
      <c r="Q76573" s="1"/>
    </row>
    <row r="76575" spans="17:17" x14ac:dyDescent="0.35">
      <c r="Q76575" s="1"/>
    </row>
    <row r="76577" spans="17:17" x14ac:dyDescent="0.35">
      <c r="Q76577" s="1"/>
    </row>
    <row r="76589" spans="17:17" x14ac:dyDescent="0.35">
      <c r="Q76589" s="1"/>
    </row>
    <row r="76592" spans="17:17" x14ac:dyDescent="0.35">
      <c r="Q76592" s="1"/>
    </row>
    <row r="76593" spans="17:17" x14ac:dyDescent="0.35">
      <c r="Q76593" s="1"/>
    </row>
    <row r="76596" spans="17:17" x14ac:dyDescent="0.35">
      <c r="Q76596" s="1"/>
    </row>
    <row r="76597" spans="17:17" x14ac:dyDescent="0.35">
      <c r="Q76597" s="1"/>
    </row>
    <row r="76605" spans="17:17" x14ac:dyDescent="0.35">
      <c r="Q76605" s="1"/>
    </row>
    <row r="76607" spans="17:17" x14ac:dyDescent="0.35">
      <c r="Q76607" s="1"/>
    </row>
    <row r="76612" spans="17:17" x14ac:dyDescent="0.35">
      <c r="Q76612" s="1"/>
    </row>
    <row r="76617" spans="17:17" x14ac:dyDescent="0.35">
      <c r="Q76617" s="1"/>
    </row>
    <row r="76620" spans="17:17" x14ac:dyDescent="0.35">
      <c r="Q76620" s="1"/>
    </row>
    <row r="76622" spans="17:17" x14ac:dyDescent="0.35">
      <c r="Q76622" s="1"/>
    </row>
    <row r="76631" spans="17:17" x14ac:dyDescent="0.35">
      <c r="Q76631" s="1"/>
    </row>
    <row r="76632" spans="17:17" x14ac:dyDescent="0.35">
      <c r="Q76632" s="1"/>
    </row>
    <row r="76639" spans="17:17" x14ac:dyDescent="0.35">
      <c r="Q76639" s="1"/>
    </row>
    <row r="76645" spans="17:17" x14ac:dyDescent="0.35">
      <c r="Q76645" s="1"/>
    </row>
    <row r="76647" spans="17:17" x14ac:dyDescent="0.35">
      <c r="Q76647" s="1"/>
    </row>
    <row r="76654" spans="17:17" x14ac:dyDescent="0.35">
      <c r="Q76654" s="1"/>
    </row>
    <row r="76656" spans="17:17" x14ac:dyDescent="0.35">
      <c r="Q76656" s="1"/>
    </row>
    <row r="76661" spans="17:17" x14ac:dyDescent="0.35">
      <c r="Q76661" s="1"/>
    </row>
    <row r="76663" spans="17:17" x14ac:dyDescent="0.35">
      <c r="Q76663" s="1"/>
    </row>
    <row r="76666" spans="17:17" x14ac:dyDescent="0.35">
      <c r="Q76666" s="1"/>
    </row>
    <row r="76671" spans="17:17" x14ac:dyDescent="0.35">
      <c r="Q76671" s="1"/>
    </row>
    <row r="76674" spans="17:17" x14ac:dyDescent="0.35">
      <c r="Q76674" s="1"/>
    </row>
    <row r="76675" spans="17:17" x14ac:dyDescent="0.35">
      <c r="Q76675" s="1"/>
    </row>
    <row r="76677" spans="17:17" x14ac:dyDescent="0.35">
      <c r="Q76677" s="1"/>
    </row>
    <row r="76683" spans="17:17" x14ac:dyDescent="0.35">
      <c r="Q76683" s="1"/>
    </row>
    <row r="76687" spans="17:17" x14ac:dyDescent="0.35">
      <c r="Q76687" s="1"/>
    </row>
    <row r="76692" spans="17:17" x14ac:dyDescent="0.35">
      <c r="Q76692" s="1"/>
    </row>
    <row r="76699" spans="17:17" x14ac:dyDescent="0.35">
      <c r="Q76699" s="1"/>
    </row>
    <row r="76701" spans="17:17" x14ac:dyDescent="0.35">
      <c r="Q76701" s="1"/>
    </row>
    <row r="76704" spans="17:17" x14ac:dyDescent="0.35">
      <c r="Q76704" s="1"/>
    </row>
    <row r="76708" spans="17:17" x14ac:dyDescent="0.35">
      <c r="Q76708" s="1"/>
    </row>
    <row r="76711" spans="17:17" x14ac:dyDescent="0.35">
      <c r="Q76711" s="1"/>
    </row>
    <row r="76716" spans="17:17" x14ac:dyDescent="0.35">
      <c r="Q76716" s="1"/>
    </row>
    <row r="76722" spans="17:17" x14ac:dyDescent="0.35">
      <c r="Q76722" s="1"/>
    </row>
    <row r="76735" spans="17:17" x14ac:dyDescent="0.35">
      <c r="Q76735" s="1"/>
    </row>
    <row r="76737" spans="17:17" x14ac:dyDescent="0.35">
      <c r="Q76737" s="1"/>
    </row>
    <row r="76738" spans="17:17" x14ac:dyDescent="0.35">
      <c r="Q76738" s="1"/>
    </row>
    <row r="76745" spans="17:17" x14ac:dyDescent="0.35">
      <c r="Q76745" s="1"/>
    </row>
    <row r="76751" spans="17:17" x14ac:dyDescent="0.35">
      <c r="Q76751" s="1"/>
    </row>
    <row r="76755" spans="17:17" x14ac:dyDescent="0.35">
      <c r="Q76755" s="1"/>
    </row>
    <row r="76758" spans="17:17" x14ac:dyDescent="0.35">
      <c r="Q76758" s="1"/>
    </row>
    <row r="76759" spans="17:17" x14ac:dyDescent="0.35">
      <c r="Q76759" s="1"/>
    </row>
    <row r="76762" spans="17:17" x14ac:dyDescent="0.35">
      <c r="Q76762" s="1"/>
    </row>
    <row r="76764" spans="17:17" x14ac:dyDescent="0.35">
      <c r="Q76764" s="1"/>
    </row>
    <row r="76767" spans="17:17" x14ac:dyDescent="0.35">
      <c r="Q76767" s="1"/>
    </row>
    <row r="76778" spans="17:17" x14ac:dyDescent="0.35">
      <c r="Q76778" s="1"/>
    </row>
    <row r="76783" spans="17:17" x14ac:dyDescent="0.35">
      <c r="Q76783" s="1"/>
    </row>
    <row r="76786" spans="17:17" x14ac:dyDescent="0.35">
      <c r="Q76786" s="1"/>
    </row>
    <row r="76789" spans="17:17" x14ac:dyDescent="0.35">
      <c r="Q76789" s="1"/>
    </row>
    <row r="76793" spans="17:17" x14ac:dyDescent="0.35">
      <c r="Q76793" s="1"/>
    </row>
    <row r="76799" spans="17:17" x14ac:dyDescent="0.35">
      <c r="Q76799" s="1"/>
    </row>
    <row r="76806" spans="17:17" x14ac:dyDescent="0.35">
      <c r="Q76806" s="1"/>
    </row>
    <row r="76807" spans="17:17" x14ac:dyDescent="0.35">
      <c r="Q76807" s="1"/>
    </row>
    <row r="76808" spans="17:17" x14ac:dyDescent="0.35">
      <c r="Q76808" s="1"/>
    </row>
    <row r="76815" spans="17:17" x14ac:dyDescent="0.35">
      <c r="Q76815" s="1"/>
    </row>
    <row r="76826" spans="17:17" x14ac:dyDescent="0.35">
      <c r="Q76826" s="1"/>
    </row>
    <row r="76834" spans="17:17" x14ac:dyDescent="0.35">
      <c r="Q76834" s="1"/>
    </row>
    <row r="76840" spans="17:17" x14ac:dyDescent="0.35">
      <c r="Q76840" s="1"/>
    </row>
    <row r="76850" spans="16:17" x14ac:dyDescent="0.35">
      <c r="Q76850" s="1"/>
    </row>
    <row r="76854" spans="16:17" x14ac:dyDescent="0.35">
      <c r="Q76854" s="1"/>
    </row>
    <row r="76858" spans="16:17" x14ac:dyDescent="0.35">
      <c r="P76858" s="1"/>
    </row>
    <row r="76863" spans="16:17" x14ac:dyDescent="0.35">
      <c r="Q76863" s="1"/>
    </row>
    <row r="76869" spans="16:17" x14ac:dyDescent="0.35">
      <c r="Q76869" s="1"/>
    </row>
    <row r="76873" spans="16:17" x14ac:dyDescent="0.35">
      <c r="Q76873" s="1"/>
    </row>
    <row r="76874" spans="16:17" x14ac:dyDescent="0.35">
      <c r="P76874" s="1"/>
    </row>
    <row r="76885" spans="17:17" x14ac:dyDescent="0.35">
      <c r="Q76885" s="1"/>
    </row>
    <row r="76886" spans="17:17" x14ac:dyDescent="0.35">
      <c r="Q76886" s="1"/>
    </row>
    <row r="76893" spans="17:17" x14ac:dyDescent="0.35">
      <c r="Q76893" s="1"/>
    </row>
    <row r="76896" spans="17:17" x14ac:dyDescent="0.35">
      <c r="Q76896" s="1"/>
    </row>
    <row r="76899" spans="17:17" x14ac:dyDescent="0.35">
      <c r="Q76899" s="1"/>
    </row>
    <row r="76901" spans="17:17" x14ac:dyDescent="0.35">
      <c r="Q76901" s="1"/>
    </row>
    <row r="76910" spans="17:17" x14ac:dyDescent="0.35">
      <c r="Q76910" s="1"/>
    </row>
    <row r="76913" spans="17:17" x14ac:dyDescent="0.35">
      <c r="Q76913" s="1"/>
    </row>
    <row r="76914" spans="17:17" x14ac:dyDescent="0.35">
      <c r="Q76914" s="1"/>
    </row>
    <row r="76927" spans="17:17" x14ac:dyDescent="0.35">
      <c r="Q76927" s="1"/>
    </row>
    <row r="76935" spans="16:17" x14ac:dyDescent="0.35">
      <c r="Q76935" s="1"/>
    </row>
    <row r="76936" spans="16:17" x14ac:dyDescent="0.35">
      <c r="Q76936" s="1"/>
    </row>
    <row r="76937" spans="16:17" x14ac:dyDescent="0.35">
      <c r="P76937" s="1"/>
    </row>
    <row r="76940" spans="16:17" x14ac:dyDescent="0.35">
      <c r="Q76940" s="1"/>
    </row>
    <row r="76941" spans="16:17" x14ac:dyDescent="0.35">
      <c r="Q76941" s="1"/>
    </row>
    <row r="76948" spans="17:17" x14ac:dyDescent="0.35">
      <c r="Q76948" s="1"/>
    </row>
    <row r="76952" spans="17:17" x14ac:dyDescent="0.35">
      <c r="Q76952" s="1"/>
    </row>
    <row r="76956" spans="17:17" x14ac:dyDescent="0.35">
      <c r="Q76956" s="1"/>
    </row>
    <row r="76958" spans="17:17" x14ac:dyDescent="0.35">
      <c r="Q76958" s="1"/>
    </row>
    <row r="76965" spans="16:17" x14ac:dyDescent="0.35">
      <c r="Q76965" s="1"/>
    </row>
    <row r="76967" spans="16:17" x14ac:dyDescent="0.35">
      <c r="P76967" s="1"/>
    </row>
    <row r="76973" spans="16:17" x14ac:dyDescent="0.35">
      <c r="Q76973" s="1"/>
    </row>
    <row r="76975" spans="16:17" x14ac:dyDescent="0.35">
      <c r="Q76975" s="1"/>
    </row>
    <row r="76976" spans="16:17" x14ac:dyDescent="0.35">
      <c r="Q76976" s="1"/>
    </row>
    <row r="76977" spans="17:17" x14ac:dyDescent="0.35">
      <c r="Q76977" s="1"/>
    </row>
    <row r="76978" spans="17:17" x14ac:dyDescent="0.35">
      <c r="Q76978" s="1"/>
    </row>
    <row r="76981" spans="17:17" x14ac:dyDescent="0.35">
      <c r="Q76981" s="1"/>
    </row>
    <row r="76982" spans="17:17" x14ac:dyDescent="0.35">
      <c r="Q76982" s="1"/>
    </row>
    <row r="76984" spans="17:17" x14ac:dyDescent="0.35">
      <c r="Q76984" s="1"/>
    </row>
    <row r="76989" spans="17:17" x14ac:dyDescent="0.35">
      <c r="Q76989" s="1"/>
    </row>
    <row r="76992" spans="17:17" x14ac:dyDescent="0.35">
      <c r="Q76992" s="1"/>
    </row>
    <row r="76995" spans="17:17" x14ac:dyDescent="0.35">
      <c r="Q76995" s="1"/>
    </row>
    <row r="76996" spans="17:17" x14ac:dyDescent="0.35">
      <c r="Q76996" s="1"/>
    </row>
    <row r="76999" spans="17:17" x14ac:dyDescent="0.35">
      <c r="Q76999" s="1"/>
    </row>
    <row r="77002" spans="17:17" x14ac:dyDescent="0.35">
      <c r="Q77002" s="1"/>
    </row>
    <row r="77003" spans="17:17" x14ac:dyDescent="0.35">
      <c r="Q77003" s="1"/>
    </row>
    <row r="77004" spans="17:17" x14ac:dyDescent="0.35">
      <c r="Q77004" s="1"/>
    </row>
    <row r="77009" spans="17:17" x14ac:dyDescent="0.35">
      <c r="Q77009" s="1"/>
    </row>
    <row r="77010" spans="17:17" x14ac:dyDescent="0.35">
      <c r="Q77010" s="1"/>
    </row>
    <row r="77011" spans="17:17" x14ac:dyDescent="0.35">
      <c r="Q77011" s="1"/>
    </row>
    <row r="77012" spans="17:17" x14ac:dyDescent="0.35">
      <c r="Q77012" s="1"/>
    </row>
    <row r="77016" spans="17:17" x14ac:dyDescent="0.35">
      <c r="Q77016" s="1"/>
    </row>
    <row r="77017" spans="17:17" x14ac:dyDescent="0.35">
      <c r="Q77017" s="1"/>
    </row>
    <row r="77018" spans="17:17" x14ac:dyDescent="0.35">
      <c r="Q77018" s="1"/>
    </row>
    <row r="77020" spans="17:17" x14ac:dyDescent="0.35">
      <c r="Q77020" s="1"/>
    </row>
    <row r="77027" spans="17:17" x14ac:dyDescent="0.35">
      <c r="Q77027" s="1"/>
    </row>
    <row r="77035" spans="17:17" x14ac:dyDescent="0.35">
      <c r="Q77035" s="1"/>
    </row>
    <row r="77049" spans="17:17" x14ac:dyDescent="0.35">
      <c r="Q77049" s="1"/>
    </row>
    <row r="77054" spans="17:17" x14ac:dyDescent="0.35">
      <c r="Q77054" s="1"/>
    </row>
    <row r="77060" spans="17:17" x14ac:dyDescent="0.35">
      <c r="Q77060" s="1"/>
    </row>
    <row r="77064" spans="17:17" x14ac:dyDescent="0.35">
      <c r="Q77064" s="1"/>
    </row>
    <row r="77075" spans="17:17" x14ac:dyDescent="0.35">
      <c r="Q77075" s="1"/>
    </row>
    <row r="77095" spans="17:17" x14ac:dyDescent="0.35">
      <c r="Q77095" s="1"/>
    </row>
    <row r="77109" spans="17:17" x14ac:dyDescent="0.35">
      <c r="Q77109" s="1"/>
    </row>
    <row r="77118" spans="17:17" x14ac:dyDescent="0.35">
      <c r="Q77118" s="1"/>
    </row>
    <row r="77131" spans="17:17" x14ac:dyDescent="0.35">
      <c r="Q77131" s="1"/>
    </row>
    <row r="77137" spans="17:17" x14ac:dyDescent="0.35">
      <c r="Q77137" s="1"/>
    </row>
    <row r="77142" spans="17:17" x14ac:dyDescent="0.35">
      <c r="Q77142" s="1"/>
    </row>
    <row r="77150" spans="17:17" x14ac:dyDescent="0.35">
      <c r="Q77150" s="1"/>
    </row>
    <row r="77153" spans="17:17" x14ac:dyDescent="0.35">
      <c r="Q77153" s="1"/>
    </row>
    <row r="77155" spans="17:17" x14ac:dyDescent="0.35">
      <c r="Q77155" s="1"/>
    </row>
    <row r="77159" spans="17:17" x14ac:dyDescent="0.35">
      <c r="Q77159" s="1"/>
    </row>
    <row r="77167" spans="17:17" x14ac:dyDescent="0.35">
      <c r="Q77167" s="1"/>
    </row>
    <row r="77174" spans="17:17" x14ac:dyDescent="0.35">
      <c r="Q77174" s="1"/>
    </row>
    <row r="77191" spans="17:17" x14ac:dyDescent="0.35">
      <c r="Q77191" s="1"/>
    </row>
    <row r="77192" spans="17:17" x14ac:dyDescent="0.35">
      <c r="Q77192" s="1"/>
    </row>
    <row r="77193" spans="17:17" x14ac:dyDescent="0.35">
      <c r="Q77193" s="1"/>
    </row>
    <row r="77196" spans="17:17" x14ac:dyDescent="0.35">
      <c r="Q77196" s="1"/>
    </row>
    <row r="77202" spans="17:17" x14ac:dyDescent="0.35">
      <c r="Q77202" s="1"/>
    </row>
    <row r="77206" spans="17:17" x14ac:dyDescent="0.35">
      <c r="Q77206" s="1"/>
    </row>
    <row r="77207" spans="17:17" x14ac:dyDescent="0.35">
      <c r="Q77207" s="1"/>
    </row>
    <row r="77209" spans="17:17" x14ac:dyDescent="0.35">
      <c r="Q77209" s="1"/>
    </row>
    <row r="77210" spans="17:17" x14ac:dyDescent="0.35">
      <c r="Q77210" s="1"/>
    </row>
    <row r="77220" spans="17:17" x14ac:dyDescent="0.35">
      <c r="Q77220" s="1"/>
    </row>
    <row r="77223" spans="17:17" x14ac:dyDescent="0.35">
      <c r="Q77223" s="1"/>
    </row>
    <row r="77226" spans="17:17" x14ac:dyDescent="0.35">
      <c r="Q77226" s="1"/>
    </row>
    <row r="77228" spans="17:17" x14ac:dyDescent="0.35">
      <c r="Q77228" s="1"/>
    </row>
    <row r="77250" spans="17:17" x14ac:dyDescent="0.35">
      <c r="Q77250" s="1"/>
    </row>
    <row r="77251" spans="17:17" x14ac:dyDescent="0.35">
      <c r="Q77251" s="1"/>
    </row>
    <row r="77252" spans="17:17" x14ac:dyDescent="0.35">
      <c r="Q77252" s="1"/>
    </row>
    <row r="77254" spans="17:17" x14ac:dyDescent="0.35">
      <c r="Q77254" s="1"/>
    </row>
    <row r="77262" spans="17:17" x14ac:dyDescent="0.35">
      <c r="Q77262" s="1"/>
    </row>
    <row r="77266" spans="17:17" x14ac:dyDescent="0.35">
      <c r="Q77266" s="1"/>
    </row>
    <row r="77273" spans="17:17" x14ac:dyDescent="0.35">
      <c r="Q77273" s="1"/>
    </row>
    <row r="77278" spans="17:17" x14ac:dyDescent="0.35">
      <c r="Q77278" s="1"/>
    </row>
    <row r="77286" spans="17:17" x14ac:dyDescent="0.35">
      <c r="Q77286" s="1"/>
    </row>
    <row r="77294" spans="17:17" x14ac:dyDescent="0.35">
      <c r="Q77294" s="1"/>
    </row>
    <row r="77295" spans="17:17" x14ac:dyDescent="0.35">
      <c r="Q77295" s="1"/>
    </row>
    <row r="77314" spans="17:17" x14ac:dyDescent="0.35">
      <c r="Q77314" s="1"/>
    </row>
    <row r="77349" spans="17:17" x14ac:dyDescent="0.35">
      <c r="Q77349" s="1"/>
    </row>
    <row r="77351" spans="17:17" x14ac:dyDescent="0.35">
      <c r="Q77351" s="1"/>
    </row>
    <row r="77369" spans="17:17" x14ac:dyDescent="0.35">
      <c r="Q77369" s="1"/>
    </row>
    <row r="77377" spans="17:17" x14ac:dyDescent="0.35">
      <c r="Q77377" s="1"/>
    </row>
    <row r="77380" spans="17:17" x14ac:dyDescent="0.35">
      <c r="Q77380" s="1"/>
    </row>
    <row r="77382" spans="17:17" x14ac:dyDescent="0.35">
      <c r="Q77382" s="1"/>
    </row>
    <row r="77397" spans="17:17" x14ac:dyDescent="0.35">
      <c r="Q77397" s="1"/>
    </row>
    <row r="77398" spans="17:17" x14ac:dyDescent="0.35">
      <c r="Q77398" s="1"/>
    </row>
    <row r="77401" spans="17:17" x14ac:dyDescent="0.35">
      <c r="Q77401" s="1"/>
    </row>
    <row r="77408" spans="17:17" x14ac:dyDescent="0.35">
      <c r="Q77408" s="1"/>
    </row>
    <row r="77419" spans="17:17" x14ac:dyDescent="0.35">
      <c r="Q77419" s="1"/>
    </row>
    <row r="77428" spans="17:17" x14ac:dyDescent="0.35">
      <c r="Q77428" s="1"/>
    </row>
    <row r="77431" spans="17:17" x14ac:dyDescent="0.35">
      <c r="Q77431" s="1"/>
    </row>
    <row r="77447" spans="17:17" x14ac:dyDescent="0.35">
      <c r="Q77447" s="1"/>
    </row>
    <row r="77459" spans="17:17" x14ac:dyDescent="0.35">
      <c r="Q77459" s="1"/>
    </row>
    <row r="77466" spans="17:17" x14ac:dyDescent="0.35">
      <c r="Q77466" s="1"/>
    </row>
    <row r="77470" spans="17:17" x14ac:dyDescent="0.35">
      <c r="Q77470" s="1"/>
    </row>
    <row r="77484" spans="17:17" x14ac:dyDescent="0.35">
      <c r="Q77484" s="1"/>
    </row>
    <row r="77491" spans="17:17" x14ac:dyDescent="0.35">
      <c r="Q77491" s="1"/>
    </row>
    <row r="77495" spans="17:17" x14ac:dyDescent="0.35">
      <c r="Q77495" s="1"/>
    </row>
    <row r="77500" spans="17:17" x14ac:dyDescent="0.35">
      <c r="Q77500" s="1"/>
    </row>
    <row r="77507" spans="17:17" x14ac:dyDescent="0.35">
      <c r="Q77507" s="1"/>
    </row>
    <row r="77508" spans="17:17" x14ac:dyDescent="0.35">
      <c r="Q77508" s="1"/>
    </row>
    <row r="77511" spans="17:17" x14ac:dyDescent="0.35">
      <c r="Q77511" s="1"/>
    </row>
    <row r="77518" spans="17:17" x14ac:dyDescent="0.35">
      <c r="Q77518" s="1"/>
    </row>
    <row r="77526" spans="17:17" x14ac:dyDescent="0.35">
      <c r="Q77526" s="1"/>
    </row>
    <row r="77532" spans="17:17" x14ac:dyDescent="0.35">
      <c r="Q77532" s="1"/>
    </row>
    <row r="77536" spans="17:17" x14ac:dyDescent="0.35">
      <c r="Q77536" s="1"/>
    </row>
    <row r="77540" spans="17:17" x14ac:dyDescent="0.35">
      <c r="Q77540" s="1"/>
    </row>
    <row r="77545" spans="17:17" x14ac:dyDescent="0.35">
      <c r="Q77545" s="1"/>
    </row>
    <row r="77550" spans="17:17" x14ac:dyDescent="0.35">
      <c r="Q77550" s="1"/>
    </row>
    <row r="77553" spans="17:17" x14ac:dyDescent="0.35">
      <c r="Q77553" s="1"/>
    </row>
    <row r="77572" spans="17:17" x14ac:dyDescent="0.35">
      <c r="Q77572" s="1"/>
    </row>
    <row r="77578" spans="17:17" x14ac:dyDescent="0.35">
      <c r="Q77578" s="1"/>
    </row>
    <row r="77580" spans="17:17" x14ac:dyDescent="0.35">
      <c r="Q77580" s="1"/>
    </row>
    <row r="77584" spans="17:17" x14ac:dyDescent="0.35">
      <c r="Q77584" s="1"/>
    </row>
    <row r="77588" spans="17:17" x14ac:dyDescent="0.35">
      <c r="Q77588" s="1"/>
    </row>
    <row r="77591" spans="17:17" x14ac:dyDescent="0.35">
      <c r="Q77591" s="1"/>
    </row>
    <row r="77594" spans="17:17" x14ac:dyDescent="0.35">
      <c r="Q77594" s="1"/>
    </row>
    <row r="77597" spans="17:17" x14ac:dyDescent="0.35">
      <c r="Q77597" s="1"/>
    </row>
    <row r="77598" spans="17:17" x14ac:dyDescent="0.35">
      <c r="Q77598" s="1"/>
    </row>
    <row r="77600" spans="17:17" x14ac:dyDescent="0.35">
      <c r="Q77600" s="1"/>
    </row>
    <row r="77635" spans="17:17" x14ac:dyDescent="0.35">
      <c r="Q77635" s="1"/>
    </row>
    <row r="77638" spans="17:17" x14ac:dyDescent="0.35">
      <c r="Q77638" s="1"/>
    </row>
    <row r="77646" spans="17:17" x14ac:dyDescent="0.35">
      <c r="Q77646" s="1"/>
    </row>
    <row r="77647" spans="17:17" x14ac:dyDescent="0.35">
      <c r="Q77647" s="1"/>
    </row>
    <row r="77649" spans="17:17" x14ac:dyDescent="0.35">
      <c r="Q77649" s="1"/>
    </row>
    <row r="77651" spans="17:17" x14ac:dyDescent="0.35">
      <c r="Q77651" s="1"/>
    </row>
    <row r="77655" spans="17:17" x14ac:dyDescent="0.35">
      <c r="Q77655" s="1"/>
    </row>
    <row r="77667" spans="17:17" x14ac:dyDescent="0.35">
      <c r="Q77667" s="1"/>
    </row>
    <row r="77669" spans="17:17" x14ac:dyDescent="0.35">
      <c r="Q77669" s="1"/>
    </row>
    <row r="77677" spans="17:17" x14ac:dyDescent="0.35">
      <c r="Q77677" s="1"/>
    </row>
    <row r="77685" spans="17:17" x14ac:dyDescent="0.35">
      <c r="Q77685" s="1"/>
    </row>
    <row r="77692" spans="17:17" x14ac:dyDescent="0.35">
      <c r="Q77692" s="1"/>
    </row>
    <row r="77693" spans="17:17" x14ac:dyDescent="0.35">
      <c r="Q77693" s="1"/>
    </row>
    <row r="77697" spans="17:17" x14ac:dyDescent="0.35">
      <c r="Q77697" s="1"/>
    </row>
    <row r="77700" spans="17:17" x14ac:dyDescent="0.35">
      <c r="Q77700" s="1"/>
    </row>
    <row r="77714" spans="17:17" x14ac:dyDescent="0.35">
      <c r="Q77714" s="1"/>
    </row>
    <row r="77715" spans="17:17" x14ac:dyDescent="0.35">
      <c r="Q77715" s="1"/>
    </row>
    <row r="77716" spans="17:17" x14ac:dyDescent="0.35">
      <c r="Q77716" s="1"/>
    </row>
    <row r="77717" spans="17:17" x14ac:dyDescent="0.35">
      <c r="Q77717" s="1"/>
    </row>
    <row r="77718" spans="17:17" x14ac:dyDescent="0.35">
      <c r="Q77718" s="1"/>
    </row>
    <row r="77720" spans="17:17" x14ac:dyDescent="0.35">
      <c r="Q77720" s="1"/>
    </row>
    <row r="77722" spans="17:17" x14ac:dyDescent="0.35">
      <c r="Q77722" s="1"/>
    </row>
    <row r="77734" spans="17:17" x14ac:dyDescent="0.35">
      <c r="Q77734" s="1"/>
    </row>
    <row r="77749" spans="17:17" x14ac:dyDescent="0.35">
      <c r="Q77749" s="1"/>
    </row>
    <row r="77752" spans="17:17" x14ac:dyDescent="0.35">
      <c r="Q77752" s="1"/>
    </row>
    <row r="77754" spans="17:17" x14ac:dyDescent="0.35">
      <c r="Q77754" s="1"/>
    </row>
    <row r="77777" spans="17:17" x14ac:dyDescent="0.35">
      <c r="Q77777" s="1"/>
    </row>
    <row r="77783" spans="17:17" x14ac:dyDescent="0.35">
      <c r="Q77783" s="1"/>
    </row>
    <row r="77797" spans="17:17" x14ac:dyDescent="0.35">
      <c r="Q77797" s="1"/>
    </row>
    <row r="77800" spans="17:17" x14ac:dyDescent="0.35">
      <c r="Q77800" s="1"/>
    </row>
    <row r="77801" spans="17:17" x14ac:dyDescent="0.35">
      <c r="Q77801" s="1"/>
    </row>
    <row r="77823" spans="17:17" x14ac:dyDescent="0.35">
      <c r="Q77823" s="1"/>
    </row>
    <row r="77824" spans="17:17" x14ac:dyDescent="0.35">
      <c r="Q77824" s="1"/>
    </row>
    <row r="77830" spans="17:17" x14ac:dyDescent="0.35">
      <c r="Q77830" s="1"/>
    </row>
    <row r="77836" spans="17:17" x14ac:dyDescent="0.35">
      <c r="Q77836" s="1"/>
    </row>
    <row r="77837" spans="17:17" x14ac:dyDescent="0.35">
      <c r="Q77837" s="1"/>
    </row>
    <row r="77846" spans="17:17" x14ac:dyDescent="0.35">
      <c r="Q77846" s="1"/>
    </row>
    <row r="77848" spans="17:17" x14ac:dyDescent="0.35">
      <c r="Q77848" s="1"/>
    </row>
    <row r="77850" spans="17:17" x14ac:dyDescent="0.35">
      <c r="Q77850" s="1"/>
    </row>
    <row r="77852" spans="17:17" x14ac:dyDescent="0.35">
      <c r="Q77852" s="1"/>
    </row>
    <row r="77853" spans="17:17" x14ac:dyDescent="0.35">
      <c r="Q77853" s="1"/>
    </row>
    <row r="77856" spans="17:17" x14ac:dyDescent="0.35">
      <c r="Q77856" s="1"/>
    </row>
    <row r="77857" spans="17:17" x14ac:dyDescent="0.35">
      <c r="Q77857" s="1"/>
    </row>
    <row r="77858" spans="17:17" x14ac:dyDescent="0.35">
      <c r="Q77858" s="1"/>
    </row>
    <row r="77859" spans="17:17" x14ac:dyDescent="0.35">
      <c r="Q77859" s="1"/>
    </row>
    <row r="77861" spans="17:17" x14ac:dyDescent="0.35">
      <c r="Q77861" s="1"/>
    </row>
    <row r="77864" spans="17:17" x14ac:dyDescent="0.35">
      <c r="Q77864" s="1"/>
    </row>
    <row r="77865" spans="17:17" x14ac:dyDescent="0.35">
      <c r="Q77865" s="1"/>
    </row>
    <row r="77869" spans="17:17" x14ac:dyDescent="0.35">
      <c r="Q77869" s="1"/>
    </row>
    <row r="77870" spans="17:17" x14ac:dyDescent="0.35">
      <c r="Q77870" s="1"/>
    </row>
    <row r="77876" spans="17:17" x14ac:dyDescent="0.35">
      <c r="Q77876" s="1"/>
    </row>
    <row r="77879" spans="17:17" x14ac:dyDescent="0.35">
      <c r="Q77879" s="1"/>
    </row>
    <row r="77882" spans="17:17" x14ac:dyDescent="0.35">
      <c r="Q77882" s="1"/>
    </row>
    <row r="77884" spans="17:17" x14ac:dyDescent="0.35">
      <c r="Q77884" s="1"/>
    </row>
    <row r="77913" spans="17:17" x14ac:dyDescent="0.35">
      <c r="Q77913" s="1"/>
    </row>
    <row r="77925" spans="17:17" x14ac:dyDescent="0.35">
      <c r="Q77925" s="1"/>
    </row>
    <row r="77927" spans="17:17" x14ac:dyDescent="0.35">
      <c r="Q77927" s="1"/>
    </row>
    <row r="77944" spans="17:17" x14ac:dyDescent="0.35">
      <c r="Q77944" s="1"/>
    </row>
    <row r="77950" spans="17:17" x14ac:dyDescent="0.35">
      <c r="Q77950" s="1"/>
    </row>
    <row r="77983" spans="17:17" x14ac:dyDescent="0.35">
      <c r="Q77983" s="1"/>
    </row>
    <row r="77986" spans="17:17" x14ac:dyDescent="0.35">
      <c r="Q77986" s="1"/>
    </row>
    <row r="77996" spans="17:17" x14ac:dyDescent="0.35">
      <c r="Q77996" s="1"/>
    </row>
    <row r="77999" spans="17:17" x14ac:dyDescent="0.35">
      <c r="Q77999" s="1"/>
    </row>
    <row r="78016" spans="17:17" x14ac:dyDescent="0.35">
      <c r="Q78016" s="1"/>
    </row>
    <row r="78017" spans="17:17" x14ac:dyDescent="0.35">
      <c r="Q78017" s="1"/>
    </row>
    <row r="78020" spans="17:17" x14ac:dyDescent="0.35">
      <c r="Q78020" s="1"/>
    </row>
    <row r="78025" spans="17:17" x14ac:dyDescent="0.35">
      <c r="Q78025" s="1"/>
    </row>
    <row r="78031" spans="17:17" x14ac:dyDescent="0.35">
      <c r="Q78031" s="1"/>
    </row>
    <row r="78034" spans="17:17" x14ac:dyDescent="0.35">
      <c r="Q78034" s="1"/>
    </row>
    <row r="78052" spans="17:17" x14ac:dyDescent="0.35">
      <c r="Q78052" s="1"/>
    </row>
    <row r="78061" spans="17:17" x14ac:dyDescent="0.35">
      <c r="Q78061" s="1"/>
    </row>
    <row r="78067" spans="17:17" x14ac:dyDescent="0.35">
      <c r="Q78067" s="1"/>
    </row>
    <row r="78074" spans="17:17" x14ac:dyDescent="0.35">
      <c r="Q78074" s="1"/>
    </row>
    <row r="78076" spans="17:17" x14ac:dyDescent="0.35">
      <c r="Q78076" s="1"/>
    </row>
    <row r="78077" spans="17:17" x14ac:dyDescent="0.35">
      <c r="Q78077" s="1"/>
    </row>
    <row r="78098" spans="17:17" x14ac:dyDescent="0.35">
      <c r="Q78098" s="1"/>
    </row>
    <row r="78099" spans="17:17" x14ac:dyDescent="0.35">
      <c r="Q78099" s="1"/>
    </row>
    <row r="78111" spans="17:17" x14ac:dyDescent="0.35">
      <c r="Q78111" s="1"/>
    </row>
    <row r="78116" spans="17:17" x14ac:dyDescent="0.35">
      <c r="Q78116" s="1"/>
    </row>
    <row r="78117" spans="17:17" x14ac:dyDescent="0.35">
      <c r="Q78117" s="1"/>
    </row>
    <row r="78120" spans="17:17" x14ac:dyDescent="0.35">
      <c r="Q78120" s="1"/>
    </row>
    <row r="78121" spans="17:17" x14ac:dyDescent="0.35">
      <c r="Q78121" s="1"/>
    </row>
    <row r="78125" spans="17:17" x14ac:dyDescent="0.35">
      <c r="Q78125" s="1"/>
    </row>
    <row r="78136" spans="17:17" x14ac:dyDescent="0.35">
      <c r="Q78136" s="1"/>
    </row>
    <row r="78166" spans="17:17" x14ac:dyDescent="0.35">
      <c r="Q78166" s="1"/>
    </row>
    <row r="78178" spans="17:17" x14ac:dyDescent="0.35">
      <c r="Q78178" s="1"/>
    </row>
    <row r="78180" spans="17:17" x14ac:dyDescent="0.35">
      <c r="Q78180" s="1"/>
    </row>
    <row r="78183" spans="17:17" x14ac:dyDescent="0.35">
      <c r="Q78183" s="1"/>
    </row>
    <row r="78185" spans="17:17" x14ac:dyDescent="0.35">
      <c r="Q78185" s="1"/>
    </row>
    <row r="78186" spans="17:17" x14ac:dyDescent="0.35">
      <c r="Q78186" s="1"/>
    </row>
    <row r="78202" spans="17:17" x14ac:dyDescent="0.35">
      <c r="Q78202" s="1"/>
    </row>
    <row r="78213" spans="17:17" x14ac:dyDescent="0.35">
      <c r="Q78213" s="1"/>
    </row>
    <row r="78220" spans="17:17" x14ac:dyDescent="0.35">
      <c r="Q78220" s="1"/>
    </row>
    <row r="78231" spans="17:17" x14ac:dyDescent="0.35">
      <c r="Q78231" s="1"/>
    </row>
    <row r="78232" spans="17:17" x14ac:dyDescent="0.35">
      <c r="Q78232" s="1"/>
    </row>
    <row r="78237" spans="17:17" x14ac:dyDescent="0.35">
      <c r="Q78237" s="1"/>
    </row>
    <row r="78240" spans="17:17" x14ac:dyDescent="0.35">
      <c r="Q78240" s="1"/>
    </row>
    <row r="78241" spans="17:17" x14ac:dyDescent="0.35">
      <c r="Q78241" s="1"/>
    </row>
    <row r="78250" spans="17:17" x14ac:dyDescent="0.35">
      <c r="Q78250" s="1"/>
    </row>
    <row r="78252" spans="17:17" x14ac:dyDescent="0.35">
      <c r="Q78252" s="1"/>
    </row>
    <row r="78268" spans="17:17" x14ac:dyDescent="0.35">
      <c r="Q78268" s="1"/>
    </row>
    <row r="78270" spans="17:17" x14ac:dyDescent="0.35">
      <c r="Q78270" s="1"/>
    </row>
    <row r="78276" spans="17:17" x14ac:dyDescent="0.35">
      <c r="Q78276" s="1"/>
    </row>
    <row r="78277" spans="17:17" x14ac:dyDescent="0.35">
      <c r="Q78277" s="1"/>
    </row>
    <row r="78284" spans="17:17" x14ac:dyDescent="0.35">
      <c r="Q78284" s="1"/>
    </row>
    <row r="78289" spans="17:17" x14ac:dyDescent="0.35">
      <c r="Q78289" s="1"/>
    </row>
    <row r="78290" spans="17:17" x14ac:dyDescent="0.35">
      <c r="Q78290" s="1"/>
    </row>
    <row r="78310" spans="17:17" x14ac:dyDescent="0.35">
      <c r="Q78310" s="1"/>
    </row>
    <row r="78316" spans="17:17" x14ac:dyDescent="0.35">
      <c r="Q78316" s="1"/>
    </row>
    <row r="78333" spans="17:17" x14ac:dyDescent="0.35">
      <c r="Q78333" s="1"/>
    </row>
    <row r="78346" spans="17:17" x14ac:dyDescent="0.35">
      <c r="Q78346" s="1"/>
    </row>
    <row r="78356" spans="17:17" x14ac:dyDescent="0.35">
      <c r="Q78356" s="1"/>
    </row>
    <row r="78359" spans="17:17" x14ac:dyDescent="0.35">
      <c r="Q78359" s="1"/>
    </row>
    <row r="78376" spans="17:17" x14ac:dyDescent="0.35">
      <c r="Q78376" s="1"/>
    </row>
    <row r="78377" spans="17:17" x14ac:dyDescent="0.35">
      <c r="Q78377" s="1"/>
    </row>
    <row r="78378" spans="17:17" x14ac:dyDescent="0.35">
      <c r="Q78378" s="1"/>
    </row>
    <row r="78387" spans="17:17" x14ac:dyDescent="0.35">
      <c r="Q78387" s="1"/>
    </row>
    <row r="78388" spans="17:17" x14ac:dyDescent="0.35">
      <c r="Q78388" s="1"/>
    </row>
    <row r="78393" spans="17:17" x14ac:dyDescent="0.35">
      <c r="Q78393" s="1"/>
    </row>
    <row r="78394" spans="17:17" x14ac:dyDescent="0.35">
      <c r="Q78394" s="1"/>
    </row>
    <row r="78406" spans="17:17" x14ac:dyDescent="0.35">
      <c r="Q78406" s="1"/>
    </row>
    <row r="78409" spans="17:17" x14ac:dyDescent="0.35">
      <c r="Q78409" s="1"/>
    </row>
    <row r="78416" spans="17:17" x14ac:dyDescent="0.35">
      <c r="Q78416" s="1"/>
    </row>
    <row r="78428" spans="17:17" x14ac:dyDescent="0.35">
      <c r="Q78428" s="1"/>
    </row>
    <row r="78443" spans="17:17" x14ac:dyDescent="0.35">
      <c r="Q78443" s="1"/>
    </row>
    <row r="78449" spans="17:17" x14ac:dyDescent="0.35">
      <c r="Q78449" s="1"/>
    </row>
    <row r="78452" spans="17:17" x14ac:dyDescent="0.35">
      <c r="Q78452" s="1"/>
    </row>
    <row r="78453" spans="17:17" x14ac:dyDescent="0.35">
      <c r="Q78453" s="1"/>
    </row>
    <row r="78455" spans="17:17" x14ac:dyDescent="0.35">
      <c r="Q78455" s="1"/>
    </row>
    <row r="78466" spans="17:17" x14ac:dyDescent="0.35">
      <c r="Q78466" s="1"/>
    </row>
    <row r="78467" spans="17:17" x14ac:dyDescent="0.35">
      <c r="Q78467" s="1"/>
    </row>
    <row r="78475" spans="17:17" x14ac:dyDescent="0.35">
      <c r="Q78475" s="1"/>
    </row>
    <row r="78481" spans="17:17" x14ac:dyDescent="0.35">
      <c r="Q78481" s="1"/>
    </row>
    <row r="78483" spans="17:17" x14ac:dyDescent="0.35">
      <c r="Q78483" s="1"/>
    </row>
    <row r="78485" spans="17:17" x14ac:dyDescent="0.35">
      <c r="Q78485" s="1"/>
    </row>
    <row r="78487" spans="17:17" x14ac:dyDescent="0.35">
      <c r="Q78487" s="1"/>
    </row>
    <row r="78490" spans="17:17" x14ac:dyDescent="0.35">
      <c r="Q78490" s="1"/>
    </row>
    <row r="78495" spans="17:17" x14ac:dyDescent="0.35">
      <c r="Q78495" s="1"/>
    </row>
    <row r="78503" spans="17:17" x14ac:dyDescent="0.35">
      <c r="Q78503" s="1"/>
    </row>
    <row r="78507" spans="17:17" x14ac:dyDescent="0.35">
      <c r="Q78507" s="1"/>
    </row>
    <row r="78510" spans="17:17" x14ac:dyDescent="0.35">
      <c r="Q78510" s="1"/>
    </row>
    <row r="78516" spans="17:17" x14ac:dyDescent="0.35">
      <c r="Q78516" s="1"/>
    </row>
    <row r="78529" spans="17:17" x14ac:dyDescent="0.35">
      <c r="Q78529" s="1"/>
    </row>
    <row r="78532" spans="17:17" x14ac:dyDescent="0.35">
      <c r="Q78532" s="1"/>
    </row>
    <row r="78541" spans="17:17" x14ac:dyDescent="0.35">
      <c r="Q78541" s="1"/>
    </row>
    <row r="78545" spans="17:17" x14ac:dyDescent="0.35">
      <c r="Q78545" s="1"/>
    </row>
    <row r="78548" spans="17:17" x14ac:dyDescent="0.35">
      <c r="Q78548" s="1"/>
    </row>
    <row r="78551" spans="17:17" x14ac:dyDescent="0.35">
      <c r="Q78551" s="1"/>
    </row>
    <row r="78552" spans="17:17" x14ac:dyDescent="0.35">
      <c r="Q78552" s="1"/>
    </row>
    <row r="78562" spans="17:17" x14ac:dyDescent="0.35">
      <c r="Q78562" s="1"/>
    </row>
    <row r="78573" spans="17:17" x14ac:dyDescent="0.35">
      <c r="Q78573" s="1"/>
    </row>
    <row r="78580" spans="17:17" x14ac:dyDescent="0.35">
      <c r="Q78580" s="1"/>
    </row>
    <row r="78588" spans="17:17" x14ac:dyDescent="0.35">
      <c r="Q78588" s="1"/>
    </row>
    <row r="78599" spans="17:17" x14ac:dyDescent="0.35">
      <c r="Q78599" s="1"/>
    </row>
    <row r="78600" spans="17:17" x14ac:dyDescent="0.35">
      <c r="Q78600" s="1"/>
    </row>
    <row r="78601" spans="17:17" x14ac:dyDescent="0.35">
      <c r="Q78601" s="1"/>
    </row>
    <row r="78611" spans="17:17" x14ac:dyDescent="0.35">
      <c r="Q78611" s="1"/>
    </row>
    <row r="78618" spans="17:17" x14ac:dyDescent="0.35">
      <c r="Q78618" s="1"/>
    </row>
    <row r="78623" spans="17:17" x14ac:dyDescent="0.35">
      <c r="Q78623" s="1"/>
    </row>
    <row r="78631" spans="17:17" x14ac:dyDescent="0.35">
      <c r="Q78631" s="1"/>
    </row>
    <row r="78635" spans="17:17" x14ac:dyDescent="0.35">
      <c r="Q78635" s="1"/>
    </row>
    <row r="78644" spans="17:17" x14ac:dyDescent="0.35">
      <c r="Q78644" s="1"/>
    </row>
    <row r="78646" spans="17:17" x14ac:dyDescent="0.35">
      <c r="Q78646" s="1"/>
    </row>
    <row r="78651" spans="17:17" x14ac:dyDescent="0.35">
      <c r="Q78651" s="1"/>
    </row>
    <row r="78654" spans="17:17" x14ac:dyDescent="0.35">
      <c r="Q78654" s="1"/>
    </row>
    <row r="78674" spans="5:17" x14ac:dyDescent="0.35">
      <c r="Q78674" s="1"/>
    </row>
    <row r="78675" spans="5:17" x14ac:dyDescent="0.35">
      <c r="Q78675" s="1"/>
    </row>
    <row r="78676" spans="5:17" x14ac:dyDescent="0.35">
      <c r="Q78676" s="1"/>
    </row>
    <row r="78679" spans="5:17" x14ac:dyDescent="0.35">
      <c r="E78679" s="5"/>
      <c r="Q78679" s="1"/>
    </row>
    <row r="78691" spans="17:17" x14ac:dyDescent="0.35">
      <c r="Q78691" s="1"/>
    </row>
    <row r="78695" spans="17:17" x14ac:dyDescent="0.35">
      <c r="Q78695" s="1"/>
    </row>
    <row r="78698" spans="17:17" x14ac:dyDescent="0.35">
      <c r="Q78698" s="1"/>
    </row>
    <row r="78701" spans="17:17" x14ac:dyDescent="0.35">
      <c r="Q78701" s="1"/>
    </row>
    <row r="78707" spans="17:17" x14ac:dyDescent="0.35">
      <c r="Q78707" s="1"/>
    </row>
    <row r="78712" spans="17:17" x14ac:dyDescent="0.35">
      <c r="Q78712" s="1"/>
    </row>
    <row r="78713" spans="17:17" x14ac:dyDescent="0.35">
      <c r="Q78713" s="1"/>
    </row>
    <row r="78722" spans="17:17" x14ac:dyDescent="0.35">
      <c r="Q78722" s="1"/>
    </row>
    <row r="78723" spans="17:17" x14ac:dyDescent="0.35">
      <c r="Q78723" s="1"/>
    </row>
    <row r="78725" spans="17:17" x14ac:dyDescent="0.35">
      <c r="Q78725" s="1"/>
    </row>
    <row r="78726" spans="17:17" x14ac:dyDescent="0.35">
      <c r="Q78726" s="1"/>
    </row>
    <row r="78727" spans="17:17" x14ac:dyDescent="0.35">
      <c r="Q78727" s="1"/>
    </row>
    <row r="78731" spans="17:17" x14ac:dyDescent="0.35">
      <c r="Q78731" s="1"/>
    </row>
    <row r="78735" spans="17:17" x14ac:dyDescent="0.35">
      <c r="Q78735" s="1"/>
    </row>
    <row r="78739" spans="17:17" x14ac:dyDescent="0.35">
      <c r="Q78739" s="1"/>
    </row>
    <row r="78741" spans="17:17" x14ac:dyDescent="0.35">
      <c r="Q78741" s="1"/>
    </row>
    <row r="78743" spans="17:17" x14ac:dyDescent="0.35">
      <c r="Q78743" s="1"/>
    </row>
    <row r="78744" spans="17:17" x14ac:dyDescent="0.35">
      <c r="Q78744" s="1"/>
    </row>
    <row r="78748" spans="17:17" x14ac:dyDescent="0.35">
      <c r="Q78748" s="1"/>
    </row>
    <row r="78750" spans="17:17" x14ac:dyDescent="0.35">
      <c r="Q78750" s="1"/>
    </row>
    <row r="78753" spans="17:17" x14ac:dyDescent="0.35">
      <c r="Q78753" s="1"/>
    </row>
    <row r="78757" spans="17:17" x14ac:dyDescent="0.35">
      <c r="Q78757" s="1"/>
    </row>
    <row r="78759" spans="17:17" x14ac:dyDescent="0.35">
      <c r="Q78759" s="1"/>
    </row>
    <row r="78761" spans="17:17" x14ac:dyDescent="0.35">
      <c r="Q78761" s="1"/>
    </row>
    <row r="78776" spans="17:17" x14ac:dyDescent="0.35">
      <c r="Q78776" s="1"/>
    </row>
    <row r="78777" spans="17:17" x14ac:dyDescent="0.35">
      <c r="Q78777" s="1"/>
    </row>
    <row r="78785" spans="17:17" x14ac:dyDescent="0.35">
      <c r="Q78785" s="1"/>
    </row>
    <row r="78786" spans="17:17" x14ac:dyDescent="0.35">
      <c r="Q78786" s="1"/>
    </row>
    <row r="78787" spans="17:17" x14ac:dyDescent="0.35">
      <c r="Q78787" s="1"/>
    </row>
    <row r="78788" spans="17:17" x14ac:dyDescent="0.35">
      <c r="Q78788" s="1"/>
    </row>
    <row r="78798" spans="17:17" x14ac:dyDescent="0.35">
      <c r="Q78798" s="1"/>
    </row>
    <row r="78799" spans="17:17" x14ac:dyDescent="0.35">
      <c r="Q78799" s="1"/>
    </row>
    <row r="78806" spans="16:17" x14ac:dyDescent="0.35">
      <c r="Q78806" s="1"/>
    </row>
    <row r="78810" spans="16:17" x14ac:dyDescent="0.35">
      <c r="P78810" s="1"/>
    </row>
    <row r="78814" spans="16:17" x14ac:dyDescent="0.35">
      <c r="Q78814" s="1"/>
    </row>
    <row r="78818" spans="17:17" x14ac:dyDescent="0.35">
      <c r="Q78818" s="1"/>
    </row>
    <row r="78825" spans="17:17" x14ac:dyDescent="0.35">
      <c r="Q78825" s="1"/>
    </row>
    <row r="78829" spans="17:17" x14ac:dyDescent="0.35">
      <c r="Q78829" s="1"/>
    </row>
    <row r="78833" spans="17:17" x14ac:dyDescent="0.35">
      <c r="Q78833" s="1"/>
    </row>
    <row r="78844" spans="17:17" x14ac:dyDescent="0.35">
      <c r="Q78844" s="1"/>
    </row>
    <row r="78846" spans="17:17" x14ac:dyDescent="0.35">
      <c r="Q78846" s="1"/>
    </row>
    <row r="78869" spans="17:17" x14ac:dyDescent="0.35">
      <c r="Q78869" s="1"/>
    </row>
    <row r="78870" spans="17:17" x14ac:dyDescent="0.35">
      <c r="Q78870" s="1"/>
    </row>
    <row r="78878" spans="17:17" x14ac:dyDescent="0.35">
      <c r="Q78878" s="1"/>
    </row>
    <row r="78891" spans="17:17" x14ac:dyDescent="0.35">
      <c r="Q78891" s="1"/>
    </row>
    <row r="78892" spans="17:17" x14ac:dyDescent="0.35">
      <c r="Q78892" s="1"/>
    </row>
    <row r="78894" spans="17:17" x14ac:dyDescent="0.35">
      <c r="Q78894" s="1"/>
    </row>
    <row r="78896" spans="17:17" x14ac:dyDescent="0.35">
      <c r="Q78896" s="1"/>
    </row>
    <row r="78900" spans="17:17" x14ac:dyDescent="0.35">
      <c r="Q78900" s="1"/>
    </row>
    <row r="78903" spans="17:17" x14ac:dyDescent="0.35">
      <c r="Q78903" s="1"/>
    </row>
    <row r="78912" spans="17:17" x14ac:dyDescent="0.35">
      <c r="Q78912" s="1"/>
    </row>
    <row r="78914" spans="17:17" x14ac:dyDescent="0.35">
      <c r="Q78914" s="1"/>
    </row>
    <row r="78916" spans="17:17" x14ac:dyDescent="0.35">
      <c r="Q78916" s="1"/>
    </row>
    <row r="78918" spans="17:17" x14ac:dyDescent="0.35">
      <c r="Q78918" s="1"/>
    </row>
    <row r="78923" spans="17:17" x14ac:dyDescent="0.35">
      <c r="Q78923" s="1"/>
    </row>
    <row r="78925" spans="17:17" x14ac:dyDescent="0.35">
      <c r="Q78925" s="1"/>
    </row>
    <row r="78928" spans="17:17" x14ac:dyDescent="0.35">
      <c r="Q78928" s="1"/>
    </row>
    <row r="78935" spans="17:17" x14ac:dyDescent="0.35">
      <c r="Q78935" s="1"/>
    </row>
    <row r="78936" spans="17:17" x14ac:dyDescent="0.35">
      <c r="Q78936" s="1"/>
    </row>
    <row r="78937" spans="17:17" x14ac:dyDescent="0.35">
      <c r="Q78937" s="1"/>
    </row>
    <row r="78944" spans="17:17" x14ac:dyDescent="0.35">
      <c r="Q78944" s="1"/>
    </row>
    <row r="78946" spans="17:17" x14ac:dyDescent="0.35">
      <c r="Q78946" s="1"/>
    </row>
    <row r="78956" spans="17:17" x14ac:dyDescent="0.35">
      <c r="Q78956" s="1"/>
    </row>
    <row r="78959" spans="17:17" x14ac:dyDescent="0.35">
      <c r="Q78959" s="1"/>
    </row>
    <row r="78968" spans="17:17" x14ac:dyDescent="0.35">
      <c r="Q78968" s="1"/>
    </row>
    <row r="78970" spans="17:17" x14ac:dyDescent="0.35">
      <c r="Q78970" s="1"/>
    </row>
    <row r="78978" spans="17:17" x14ac:dyDescent="0.35">
      <c r="Q78978" s="1"/>
    </row>
    <row r="78984" spans="17:17" x14ac:dyDescent="0.35">
      <c r="Q78984" s="1"/>
    </row>
    <row r="78989" spans="17:17" x14ac:dyDescent="0.35">
      <c r="Q78989" s="1"/>
    </row>
    <row r="78992" spans="17:17" x14ac:dyDescent="0.35">
      <c r="Q78992" s="1"/>
    </row>
    <row r="78998" spans="17:17" x14ac:dyDescent="0.35">
      <c r="Q78998" s="1"/>
    </row>
    <row r="79001" spans="17:17" x14ac:dyDescent="0.35">
      <c r="Q79001" s="1"/>
    </row>
    <row r="79016" spans="17:17" x14ac:dyDescent="0.35">
      <c r="Q79016" s="1"/>
    </row>
    <row r="79019" spans="17:17" x14ac:dyDescent="0.35">
      <c r="Q79019" s="1"/>
    </row>
    <row r="79030" spans="17:17" x14ac:dyDescent="0.35">
      <c r="Q79030" s="1"/>
    </row>
    <row r="79034" spans="17:17" x14ac:dyDescent="0.35">
      <c r="Q79034" s="1"/>
    </row>
    <row r="79054" spans="17:17" x14ac:dyDescent="0.35">
      <c r="Q79054" s="1"/>
    </row>
    <row r="79058" spans="17:17" x14ac:dyDescent="0.35">
      <c r="Q79058" s="1"/>
    </row>
    <row r="79060" spans="17:17" x14ac:dyDescent="0.35">
      <c r="Q79060" s="1"/>
    </row>
    <row r="79062" spans="17:17" x14ac:dyDescent="0.35">
      <c r="Q79062" s="1"/>
    </row>
    <row r="79078" spans="17:17" x14ac:dyDescent="0.35">
      <c r="Q79078" s="1"/>
    </row>
    <row r="79079" spans="17:17" x14ac:dyDescent="0.35">
      <c r="Q79079" s="1"/>
    </row>
    <row r="79085" spans="17:17" x14ac:dyDescent="0.35">
      <c r="Q79085" s="1"/>
    </row>
    <row r="79086" spans="17:17" x14ac:dyDescent="0.35">
      <c r="Q79086" s="1"/>
    </row>
    <row r="79087" spans="17:17" x14ac:dyDescent="0.35">
      <c r="Q79087" s="1"/>
    </row>
    <row r="79089" spans="17:17" x14ac:dyDescent="0.35">
      <c r="Q79089" s="1"/>
    </row>
    <row r="79090" spans="17:17" x14ac:dyDescent="0.35">
      <c r="Q79090" s="1"/>
    </row>
    <row r="79092" spans="17:17" x14ac:dyDescent="0.35">
      <c r="Q79092" s="1"/>
    </row>
    <row r="79096" spans="17:17" x14ac:dyDescent="0.35">
      <c r="Q79096" s="1"/>
    </row>
    <row r="79104" spans="17:17" x14ac:dyDescent="0.35">
      <c r="Q79104" s="1"/>
    </row>
    <row r="79106" spans="17:17" x14ac:dyDescent="0.35">
      <c r="Q79106" s="1"/>
    </row>
    <row r="79109" spans="17:17" x14ac:dyDescent="0.35">
      <c r="Q79109" s="1"/>
    </row>
    <row r="79111" spans="17:17" x14ac:dyDescent="0.35">
      <c r="Q79111" s="1"/>
    </row>
    <row r="79117" spans="17:17" x14ac:dyDescent="0.35">
      <c r="Q79117" s="1"/>
    </row>
    <row r="79127" spans="17:17" x14ac:dyDescent="0.35">
      <c r="Q79127" s="1"/>
    </row>
    <row r="79128" spans="17:17" x14ac:dyDescent="0.35">
      <c r="Q79128" s="1"/>
    </row>
    <row r="79129" spans="17:17" x14ac:dyDescent="0.35">
      <c r="Q79129" s="1"/>
    </row>
    <row r="79135" spans="17:17" x14ac:dyDescent="0.35">
      <c r="Q79135" s="1"/>
    </row>
    <row r="79136" spans="17:17" x14ac:dyDescent="0.35">
      <c r="Q79136" s="1"/>
    </row>
    <row r="79138" spans="17:17" x14ac:dyDescent="0.35">
      <c r="Q79138" s="1"/>
    </row>
    <row r="79139" spans="17:17" x14ac:dyDescent="0.35">
      <c r="Q79139" s="1"/>
    </row>
    <row r="79142" spans="17:17" x14ac:dyDescent="0.35">
      <c r="Q79142" s="1"/>
    </row>
    <row r="79165" spans="17:17" x14ac:dyDescent="0.35">
      <c r="Q79165" s="1"/>
    </row>
    <row r="79167" spans="17:17" x14ac:dyDescent="0.35">
      <c r="Q79167" s="1"/>
    </row>
    <row r="79203" spans="17:17" x14ac:dyDescent="0.35">
      <c r="Q79203" s="1"/>
    </row>
    <row r="79215" spans="17:17" x14ac:dyDescent="0.35">
      <c r="Q79215" s="1"/>
    </row>
    <row r="79223" spans="17:17" x14ac:dyDescent="0.35">
      <c r="Q79223" s="1"/>
    </row>
    <row r="79244" spans="17:17" x14ac:dyDescent="0.35">
      <c r="Q79244" s="1"/>
    </row>
    <row r="79248" spans="17:17" x14ac:dyDescent="0.35">
      <c r="Q79248" s="1"/>
    </row>
    <row r="79250" spans="17:17" x14ac:dyDescent="0.35">
      <c r="Q79250" s="1"/>
    </row>
    <row r="79267" spans="17:17" x14ac:dyDescent="0.35">
      <c r="Q79267" s="1"/>
    </row>
    <row r="79274" spans="17:17" x14ac:dyDescent="0.35">
      <c r="Q79274" s="1"/>
    </row>
    <row r="79283" spans="17:17" x14ac:dyDescent="0.35">
      <c r="Q79283" s="1"/>
    </row>
    <row r="79284" spans="17:17" x14ac:dyDescent="0.35">
      <c r="Q79284" s="1"/>
    </row>
    <row r="79286" spans="17:17" x14ac:dyDescent="0.35">
      <c r="Q79286" s="1"/>
    </row>
    <row r="79292" spans="17:17" x14ac:dyDescent="0.35">
      <c r="Q79292" s="1"/>
    </row>
    <row r="79293" spans="17:17" x14ac:dyDescent="0.35">
      <c r="Q79293" s="1"/>
    </row>
    <row r="79296" spans="17:17" x14ac:dyDescent="0.35">
      <c r="Q79296" s="1"/>
    </row>
    <row r="79304" spans="17:17" x14ac:dyDescent="0.35">
      <c r="Q79304" s="1"/>
    </row>
    <row r="79306" spans="17:17" x14ac:dyDescent="0.35">
      <c r="Q79306" s="1"/>
    </row>
    <row r="79308" spans="17:17" x14ac:dyDescent="0.35">
      <c r="Q79308" s="1"/>
    </row>
    <row r="79315" spans="17:17" x14ac:dyDescent="0.35">
      <c r="Q79315" s="1"/>
    </row>
    <row r="79317" spans="17:17" x14ac:dyDescent="0.35">
      <c r="Q79317" s="1"/>
    </row>
    <row r="79320" spans="17:17" x14ac:dyDescent="0.35">
      <c r="Q79320" s="1"/>
    </row>
    <row r="79322" spans="17:17" x14ac:dyDescent="0.35">
      <c r="Q79322" s="1"/>
    </row>
    <row r="79326" spans="17:17" x14ac:dyDescent="0.35">
      <c r="Q79326" s="1"/>
    </row>
    <row r="79340" spans="17:17" x14ac:dyDescent="0.35">
      <c r="Q79340" s="1"/>
    </row>
    <row r="79341" spans="17:17" x14ac:dyDescent="0.35">
      <c r="Q79341" s="1"/>
    </row>
    <row r="79343" spans="17:17" x14ac:dyDescent="0.35">
      <c r="Q79343" s="1"/>
    </row>
    <row r="79345" spans="17:17" x14ac:dyDescent="0.35">
      <c r="Q79345" s="1"/>
    </row>
    <row r="79346" spans="17:17" x14ac:dyDescent="0.35">
      <c r="Q79346" s="1"/>
    </row>
    <row r="79368" spans="17:17" x14ac:dyDescent="0.35">
      <c r="Q79368" s="1"/>
    </row>
    <row r="79381" spans="17:17" x14ac:dyDescent="0.35">
      <c r="Q79381" s="1"/>
    </row>
    <row r="79385" spans="17:17" x14ac:dyDescent="0.35">
      <c r="Q79385" s="1"/>
    </row>
    <row r="79390" spans="17:17" x14ac:dyDescent="0.35">
      <c r="Q79390" s="1"/>
    </row>
    <row r="79392" spans="17:17" x14ac:dyDescent="0.35">
      <c r="Q79392" s="1"/>
    </row>
    <row r="79393" spans="17:17" x14ac:dyDescent="0.35">
      <c r="Q79393" s="1"/>
    </row>
    <row r="79396" spans="17:17" x14ac:dyDescent="0.35">
      <c r="Q79396" s="1"/>
    </row>
    <row r="79397" spans="17:17" x14ac:dyDescent="0.35">
      <c r="Q79397" s="1"/>
    </row>
    <row r="79416" spans="17:17" x14ac:dyDescent="0.35">
      <c r="Q79416" s="1"/>
    </row>
    <row r="79427" spans="17:17" x14ac:dyDescent="0.35">
      <c r="Q79427" s="1"/>
    </row>
    <row r="79444" spans="17:17" x14ac:dyDescent="0.35">
      <c r="Q79444" s="1"/>
    </row>
    <row r="79471" spans="17:17" x14ac:dyDescent="0.35">
      <c r="Q79471" s="1"/>
    </row>
    <row r="79481" spans="16:17" x14ac:dyDescent="0.35">
      <c r="Q79481" s="1"/>
    </row>
    <row r="79486" spans="16:17" x14ac:dyDescent="0.35">
      <c r="P79486" s="1"/>
    </row>
    <row r="79492" spans="17:17" x14ac:dyDescent="0.35">
      <c r="Q79492" s="1"/>
    </row>
    <row r="79495" spans="17:17" x14ac:dyDescent="0.35">
      <c r="Q79495" s="1"/>
    </row>
    <row r="79498" spans="17:17" x14ac:dyDescent="0.35">
      <c r="Q79498" s="1"/>
    </row>
    <row r="79501" spans="17:17" x14ac:dyDescent="0.35">
      <c r="Q79501" s="1"/>
    </row>
    <row r="79503" spans="17:17" x14ac:dyDescent="0.35">
      <c r="Q79503" s="1"/>
    </row>
    <row r="79505" spans="17:17" x14ac:dyDescent="0.35">
      <c r="Q79505" s="1"/>
    </row>
    <row r="79520" spans="17:17" x14ac:dyDescent="0.35">
      <c r="Q79520" s="1"/>
    </row>
    <row r="79531" spans="17:17" x14ac:dyDescent="0.35">
      <c r="Q79531" s="1"/>
    </row>
    <row r="79532" spans="17:17" x14ac:dyDescent="0.35">
      <c r="Q79532" s="1"/>
    </row>
    <row r="79537" spans="17:17" x14ac:dyDescent="0.35">
      <c r="Q79537" s="1"/>
    </row>
    <row r="79541" spans="17:17" x14ac:dyDescent="0.35">
      <c r="Q79541" s="1"/>
    </row>
    <row r="79544" spans="17:17" x14ac:dyDescent="0.35">
      <c r="Q79544" s="1"/>
    </row>
    <row r="79547" spans="17:17" x14ac:dyDescent="0.35">
      <c r="Q79547" s="1"/>
    </row>
    <row r="79550" spans="17:17" x14ac:dyDescent="0.35">
      <c r="Q79550" s="1"/>
    </row>
    <row r="79555" spans="17:17" x14ac:dyDescent="0.35">
      <c r="Q79555" s="1"/>
    </row>
    <row r="79558" spans="17:17" x14ac:dyDescent="0.35">
      <c r="Q79558" s="1"/>
    </row>
    <row r="79578" spans="17:17" x14ac:dyDescent="0.35">
      <c r="Q79578" s="1"/>
    </row>
    <row r="79599" spans="17:17" x14ac:dyDescent="0.35">
      <c r="Q79599" s="1"/>
    </row>
    <row r="79612" spans="17:17" x14ac:dyDescent="0.35">
      <c r="Q79612" s="1"/>
    </row>
    <row r="79615" spans="17:17" x14ac:dyDescent="0.35">
      <c r="Q79615" s="1"/>
    </row>
    <row r="79626" spans="17:17" x14ac:dyDescent="0.35">
      <c r="Q79626" s="1"/>
    </row>
    <row r="79629" spans="17:17" x14ac:dyDescent="0.35">
      <c r="Q79629" s="1"/>
    </row>
    <row r="79631" spans="17:17" x14ac:dyDescent="0.35">
      <c r="Q79631" s="1"/>
    </row>
    <row r="79632" spans="17:17" x14ac:dyDescent="0.35">
      <c r="Q79632" s="1"/>
    </row>
    <row r="79644" spans="17:17" x14ac:dyDescent="0.35">
      <c r="Q79644" s="1"/>
    </row>
    <row r="79649" spans="17:17" x14ac:dyDescent="0.35">
      <c r="Q79649" s="1"/>
    </row>
    <row r="79660" spans="17:17" x14ac:dyDescent="0.35">
      <c r="Q79660" s="1"/>
    </row>
    <row r="79662" spans="17:17" x14ac:dyDescent="0.35">
      <c r="Q79662" s="1"/>
    </row>
    <row r="79676" spans="17:17" x14ac:dyDescent="0.35">
      <c r="Q79676" s="1"/>
    </row>
    <row r="79678" spans="17:17" x14ac:dyDescent="0.35">
      <c r="Q79678" s="1"/>
    </row>
    <row r="79680" spans="17:17" x14ac:dyDescent="0.35">
      <c r="Q79680" s="1"/>
    </row>
    <row r="79684" spans="17:17" x14ac:dyDescent="0.35">
      <c r="Q79684" s="1"/>
    </row>
    <row r="79690" spans="17:17" x14ac:dyDescent="0.35">
      <c r="Q79690" s="1"/>
    </row>
    <row r="79692" spans="17:17" x14ac:dyDescent="0.35">
      <c r="Q79692" s="1"/>
    </row>
    <row r="79694" spans="17:17" x14ac:dyDescent="0.35">
      <c r="Q79694" s="1"/>
    </row>
    <row r="79695" spans="17:17" x14ac:dyDescent="0.35">
      <c r="Q79695" s="1"/>
    </row>
    <row r="79745" spans="17:17" x14ac:dyDescent="0.35">
      <c r="Q79745" s="1"/>
    </row>
    <row r="79746" spans="17:17" x14ac:dyDescent="0.35">
      <c r="Q79746" s="1"/>
    </row>
    <row r="79749" spans="17:17" x14ac:dyDescent="0.35">
      <c r="Q79749" s="1"/>
    </row>
    <row r="79754" spans="17:17" x14ac:dyDescent="0.35">
      <c r="Q79754" s="1"/>
    </row>
    <row r="79791" spans="17:17" x14ac:dyDescent="0.35">
      <c r="Q79791" s="1"/>
    </row>
    <row r="79818" spans="17:17" x14ac:dyDescent="0.35">
      <c r="Q79818" s="1"/>
    </row>
    <row r="79843" spans="17:17" x14ac:dyDescent="0.35">
      <c r="Q79843" s="1"/>
    </row>
    <row r="79845" spans="17:17" x14ac:dyDescent="0.35">
      <c r="Q79845" s="1"/>
    </row>
    <row r="79852" spans="17:17" x14ac:dyDescent="0.35">
      <c r="Q79852" s="1"/>
    </row>
    <row r="79874" spans="17:17" x14ac:dyDescent="0.35">
      <c r="Q79874" s="1"/>
    </row>
    <row r="79893" spans="17:17" x14ac:dyDescent="0.35">
      <c r="Q79893" s="1"/>
    </row>
    <row r="79895" spans="17:17" x14ac:dyDescent="0.35">
      <c r="Q79895" s="1"/>
    </row>
    <row r="79903" spans="17:17" x14ac:dyDescent="0.35">
      <c r="Q79903" s="1"/>
    </row>
    <row r="79928" spans="17:17" x14ac:dyDescent="0.35">
      <c r="Q79928" s="1"/>
    </row>
    <row r="79938" spans="17:17" x14ac:dyDescent="0.35">
      <c r="Q79938" s="1"/>
    </row>
    <row r="79945" spans="17:17" x14ac:dyDescent="0.35">
      <c r="Q79945" s="1"/>
    </row>
    <row r="79957" spans="17:17" x14ac:dyDescent="0.35">
      <c r="Q79957" s="1"/>
    </row>
    <row r="79966" spans="17:17" x14ac:dyDescent="0.35">
      <c r="Q79966" s="1"/>
    </row>
    <row r="79981" spans="17:17" x14ac:dyDescent="0.35">
      <c r="Q79981" s="1"/>
    </row>
    <row r="79988" spans="16:17" x14ac:dyDescent="0.35">
      <c r="P79988" s="1"/>
    </row>
    <row r="79991" spans="16:17" x14ac:dyDescent="0.35">
      <c r="Q79991" s="1"/>
    </row>
    <row r="80004" spans="17:17" x14ac:dyDescent="0.35">
      <c r="Q80004" s="1"/>
    </row>
    <row r="80012" spans="17:17" x14ac:dyDescent="0.35">
      <c r="Q80012" s="1"/>
    </row>
    <row r="80013" spans="17:17" x14ac:dyDescent="0.35">
      <c r="Q80013" s="1"/>
    </row>
    <row r="80014" spans="17:17" x14ac:dyDescent="0.35">
      <c r="Q80014" s="1"/>
    </row>
    <row r="80021" spans="17:17" x14ac:dyDescent="0.35">
      <c r="Q80021" s="1"/>
    </row>
    <row r="80022" spans="17:17" x14ac:dyDescent="0.35">
      <c r="Q80022" s="1"/>
    </row>
    <row r="80023" spans="17:17" x14ac:dyDescent="0.35">
      <c r="Q80023" s="1"/>
    </row>
    <row r="80024" spans="17:17" x14ac:dyDescent="0.35">
      <c r="Q80024" s="1"/>
    </row>
    <row r="80026" spans="17:17" x14ac:dyDescent="0.35">
      <c r="Q80026" s="1"/>
    </row>
    <row r="80027" spans="17:17" x14ac:dyDescent="0.35">
      <c r="Q80027" s="1"/>
    </row>
    <row r="80028" spans="17:17" x14ac:dyDescent="0.35">
      <c r="Q80028" s="1"/>
    </row>
    <row r="80032" spans="17:17" x14ac:dyDescent="0.35">
      <c r="Q80032" s="1"/>
    </row>
    <row r="80036" spans="17:17" x14ac:dyDescent="0.35">
      <c r="Q80036" s="1"/>
    </row>
    <row r="80042" spans="17:17" x14ac:dyDescent="0.35">
      <c r="Q80042" s="1"/>
    </row>
    <row r="80043" spans="17:17" x14ac:dyDescent="0.35">
      <c r="Q80043" s="1"/>
    </row>
    <row r="80055" spans="17:17" x14ac:dyDescent="0.35">
      <c r="Q80055" s="1"/>
    </row>
    <row r="80058" spans="17:17" x14ac:dyDescent="0.35">
      <c r="Q80058" s="1"/>
    </row>
    <row r="80060" spans="17:17" x14ac:dyDescent="0.35">
      <c r="Q80060" s="1"/>
    </row>
    <row r="80061" spans="17:17" x14ac:dyDescent="0.35">
      <c r="Q80061" s="1"/>
    </row>
    <row r="80069" spans="17:17" x14ac:dyDescent="0.35">
      <c r="Q80069" s="1"/>
    </row>
    <row r="80070" spans="17:17" x14ac:dyDescent="0.35">
      <c r="Q80070" s="1"/>
    </row>
    <row r="80071" spans="17:17" x14ac:dyDescent="0.35">
      <c r="Q80071" s="1"/>
    </row>
    <row r="80073" spans="17:17" x14ac:dyDescent="0.35">
      <c r="Q80073" s="1"/>
    </row>
    <row r="80080" spans="17:17" x14ac:dyDescent="0.35">
      <c r="Q80080" s="1"/>
    </row>
    <row r="80086" spans="17:17" x14ac:dyDescent="0.35">
      <c r="Q80086" s="1"/>
    </row>
    <row r="80087" spans="17:17" x14ac:dyDescent="0.35">
      <c r="Q80087" s="1"/>
    </row>
    <row r="80089" spans="17:17" x14ac:dyDescent="0.35">
      <c r="Q80089" s="1"/>
    </row>
    <row r="80097" spans="17:17" x14ac:dyDescent="0.35">
      <c r="Q80097" s="1"/>
    </row>
    <row r="80115" spans="17:17" x14ac:dyDescent="0.35">
      <c r="Q80115" s="1"/>
    </row>
    <row r="80125" spans="17:17" x14ac:dyDescent="0.35">
      <c r="Q80125" s="1"/>
    </row>
    <row r="80131" spans="17:17" x14ac:dyDescent="0.35">
      <c r="Q80131" s="1"/>
    </row>
    <row r="80135" spans="17:17" x14ac:dyDescent="0.35">
      <c r="Q80135" s="1"/>
    </row>
    <row r="80141" spans="17:17" x14ac:dyDescent="0.35">
      <c r="Q80141" s="1"/>
    </row>
    <row r="80142" spans="17:17" x14ac:dyDescent="0.35">
      <c r="Q80142" s="1"/>
    </row>
    <row r="80145" spans="17:17" x14ac:dyDescent="0.35">
      <c r="Q80145" s="1"/>
    </row>
    <row r="80147" spans="17:17" x14ac:dyDescent="0.35">
      <c r="Q80147" s="1"/>
    </row>
    <row r="80150" spans="17:17" x14ac:dyDescent="0.35">
      <c r="Q80150" s="1"/>
    </row>
    <row r="80151" spans="17:17" x14ac:dyDescent="0.35">
      <c r="Q80151" s="1"/>
    </row>
    <row r="80154" spans="17:17" x14ac:dyDescent="0.35">
      <c r="Q80154" s="1"/>
    </row>
    <row r="80155" spans="17:17" x14ac:dyDescent="0.35">
      <c r="Q80155" s="1"/>
    </row>
    <row r="80165" spans="17:17" x14ac:dyDescent="0.35">
      <c r="Q80165" s="1"/>
    </row>
    <row r="80166" spans="17:17" x14ac:dyDescent="0.35">
      <c r="Q80166" s="1"/>
    </row>
    <row r="80168" spans="17:17" x14ac:dyDescent="0.35">
      <c r="Q80168" s="1"/>
    </row>
    <row r="80170" spans="17:17" x14ac:dyDescent="0.35">
      <c r="Q80170" s="1"/>
    </row>
    <row r="80172" spans="17:17" x14ac:dyDescent="0.35">
      <c r="Q80172" s="1"/>
    </row>
    <row r="80175" spans="17:17" x14ac:dyDescent="0.35">
      <c r="Q80175" s="1"/>
    </row>
    <row r="80176" spans="17:17" x14ac:dyDescent="0.35">
      <c r="Q80176" s="1"/>
    </row>
    <row r="80178" spans="17:17" x14ac:dyDescent="0.35">
      <c r="Q80178" s="1"/>
    </row>
    <row r="80184" spans="17:17" x14ac:dyDescent="0.35">
      <c r="Q80184" s="1"/>
    </row>
    <row r="80187" spans="17:17" x14ac:dyDescent="0.35">
      <c r="Q80187" s="1"/>
    </row>
    <row r="80189" spans="17:17" x14ac:dyDescent="0.35">
      <c r="Q80189" s="1"/>
    </row>
    <row r="80190" spans="17:17" x14ac:dyDescent="0.35">
      <c r="Q80190" s="1"/>
    </row>
    <row r="80193" spans="17:17" x14ac:dyDescent="0.35">
      <c r="Q80193" s="1"/>
    </row>
    <row r="80194" spans="17:17" x14ac:dyDescent="0.35">
      <c r="Q80194" s="1"/>
    </row>
    <row r="80196" spans="17:17" x14ac:dyDescent="0.35">
      <c r="Q80196" s="1"/>
    </row>
    <row r="80197" spans="17:17" x14ac:dyDescent="0.35">
      <c r="Q80197" s="1"/>
    </row>
    <row r="80198" spans="17:17" x14ac:dyDescent="0.35">
      <c r="Q80198" s="1"/>
    </row>
    <row r="80203" spans="17:17" x14ac:dyDescent="0.35">
      <c r="Q80203" s="1"/>
    </row>
    <row r="80204" spans="17:17" x14ac:dyDescent="0.35">
      <c r="Q80204" s="1"/>
    </row>
    <row r="80205" spans="17:17" x14ac:dyDescent="0.35">
      <c r="Q80205" s="1"/>
    </row>
    <row r="80207" spans="17:17" x14ac:dyDescent="0.35">
      <c r="Q80207" s="1"/>
    </row>
    <row r="80210" spans="17:17" x14ac:dyDescent="0.35">
      <c r="Q80210" s="1"/>
    </row>
    <row r="80213" spans="17:17" x14ac:dyDescent="0.35">
      <c r="Q80213" s="1"/>
    </row>
    <row r="80214" spans="17:17" x14ac:dyDescent="0.35">
      <c r="Q80214" s="1"/>
    </row>
    <row r="80216" spans="17:17" x14ac:dyDescent="0.35">
      <c r="Q80216" s="1"/>
    </row>
    <row r="80218" spans="17:17" x14ac:dyDescent="0.35">
      <c r="Q80218" s="1"/>
    </row>
    <row r="80223" spans="17:17" x14ac:dyDescent="0.35">
      <c r="Q80223" s="1"/>
    </row>
    <row r="80226" spans="17:17" x14ac:dyDescent="0.35">
      <c r="Q80226" s="1"/>
    </row>
    <row r="80233" spans="17:17" x14ac:dyDescent="0.35">
      <c r="Q80233" s="1"/>
    </row>
    <row r="80236" spans="17:17" x14ac:dyDescent="0.35">
      <c r="Q80236" s="1"/>
    </row>
    <row r="80239" spans="17:17" x14ac:dyDescent="0.35">
      <c r="Q80239" s="1"/>
    </row>
    <row r="80242" spans="17:17" x14ac:dyDescent="0.35">
      <c r="Q80242" s="1"/>
    </row>
    <row r="80245" spans="17:17" x14ac:dyDescent="0.35">
      <c r="Q80245" s="1"/>
    </row>
    <row r="80247" spans="17:17" x14ac:dyDescent="0.35">
      <c r="Q80247" s="1"/>
    </row>
    <row r="80248" spans="17:17" x14ac:dyDescent="0.35">
      <c r="Q80248" s="1"/>
    </row>
    <row r="80249" spans="17:17" x14ac:dyDescent="0.35">
      <c r="Q80249" s="1"/>
    </row>
    <row r="80250" spans="17:17" x14ac:dyDescent="0.35">
      <c r="Q80250" s="1"/>
    </row>
    <row r="80257" spans="17:17" x14ac:dyDescent="0.35">
      <c r="Q80257" s="1"/>
    </row>
    <row r="80258" spans="17:17" x14ac:dyDescent="0.35">
      <c r="Q80258" s="1"/>
    </row>
    <row r="80260" spans="17:17" x14ac:dyDescent="0.35">
      <c r="Q80260" s="1"/>
    </row>
    <row r="80263" spans="17:17" x14ac:dyDescent="0.35">
      <c r="Q80263" s="1"/>
    </row>
    <row r="80268" spans="17:17" x14ac:dyDescent="0.35">
      <c r="Q80268" s="1"/>
    </row>
    <row r="80270" spans="17:17" x14ac:dyDescent="0.35">
      <c r="Q80270" s="1"/>
    </row>
    <row r="80272" spans="17:17" x14ac:dyDescent="0.35">
      <c r="Q80272" s="1"/>
    </row>
    <row r="80273" spans="17:17" x14ac:dyDescent="0.35">
      <c r="Q80273" s="1"/>
    </row>
    <row r="80277" spans="17:17" x14ac:dyDescent="0.35">
      <c r="Q80277" s="1"/>
    </row>
    <row r="80282" spans="17:17" x14ac:dyDescent="0.35">
      <c r="Q80282" s="1"/>
    </row>
    <row r="80291" spans="17:17" x14ac:dyDescent="0.35">
      <c r="Q80291" s="1"/>
    </row>
    <row r="80292" spans="17:17" x14ac:dyDescent="0.35">
      <c r="Q80292" s="1"/>
    </row>
    <row r="80293" spans="17:17" x14ac:dyDescent="0.35">
      <c r="Q80293" s="1"/>
    </row>
    <row r="80295" spans="17:17" x14ac:dyDescent="0.35">
      <c r="Q80295" s="1"/>
    </row>
    <row r="80307" spans="17:17" x14ac:dyDescent="0.35">
      <c r="Q80307" s="1"/>
    </row>
    <row r="80308" spans="17:17" x14ac:dyDescent="0.35">
      <c r="Q80308" s="1"/>
    </row>
    <row r="80311" spans="17:17" x14ac:dyDescent="0.35">
      <c r="Q80311" s="1"/>
    </row>
    <row r="80314" spans="17:17" x14ac:dyDescent="0.35">
      <c r="Q80314" s="1"/>
    </row>
    <row r="80317" spans="17:17" x14ac:dyDescent="0.35">
      <c r="Q80317" s="1"/>
    </row>
    <row r="80318" spans="17:17" x14ac:dyDescent="0.35">
      <c r="Q80318" s="1"/>
    </row>
    <row r="80323" spans="17:17" x14ac:dyDescent="0.35">
      <c r="Q80323" s="1"/>
    </row>
    <row r="80326" spans="17:17" x14ac:dyDescent="0.35">
      <c r="Q80326" s="1"/>
    </row>
    <row r="80328" spans="17:17" x14ac:dyDescent="0.35">
      <c r="Q80328" s="1"/>
    </row>
    <row r="80332" spans="17:17" x14ac:dyDescent="0.35">
      <c r="Q80332" s="1"/>
    </row>
    <row r="80340" spans="17:17" x14ac:dyDescent="0.35">
      <c r="Q80340" s="1"/>
    </row>
    <row r="80341" spans="17:17" x14ac:dyDescent="0.35">
      <c r="Q80341" s="1"/>
    </row>
    <row r="80346" spans="17:17" x14ac:dyDescent="0.35">
      <c r="Q80346" s="1"/>
    </row>
    <row r="80349" spans="17:17" x14ac:dyDescent="0.35">
      <c r="Q80349" s="1"/>
    </row>
    <row r="80350" spans="17:17" x14ac:dyDescent="0.35">
      <c r="Q80350" s="1"/>
    </row>
    <row r="80351" spans="17:17" x14ac:dyDescent="0.35">
      <c r="Q80351" s="1"/>
    </row>
    <row r="80354" spans="17:17" x14ac:dyDescent="0.35">
      <c r="Q80354" s="1"/>
    </row>
    <row r="80356" spans="17:17" x14ac:dyDescent="0.35">
      <c r="Q80356" s="1"/>
    </row>
    <row r="80358" spans="17:17" x14ac:dyDescent="0.35">
      <c r="Q80358" s="1"/>
    </row>
    <row r="80366" spans="17:17" x14ac:dyDescent="0.35">
      <c r="Q80366" s="1"/>
    </row>
    <row r="80372" spans="17:17" x14ac:dyDescent="0.35">
      <c r="Q80372" s="1"/>
    </row>
    <row r="80373" spans="17:17" x14ac:dyDescent="0.35">
      <c r="Q80373" s="1"/>
    </row>
    <row r="80377" spans="17:17" x14ac:dyDescent="0.35">
      <c r="Q80377" s="1"/>
    </row>
    <row r="80378" spans="17:17" x14ac:dyDescent="0.35">
      <c r="Q80378" s="1"/>
    </row>
    <row r="80379" spans="17:17" x14ac:dyDescent="0.35">
      <c r="Q80379" s="1"/>
    </row>
    <row r="80380" spans="17:17" x14ac:dyDescent="0.35">
      <c r="Q80380" s="1"/>
    </row>
    <row r="80395" spans="17:17" x14ac:dyDescent="0.35">
      <c r="Q80395" s="1"/>
    </row>
    <row r="80396" spans="17:17" x14ac:dyDescent="0.35">
      <c r="Q80396" s="1"/>
    </row>
    <row r="80399" spans="17:17" x14ac:dyDescent="0.35">
      <c r="Q80399" s="1"/>
    </row>
    <row r="80404" spans="17:17" x14ac:dyDescent="0.35">
      <c r="Q80404" s="1"/>
    </row>
    <row r="80407" spans="17:17" x14ac:dyDescent="0.35">
      <c r="Q80407" s="1"/>
    </row>
    <row r="80408" spans="17:17" x14ac:dyDescent="0.35">
      <c r="Q80408" s="1"/>
    </row>
    <row r="80410" spans="17:17" x14ac:dyDescent="0.35">
      <c r="Q80410" s="1"/>
    </row>
    <row r="80411" spans="17:17" x14ac:dyDescent="0.35">
      <c r="Q80411" s="1"/>
    </row>
    <row r="80415" spans="17:17" x14ac:dyDescent="0.35">
      <c r="Q80415" s="1"/>
    </row>
    <row r="80417" spans="17:17" x14ac:dyDescent="0.35">
      <c r="Q80417" s="1"/>
    </row>
    <row r="80419" spans="17:17" x14ac:dyDescent="0.35">
      <c r="Q80419" s="1"/>
    </row>
    <row r="80421" spans="17:17" x14ac:dyDescent="0.35">
      <c r="Q80421" s="1"/>
    </row>
    <row r="80422" spans="17:17" x14ac:dyDescent="0.35">
      <c r="Q80422" s="1"/>
    </row>
    <row r="80430" spans="17:17" x14ac:dyDescent="0.35">
      <c r="Q80430" s="1"/>
    </row>
    <row r="80432" spans="17:17" x14ac:dyDescent="0.35">
      <c r="Q80432" s="1"/>
    </row>
    <row r="80433" spans="17:17" x14ac:dyDescent="0.35">
      <c r="Q80433" s="1"/>
    </row>
    <row r="80441" spans="17:17" x14ac:dyDescent="0.35">
      <c r="Q80441" s="1"/>
    </row>
    <row r="80442" spans="17:17" x14ac:dyDescent="0.35">
      <c r="Q80442" s="1"/>
    </row>
    <row r="80449" spans="17:17" x14ac:dyDescent="0.35">
      <c r="Q80449" s="1"/>
    </row>
    <row r="80450" spans="17:17" x14ac:dyDescent="0.35">
      <c r="Q80450" s="1"/>
    </row>
    <row r="80453" spans="17:17" x14ac:dyDescent="0.35">
      <c r="Q80453" s="1"/>
    </row>
    <row r="80455" spans="17:17" x14ac:dyDescent="0.35">
      <c r="Q80455" s="1"/>
    </row>
    <row r="80460" spans="17:17" x14ac:dyDescent="0.35">
      <c r="Q80460" s="1"/>
    </row>
    <row r="80461" spans="17:17" x14ac:dyDescent="0.35">
      <c r="Q80461" s="1"/>
    </row>
    <row r="80463" spans="17:17" x14ac:dyDescent="0.35">
      <c r="Q80463" s="1"/>
    </row>
    <row r="80465" spans="17:17" x14ac:dyDescent="0.35">
      <c r="Q80465" s="1"/>
    </row>
    <row r="80466" spans="17:17" x14ac:dyDescent="0.35">
      <c r="Q80466" s="1"/>
    </row>
    <row r="80467" spans="17:17" x14ac:dyDescent="0.35">
      <c r="Q80467" s="1"/>
    </row>
    <row r="80468" spans="17:17" x14ac:dyDescent="0.35">
      <c r="Q80468" s="1"/>
    </row>
    <row r="80472" spans="17:17" x14ac:dyDescent="0.35">
      <c r="Q80472" s="1"/>
    </row>
    <row r="80474" spans="17:17" x14ac:dyDescent="0.35">
      <c r="Q80474" s="1"/>
    </row>
    <row r="80476" spans="17:17" x14ac:dyDescent="0.35">
      <c r="Q80476" s="1"/>
    </row>
    <row r="80488" spans="17:17" x14ac:dyDescent="0.35">
      <c r="Q80488" s="1"/>
    </row>
    <row r="80489" spans="17:17" x14ac:dyDescent="0.35">
      <c r="Q80489" s="1"/>
    </row>
    <row r="80490" spans="17:17" x14ac:dyDescent="0.35">
      <c r="Q80490" s="1"/>
    </row>
    <row r="80492" spans="17:17" x14ac:dyDescent="0.35">
      <c r="Q80492" s="1"/>
    </row>
    <row r="80497" spans="17:17" x14ac:dyDescent="0.35">
      <c r="Q80497" s="1"/>
    </row>
    <row r="80498" spans="17:17" x14ac:dyDescent="0.35">
      <c r="Q80498" s="1"/>
    </row>
    <row r="80504" spans="17:17" x14ac:dyDescent="0.35">
      <c r="Q80504" s="1"/>
    </row>
    <row r="80508" spans="17:17" x14ac:dyDescent="0.35">
      <c r="Q80508" s="1"/>
    </row>
    <row r="80510" spans="17:17" x14ac:dyDescent="0.35">
      <c r="Q80510" s="1"/>
    </row>
    <row r="80512" spans="17:17" x14ac:dyDescent="0.35">
      <c r="Q80512" s="1"/>
    </row>
    <row r="80515" spans="17:17" x14ac:dyDescent="0.35">
      <c r="Q80515" s="1"/>
    </row>
    <row r="80517" spans="17:17" x14ac:dyDescent="0.35">
      <c r="Q80517" s="1"/>
    </row>
    <row r="80518" spans="17:17" x14ac:dyDescent="0.35">
      <c r="Q80518" s="1"/>
    </row>
    <row r="80521" spans="17:17" x14ac:dyDescent="0.35">
      <c r="Q80521" s="1"/>
    </row>
    <row r="80522" spans="17:17" x14ac:dyDescent="0.35">
      <c r="Q80522" s="1"/>
    </row>
    <row r="80523" spans="17:17" x14ac:dyDescent="0.35">
      <c r="Q80523" s="1"/>
    </row>
    <row r="80525" spans="17:17" x14ac:dyDescent="0.35">
      <c r="Q80525" s="1"/>
    </row>
    <row r="80529" spans="17:17" x14ac:dyDescent="0.35">
      <c r="Q80529" s="1"/>
    </row>
    <row r="80530" spans="17:17" x14ac:dyDescent="0.35">
      <c r="Q80530" s="1"/>
    </row>
    <row r="80533" spans="17:17" x14ac:dyDescent="0.35">
      <c r="Q80533" s="1"/>
    </row>
    <row r="80535" spans="17:17" x14ac:dyDescent="0.35">
      <c r="Q80535" s="1"/>
    </row>
    <row r="80537" spans="17:17" x14ac:dyDescent="0.35">
      <c r="Q80537" s="1"/>
    </row>
    <row r="80539" spans="17:17" x14ac:dyDescent="0.35">
      <c r="Q80539" s="1"/>
    </row>
    <row r="80540" spans="17:17" x14ac:dyDescent="0.35">
      <c r="Q80540" s="1"/>
    </row>
    <row r="80542" spans="17:17" x14ac:dyDescent="0.35">
      <c r="Q80542" s="1"/>
    </row>
    <row r="80543" spans="17:17" x14ac:dyDescent="0.35">
      <c r="Q80543" s="1"/>
    </row>
    <row r="80545" spans="17:17" x14ac:dyDescent="0.35">
      <c r="Q80545" s="1"/>
    </row>
    <row r="80547" spans="17:17" x14ac:dyDescent="0.35">
      <c r="Q80547" s="1"/>
    </row>
    <row r="80548" spans="17:17" x14ac:dyDescent="0.35">
      <c r="Q80548" s="1"/>
    </row>
    <row r="80549" spans="17:17" x14ac:dyDescent="0.35">
      <c r="Q80549" s="1"/>
    </row>
    <row r="80550" spans="17:17" x14ac:dyDescent="0.35">
      <c r="Q80550" s="1"/>
    </row>
    <row r="80554" spans="17:17" x14ac:dyDescent="0.35">
      <c r="Q80554" s="1"/>
    </row>
    <row r="80556" spans="17:17" x14ac:dyDescent="0.35">
      <c r="Q80556" s="1"/>
    </row>
    <row r="80557" spans="17:17" x14ac:dyDescent="0.35">
      <c r="Q80557" s="1"/>
    </row>
    <row r="80564" spans="17:17" x14ac:dyDescent="0.35">
      <c r="Q80564" s="1"/>
    </row>
    <row r="80566" spans="17:17" x14ac:dyDescent="0.35">
      <c r="Q80566" s="1"/>
    </row>
    <row r="80569" spans="17:17" x14ac:dyDescent="0.35">
      <c r="Q80569" s="1"/>
    </row>
    <row r="80573" spans="17:17" x14ac:dyDescent="0.35">
      <c r="Q80573" s="1"/>
    </row>
    <row r="80577" spans="17:17" x14ac:dyDescent="0.35">
      <c r="Q80577" s="1"/>
    </row>
    <row r="80578" spans="17:17" x14ac:dyDescent="0.35">
      <c r="Q80578" s="1"/>
    </row>
    <row r="80579" spans="17:17" x14ac:dyDescent="0.35">
      <c r="Q80579" s="1"/>
    </row>
    <row r="80586" spans="17:17" x14ac:dyDescent="0.35">
      <c r="Q80586" s="1"/>
    </row>
    <row r="80594" spans="17:17" x14ac:dyDescent="0.35">
      <c r="Q80594" s="1"/>
    </row>
    <row r="80603" spans="17:17" x14ac:dyDescent="0.35">
      <c r="Q80603" s="1"/>
    </row>
    <row r="80610" spans="17:17" x14ac:dyDescent="0.35">
      <c r="Q80610" s="1"/>
    </row>
    <row r="80611" spans="17:17" x14ac:dyDescent="0.35">
      <c r="Q80611" s="1"/>
    </row>
    <row r="80618" spans="17:17" x14ac:dyDescent="0.35">
      <c r="Q80618" s="1"/>
    </row>
    <row r="80627" spans="17:17" x14ac:dyDescent="0.35">
      <c r="Q80627" s="1"/>
    </row>
    <row r="80628" spans="17:17" x14ac:dyDescent="0.35">
      <c r="Q80628" s="1"/>
    </row>
    <row r="80630" spans="17:17" x14ac:dyDescent="0.35">
      <c r="Q80630" s="1"/>
    </row>
    <row r="80635" spans="17:17" x14ac:dyDescent="0.35">
      <c r="Q80635" s="1"/>
    </row>
    <row r="80636" spans="17:17" x14ac:dyDescent="0.35">
      <c r="Q80636" s="1"/>
    </row>
    <row r="80638" spans="17:17" x14ac:dyDescent="0.35">
      <c r="Q80638" s="1"/>
    </row>
    <row r="80639" spans="17:17" x14ac:dyDescent="0.35">
      <c r="Q80639" s="1"/>
    </row>
    <row r="80641" spans="17:17" x14ac:dyDescent="0.35">
      <c r="Q80641" s="1"/>
    </row>
    <row r="80642" spans="17:17" x14ac:dyDescent="0.35">
      <c r="Q80642" s="1"/>
    </row>
    <row r="80643" spans="17:17" x14ac:dyDescent="0.35">
      <c r="Q80643" s="1"/>
    </row>
    <row r="80644" spans="17:17" x14ac:dyDescent="0.35">
      <c r="Q80644" s="1"/>
    </row>
    <row r="80648" spans="17:17" x14ac:dyDescent="0.35">
      <c r="Q80648" s="1"/>
    </row>
    <row r="80649" spans="17:17" x14ac:dyDescent="0.35">
      <c r="Q80649" s="1"/>
    </row>
    <row r="80650" spans="17:17" x14ac:dyDescent="0.35">
      <c r="Q80650" s="1"/>
    </row>
    <row r="80652" spans="17:17" x14ac:dyDescent="0.35">
      <c r="Q80652" s="1"/>
    </row>
    <row r="80654" spans="17:17" x14ac:dyDescent="0.35">
      <c r="Q80654" s="1"/>
    </row>
    <row r="80655" spans="17:17" x14ac:dyDescent="0.35">
      <c r="Q80655" s="1"/>
    </row>
    <row r="80656" spans="17:17" x14ac:dyDescent="0.35">
      <c r="Q80656" s="1"/>
    </row>
    <row r="80657" spans="17:17" x14ac:dyDescent="0.35">
      <c r="Q80657" s="1"/>
    </row>
    <row r="80658" spans="17:17" x14ac:dyDescent="0.35">
      <c r="Q80658" s="1"/>
    </row>
    <row r="80661" spans="17:17" x14ac:dyDescent="0.35">
      <c r="Q80661" s="1"/>
    </row>
    <row r="80664" spans="17:17" x14ac:dyDescent="0.35">
      <c r="Q80664" s="1"/>
    </row>
    <row r="80670" spans="17:17" x14ac:dyDescent="0.35">
      <c r="Q80670" s="1"/>
    </row>
    <row r="80673" spans="17:17" x14ac:dyDescent="0.35">
      <c r="Q80673" s="1"/>
    </row>
    <row r="80674" spans="17:17" x14ac:dyDescent="0.35">
      <c r="Q80674" s="1"/>
    </row>
    <row r="80678" spans="17:17" x14ac:dyDescent="0.35">
      <c r="Q80678" s="1"/>
    </row>
    <row r="80682" spans="17:17" x14ac:dyDescent="0.35">
      <c r="Q80682" s="1"/>
    </row>
    <row r="80684" spans="17:17" x14ac:dyDescent="0.35">
      <c r="Q80684" s="1"/>
    </row>
    <row r="80685" spans="17:17" x14ac:dyDescent="0.35">
      <c r="Q80685" s="1"/>
    </row>
    <row r="80689" spans="17:17" x14ac:dyDescent="0.35">
      <c r="Q80689" s="1"/>
    </row>
    <row r="80690" spans="17:17" x14ac:dyDescent="0.35">
      <c r="Q80690" s="1"/>
    </row>
    <row r="80691" spans="17:17" x14ac:dyDescent="0.35">
      <c r="Q80691" s="1"/>
    </row>
    <row r="80692" spans="17:17" x14ac:dyDescent="0.35">
      <c r="Q80692" s="1"/>
    </row>
    <row r="80697" spans="17:17" x14ac:dyDescent="0.35">
      <c r="Q80697" s="1"/>
    </row>
    <row r="80698" spans="17:17" x14ac:dyDescent="0.35">
      <c r="Q80698" s="1"/>
    </row>
    <row r="80700" spans="17:17" x14ac:dyDescent="0.35">
      <c r="Q80700" s="1"/>
    </row>
    <row r="80701" spans="17:17" x14ac:dyDescent="0.35">
      <c r="Q80701" s="1"/>
    </row>
    <row r="80702" spans="17:17" x14ac:dyDescent="0.35">
      <c r="Q80702" s="1"/>
    </row>
    <row r="80707" spans="17:17" x14ac:dyDescent="0.35">
      <c r="Q80707" s="1"/>
    </row>
    <row r="80708" spans="17:17" x14ac:dyDescent="0.35">
      <c r="Q80708" s="1"/>
    </row>
    <row r="80710" spans="17:17" x14ac:dyDescent="0.35">
      <c r="Q80710" s="1"/>
    </row>
    <row r="80714" spans="17:17" x14ac:dyDescent="0.35">
      <c r="Q80714" s="1"/>
    </row>
    <row r="80718" spans="17:17" x14ac:dyDescent="0.35">
      <c r="Q80718" s="1"/>
    </row>
    <row r="80723" spans="17:17" x14ac:dyDescent="0.35">
      <c r="Q80723" s="1"/>
    </row>
    <row r="80724" spans="17:17" x14ac:dyDescent="0.35">
      <c r="Q80724" s="1"/>
    </row>
    <row r="80727" spans="17:17" x14ac:dyDescent="0.35">
      <c r="Q80727" s="1"/>
    </row>
    <row r="80731" spans="17:17" x14ac:dyDescent="0.35">
      <c r="Q80731" s="1"/>
    </row>
    <row r="80736" spans="17:17" x14ac:dyDescent="0.35">
      <c r="Q80736" s="1"/>
    </row>
    <row r="80737" spans="17:17" x14ac:dyDescent="0.35">
      <c r="Q80737" s="1"/>
    </row>
    <row r="80738" spans="17:17" x14ac:dyDescent="0.35">
      <c r="Q80738" s="1"/>
    </row>
    <row r="80739" spans="17:17" x14ac:dyDescent="0.35">
      <c r="Q80739" s="1"/>
    </row>
    <row r="80745" spans="17:17" x14ac:dyDescent="0.35">
      <c r="Q80745" s="1"/>
    </row>
    <row r="80746" spans="17:17" x14ac:dyDescent="0.35">
      <c r="Q80746" s="1"/>
    </row>
    <row r="80747" spans="17:17" x14ac:dyDescent="0.35">
      <c r="Q80747" s="1"/>
    </row>
    <row r="80750" spans="17:17" x14ac:dyDescent="0.35">
      <c r="Q80750" s="1"/>
    </row>
    <row r="80760" spans="17:17" x14ac:dyDescent="0.35">
      <c r="Q80760" s="1"/>
    </row>
    <row r="80764" spans="17:17" x14ac:dyDescent="0.35">
      <c r="Q80764" s="1"/>
    </row>
    <row r="80765" spans="17:17" x14ac:dyDescent="0.35">
      <c r="Q80765" s="1"/>
    </row>
    <row r="80766" spans="17:17" x14ac:dyDescent="0.35">
      <c r="Q80766" s="1"/>
    </row>
    <row r="80769" spans="17:17" x14ac:dyDescent="0.35">
      <c r="Q80769" s="1"/>
    </row>
    <row r="80772" spans="17:17" x14ac:dyDescent="0.35">
      <c r="Q80772" s="1"/>
    </row>
    <row r="80775" spans="17:17" x14ac:dyDescent="0.35">
      <c r="Q80775" s="1"/>
    </row>
    <row r="80776" spans="17:17" x14ac:dyDescent="0.35">
      <c r="Q80776" s="1"/>
    </row>
    <row r="80781" spans="17:17" x14ac:dyDescent="0.35">
      <c r="Q80781" s="1"/>
    </row>
    <row r="80782" spans="17:17" x14ac:dyDescent="0.35">
      <c r="Q80782" s="1"/>
    </row>
    <row r="80783" spans="17:17" x14ac:dyDescent="0.35">
      <c r="Q80783" s="1"/>
    </row>
    <row r="80784" spans="17:17" x14ac:dyDescent="0.35">
      <c r="Q80784" s="1"/>
    </row>
    <row r="80787" spans="17:17" x14ac:dyDescent="0.35">
      <c r="Q80787" s="1"/>
    </row>
    <row r="80788" spans="17:17" x14ac:dyDescent="0.35">
      <c r="Q80788" s="1"/>
    </row>
    <row r="80790" spans="17:17" x14ac:dyDescent="0.35">
      <c r="Q80790" s="1"/>
    </row>
    <row r="80795" spans="17:17" x14ac:dyDescent="0.35">
      <c r="Q80795" s="1"/>
    </row>
    <row r="80798" spans="17:17" x14ac:dyDescent="0.35">
      <c r="Q80798" s="1"/>
    </row>
    <row r="80799" spans="17:17" x14ac:dyDescent="0.35">
      <c r="Q80799" s="1"/>
    </row>
    <row r="80800" spans="17:17" x14ac:dyDescent="0.35">
      <c r="Q80800" s="1"/>
    </row>
    <row r="80802" spans="17:17" x14ac:dyDescent="0.35">
      <c r="Q80802" s="1"/>
    </row>
    <row r="80803" spans="17:17" x14ac:dyDescent="0.35">
      <c r="Q80803" s="1"/>
    </row>
    <row r="80804" spans="17:17" x14ac:dyDescent="0.35">
      <c r="Q80804" s="1"/>
    </row>
    <row r="80807" spans="17:17" x14ac:dyDescent="0.35">
      <c r="Q80807" s="1"/>
    </row>
    <row r="80814" spans="17:17" x14ac:dyDescent="0.35">
      <c r="Q80814" s="1"/>
    </row>
    <row r="80818" spans="17:17" x14ac:dyDescent="0.35">
      <c r="Q80818" s="1"/>
    </row>
    <row r="80827" spans="17:17" x14ac:dyDescent="0.35">
      <c r="Q80827" s="1"/>
    </row>
    <row r="80834" spans="17:17" x14ac:dyDescent="0.35">
      <c r="Q80834" s="1"/>
    </row>
    <row r="80835" spans="17:17" x14ac:dyDescent="0.35">
      <c r="Q80835" s="1"/>
    </row>
    <row r="80836" spans="17:17" x14ac:dyDescent="0.35">
      <c r="Q80836" s="1"/>
    </row>
    <row r="80837" spans="17:17" x14ac:dyDescent="0.35">
      <c r="Q80837" s="1"/>
    </row>
    <row r="80842" spans="17:17" x14ac:dyDescent="0.35">
      <c r="Q80842" s="1"/>
    </row>
    <row r="80843" spans="17:17" x14ac:dyDescent="0.35">
      <c r="Q80843" s="1"/>
    </row>
    <row r="80844" spans="17:17" x14ac:dyDescent="0.35">
      <c r="Q80844" s="1"/>
    </row>
    <row r="80850" spans="17:17" x14ac:dyDescent="0.35">
      <c r="Q80850" s="1"/>
    </row>
    <row r="80852" spans="17:17" x14ac:dyDescent="0.35">
      <c r="Q80852" s="1"/>
    </row>
    <row r="80853" spans="17:17" x14ac:dyDescent="0.35">
      <c r="Q80853" s="1"/>
    </row>
    <row r="80860" spans="17:17" x14ac:dyDescent="0.35">
      <c r="Q80860" s="1"/>
    </row>
    <row r="80861" spans="17:17" x14ac:dyDescent="0.35">
      <c r="Q80861" s="1"/>
    </row>
    <row r="80863" spans="17:17" x14ac:dyDescent="0.35">
      <c r="Q80863" s="1"/>
    </row>
    <row r="80865" spans="17:17" x14ac:dyDescent="0.35">
      <c r="Q80865" s="1"/>
    </row>
    <row r="80867" spans="17:17" x14ac:dyDescent="0.35">
      <c r="Q80867" s="1"/>
    </row>
    <row r="80870" spans="17:17" x14ac:dyDescent="0.35">
      <c r="Q80870" s="1"/>
    </row>
    <row r="80877" spans="17:17" x14ac:dyDescent="0.35">
      <c r="Q80877" s="1"/>
    </row>
    <row r="80878" spans="17:17" x14ac:dyDescent="0.35">
      <c r="Q80878" s="1"/>
    </row>
    <row r="80879" spans="17:17" x14ac:dyDescent="0.35">
      <c r="Q80879" s="1"/>
    </row>
    <row r="80881" spans="17:17" x14ac:dyDescent="0.35">
      <c r="Q80881" s="1"/>
    </row>
    <row r="80882" spans="17:17" x14ac:dyDescent="0.35">
      <c r="Q80882" s="1"/>
    </row>
    <row r="80892" spans="17:17" x14ac:dyDescent="0.35">
      <c r="Q80892" s="1"/>
    </row>
    <row r="80895" spans="17:17" x14ac:dyDescent="0.35">
      <c r="Q80895" s="1"/>
    </row>
    <row r="80896" spans="17:17" x14ac:dyDescent="0.35">
      <c r="Q80896" s="1"/>
    </row>
    <row r="80899" spans="17:17" x14ac:dyDescent="0.35">
      <c r="Q80899" s="1"/>
    </row>
    <row r="80901" spans="17:17" x14ac:dyDescent="0.35">
      <c r="Q80901" s="1"/>
    </row>
    <row r="80902" spans="17:17" x14ac:dyDescent="0.35">
      <c r="Q80902" s="1"/>
    </row>
    <row r="80905" spans="17:17" x14ac:dyDescent="0.35">
      <c r="Q80905" s="1"/>
    </row>
    <row r="80907" spans="17:17" x14ac:dyDescent="0.35">
      <c r="Q80907" s="1"/>
    </row>
    <row r="80908" spans="17:17" x14ac:dyDescent="0.35">
      <c r="Q80908" s="1"/>
    </row>
    <row r="80909" spans="17:17" x14ac:dyDescent="0.35">
      <c r="Q80909" s="1"/>
    </row>
    <row r="80910" spans="17:17" x14ac:dyDescent="0.35">
      <c r="Q80910" s="1"/>
    </row>
    <row r="80914" spans="17:17" x14ac:dyDescent="0.35">
      <c r="Q80914" s="1"/>
    </row>
    <row r="80915" spans="17:17" x14ac:dyDescent="0.35">
      <c r="Q80915" s="1"/>
    </row>
    <row r="80916" spans="17:17" x14ac:dyDescent="0.35">
      <c r="Q80916" s="1"/>
    </row>
    <row r="80926" spans="17:17" x14ac:dyDescent="0.35">
      <c r="Q80926" s="1"/>
    </row>
    <row r="80928" spans="17:17" x14ac:dyDescent="0.35">
      <c r="Q80928" s="1"/>
    </row>
    <row r="80930" spans="17:17" x14ac:dyDescent="0.35">
      <c r="Q80930" s="1"/>
    </row>
    <row r="80933" spans="17:17" x14ac:dyDescent="0.35">
      <c r="Q80933" s="1"/>
    </row>
    <row r="80936" spans="17:17" x14ac:dyDescent="0.35">
      <c r="Q80936" s="1"/>
    </row>
    <row r="80940" spans="17:17" x14ac:dyDescent="0.35">
      <c r="Q80940" s="1"/>
    </row>
    <row r="80942" spans="17:17" x14ac:dyDescent="0.35">
      <c r="Q80942" s="1"/>
    </row>
    <row r="80945" spans="17:17" x14ac:dyDescent="0.35">
      <c r="Q80945" s="1"/>
    </row>
    <row r="80947" spans="17:17" x14ac:dyDescent="0.35">
      <c r="Q80947" s="1"/>
    </row>
    <row r="80951" spans="17:17" x14ac:dyDescent="0.35">
      <c r="Q80951" s="1"/>
    </row>
    <row r="80952" spans="17:17" x14ac:dyDescent="0.35">
      <c r="Q80952" s="1"/>
    </row>
    <row r="80954" spans="17:17" x14ac:dyDescent="0.35">
      <c r="Q80954" s="1"/>
    </row>
    <row r="80957" spans="17:17" x14ac:dyDescent="0.35">
      <c r="Q80957" s="1"/>
    </row>
    <row r="80961" spans="17:17" x14ac:dyDescent="0.35">
      <c r="Q80961" s="1"/>
    </row>
    <row r="80969" spans="17:17" x14ac:dyDescent="0.35">
      <c r="Q80969" s="1"/>
    </row>
    <row r="80970" spans="17:17" x14ac:dyDescent="0.35">
      <c r="Q80970" s="1"/>
    </row>
    <row r="80973" spans="17:17" x14ac:dyDescent="0.35">
      <c r="Q80973" s="1"/>
    </row>
    <row r="80974" spans="17:17" x14ac:dyDescent="0.35">
      <c r="Q80974" s="1"/>
    </row>
    <row r="80975" spans="17:17" x14ac:dyDescent="0.35">
      <c r="Q80975" s="1"/>
    </row>
    <row r="80976" spans="17:17" x14ac:dyDescent="0.35">
      <c r="Q80976" s="1"/>
    </row>
    <row r="80983" spans="17:17" x14ac:dyDescent="0.35">
      <c r="Q80983" s="1"/>
    </row>
    <row r="80986" spans="17:17" x14ac:dyDescent="0.35">
      <c r="Q80986" s="1"/>
    </row>
    <row r="80987" spans="17:17" x14ac:dyDescent="0.35">
      <c r="Q80987" s="1"/>
    </row>
    <row r="80989" spans="17:17" x14ac:dyDescent="0.35">
      <c r="Q80989" s="1"/>
    </row>
    <row r="80991" spans="17:17" x14ac:dyDescent="0.35">
      <c r="Q80991" s="1"/>
    </row>
    <row r="80994" spans="17:17" x14ac:dyDescent="0.35">
      <c r="Q80994" s="1"/>
    </row>
    <row r="80995" spans="17:17" x14ac:dyDescent="0.35">
      <c r="Q80995" s="1"/>
    </row>
    <row r="80999" spans="17:17" x14ac:dyDescent="0.35">
      <c r="Q80999" s="1"/>
    </row>
    <row r="81002" spans="17:17" x14ac:dyDescent="0.35">
      <c r="Q81002" s="1"/>
    </row>
    <row r="81005" spans="17:17" x14ac:dyDescent="0.35">
      <c r="Q81005" s="1"/>
    </row>
    <row r="81006" spans="17:17" x14ac:dyDescent="0.35">
      <c r="Q81006" s="1"/>
    </row>
    <row r="81007" spans="17:17" x14ac:dyDescent="0.35">
      <c r="Q81007" s="1"/>
    </row>
    <row r="81010" spans="17:17" x14ac:dyDescent="0.35">
      <c r="Q81010" s="1"/>
    </row>
    <row r="81013" spans="17:17" x14ac:dyDescent="0.35">
      <c r="Q81013" s="1"/>
    </row>
    <row r="81022" spans="17:17" x14ac:dyDescent="0.35">
      <c r="Q81022" s="1"/>
    </row>
    <row r="81026" spans="17:17" x14ac:dyDescent="0.35">
      <c r="Q81026" s="1"/>
    </row>
    <row r="81031" spans="17:17" x14ac:dyDescent="0.35">
      <c r="Q81031" s="1"/>
    </row>
    <row r="81034" spans="17:17" x14ac:dyDescent="0.35">
      <c r="Q81034" s="1"/>
    </row>
    <row r="81037" spans="17:17" x14ac:dyDescent="0.35">
      <c r="Q81037" s="1"/>
    </row>
    <row r="81042" spans="17:17" x14ac:dyDescent="0.35">
      <c r="Q81042" s="1"/>
    </row>
    <row r="81048" spans="17:17" x14ac:dyDescent="0.35">
      <c r="Q81048" s="1"/>
    </row>
    <row r="81053" spans="17:17" x14ac:dyDescent="0.35">
      <c r="Q81053" s="1"/>
    </row>
    <row r="81059" spans="17:17" x14ac:dyDescent="0.35">
      <c r="Q81059" s="1"/>
    </row>
    <row r="81060" spans="17:17" x14ac:dyDescent="0.35">
      <c r="Q81060" s="1"/>
    </row>
    <row r="81062" spans="17:17" x14ac:dyDescent="0.35">
      <c r="Q81062" s="1"/>
    </row>
    <row r="81065" spans="17:17" x14ac:dyDescent="0.35">
      <c r="Q81065" s="1"/>
    </row>
    <row r="81066" spans="17:17" x14ac:dyDescent="0.35">
      <c r="Q81066" s="1"/>
    </row>
    <row r="81068" spans="17:17" x14ac:dyDescent="0.35">
      <c r="Q81068" s="1"/>
    </row>
    <row r="81071" spans="17:17" x14ac:dyDescent="0.35">
      <c r="Q81071" s="1"/>
    </row>
    <row r="81073" spans="17:17" x14ac:dyDescent="0.35">
      <c r="Q81073" s="1"/>
    </row>
    <row r="81080" spans="17:17" x14ac:dyDescent="0.35">
      <c r="Q81080" s="1"/>
    </row>
    <row r="81084" spans="17:17" x14ac:dyDescent="0.35">
      <c r="Q81084" s="1"/>
    </row>
    <row r="81085" spans="17:17" x14ac:dyDescent="0.35">
      <c r="Q81085" s="1"/>
    </row>
    <row r="81086" spans="17:17" x14ac:dyDescent="0.35">
      <c r="Q81086" s="1"/>
    </row>
    <row r="81093" spans="17:17" x14ac:dyDescent="0.35">
      <c r="Q81093" s="1"/>
    </row>
    <row r="81104" spans="17:17" x14ac:dyDescent="0.35">
      <c r="Q81104" s="1"/>
    </row>
    <row r="81105" spans="17:17" x14ac:dyDescent="0.35">
      <c r="Q81105" s="1"/>
    </row>
    <row r="81107" spans="17:17" x14ac:dyDescent="0.35">
      <c r="Q81107" s="1"/>
    </row>
    <row r="81108" spans="17:17" x14ac:dyDescent="0.35">
      <c r="Q81108" s="1"/>
    </row>
    <row r="81109" spans="17:17" x14ac:dyDescent="0.35">
      <c r="Q81109" s="1"/>
    </row>
    <row r="81115" spans="17:17" x14ac:dyDescent="0.35">
      <c r="Q81115" s="1"/>
    </row>
    <row r="81120" spans="17:17" x14ac:dyDescent="0.35">
      <c r="Q81120" s="1"/>
    </row>
    <row r="81121" spans="17:17" x14ac:dyDescent="0.35">
      <c r="Q81121" s="1"/>
    </row>
    <row r="81123" spans="17:17" x14ac:dyDescent="0.35">
      <c r="Q81123" s="1"/>
    </row>
    <row r="81130" spans="17:17" x14ac:dyDescent="0.35">
      <c r="Q81130" s="1"/>
    </row>
    <row r="81131" spans="17:17" x14ac:dyDescent="0.35">
      <c r="Q81131" s="1"/>
    </row>
    <row r="81132" spans="17:17" x14ac:dyDescent="0.35">
      <c r="Q81132" s="1"/>
    </row>
    <row r="81142" spans="17:17" x14ac:dyDescent="0.35">
      <c r="Q81142" s="1"/>
    </row>
    <row r="81144" spans="17:17" x14ac:dyDescent="0.35">
      <c r="Q81144" s="1"/>
    </row>
    <row r="81162" spans="17:17" x14ac:dyDescent="0.35">
      <c r="Q81162" s="1"/>
    </row>
    <row r="81164" spans="17:17" x14ac:dyDescent="0.35">
      <c r="Q81164" s="1"/>
    </row>
    <row r="81165" spans="17:17" x14ac:dyDescent="0.35">
      <c r="Q81165" s="1"/>
    </row>
    <row r="81167" spans="17:17" x14ac:dyDescent="0.35">
      <c r="Q81167" s="1"/>
    </row>
    <row r="81175" spans="17:17" x14ac:dyDescent="0.35">
      <c r="Q81175" s="1"/>
    </row>
    <row r="81177" spans="17:17" x14ac:dyDescent="0.35">
      <c r="Q81177" s="1"/>
    </row>
    <row r="81182" spans="17:17" x14ac:dyDescent="0.35">
      <c r="Q81182" s="1"/>
    </row>
    <row r="81186" spans="17:17" x14ac:dyDescent="0.35">
      <c r="Q81186" s="1"/>
    </row>
    <row r="81196" spans="17:17" x14ac:dyDescent="0.35">
      <c r="Q81196" s="1"/>
    </row>
    <row r="81200" spans="17:17" x14ac:dyDescent="0.35">
      <c r="Q81200" s="1"/>
    </row>
    <row r="81201" spans="17:17" x14ac:dyDescent="0.35">
      <c r="Q81201" s="1"/>
    </row>
    <row r="81202" spans="17:17" x14ac:dyDescent="0.35">
      <c r="Q81202" s="1"/>
    </row>
    <row r="81210" spans="17:17" x14ac:dyDescent="0.35">
      <c r="Q81210" s="1"/>
    </row>
    <row r="81211" spans="17:17" x14ac:dyDescent="0.35">
      <c r="Q81211" s="1"/>
    </row>
    <row r="81212" spans="17:17" x14ac:dyDescent="0.35">
      <c r="Q81212" s="1"/>
    </row>
    <row r="81218" spans="17:17" x14ac:dyDescent="0.35">
      <c r="Q81218" s="1"/>
    </row>
    <row r="81232" spans="17:17" x14ac:dyDescent="0.35">
      <c r="Q81232" s="1"/>
    </row>
    <row r="81235" spans="17:17" x14ac:dyDescent="0.35">
      <c r="Q81235" s="1"/>
    </row>
    <row r="81237" spans="17:17" x14ac:dyDescent="0.35">
      <c r="Q81237" s="1"/>
    </row>
    <row r="81239" spans="17:17" x14ac:dyDescent="0.35">
      <c r="Q81239" s="1"/>
    </row>
    <row r="81240" spans="17:17" x14ac:dyDescent="0.35">
      <c r="Q81240" s="1"/>
    </row>
    <row r="81242" spans="17:17" x14ac:dyDescent="0.35">
      <c r="Q81242" s="1"/>
    </row>
    <row r="81251" spans="17:17" x14ac:dyDescent="0.35">
      <c r="Q81251" s="1"/>
    </row>
    <row r="81255" spans="17:17" x14ac:dyDescent="0.35">
      <c r="Q81255" s="1"/>
    </row>
    <row r="81257" spans="17:17" x14ac:dyDescent="0.35">
      <c r="Q81257" s="1"/>
    </row>
    <row r="81258" spans="17:17" x14ac:dyDescent="0.35">
      <c r="Q81258" s="1"/>
    </row>
    <row r="81259" spans="17:17" x14ac:dyDescent="0.35">
      <c r="Q81259" s="1"/>
    </row>
    <row r="81264" spans="17:17" x14ac:dyDescent="0.35">
      <c r="Q81264" s="1"/>
    </row>
    <row r="81266" spans="17:17" x14ac:dyDescent="0.35">
      <c r="Q81266" s="1"/>
    </row>
    <row r="81273" spans="17:17" x14ac:dyDescent="0.35">
      <c r="Q81273" s="1"/>
    </row>
    <row r="81276" spans="17:17" x14ac:dyDescent="0.35">
      <c r="Q81276" s="1"/>
    </row>
    <row r="81304" spans="17:17" x14ac:dyDescent="0.35">
      <c r="Q81304" s="1"/>
    </row>
    <row r="81305" spans="17:17" x14ac:dyDescent="0.35">
      <c r="Q81305" s="1"/>
    </row>
    <row r="81306" spans="17:17" x14ac:dyDescent="0.35">
      <c r="Q81306" s="1"/>
    </row>
    <row r="81312" spans="17:17" x14ac:dyDescent="0.35">
      <c r="Q81312" s="1"/>
    </row>
    <row r="81313" spans="17:17" x14ac:dyDescent="0.35">
      <c r="Q81313" s="1"/>
    </row>
    <row r="81317" spans="17:17" x14ac:dyDescent="0.35">
      <c r="Q81317" s="1"/>
    </row>
    <row r="81320" spans="17:17" x14ac:dyDescent="0.35">
      <c r="Q81320" s="1"/>
    </row>
    <row r="81343" spans="17:17" x14ac:dyDescent="0.35">
      <c r="Q81343" s="1"/>
    </row>
    <row r="81351" spans="17:17" x14ac:dyDescent="0.35">
      <c r="Q81351" s="1"/>
    </row>
    <row r="81352" spans="17:17" x14ac:dyDescent="0.35">
      <c r="Q81352" s="1"/>
    </row>
    <row r="81356" spans="17:17" x14ac:dyDescent="0.35">
      <c r="Q81356" s="1"/>
    </row>
    <row r="81362" spans="17:17" x14ac:dyDescent="0.35">
      <c r="Q81362" s="1"/>
    </row>
    <row r="81364" spans="17:17" x14ac:dyDescent="0.35">
      <c r="Q81364" s="1"/>
    </row>
    <row r="81369" spans="17:17" x14ac:dyDescent="0.35">
      <c r="Q81369" s="1"/>
    </row>
    <row r="81370" spans="17:17" x14ac:dyDescent="0.35">
      <c r="Q81370" s="1"/>
    </row>
    <row r="81381" spans="17:17" x14ac:dyDescent="0.35">
      <c r="Q81381" s="1"/>
    </row>
    <row r="81390" spans="17:17" x14ac:dyDescent="0.35">
      <c r="Q81390" s="1"/>
    </row>
    <row r="81392" spans="17:17" x14ac:dyDescent="0.35">
      <c r="Q81392" s="1"/>
    </row>
    <row r="81407" spans="17:17" x14ac:dyDescent="0.35">
      <c r="Q81407" s="1"/>
    </row>
    <row r="81414" spans="17:17" x14ac:dyDescent="0.35">
      <c r="Q81414" s="1"/>
    </row>
    <row r="81417" spans="17:17" x14ac:dyDescent="0.35">
      <c r="Q81417" s="1"/>
    </row>
    <row r="81423" spans="17:17" x14ac:dyDescent="0.35">
      <c r="Q81423" s="1"/>
    </row>
    <row r="81425" spans="17:17" x14ac:dyDescent="0.35">
      <c r="Q81425" s="1"/>
    </row>
    <row r="81434" spans="17:17" x14ac:dyDescent="0.35">
      <c r="Q81434" s="1"/>
    </row>
    <row r="81440" spans="17:17" x14ac:dyDescent="0.35">
      <c r="Q81440" s="1"/>
    </row>
    <row r="81444" spans="17:17" x14ac:dyDescent="0.35">
      <c r="Q81444" s="1"/>
    </row>
    <row r="81445" spans="17:17" x14ac:dyDescent="0.35">
      <c r="Q81445" s="1"/>
    </row>
    <row r="81447" spans="17:17" x14ac:dyDescent="0.35">
      <c r="Q81447" s="1"/>
    </row>
    <row r="81453" spans="17:17" x14ac:dyDescent="0.35">
      <c r="Q81453" s="1"/>
    </row>
    <row r="81461" spans="17:17" x14ac:dyDescent="0.35">
      <c r="Q81461" s="1"/>
    </row>
    <row r="81471" spans="17:17" x14ac:dyDescent="0.35">
      <c r="Q81471" s="1"/>
    </row>
    <row r="81489" spans="17:17" x14ac:dyDescent="0.35">
      <c r="Q81489" s="1"/>
    </row>
    <row r="81494" spans="17:17" x14ac:dyDescent="0.35">
      <c r="Q81494" s="1"/>
    </row>
    <row r="81510" spans="17:17" x14ac:dyDescent="0.35">
      <c r="Q81510" s="1"/>
    </row>
    <row r="81511" spans="17:17" x14ac:dyDescent="0.35">
      <c r="Q81511" s="1"/>
    </row>
    <row r="81514" spans="17:17" x14ac:dyDescent="0.35">
      <c r="Q81514" s="1"/>
    </row>
    <row r="81517" spans="17:17" x14ac:dyDescent="0.35">
      <c r="Q81517" s="1"/>
    </row>
    <row r="81518" spans="17:17" x14ac:dyDescent="0.35">
      <c r="Q81518" s="1"/>
    </row>
    <row r="81522" spans="17:17" x14ac:dyDescent="0.35">
      <c r="Q81522" s="1"/>
    </row>
    <row r="81532" spans="17:17" x14ac:dyDescent="0.35">
      <c r="Q81532" s="1"/>
    </row>
    <row r="81558" spans="17:17" x14ac:dyDescent="0.35">
      <c r="Q81558" s="1"/>
    </row>
    <row r="81560" spans="17:17" x14ac:dyDescent="0.35">
      <c r="Q81560" s="1"/>
    </row>
    <row r="81579" spans="17:17" x14ac:dyDescent="0.35">
      <c r="Q81579" s="1"/>
    </row>
    <row r="81580" spans="17:17" x14ac:dyDescent="0.35">
      <c r="Q81580" s="1"/>
    </row>
    <row r="81585" spans="17:17" x14ac:dyDescent="0.35">
      <c r="Q81585" s="1"/>
    </row>
    <row r="81586" spans="17:17" x14ac:dyDescent="0.35">
      <c r="Q81586" s="1"/>
    </row>
    <row r="81588" spans="17:17" x14ac:dyDescent="0.35">
      <c r="Q81588" s="1"/>
    </row>
    <row r="81589" spans="17:17" x14ac:dyDescent="0.35">
      <c r="Q81589" s="1"/>
    </row>
    <row r="81596" spans="17:17" x14ac:dyDescent="0.35">
      <c r="Q81596" s="1"/>
    </row>
    <row r="81597" spans="17:17" x14ac:dyDescent="0.35">
      <c r="Q81597" s="1"/>
    </row>
    <row r="81600" spans="17:17" x14ac:dyDescent="0.35">
      <c r="Q81600" s="1"/>
    </row>
    <row r="81603" spans="17:17" x14ac:dyDescent="0.35">
      <c r="Q81603" s="1"/>
    </row>
    <row r="81604" spans="17:17" x14ac:dyDescent="0.35">
      <c r="Q81604" s="1"/>
    </row>
    <row r="81605" spans="17:17" x14ac:dyDescent="0.35">
      <c r="Q81605" s="1"/>
    </row>
    <row r="81607" spans="17:17" x14ac:dyDescent="0.35">
      <c r="Q81607" s="1"/>
    </row>
    <row r="81610" spans="17:17" x14ac:dyDescent="0.35">
      <c r="Q81610" s="1"/>
    </row>
    <row r="81613" spans="17:17" x14ac:dyDescent="0.35">
      <c r="Q81613" s="1"/>
    </row>
    <row r="81615" spans="17:17" x14ac:dyDescent="0.35">
      <c r="Q81615" s="1"/>
    </row>
    <row r="81616" spans="17:17" x14ac:dyDescent="0.35">
      <c r="Q81616" s="1"/>
    </row>
    <row r="81618" spans="17:17" x14ac:dyDescent="0.35">
      <c r="Q81618" s="1"/>
    </row>
    <row r="81622" spans="17:17" x14ac:dyDescent="0.35">
      <c r="Q81622" s="1"/>
    </row>
    <row r="81633" spans="17:17" x14ac:dyDescent="0.35">
      <c r="Q81633" s="1"/>
    </row>
    <row r="81635" spans="17:17" x14ac:dyDescent="0.35">
      <c r="Q81635" s="1"/>
    </row>
    <row r="81638" spans="17:17" x14ac:dyDescent="0.35">
      <c r="Q81638" s="1"/>
    </row>
    <row r="81639" spans="17:17" x14ac:dyDescent="0.35">
      <c r="Q81639" s="1"/>
    </row>
    <row r="81640" spans="17:17" x14ac:dyDescent="0.35">
      <c r="Q81640" s="1"/>
    </row>
    <row r="81650" spans="17:17" x14ac:dyDescent="0.35">
      <c r="Q81650" s="1"/>
    </row>
    <row r="81671" spans="17:17" x14ac:dyDescent="0.35">
      <c r="Q81671" s="1"/>
    </row>
    <row r="81674" spans="17:17" x14ac:dyDescent="0.35">
      <c r="Q81674" s="1"/>
    </row>
    <row r="81675" spans="17:17" x14ac:dyDescent="0.35">
      <c r="Q81675" s="1"/>
    </row>
    <row r="81680" spans="17:17" x14ac:dyDescent="0.35">
      <c r="Q81680" s="1"/>
    </row>
    <row r="81683" spans="17:17" x14ac:dyDescent="0.35">
      <c r="Q81683" s="1"/>
    </row>
    <row r="81690" spans="17:17" x14ac:dyDescent="0.35">
      <c r="Q81690" s="1"/>
    </row>
    <row r="81692" spans="17:17" x14ac:dyDescent="0.35">
      <c r="Q81692" s="1"/>
    </row>
    <row r="81693" spans="17:17" x14ac:dyDescent="0.35">
      <c r="Q81693" s="1"/>
    </row>
    <row r="81694" spans="17:17" x14ac:dyDescent="0.35">
      <c r="Q81694" s="1"/>
    </row>
    <row r="81700" spans="17:17" x14ac:dyDescent="0.35">
      <c r="Q81700" s="1"/>
    </row>
    <row r="81703" spans="17:17" x14ac:dyDescent="0.35">
      <c r="Q81703" s="1"/>
    </row>
    <row r="81706" spans="17:17" x14ac:dyDescent="0.35">
      <c r="Q81706" s="1"/>
    </row>
    <row r="81715" spans="17:17" x14ac:dyDescent="0.35">
      <c r="Q81715" s="1"/>
    </row>
    <row r="81716" spans="17:17" x14ac:dyDescent="0.35">
      <c r="Q81716" s="1"/>
    </row>
    <row r="81727" spans="17:17" x14ac:dyDescent="0.35">
      <c r="Q81727" s="1"/>
    </row>
    <row r="81729" spans="17:17" x14ac:dyDescent="0.35">
      <c r="Q81729" s="1"/>
    </row>
    <row r="81732" spans="17:17" x14ac:dyDescent="0.35">
      <c r="Q81732" s="1"/>
    </row>
    <row r="81733" spans="17:17" x14ac:dyDescent="0.35">
      <c r="Q81733" s="1"/>
    </row>
    <row r="81734" spans="17:17" x14ac:dyDescent="0.35">
      <c r="Q81734" s="1"/>
    </row>
    <row r="81741" spans="17:17" x14ac:dyDescent="0.35">
      <c r="Q81741" s="1"/>
    </row>
    <row r="81743" spans="17:17" x14ac:dyDescent="0.35">
      <c r="Q81743" s="1"/>
    </row>
    <row r="81744" spans="17:17" x14ac:dyDescent="0.35">
      <c r="Q81744" s="1"/>
    </row>
    <row r="81749" spans="6:17" x14ac:dyDescent="0.35">
      <c r="Q81749" s="1"/>
    </row>
    <row r="81751" spans="6:17" x14ac:dyDescent="0.35">
      <c r="Q81751" s="1"/>
    </row>
    <row r="81754" spans="6:17" x14ac:dyDescent="0.35">
      <c r="Q81754" s="1"/>
    </row>
    <row r="81759" spans="6:17" x14ac:dyDescent="0.35">
      <c r="F81759" s="7"/>
    </row>
    <row r="81760" spans="6:17" x14ac:dyDescent="0.35">
      <c r="Q81760" s="1"/>
    </row>
    <row r="81762" spans="17:17" x14ac:dyDescent="0.35">
      <c r="Q81762" s="1"/>
    </row>
    <row r="81773" spans="17:17" x14ac:dyDescent="0.35">
      <c r="Q81773" s="1"/>
    </row>
    <row r="81777" spans="17:17" x14ac:dyDescent="0.35">
      <c r="Q81777" s="1"/>
    </row>
    <row r="81787" spans="17:17" x14ac:dyDescent="0.35">
      <c r="Q81787" s="1"/>
    </row>
    <row r="81788" spans="17:17" x14ac:dyDescent="0.35">
      <c r="Q81788" s="1"/>
    </row>
    <row r="81790" spans="17:17" x14ac:dyDescent="0.35">
      <c r="Q81790" s="1"/>
    </row>
    <row r="81793" spans="17:17" x14ac:dyDescent="0.35">
      <c r="Q81793" s="1"/>
    </row>
    <row r="81794" spans="17:17" x14ac:dyDescent="0.35">
      <c r="Q81794" s="1"/>
    </row>
    <row r="81796" spans="17:17" x14ac:dyDescent="0.35">
      <c r="Q81796" s="1"/>
    </row>
    <row r="81800" spans="17:17" x14ac:dyDescent="0.35">
      <c r="Q81800" s="1"/>
    </row>
    <row r="81801" spans="17:17" x14ac:dyDescent="0.35">
      <c r="Q81801" s="1"/>
    </row>
    <row r="81802" spans="17:17" x14ac:dyDescent="0.35">
      <c r="Q81802" s="1"/>
    </row>
    <row r="81808" spans="17:17" x14ac:dyDescent="0.35">
      <c r="Q81808" s="1"/>
    </row>
    <row r="81809" spans="17:17" x14ac:dyDescent="0.35">
      <c r="Q81809" s="1"/>
    </row>
    <row r="81816" spans="17:17" x14ac:dyDescent="0.35">
      <c r="Q81816" s="1"/>
    </row>
    <row r="81818" spans="17:17" x14ac:dyDescent="0.35">
      <c r="Q81818" s="1"/>
    </row>
    <row r="81819" spans="17:17" x14ac:dyDescent="0.35">
      <c r="Q81819" s="1"/>
    </row>
    <row r="81820" spans="17:17" x14ac:dyDescent="0.35">
      <c r="Q81820" s="1"/>
    </row>
    <row r="81822" spans="17:17" x14ac:dyDescent="0.35">
      <c r="Q81822" s="1"/>
    </row>
    <row r="81823" spans="17:17" x14ac:dyDescent="0.35">
      <c r="Q81823" s="1"/>
    </row>
    <row r="81824" spans="17:17" x14ac:dyDescent="0.35">
      <c r="Q81824" s="1"/>
    </row>
    <row r="81827" spans="17:17" x14ac:dyDescent="0.35">
      <c r="Q81827" s="1"/>
    </row>
    <row r="81829" spans="17:17" x14ac:dyDescent="0.35">
      <c r="Q81829" s="1"/>
    </row>
    <row r="81830" spans="17:17" x14ac:dyDescent="0.35">
      <c r="Q81830" s="1"/>
    </row>
    <row r="81831" spans="17:17" x14ac:dyDescent="0.35">
      <c r="Q81831" s="1"/>
    </row>
    <row r="81832" spans="17:17" x14ac:dyDescent="0.35">
      <c r="Q81832" s="1"/>
    </row>
    <row r="81834" spans="17:17" x14ac:dyDescent="0.35">
      <c r="Q81834" s="1"/>
    </row>
    <row r="81837" spans="17:17" x14ac:dyDescent="0.35">
      <c r="Q81837" s="1"/>
    </row>
    <row r="81839" spans="17:17" x14ac:dyDescent="0.35">
      <c r="Q81839" s="1"/>
    </row>
    <row r="81841" spans="17:17" x14ac:dyDescent="0.35">
      <c r="Q81841" s="1"/>
    </row>
    <row r="81842" spans="17:17" x14ac:dyDescent="0.35">
      <c r="Q81842" s="1"/>
    </row>
    <row r="81843" spans="17:17" x14ac:dyDescent="0.35">
      <c r="Q81843" s="1"/>
    </row>
    <row r="81844" spans="17:17" x14ac:dyDescent="0.35">
      <c r="Q81844" s="1"/>
    </row>
    <row r="81845" spans="17:17" x14ac:dyDescent="0.35">
      <c r="Q81845" s="1"/>
    </row>
    <row r="81846" spans="17:17" x14ac:dyDescent="0.35">
      <c r="Q81846" s="1"/>
    </row>
    <row r="81847" spans="17:17" x14ac:dyDescent="0.35">
      <c r="Q81847" s="1"/>
    </row>
    <row r="81848" spans="17:17" x14ac:dyDescent="0.35">
      <c r="Q81848" s="1"/>
    </row>
    <row r="81849" spans="17:17" x14ac:dyDescent="0.35">
      <c r="Q81849" s="1"/>
    </row>
    <row r="81850" spans="17:17" x14ac:dyDescent="0.35">
      <c r="Q81850" s="1"/>
    </row>
    <row r="81853" spans="17:17" x14ac:dyDescent="0.35">
      <c r="Q81853" s="1"/>
    </row>
    <row r="81856" spans="17:17" x14ac:dyDescent="0.35">
      <c r="Q81856" s="1"/>
    </row>
    <row r="81859" spans="17:17" x14ac:dyDescent="0.35">
      <c r="Q81859" s="1"/>
    </row>
    <row r="81860" spans="17:17" x14ac:dyDescent="0.35">
      <c r="Q81860" s="1"/>
    </row>
    <row r="81863" spans="17:17" x14ac:dyDescent="0.35">
      <c r="Q81863" s="1"/>
    </row>
    <row r="81866" spans="17:17" x14ac:dyDescent="0.35">
      <c r="Q81866" s="1"/>
    </row>
    <row r="81873" spans="17:17" x14ac:dyDescent="0.35">
      <c r="Q81873" s="1"/>
    </row>
    <row r="81875" spans="17:17" x14ac:dyDescent="0.35">
      <c r="Q81875" s="1"/>
    </row>
    <row r="81877" spans="17:17" x14ac:dyDescent="0.35">
      <c r="Q81877" s="1"/>
    </row>
    <row r="81882" spans="17:17" x14ac:dyDescent="0.35">
      <c r="Q81882" s="1"/>
    </row>
    <row r="81885" spans="17:17" x14ac:dyDescent="0.35">
      <c r="Q81885" s="1"/>
    </row>
    <row r="81886" spans="17:17" x14ac:dyDescent="0.35">
      <c r="Q81886" s="1"/>
    </row>
    <row r="81887" spans="17:17" x14ac:dyDescent="0.35">
      <c r="Q81887" s="1"/>
    </row>
    <row r="81888" spans="17:17" x14ac:dyDescent="0.35">
      <c r="Q81888" s="1"/>
    </row>
    <row r="81889" spans="17:17" x14ac:dyDescent="0.35">
      <c r="Q81889" s="1"/>
    </row>
    <row r="81890" spans="17:17" x14ac:dyDescent="0.35">
      <c r="Q81890" s="1"/>
    </row>
    <row r="81894" spans="17:17" x14ac:dyDescent="0.35">
      <c r="Q81894" s="1"/>
    </row>
    <row r="81895" spans="17:17" x14ac:dyDescent="0.35">
      <c r="Q81895" s="1"/>
    </row>
    <row r="81896" spans="17:17" x14ac:dyDescent="0.35">
      <c r="Q81896" s="1"/>
    </row>
    <row r="81898" spans="17:17" x14ac:dyDescent="0.35">
      <c r="Q81898" s="1"/>
    </row>
    <row r="81906" spans="17:17" x14ac:dyDescent="0.35">
      <c r="Q81906" s="1"/>
    </row>
    <row r="81907" spans="17:17" x14ac:dyDescent="0.35">
      <c r="Q81907" s="1"/>
    </row>
    <row r="81910" spans="17:17" x14ac:dyDescent="0.35">
      <c r="Q81910" s="1"/>
    </row>
    <row r="81917" spans="17:17" x14ac:dyDescent="0.35">
      <c r="Q81917" s="1"/>
    </row>
    <row r="81919" spans="17:17" x14ac:dyDescent="0.35">
      <c r="Q81919" s="1"/>
    </row>
    <row r="81937" spans="17:17" x14ac:dyDescent="0.35">
      <c r="Q81937" s="1"/>
    </row>
    <row r="81941" spans="17:17" x14ac:dyDescent="0.35">
      <c r="Q81941" s="1"/>
    </row>
    <row r="81943" spans="17:17" x14ac:dyDescent="0.35">
      <c r="Q81943" s="1"/>
    </row>
    <row r="81948" spans="17:17" x14ac:dyDescent="0.35">
      <c r="Q81948" s="1"/>
    </row>
    <row r="81951" spans="17:17" x14ac:dyDescent="0.35">
      <c r="Q81951" s="1"/>
    </row>
    <row r="81954" spans="17:17" x14ac:dyDescent="0.35">
      <c r="Q81954" s="1"/>
    </row>
    <row r="81955" spans="17:17" x14ac:dyDescent="0.35">
      <c r="Q81955" s="1"/>
    </row>
    <row r="81957" spans="17:17" x14ac:dyDescent="0.35">
      <c r="Q81957" s="1"/>
    </row>
    <row r="81958" spans="17:17" x14ac:dyDescent="0.35">
      <c r="Q81958" s="1"/>
    </row>
    <row r="81960" spans="17:17" x14ac:dyDescent="0.35">
      <c r="Q81960" s="1"/>
    </row>
    <row r="81964" spans="17:17" x14ac:dyDescent="0.35">
      <c r="Q81964" s="1"/>
    </row>
    <row r="81966" spans="17:17" x14ac:dyDescent="0.35">
      <c r="Q81966" s="1"/>
    </row>
    <row r="81967" spans="17:17" x14ac:dyDescent="0.35">
      <c r="Q81967" s="1"/>
    </row>
    <row r="81969" spans="17:17" x14ac:dyDescent="0.35">
      <c r="Q81969" s="1"/>
    </row>
    <row r="81970" spans="17:17" x14ac:dyDescent="0.35">
      <c r="Q81970" s="1"/>
    </row>
    <row r="81975" spans="17:17" x14ac:dyDescent="0.35">
      <c r="Q81975" s="1"/>
    </row>
    <row r="81976" spans="17:17" x14ac:dyDescent="0.35">
      <c r="Q81976" s="1"/>
    </row>
    <row r="81980" spans="17:17" x14ac:dyDescent="0.35">
      <c r="Q81980" s="1"/>
    </row>
    <row r="81983" spans="17:17" x14ac:dyDescent="0.35">
      <c r="Q81983" s="1"/>
    </row>
    <row r="81986" spans="17:17" x14ac:dyDescent="0.35">
      <c r="Q81986" s="1"/>
    </row>
    <row r="81988" spans="17:17" x14ac:dyDescent="0.35">
      <c r="Q81988" s="1"/>
    </row>
    <row r="81990" spans="17:17" x14ac:dyDescent="0.35">
      <c r="Q81990" s="1"/>
    </row>
    <row r="81994" spans="17:17" x14ac:dyDescent="0.35">
      <c r="Q81994" s="1"/>
    </row>
    <row r="82001" spans="17:17" x14ac:dyDescent="0.35">
      <c r="Q82001" s="1"/>
    </row>
    <row r="82005" spans="17:17" x14ac:dyDescent="0.35">
      <c r="Q82005" s="1"/>
    </row>
    <row r="82008" spans="17:17" x14ac:dyDescent="0.35">
      <c r="Q82008" s="1"/>
    </row>
    <row r="82009" spans="17:17" x14ac:dyDescent="0.35">
      <c r="Q82009" s="1"/>
    </row>
    <row r="82017" spans="17:17" x14ac:dyDescent="0.35">
      <c r="Q82017" s="1"/>
    </row>
    <row r="82018" spans="17:17" x14ac:dyDescent="0.35">
      <c r="Q82018" s="1"/>
    </row>
    <row r="82019" spans="17:17" x14ac:dyDescent="0.35">
      <c r="Q82019" s="1"/>
    </row>
    <row r="82025" spans="17:17" x14ac:dyDescent="0.35">
      <c r="Q82025" s="1"/>
    </row>
    <row r="82026" spans="17:17" x14ac:dyDescent="0.35">
      <c r="Q82026" s="1"/>
    </row>
    <row r="82028" spans="17:17" x14ac:dyDescent="0.35">
      <c r="Q82028" s="1"/>
    </row>
    <row r="82046" spans="17:17" x14ac:dyDescent="0.35">
      <c r="Q82046" s="1"/>
    </row>
    <row r="82052" spans="17:17" x14ac:dyDescent="0.35">
      <c r="Q82052" s="1"/>
    </row>
    <row r="82057" spans="17:17" x14ac:dyDescent="0.35">
      <c r="Q82057" s="1"/>
    </row>
    <row r="82063" spans="17:17" x14ac:dyDescent="0.35">
      <c r="Q82063" s="1"/>
    </row>
    <row r="82064" spans="17:17" x14ac:dyDescent="0.35">
      <c r="Q82064" s="1"/>
    </row>
    <row r="82068" spans="17:17" x14ac:dyDescent="0.35">
      <c r="Q82068" s="1"/>
    </row>
    <row r="82070" spans="17:17" x14ac:dyDescent="0.35">
      <c r="Q82070" s="1"/>
    </row>
    <row r="82071" spans="17:17" x14ac:dyDescent="0.35">
      <c r="Q82071" s="1"/>
    </row>
    <row r="82072" spans="17:17" x14ac:dyDescent="0.35">
      <c r="Q82072" s="1"/>
    </row>
    <row r="82074" spans="17:17" x14ac:dyDescent="0.35">
      <c r="Q82074" s="1"/>
    </row>
    <row r="82075" spans="17:17" x14ac:dyDescent="0.35">
      <c r="Q82075" s="1"/>
    </row>
    <row r="82082" spans="16:17" x14ac:dyDescent="0.35">
      <c r="P82082" s="1"/>
    </row>
    <row r="82083" spans="16:17" x14ac:dyDescent="0.35">
      <c r="Q82083" s="1"/>
    </row>
    <row r="82084" spans="16:17" x14ac:dyDescent="0.35">
      <c r="Q82084" s="1"/>
    </row>
    <row r="82102" spans="17:17" x14ac:dyDescent="0.35">
      <c r="Q82102" s="1"/>
    </row>
    <row r="82103" spans="17:17" x14ac:dyDescent="0.35">
      <c r="Q82103" s="1"/>
    </row>
    <row r="82108" spans="17:17" x14ac:dyDescent="0.35">
      <c r="Q82108" s="1"/>
    </row>
    <row r="82110" spans="17:17" x14ac:dyDescent="0.35">
      <c r="Q82110" s="1"/>
    </row>
    <row r="82111" spans="17:17" x14ac:dyDescent="0.35">
      <c r="Q82111" s="1"/>
    </row>
    <row r="82112" spans="17:17" x14ac:dyDescent="0.35">
      <c r="Q82112" s="1"/>
    </row>
    <row r="82114" spans="16:17" x14ac:dyDescent="0.35">
      <c r="Q82114" s="1"/>
    </row>
    <row r="82115" spans="16:17" x14ac:dyDescent="0.35">
      <c r="Q82115" s="1"/>
    </row>
    <row r="82118" spans="16:17" x14ac:dyDescent="0.35">
      <c r="Q82118" s="1"/>
    </row>
    <row r="82121" spans="16:17" x14ac:dyDescent="0.35">
      <c r="Q82121" s="1"/>
    </row>
    <row r="82124" spans="16:17" x14ac:dyDescent="0.35">
      <c r="Q82124" s="1"/>
    </row>
    <row r="82125" spans="16:17" x14ac:dyDescent="0.35">
      <c r="P82125" s="1"/>
    </row>
    <row r="82128" spans="16:17" x14ac:dyDescent="0.35">
      <c r="P82128" s="1"/>
    </row>
    <row r="82131" spans="16:17" x14ac:dyDescent="0.35">
      <c r="P82131" s="1"/>
    </row>
    <row r="82133" spans="16:17" x14ac:dyDescent="0.35">
      <c r="Q82133" s="1"/>
    </row>
    <row r="82135" spans="16:17" x14ac:dyDescent="0.35">
      <c r="P82135" s="1"/>
    </row>
    <row r="82136" spans="16:17" x14ac:dyDescent="0.35">
      <c r="Q82136" s="1"/>
    </row>
    <row r="82140" spans="16:17" x14ac:dyDescent="0.35">
      <c r="Q82140" s="1"/>
    </row>
    <row r="82146" spans="17:17" x14ac:dyDescent="0.35">
      <c r="Q82146" s="1"/>
    </row>
    <row r="82147" spans="17:17" x14ac:dyDescent="0.35">
      <c r="Q82147" s="1"/>
    </row>
    <row r="82149" spans="17:17" x14ac:dyDescent="0.35">
      <c r="Q82149" s="1"/>
    </row>
    <row r="82151" spans="17:17" x14ac:dyDescent="0.35">
      <c r="Q82151" s="1"/>
    </row>
    <row r="82156" spans="17:17" x14ac:dyDescent="0.35">
      <c r="Q82156" s="1"/>
    </row>
    <row r="82159" spans="17:17" x14ac:dyDescent="0.35">
      <c r="Q82159" s="1"/>
    </row>
    <row r="82162" spans="16:17" x14ac:dyDescent="0.35">
      <c r="Q82162" s="1"/>
    </row>
    <row r="82165" spans="16:17" x14ac:dyDescent="0.35">
      <c r="Q82165" s="1"/>
    </row>
    <row r="82167" spans="16:17" x14ac:dyDescent="0.35">
      <c r="Q82167" s="1"/>
    </row>
    <row r="82169" spans="16:17" x14ac:dyDescent="0.35">
      <c r="P82169" s="1"/>
    </row>
    <row r="82170" spans="16:17" x14ac:dyDescent="0.35">
      <c r="P82170" s="1"/>
    </row>
    <row r="82171" spans="16:17" x14ac:dyDescent="0.35">
      <c r="P82171" s="1"/>
    </row>
    <row r="82173" spans="16:17" x14ac:dyDescent="0.35">
      <c r="Q82173" s="1"/>
    </row>
    <row r="82175" spans="16:17" x14ac:dyDescent="0.35">
      <c r="Q82175" s="1"/>
    </row>
    <row r="82180" spans="16:17" x14ac:dyDescent="0.35">
      <c r="P82180" s="1"/>
    </row>
    <row r="82181" spans="16:17" x14ac:dyDescent="0.35">
      <c r="Q82181" s="1"/>
    </row>
    <row r="82184" spans="16:17" x14ac:dyDescent="0.35">
      <c r="P82184" s="1"/>
    </row>
    <row r="82185" spans="16:17" x14ac:dyDescent="0.35">
      <c r="P82185" s="1"/>
    </row>
    <row r="82187" spans="16:17" x14ac:dyDescent="0.35">
      <c r="P82187" s="1"/>
    </row>
    <row r="82188" spans="16:17" x14ac:dyDescent="0.35">
      <c r="P82188" s="1"/>
    </row>
    <row r="82193" spans="17:17" x14ac:dyDescent="0.35">
      <c r="Q82193" s="1"/>
    </row>
    <row r="82197" spans="17:17" x14ac:dyDescent="0.35">
      <c r="Q82197" s="1"/>
    </row>
    <row r="82198" spans="17:17" x14ac:dyDescent="0.35">
      <c r="Q82198" s="1"/>
    </row>
    <row r="82200" spans="17:17" x14ac:dyDescent="0.35">
      <c r="Q82200" s="1"/>
    </row>
    <row r="82201" spans="17:17" x14ac:dyDescent="0.35">
      <c r="Q82201" s="1"/>
    </row>
    <row r="82202" spans="17:17" x14ac:dyDescent="0.35">
      <c r="Q82202" s="1"/>
    </row>
    <row r="82208" spans="17:17" x14ac:dyDescent="0.35">
      <c r="Q82208" s="1"/>
    </row>
    <row r="82210" spans="16:17" x14ac:dyDescent="0.35">
      <c r="Q82210" s="1"/>
    </row>
    <row r="82213" spans="16:17" x14ac:dyDescent="0.35">
      <c r="Q82213" s="1"/>
    </row>
    <row r="82216" spans="16:17" x14ac:dyDescent="0.35">
      <c r="Q82216" s="1"/>
    </row>
    <row r="82218" spans="16:17" x14ac:dyDescent="0.35">
      <c r="P82218" s="1"/>
    </row>
    <row r="82219" spans="16:17" x14ac:dyDescent="0.35">
      <c r="P82219" s="1"/>
    </row>
    <row r="82220" spans="16:17" x14ac:dyDescent="0.35">
      <c r="Q82220" s="1"/>
    </row>
    <row r="82221" spans="16:17" x14ac:dyDescent="0.35">
      <c r="Q82221" s="1"/>
    </row>
    <row r="82222" spans="16:17" x14ac:dyDescent="0.35">
      <c r="Q82222" s="1"/>
    </row>
    <row r="82227" spans="16:17" x14ac:dyDescent="0.35">
      <c r="P82227" s="1"/>
    </row>
    <row r="82234" spans="16:17" x14ac:dyDescent="0.35">
      <c r="P82234" s="1"/>
      <c r="Q82234" s="1"/>
    </row>
    <row r="82236" spans="16:17" x14ac:dyDescent="0.35">
      <c r="P82236" s="1"/>
    </row>
    <row r="82241" spans="16:17" x14ac:dyDescent="0.35">
      <c r="P82241" s="1"/>
    </row>
    <row r="82247" spans="16:17" x14ac:dyDescent="0.35">
      <c r="Q82247" s="1"/>
    </row>
    <row r="82248" spans="16:17" x14ac:dyDescent="0.35">
      <c r="Q82248" s="1"/>
    </row>
    <row r="82258" spans="16:17" x14ac:dyDescent="0.35">
      <c r="Q82258" s="1"/>
    </row>
    <row r="82259" spans="16:17" x14ac:dyDescent="0.35">
      <c r="Q82259" s="1"/>
    </row>
    <row r="82261" spans="16:17" x14ac:dyDescent="0.35">
      <c r="Q82261" s="1"/>
    </row>
    <row r="82262" spans="16:17" x14ac:dyDescent="0.35">
      <c r="Q82262" s="1"/>
    </row>
    <row r="82264" spans="16:17" x14ac:dyDescent="0.35">
      <c r="Q82264" s="1"/>
    </row>
    <row r="82268" spans="16:17" x14ac:dyDescent="0.35">
      <c r="Q82268" s="1"/>
    </row>
    <row r="82269" spans="16:17" x14ac:dyDescent="0.35">
      <c r="P82269" s="1"/>
    </row>
    <row r="82271" spans="16:17" x14ac:dyDescent="0.35">
      <c r="P82271" s="1"/>
    </row>
    <row r="82277" spans="16:17" x14ac:dyDescent="0.35">
      <c r="P82277" s="1"/>
    </row>
    <row r="82280" spans="16:17" x14ac:dyDescent="0.35">
      <c r="Q82280" s="1"/>
    </row>
    <row r="82282" spans="16:17" x14ac:dyDescent="0.35">
      <c r="P82282" s="1"/>
    </row>
    <row r="82284" spans="16:17" x14ac:dyDescent="0.35">
      <c r="Q82284" s="1"/>
    </row>
    <row r="82289" spans="16:17" x14ac:dyDescent="0.35">
      <c r="P82289" s="1"/>
    </row>
    <row r="82291" spans="16:17" x14ac:dyDescent="0.35">
      <c r="Q82291" s="1"/>
    </row>
    <row r="82292" spans="16:17" x14ac:dyDescent="0.35">
      <c r="Q82292" s="1"/>
    </row>
    <row r="82295" spans="16:17" x14ac:dyDescent="0.35">
      <c r="Q82295" s="1"/>
    </row>
    <row r="82300" spans="16:17" x14ac:dyDescent="0.35">
      <c r="P82300" s="1"/>
    </row>
    <row r="82302" spans="16:17" x14ac:dyDescent="0.35">
      <c r="Q82302" s="1"/>
    </row>
    <row r="82303" spans="16:17" x14ac:dyDescent="0.35">
      <c r="Q82303" s="1"/>
    </row>
    <row r="82305" spans="16:17" x14ac:dyDescent="0.35">
      <c r="Q82305" s="1"/>
    </row>
    <row r="82306" spans="16:17" x14ac:dyDescent="0.35">
      <c r="Q82306" s="1"/>
    </row>
    <row r="82307" spans="16:17" x14ac:dyDescent="0.35">
      <c r="P82307" s="1"/>
    </row>
    <row r="82313" spans="16:17" x14ac:dyDescent="0.35">
      <c r="P82313" s="1"/>
    </row>
    <row r="82315" spans="16:17" x14ac:dyDescent="0.35">
      <c r="P82315" s="1"/>
    </row>
    <row r="82318" spans="16:17" x14ac:dyDescent="0.35">
      <c r="Q82318" s="1"/>
    </row>
    <row r="82322" spans="16:17" x14ac:dyDescent="0.35">
      <c r="Q82322" s="1"/>
    </row>
    <row r="82324" spans="16:17" x14ac:dyDescent="0.35">
      <c r="P82324" s="1"/>
      <c r="Q82324" s="1"/>
    </row>
    <row r="82325" spans="16:17" x14ac:dyDescent="0.35">
      <c r="Q82325" s="1"/>
    </row>
    <row r="82329" spans="16:17" x14ac:dyDescent="0.35">
      <c r="P82329" s="1"/>
    </row>
    <row r="82330" spans="16:17" x14ac:dyDescent="0.35">
      <c r="Q82330" s="1"/>
    </row>
    <row r="82331" spans="16:17" x14ac:dyDescent="0.35">
      <c r="P82331" s="1"/>
      <c r="Q82331" s="1"/>
    </row>
    <row r="82332" spans="16:17" x14ac:dyDescent="0.35">
      <c r="Q82332" s="1"/>
    </row>
    <row r="82336" spans="16:17" x14ac:dyDescent="0.35">
      <c r="P82336" s="1"/>
    </row>
    <row r="82337" spans="16:17" x14ac:dyDescent="0.35">
      <c r="Q82337" s="1"/>
    </row>
    <row r="82338" spans="16:17" x14ac:dyDescent="0.35">
      <c r="Q82338" s="1"/>
    </row>
    <row r="82347" spans="16:17" x14ac:dyDescent="0.35">
      <c r="P82347" s="1"/>
    </row>
    <row r="82348" spans="16:17" x14ac:dyDescent="0.35">
      <c r="Q82348" s="1"/>
    </row>
    <row r="82352" spans="16:17" x14ac:dyDescent="0.35">
      <c r="Q82352" s="1"/>
    </row>
    <row r="82358" spans="16:17" x14ac:dyDescent="0.35">
      <c r="Q82358" s="1"/>
    </row>
    <row r="82359" spans="16:17" x14ac:dyDescent="0.35">
      <c r="P82359" s="1"/>
    </row>
    <row r="82360" spans="16:17" x14ac:dyDescent="0.35">
      <c r="Q82360" s="1"/>
    </row>
    <row r="82370" spans="16:17" x14ac:dyDescent="0.35">
      <c r="Q82370" s="1"/>
    </row>
    <row r="82371" spans="16:17" x14ac:dyDescent="0.35">
      <c r="P82371" s="1"/>
    </row>
    <row r="82375" spans="16:17" x14ac:dyDescent="0.35">
      <c r="Q82375" s="1"/>
    </row>
    <row r="82377" spans="16:17" x14ac:dyDescent="0.35">
      <c r="Q82377" s="1"/>
    </row>
    <row r="82383" spans="16:17" x14ac:dyDescent="0.35">
      <c r="P82383" s="1"/>
    </row>
    <row r="82388" spans="16:17" x14ac:dyDescent="0.35">
      <c r="Q82388" s="1"/>
    </row>
    <row r="82389" spans="16:17" x14ac:dyDescent="0.35">
      <c r="P82389" s="1"/>
    </row>
    <row r="82397" spans="16:17" x14ac:dyDescent="0.35">
      <c r="Q82397" s="1"/>
    </row>
    <row r="82400" spans="16:17" x14ac:dyDescent="0.35">
      <c r="Q82400" s="1"/>
    </row>
    <row r="82404" spans="17:17" x14ac:dyDescent="0.35">
      <c r="Q82404" s="1"/>
    </row>
    <row r="82409" spans="17:17" x14ac:dyDescent="0.35">
      <c r="Q82409" s="1"/>
    </row>
    <row r="82412" spans="17:17" x14ac:dyDescent="0.35">
      <c r="Q82412" s="1"/>
    </row>
    <row r="82418" spans="16:17" x14ac:dyDescent="0.35">
      <c r="Q82418" s="1"/>
    </row>
    <row r="82421" spans="16:17" x14ac:dyDescent="0.35">
      <c r="Q82421" s="1"/>
    </row>
    <row r="82422" spans="16:17" x14ac:dyDescent="0.35">
      <c r="P82422" s="1"/>
    </row>
    <row r="82424" spans="16:17" x14ac:dyDescent="0.35">
      <c r="P82424" s="1"/>
    </row>
    <row r="82428" spans="16:17" x14ac:dyDescent="0.35">
      <c r="P82428" s="1"/>
    </row>
    <row r="82429" spans="16:17" x14ac:dyDescent="0.35">
      <c r="Q82429" s="1"/>
    </row>
    <row r="82432" spans="16:17" x14ac:dyDescent="0.35">
      <c r="Q82432" s="1"/>
    </row>
    <row r="82434" spans="16:17" x14ac:dyDescent="0.35">
      <c r="P82434" s="1"/>
    </row>
    <row r="82435" spans="16:17" x14ac:dyDescent="0.35">
      <c r="P82435" s="1"/>
    </row>
    <row r="82440" spans="16:17" x14ac:dyDescent="0.35">
      <c r="Q82440" s="1"/>
    </row>
    <row r="82442" spans="16:17" x14ac:dyDescent="0.35">
      <c r="P82442" s="1"/>
    </row>
    <row r="82443" spans="16:17" x14ac:dyDescent="0.35">
      <c r="Q82443" s="1"/>
    </row>
    <row r="82444" spans="16:17" x14ac:dyDescent="0.35">
      <c r="Q82444" s="1"/>
    </row>
    <row r="82447" spans="16:17" x14ac:dyDescent="0.35">
      <c r="P82447" s="1"/>
    </row>
    <row r="82461" spans="16:16" x14ac:dyDescent="0.35">
      <c r="P82461" s="1"/>
    </row>
    <row r="82466" spans="17:17" x14ac:dyDescent="0.35">
      <c r="Q82466" s="1"/>
    </row>
    <row r="82469" spans="17:17" x14ac:dyDescent="0.35">
      <c r="Q82469" s="1"/>
    </row>
    <row r="82470" spans="17:17" x14ac:dyDescent="0.35">
      <c r="Q82470" s="1"/>
    </row>
    <row r="82474" spans="17:17" x14ac:dyDescent="0.35">
      <c r="Q82474" s="1"/>
    </row>
    <row r="82479" spans="17:17" x14ac:dyDescent="0.35">
      <c r="Q82479" s="1"/>
    </row>
    <row r="82481" spans="16:17" x14ac:dyDescent="0.35">
      <c r="P82481" s="1"/>
      <c r="Q82481" s="1"/>
    </row>
    <row r="82482" spans="16:17" x14ac:dyDescent="0.35">
      <c r="Q82482" s="1"/>
    </row>
    <row r="82487" spans="16:17" x14ac:dyDescent="0.35">
      <c r="Q82487" s="1"/>
    </row>
    <row r="82488" spans="16:17" x14ac:dyDescent="0.35">
      <c r="Q82488" s="1"/>
    </row>
    <row r="82489" spans="16:17" x14ac:dyDescent="0.35">
      <c r="Q82489" s="1"/>
    </row>
    <row r="82491" spans="16:17" x14ac:dyDescent="0.35">
      <c r="Q82491" s="1"/>
    </row>
    <row r="82492" spans="16:17" x14ac:dyDescent="0.35">
      <c r="P82492" s="1"/>
    </row>
    <row r="82495" spans="16:17" x14ac:dyDescent="0.35">
      <c r="Q82495" s="1"/>
    </row>
    <row r="82506" spans="16:17" x14ac:dyDescent="0.35">
      <c r="Q82506" s="1"/>
    </row>
    <row r="82508" spans="16:17" x14ac:dyDescent="0.35">
      <c r="P82508" s="1"/>
    </row>
    <row r="82510" spans="16:17" x14ac:dyDescent="0.35">
      <c r="Q82510" s="1"/>
    </row>
    <row r="82513" spans="16:17" x14ac:dyDescent="0.35">
      <c r="Q82513" s="1"/>
    </row>
    <row r="82515" spans="16:17" x14ac:dyDescent="0.35">
      <c r="Q82515" s="1"/>
    </row>
    <row r="82518" spans="16:17" x14ac:dyDescent="0.35">
      <c r="Q82518" s="1"/>
    </row>
    <row r="82522" spans="16:17" x14ac:dyDescent="0.35">
      <c r="Q82522" s="1"/>
    </row>
    <row r="82525" spans="16:17" x14ac:dyDescent="0.35">
      <c r="P82525" s="1"/>
    </row>
    <row r="82526" spans="16:17" x14ac:dyDescent="0.35">
      <c r="Q82526" s="1"/>
    </row>
    <row r="82528" spans="16:17" x14ac:dyDescent="0.35">
      <c r="Q82528" s="1"/>
    </row>
    <row r="82535" spans="16:17" x14ac:dyDescent="0.35">
      <c r="P82535" s="1"/>
    </row>
    <row r="82537" spans="16:17" x14ac:dyDescent="0.35">
      <c r="Q82537" s="1"/>
    </row>
    <row r="82538" spans="16:17" x14ac:dyDescent="0.35">
      <c r="Q82538" s="1"/>
    </row>
    <row r="82542" spans="16:17" x14ac:dyDescent="0.35">
      <c r="Q82542" s="1"/>
    </row>
    <row r="82544" spans="16:17" x14ac:dyDescent="0.35">
      <c r="Q82544" s="1"/>
    </row>
    <row r="82546" spans="16:17" x14ac:dyDescent="0.35">
      <c r="Q82546" s="1"/>
    </row>
    <row r="82548" spans="16:17" x14ac:dyDescent="0.35">
      <c r="P82548" s="1"/>
      <c r="Q82548" s="1"/>
    </row>
    <row r="82550" spans="16:17" x14ac:dyDescent="0.35">
      <c r="Q82550" s="1"/>
    </row>
    <row r="82555" spans="16:17" x14ac:dyDescent="0.35">
      <c r="Q82555" s="1"/>
    </row>
    <row r="82559" spans="16:17" x14ac:dyDescent="0.35">
      <c r="Q82559" s="1"/>
    </row>
    <row r="82560" spans="16:17" x14ac:dyDescent="0.35">
      <c r="Q82560" s="1"/>
    </row>
    <row r="82561" spans="16:17" x14ac:dyDescent="0.35">
      <c r="Q82561" s="1"/>
    </row>
    <row r="82563" spans="16:17" x14ac:dyDescent="0.35">
      <c r="P82563" s="1"/>
    </row>
    <row r="82565" spans="16:17" x14ac:dyDescent="0.35">
      <c r="Q82565" s="1"/>
    </row>
    <row r="82569" spans="16:17" x14ac:dyDescent="0.35">
      <c r="Q82569" s="1"/>
    </row>
    <row r="82570" spans="16:17" x14ac:dyDescent="0.35">
      <c r="Q82570" s="1"/>
    </row>
    <row r="82575" spans="16:17" x14ac:dyDescent="0.35">
      <c r="Q82575" s="1"/>
    </row>
    <row r="82577" spans="17:17" x14ac:dyDescent="0.35">
      <c r="Q82577" s="1"/>
    </row>
    <row r="82579" spans="17:17" x14ac:dyDescent="0.35">
      <c r="Q82579" s="1"/>
    </row>
    <row r="82583" spans="17:17" x14ac:dyDescent="0.35">
      <c r="Q82583" s="1"/>
    </row>
    <row r="82588" spans="17:17" x14ac:dyDescent="0.35">
      <c r="Q82588" s="1"/>
    </row>
    <row r="82589" spans="17:17" x14ac:dyDescent="0.35">
      <c r="Q82589" s="1"/>
    </row>
    <row r="82601" spans="16:17" x14ac:dyDescent="0.35">
      <c r="Q82601" s="1"/>
    </row>
    <row r="82602" spans="16:17" x14ac:dyDescent="0.35">
      <c r="Q82602" s="1"/>
    </row>
    <row r="82604" spans="16:17" x14ac:dyDescent="0.35">
      <c r="Q82604" s="1"/>
    </row>
    <row r="82607" spans="16:17" x14ac:dyDescent="0.35">
      <c r="P82607" s="1"/>
    </row>
    <row r="82612" spans="16:17" x14ac:dyDescent="0.35">
      <c r="P82612" s="1"/>
    </row>
    <row r="82613" spans="16:17" x14ac:dyDescent="0.35">
      <c r="P82613" s="1"/>
      <c r="Q82613" s="1"/>
    </row>
    <row r="82615" spans="16:17" x14ac:dyDescent="0.35">
      <c r="Q82615" s="1"/>
    </row>
    <row r="82617" spans="16:17" x14ac:dyDescent="0.35">
      <c r="Q82617" s="1"/>
    </row>
    <row r="82618" spans="16:17" x14ac:dyDescent="0.35">
      <c r="P82618" s="1"/>
    </row>
    <row r="82619" spans="16:17" x14ac:dyDescent="0.35">
      <c r="P82619" s="1"/>
    </row>
    <row r="82620" spans="16:17" x14ac:dyDescent="0.35">
      <c r="Q82620" s="1"/>
    </row>
    <row r="82628" spans="16:17" x14ac:dyDescent="0.35">
      <c r="Q82628" s="1"/>
    </row>
    <row r="82629" spans="16:17" x14ac:dyDescent="0.35">
      <c r="Q82629" s="1"/>
    </row>
    <row r="82632" spans="16:17" x14ac:dyDescent="0.35">
      <c r="Q82632" s="1"/>
    </row>
    <row r="82635" spans="16:17" x14ac:dyDescent="0.35">
      <c r="P82635" s="1"/>
    </row>
    <row r="82638" spans="16:17" x14ac:dyDescent="0.35">
      <c r="Q82638" s="1"/>
    </row>
    <row r="82641" spans="16:17" x14ac:dyDescent="0.35">
      <c r="Q82641" s="1"/>
    </row>
    <row r="82653" spans="16:17" x14ac:dyDescent="0.35">
      <c r="Q82653" s="1"/>
    </row>
    <row r="82655" spans="16:17" x14ac:dyDescent="0.35">
      <c r="P82655" s="1"/>
    </row>
    <row r="82656" spans="16:17" x14ac:dyDescent="0.35">
      <c r="P82656" s="1"/>
    </row>
    <row r="82659" spans="16:17" x14ac:dyDescent="0.35">
      <c r="Q82659" s="1"/>
    </row>
    <row r="82660" spans="16:17" x14ac:dyDescent="0.35">
      <c r="P82660" s="1"/>
    </row>
    <row r="82661" spans="16:17" x14ac:dyDescent="0.35">
      <c r="Q82661" s="1"/>
    </row>
    <row r="82665" spans="16:17" x14ac:dyDescent="0.35">
      <c r="Q82665" s="1"/>
    </row>
    <row r="82667" spans="16:17" x14ac:dyDescent="0.35">
      <c r="Q82667" s="1"/>
    </row>
    <row r="82669" spans="16:17" x14ac:dyDescent="0.35">
      <c r="Q82669" s="1"/>
    </row>
    <row r="82670" spans="16:17" x14ac:dyDescent="0.35">
      <c r="P82670" s="1"/>
    </row>
    <row r="82676" spans="16:17" x14ac:dyDescent="0.35">
      <c r="Q82676" s="1"/>
    </row>
    <row r="82678" spans="16:17" x14ac:dyDescent="0.35">
      <c r="P82678" s="1"/>
    </row>
    <row r="82683" spans="16:17" x14ac:dyDescent="0.35">
      <c r="Q82683" s="1"/>
    </row>
    <row r="82686" spans="16:17" x14ac:dyDescent="0.35">
      <c r="P82686" s="1"/>
    </row>
    <row r="82687" spans="16:17" x14ac:dyDescent="0.35">
      <c r="Q82687" s="1"/>
    </row>
    <row r="82688" spans="16:17" x14ac:dyDescent="0.35">
      <c r="Q82688" s="1"/>
    </row>
    <row r="82694" spans="17:17" x14ac:dyDescent="0.35">
      <c r="Q82694" s="1"/>
    </row>
    <row r="82695" spans="17:17" x14ac:dyDescent="0.35">
      <c r="Q82695" s="1"/>
    </row>
    <row r="82696" spans="17:17" x14ac:dyDescent="0.35">
      <c r="Q82696" s="1"/>
    </row>
    <row r="82703" spans="17:17" x14ac:dyDescent="0.35">
      <c r="Q82703" s="1"/>
    </row>
    <row r="82704" spans="17:17" x14ac:dyDescent="0.35">
      <c r="Q82704" s="1"/>
    </row>
    <row r="82705" spans="16:17" x14ac:dyDescent="0.35">
      <c r="Q82705" s="1"/>
    </row>
    <row r="82707" spans="16:17" x14ac:dyDescent="0.35">
      <c r="P82707" s="1"/>
      <c r="Q82707" s="1"/>
    </row>
    <row r="82725" spans="16:17" x14ac:dyDescent="0.35">
      <c r="P82725" s="1"/>
    </row>
    <row r="82726" spans="16:17" x14ac:dyDescent="0.35">
      <c r="Q82726" s="1"/>
    </row>
    <row r="82728" spans="16:17" x14ac:dyDescent="0.35">
      <c r="P82728" s="1"/>
    </row>
    <row r="82730" spans="16:17" x14ac:dyDescent="0.35">
      <c r="Q82730" s="1"/>
    </row>
    <row r="82732" spans="16:17" x14ac:dyDescent="0.35">
      <c r="P82732" s="1"/>
    </row>
    <row r="82738" spans="3:17" x14ac:dyDescent="0.35">
      <c r="C82738" s="4"/>
    </row>
    <row r="82743" spans="3:17" x14ac:dyDescent="0.35">
      <c r="Q82743" s="1"/>
    </row>
    <row r="82744" spans="3:17" x14ac:dyDescent="0.35">
      <c r="Q82744" s="1"/>
    </row>
    <row r="82745" spans="3:17" x14ac:dyDescent="0.35">
      <c r="Q82745" s="1"/>
    </row>
    <row r="82747" spans="3:17" x14ac:dyDescent="0.35">
      <c r="Q82747" s="1"/>
    </row>
    <row r="82749" spans="3:17" x14ac:dyDescent="0.35">
      <c r="Q82749" s="1"/>
    </row>
    <row r="82756" spans="16:17" x14ac:dyDescent="0.35">
      <c r="P82756" s="1"/>
      <c r="Q82756" s="1"/>
    </row>
    <row r="82757" spans="16:17" x14ac:dyDescent="0.35">
      <c r="P82757" s="1"/>
    </row>
    <row r="82759" spans="16:17" x14ac:dyDescent="0.35">
      <c r="Q82759" s="1"/>
    </row>
    <row r="82761" spans="16:17" x14ac:dyDescent="0.35">
      <c r="P82761" s="1"/>
    </row>
    <row r="82777" spans="16:17" x14ac:dyDescent="0.35">
      <c r="Q82777" s="1"/>
    </row>
    <row r="82779" spans="16:17" x14ac:dyDescent="0.35">
      <c r="Q82779" s="1"/>
    </row>
    <row r="82780" spans="16:17" x14ac:dyDescent="0.35">
      <c r="P82780" s="1"/>
    </row>
    <row r="82784" spans="16:17" x14ac:dyDescent="0.35">
      <c r="Q82784" s="1"/>
    </row>
    <row r="82786" spans="17:17" x14ac:dyDescent="0.35">
      <c r="Q82786" s="1"/>
    </row>
    <row r="82787" spans="17:17" x14ac:dyDescent="0.35">
      <c r="Q82787" s="1"/>
    </row>
    <row r="82791" spans="17:17" x14ac:dyDescent="0.35">
      <c r="Q82791" s="1"/>
    </row>
    <row r="82797" spans="17:17" x14ac:dyDescent="0.35">
      <c r="Q82797" s="1"/>
    </row>
    <row r="82799" spans="17:17" x14ac:dyDescent="0.35">
      <c r="Q82799" s="1"/>
    </row>
    <row r="82802" spans="16:17" x14ac:dyDescent="0.35">
      <c r="Q82802" s="1"/>
    </row>
    <row r="82804" spans="16:17" x14ac:dyDescent="0.35">
      <c r="P82804" s="1"/>
    </row>
    <row r="82807" spans="16:17" x14ac:dyDescent="0.35">
      <c r="Q82807" s="1"/>
    </row>
    <row r="82809" spans="16:17" x14ac:dyDescent="0.35">
      <c r="P82809" s="1"/>
    </row>
    <row r="82811" spans="16:17" x14ac:dyDescent="0.35">
      <c r="P82811" s="1"/>
    </row>
    <row r="82812" spans="16:17" x14ac:dyDescent="0.35">
      <c r="P82812" s="1"/>
    </row>
    <row r="82815" spans="16:17" x14ac:dyDescent="0.35">
      <c r="Q82815" s="1"/>
    </row>
    <row r="82824" spans="16:17" x14ac:dyDescent="0.35">
      <c r="P82824" s="1"/>
    </row>
    <row r="82826" spans="16:17" x14ac:dyDescent="0.35">
      <c r="P82826" s="1"/>
    </row>
    <row r="82827" spans="16:17" x14ac:dyDescent="0.35">
      <c r="P82827" s="1"/>
    </row>
    <row r="82828" spans="16:17" x14ac:dyDescent="0.35">
      <c r="P82828" s="1"/>
    </row>
    <row r="82830" spans="16:17" x14ac:dyDescent="0.35">
      <c r="Q82830" s="1"/>
    </row>
    <row r="82831" spans="16:17" x14ac:dyDescent="0.35">
      <c r="Q82831" s="1"/>
    </row>
    <row r="82838" spans="16:17" x14ac:dyDescent="0.35">
      <c r="Q82838" s="1"/>
    </row>
    <row r="82839" spans="16:17" x14ac:dyDescent="0.35">
      <c r="Q82839" s="1"/>
    </row>
    <row r="82842" spans="16:17" x14ac:dyDescent="0.35">
      <c r="P82842" s="1"/>
    </row>
    <row r="82850" spans="16:17" x14ac:dyDescent="0.35">
      <c r="P82850" s="1"/>
    </row>
    <row r="82852" spans="16:17" x14ac:dyDescent="0.35">
      <c r="Q82852" s="1"/>
    </row>
    <row r="82855" spans="16:17" x14ac:dyDescent="0.35">
      <c r="Q82855" s="1"/>
    </row>
    <row r="82856" spans="16:17" x14ac:dyDescent="0.35">
      <c r="Q82856" s="1"/>
    </row>
    <row r="82859" spans="16:17" x14ac:dyDescent="0.35">
      <c r="Q82859" s="1"/>
    </row>
    <row r="82860" spans="16:17" x14ac:dyDescent="0.35">
      <c r="Q82860" s="1"/>
    </row>
    <row r="82863" spans="16:17" x14ac:dyDescent="0.35">
      <c r="P82863" s="1"/>
    </row>
    <row r="82865" spans="16:17" x14ac:dyDescent="0.35">
      <c r="Q82865" s="1"/>
    </row>
    <row r="82866" spans="16:17" x14ac:dyDescent="0.35">
      <c r="Q82866" s="1"/>
    </row>
    <row r="82869" spans="16:17" x14ac:dyDescent="0.35">
      <c r="Q82869" s="1"/>
    </row>
    <row r="82875" spans="16:17" x14ac:dyDescent="0.35">
      <c r="P82875" s="1"/>
    </row>
    <row r="82879" spans="16:17" x14ac:dyDescent="0.35">
      <c r="Q82879" s="1"/>
    </row>
    <row r="82882" spans="16:17" x14ac:dyDescent="0.35">
      <c r="Q82882" s="1"/>
    </row>
    <row r="82886" spans="16:17" x14ac:dyDescent="0.35">
      <c r="Q82886" s="1"/>
    </row>
    <row r="82887" spans="16:17" x14ac:dyDescent="0.35">
      <c r="Q82887" s="1"/>
    </row>
    <row r="82889" spans="16:17" x14ac:dyDescent="0.35">
      <c r="Q82889" s="1"/>
    </row>
    <row r="82892" spans="16:17" x14ac:dyDescent="0.35">
      <c r="Q82892" s="1"/>
    </row>
    <row r="82896" spans="16:17" x14ac:dyDescent="0.35">
      <c r="P82896" s="1"/>
    </row>
    <row r="82898" spans="16:17" x14ac:dyDescent="0.35">
      <c r="P82898" s="1"/>
    </row>
    <row r="82899" spans="16:17" x14ac:dyDescent="0.35">
      <c r="P82899" s="1"/>
    </row>
    <row r="82900" spans="16:17" x14ac:dyDescent="0.35">
      <c r="Q82900" s="1"/>
    </row>
    <row r="82901" spans="16:17" x14ac:dyDescent="0.35">
      <c r="Q82901" s="1"/>
    </row>
    <row r="82905" spans="16:17" x14ac:dyDescent="0.35">
      <c r="Q82905" s="1"/>
    </row>
    <row r="82908" spans="16:17" x14ac:dyDescent="0.35">
      <c r="P82908" s="1"/>
    </row>
    <row r="82909" spans="16:17" x14ac:dyDescent="0.35">
      <c r="Q82909" s="1"/>
    </row>
    <row r="82913" spans="16:17" x14ac:dyDescent="0.35">
      <c r="Q82913" s="1"/>
    </row>
    <row r="82914" spans="16:17" x14ac:dyDescent="0.35">
      <c r="P82914" s="1"/>
      <c r="Q82914" s="1"/>
    </row>
    <row r="82915" spans="16:17" x14ac:dyDescent="0.35">
      <c r="Q82915" s="1"/>
    </row>
    <row r="82919" spans="16:17" x14ac:dyDescent="0.35">
      <c r="Q82919" s="1"/>
    </row>
    <row r="82925" spans="16:17" x14ac:dyDescent="0.35">
      <c r="P82925" s="1"/>
      <c r="Q82925" s="1"/>
    </row>
    <row r="82926" spans="16:17" x14ac:dyDescent="0.35">
      <c r="P82926" s="1"/>
      <c r="Q82926" s="1"/>
    </row>
    <row r="82927" spans="16:17" x14ac:dyDescent="0.35">
      <c r="Q82927" s="1"/>
    </row>
    <row r="82932" spans="17:17" x14ac:dyDescent="0.35">
      <c r="Q82932" s="1"/>
    </row>
    <row r="82951" spans="17:17" x14ac:dyDescent="0.35">
      <c r="Q82951" s="1"/>
    </row>
    <row r="82955" spans="17:17" x14ac:dyDescent="0.35">
      <c r="Q82955" s="1"/>
    </row>
    <row r="82957" spans="17:17" x14ac:dyDescent="0.35">
      <c r="Q82957" s="1"/>
    </row>
    <row r="82960" spans="17:17" x14ac:dyDescent="0.35">
      <c r="Q82960" s="1"/>
    </row>
    <row r="82961" spans="16:17" x14ac:dyDescent="0.35">
      <c r="Q82961" s="1"/>
    </row>
    <row r="82962" spans="16:17" x14ac:dyDescent="0.35">
      <c r="Q82962" s="1"/>
    </row>
    <row r="82963" spans="16:17" x14ac:dyDescent="0.35">
      <c r="Q82963" s="1"/>
    </row>
    <row r="82964" spans="16:17" x14ac:dyDescent="0.35">
      <c r="Q82964" s="1"/>
    </row>
    <row r="82969" spans="16:17" x14ac:dyDescent="0.35">
      <c r="Q82969" s="1"/>
    </row>
    <row r="82971" spans="16:17" x14ac:dyDescent="0.35">
      <c r="Q82971" s="1"/>
    </row>
    <row r="82972" spans="16:17" x14ac:dyDescent="0.35">
      <c r="Q82972" s="1"/>
    </row>
    <row r="82973" spans="16:17" x14ac:dyDescent="0.35">
      <c r="P82973" s="1"/>
    </row>
    <row r="82974" spans="16:17" x14ac:dyDescent="0.35">
      <c r="P82974" s="1"/>
    </row>
    <row r="82977" spans="16:17" x14ac:dyDescent="0.35">
      <c r="Q82977" s="1"/>
    </row>
    <row r="82984" spans="16:17" x14ac:dyDescent="0.35">
      <c r="Q82984" s="1"/>
    </row>
    <row r="82985" spans="16:17" x14ac:dyDescent="0.35">
      <c r="Q82985" s="1"/>
    </row>
    <row r="82986" spans="16:17" x14ac:dyDescent="0.35">
      <c r="Q82986" s="1"/>
    </row>
    <row r="82987" spans="16:17" x14ac:dyDescent="0.35">
      <c r="Q82987" s="1"/>
    </row>
    <row r="82989" spans="16:17" x14ac:dyDescent="0.35">
      <c r="Q82989" s="1"/>
    </row>
    <row r="82990" spans="16:17" x14ac:dyDescent="0.35">
      <c r="P82990" s="1"/>
    </row>
    <row r="82991" spans="16:17" x14ac:dyDescent="0.35">
      <c r="Q82991" s="1"/>
    </row>
    <row r="82992" spans="16:17" x14ac:dyDescent="0.35">
      <c r="Q82992" s="1"/>
    </row>
    <row r="82996" spans="17:17" x14ac:dyDescent="0.35">
      <c r="Q82996" s="1"/>
    </row>
    <row r="83003" spans="17:17" x14ac:dyDescent="0.35">
      <c r="Q83003" s="1"/>
    </row>
    <row r="83004" spans="17:17" x14ac:dyDescent="0.35">
      <c r="Q83004" s="1"/>
    </row>
    <row r="83014" spans="17:17" x14ac:dyDescent="0.35">
      <c r="Q83014" s="1"/>
    </row>
    <row r="83015" spans="17:17" x14ac:dyDescent="0.35">
      <c r="Q83015" s="1"/>
    </row>
    <row r="83021" spans="17:17" x14ac:dyDescent="0.35">
      <c r="Q83021" s="1"/>
    </row>
    <row r="83024" spans="17:17" x14ac:dyDescent="0.35">
      <c r="Q83024" s="1"/>
    </row>
    <row r="83028" spans="17:17" x14ac:dyDescent="0.35">
      <c r="Q83028" s="1"/>
    </row>
    <row r="83029" spans="17:17" x14ac:dyDescent="0.35">
      <c r="Q83029" s="1"/>
    </row>
    <row r="83053" spans="17:17" x14ac:dyDescent="0.35">
      <c r="Q83053" s="1"/>
    </row>
    <row r="83055" spans="17:17" x14ac:dyDescent="0.35">
      <c r="Q83055" s="1"/>
    </row>
    <row r="83058" spans="17:17" x14ac:dyDescent="0.35">
      <c r="Q83058" s="1"/>
    </row>
    <row r="83061" spans="17:17" x14ac:dyDescent="0.35">
      <c r="Q83061" s="1"/>
    </row>
    <row r="83066" spans="17:17" x14ac:dyDescent="0.35">
      <c r="Q83066" s="1"/>
    </row>
    <row r="83068" spans="17:17" x14ac:dyDescent="0.35">
      <c r="Q83068" s="1"/>
    </row>
    <row r="83071" spans="17:17" x14ac:dyDescent="0.35">
      <c r="Q83071" s="1"/>
    </row>
    <row r="83077" spans="17:17" x14ac:dyDescent="0.35">
      <c r="Q83077" s="1"/>
    </row>
    <row r="83083" spans="17:17" x14ac:dyDescent="0.35">
      <c r="Q83083" s="1"/>
    </row>
    <row r="83085" spans="17:17" x14ac:dyDescent="0.35">
      <c r="Q83085" s="1"/>
    </row>
    <row r="83086" spans="17:17" x14ac:dyDescent="0.35">
      <c r="Q83086" s="1"/>
    </row>
    <row r="83088" spans="17:17" x14ac:dyDescent="0.35">
      <c r="Q83088" s="1"/>
    </row>
    <row r="83089" spans="17:17" x14ac:dyDescent="0.35">
      <c r="Q83089" s="1"/>
    </row>
    <row r="83091" spans="17:17" x14ac:dyDescent="0.35">
      <c r="Q83091" s="1"/>
    </row>
    <row r="83096" spans="17:17" x14ac:dyDescent="0.35">
      <c r="Q83096" s="1"/>
    </row>
    <row r="83099" spans="17:17" x14ac:dyDescent="0.35">
      <c r="Q83099" s="1"/>
    </row>
    <row r="83107" spans="17:17" x14ac:dyDescent="0.35">
      <c r="Q83107" s="1"/>
    </row>
    <row r="83110" spans="17:17" x14ac:dyDescent="0.35">
      <c r="Q83110" s="1"/>
    </row>
    <row r="83117" spans="17:17" x14ac:dyDescent="0.35">
      <c r="Q83117" s="1"/>
    </row>
    <row r="83126" spans="17:17" x14ac:dyDescent="0.35">
      <c r="Q83126" s="1"/>
    </row>
    <row r="83127" spans="17:17" x14ac:dyDescent="0.35">
      <c r="Q83127" s="1"/>
    </row>
    <row r="83134" spans="17:17" x14ac:dyDescent="0.35">
      <c r="Q83134" s="1"/>
    </row>
    <row r="83135" spans="17:17" x14ac:dyDescent="0.35">
      <c r="Q83135" s="1"/>
    </row>
    <row r="83149" spans="17:17" x14ac:dyDescent="0.35">
      <c r="Q83149" s="1"/>
    </row>
    <row r="83151" spans="17:17" x14ac:dyDescent="0.35">
      <c r="Q83151" s="1"/>
    </row>
    <row r="83161" spans="17:17" x14ac:dyDescent="0.35">
      <c r="Q83161" s="1"/>
    </row>
    <row r="83178" spans="17:17" x14ac:dyDescent="0.35">
      <c r="Q83178" s="1"/>
    </row>
    <row r="83179" spans="17:17" x14ac:dyDescent="0.35">
      <c r="Q83179" s="1"/>
    </row>
    <row r="83182" spans="17:17" x14ac:dyDescent="0.35">
      <c r="Q83182" s="1"/>
    </row>
    <row r="83185" spans="17:17" x14ac:dyDescent="0.35">
      <c r="Q83185" s="1"/>
    </row>
    <row r="83186" spans="17:17" x14ac:dyDescent="0.35">
      <c r="Q83186" s="1"/>
    </row>
    <row r="83190" spans="17:17" x14ac:dyDescent="0.35">
      <c r="Q83190" s="1"/>
    </row>
    <row r="83194" spans="17:17" x14ac:dyDescent="0.35">
      <c r="Q83194" s="1"/>
    </row>
    <row r="83196" spans="17:17" x14ac:dyDescent="0.35">
      <c r="Q83196" s="1"/>
    </row>
    <row r="83199" spans="17:17" x14ac:dyDescent="0.35">
      <c r="Q83199" s="1"/>
    </row>
    <row r="83204" spans="17:17" x14ac:dyDescent="0.35">
      <c r="Q83204" s="1"/>
    </row>
    <row r="83212" spans="17:17" x14ac:dyDescent="0.35">
      <c r="Q83212" s="1"/>
    </row>
    <row r="83219" spans="17:17" x14ac:dyDescent="0.35">
      <c r="Q83219" s="1"/>
    </row>
    <row r="83228" spans="17:17" x14ac:dyDescent="0.35">
      <c r="Q83228" s="1"/>
    </row>
    <row r="83230" spans="17:17" x14ac:dyDescent="0.35">
      <c r="Q83230" s="1"/>
    </row>
    <row r="83232" spans="17:17" x14ac:dyDescent="0.35">
      <c r="Q83232" s="1"/>
    </row>
    <row r="83233" spans="16:17" x14ac:dyDescent="0.35">
      <c r="Q83233" s="1"/>
    </row>
    <row r="83236" spans="16:17" x14ac:dyDescent="0.35">
      <c r="Q83236" s="1"/>
    </row>
    <row r="83238" spans="16:17" x14ac:dyDescent="0.35">
      <c r="P83238" s="1"/>
    </row>
    <row r="83240" spans="16:17" x14ac:dyDescent="0.35">
      <c r="P83240" s="1"/>
    </row>
    <row r="83243" spans="16:17" x14ac:dyDescent="0.35">
      <c r="P83243" s="1"/>
    </row>
    <row r="83248" spans="16:17" x14ac:dyDescent="0.35">
      <c r="Q83248" s="1"/>
    </row>
    <row r="83258" spans="17:17" x14ac:dyDescent="0.35">
      <c r="Q83258" s="1"/>
    </row>
    <row r="83261" spans="17:17" x14ac:dyDescent="0.35">
      <c r="Q83261" s="1"/>
    </row>
    <row r="83264" spans="17:17" x14ac:dyDescent="0.35">
      <c r="Q83264" s="1"/>
    </row>
    <row r="83268" spans="17:17" x14ac:dyDescent="0.35">
      <c r="Q83268" s="1"/>
    </row>
    <row r="83269" spans="17:17" x14ac:dyDescent="0.35">
      <c r="Q83269" s="1"/>
    </row>
    <row r="83273" spans="17:17" x14ac:dyDescent="0.35">
      <c r="Q83273" s="1"/>
    </row>
    <row r="83275" spans="17:17" x14ac:dyDescent="0.35">
      <c r="Q83275" s="1"/>
    </row>
    <row r="83280" spans="17:17" x14ac:dyDescent="0.35">
      <c r="Q83280" s="1"/>
    </row>
    <row r="83282" spans="17:17" x14ac:dyDescent="0.35">
      <c r="Q83282" s="1"/>
    </row>
    <row r="83305" spans="17:17" x14ac:dyDescent="0.35">
      <c r="Q83305" s="1"/>
    </row>
    <row r="83319" spans="17:17" x14ac:dyDescent="0.35">
      <c r="Q83319" s="1"/>
    </row>
    <row r="83320" spans="17:17" x14ac:dyDescent="0.35">
      <c r="Q83320" s="1"/>
    </row>
    <row r="83327" spans="17:17" x14ac:dyDescent="0.35">
      <c r="Q83327" s="1"/>
    </row>
    <row r="83328" spans="17:17" x14ac:dyDescent="0.35">
      <c r="Q83328" s="1"/>
    </row>
    <row r="83333" spans="17:17" x14ac:dyDescent="0.35">
      <c r="Q83333" s="1"/>
    </row>
    <row r="83335" spans="17:17" x14ac:dyDescent="0.35">
      <c r="Q83335" s="1"/>
    </row>
    <row r="83336" spans="17:17" x14ac:dyDescent="0.35">
      <c r="Q83336" s="1"/>
    </row>
    <row r="83340" spans="17:17" x14ac:dyDescent="0.35">
      <c r="Q83340" s="1"/>
    </row>
    <row r="83341" spans="17:17" x14ac:dyDescent="0.35">
      <c r="Q83341" s="1"/>
    </row>
    <row r="83346" spans="17:17" x14ac:dyDescent="0.35">
      <c r="Q83346" s="1"/>
    </row>
    <row r="83350" spans="17:17" x14ac:dyDescent="0.35">
      <c r="Q83350" s="1"/>
    </row>
    <row r="83352" spans="17:17" x14ac:dyDescent="0.35">
      <c r="Q83352" s="1"/>
    </row>
    <row r="83353" spans="17:17" x14ac:dyDescent="0.35">
      <c r="Q83353" s="1"/>
    </row>
    <row r="83361" spans="17:17" x14ac:dyDescent="0.35">
      <c r="Q83361" s="1"/>
    </row>
    <row r="83367" spans="17:17" x14ac:dyDescent="0.35">
      <c r="Q83367" s="1"/>
    </row>
    <row r="83376" spans="17:17" x14ac:dyDescent="0.35">
      <c r="Q83376" s="1"/>
    </row>
    <row r="83383" spans="17:17" x14ac:dyDescent="0.35">
      <c r="Q83383" s="1"/>
    </row>
    <row r="83389" spans="17:17" x14ac:dyDescent="0.35">
      <c r="Q83389" s="1"/>
    </row>
    <row r="83393" spans="17:17" x14ac:dyDescent="0.35">
      <c r="Q83393" s="1"/>
    </row>
    <row r="83419" spans="17:17" x14ac:dyDescent="0.35">
      <c r="Q83419" s="1"/>
    </row>
    <row r="83420" spans="17:17" x14ac:dyDescent="0.35">
      <c r="Q83420" s="1"/>
    </row>
    <row r="83421" spans="17:17" x14ac:dyDescent="0.35">
      <c r="Q83421" s="1"/>
    </row>
    <row r="83424" spans="17:17" x14ac:dyDescent="0.35">
      <c r="Q83424" s="1"/>
    </row>
    <row r="83425" spans="17:17" x14ac:dyDescent="0.35">
      <c r="Q83425" s="1"/>
    </row>
    <row r="83428" spans="17:17" x14ac:dyDescent="0.35">
      <c r="Q83428" s="1"/>
    </row>
    <row r="83430" spans="17:17" x14ac:dyDescent="0.35">
      <c r="Q83430" s="1"/>
    </row>
    <row r="83439" spans="17:17" x14ac:dyDescent="0.35">
      <c r="Q83439" s="1"/>
    </row>
    <row r="83441" spans="17:17" x14ac:dyDescent="0.35">
      <c r="Q83441" s="1"/>
    </row>
    <row r="83447" spans="17:17" x14ac:dyDescent="0.35">
      <c r="Q83447" s="1"/>
    </row>
    <row r="83449" spans="17:17" x14ac:dyDescent="0.35">
      <c r="Q83449" s="1"/>
    </row>
    <row r="83452" spans="17:17" x14ac:dyDescent="0.35">
      <c r="Q83452" s="1"/>
    </row>
    <row r="83457" spans="16:17" x14ac:dyDescent="0.35">
      <c r="Q83457" s="1"/>
    </row>
    <row r="83464" spans="16:17" x14ac:dyDescent="0.35">
      <c r="Q83464" s="1"/>
    </row>
    <row r="83470" spans="16:17" x14ac:dyDescent="0.35">
      <c r="P83470" s="1"/>
    </row>
    <row r="83473" spans="16:17" x14ac:dyDescent="0.35">
      <c r="Q83473" s="1"/>
    </row>
    <row r="83476" spans="16:17" x14ac:dyDescent="0.35">
      <c r="Q83476" s="1"/>
    </row>
    <row r="83479" spans="16:17" x14ac:dyDescent="0.35">
      <c r="Q83479" s="1"/>
    </row>
    <row r="83480" spans="16:17" x14ac:dyDescent="0.35">
      <c r="Q83480" s="1"/>
    </row>
    <row r="83483" spans="16:17" x14ac:dyDescent="0.35">
      <c r="Q83483" s="1"/>
    </row>
    <row r="83487" spans="16:17" x14ac:dyDescent="0.35">
      <c r="P83487" s="1"/>
    </row>
    <row r="83492" spans="17:17" x14ac:dyDescent="0.35">
      <c r="Q83492" s="1"/>
    </row>
    <row r="83495" spans="17:17" x14ac:dyDescent="0.35">
      <c r="Q83495" s="1"/>
    </row>
    <row r="83504" spans="17:17" x14ac:dyDescent="0.35">
      <c r="Q83504" s="1"/>
    </row>
    <row r="83512" spans="17:17" x14ac:dyDescent="0.35">
      <c r="Q83512" s="1"/>
    </row>
    <row r="83518" spans="17:17" x14ac:dyDescent="0.35">
      <c r="Q83518" s="1"/>
    </row>
    <row r="83519" spans="17:17" x14ac:dyDescent="0.35">
      <c r="Q83519" s="1"/>
    </row>
    <row r="83534" spans="17:17" x14ac:dyDescent="0.35">
      <c r="Q83534" s="1"/>
    </row>
    <row r="83541" spans="16:17" x14ac:dyDescent="0.35">
      <c r="Q83541" s="1"/>
    </row>
    <row r="83542" spans="16:17" x14ac:dyDescent="0.35">
      <c r="P83542" s="1"/>
    </row>
    <row r="83544" spans="16:17" x14ac:dyDescent="0.35">
      <c r="Q83544" s="1"/>
    </row>
    <row r="83551" spans="16:17" x14ac:dyDescent="0.35">
      <c r="P83551" s="1"/>
    </row>
    <row r="83555" spans="17:17" x14ac:dyDescent="0.35">
      <c r="Q83555" s="1"/>
    </row>
    <row r="83573" spans="17:17" x14ac:dyDescent="0.35">
      <c r="Q83573" s="1"/>
    </row>
    <row r="83579" spans="17:17" x14ac:dyDescent="0.35">
      <c r="Q83579" s="1"/>
    </row>
    <row r="83593" spans="17:17" x14ac:dyDescent="0.35">
      <c r="Q83593" s="1"/>
    </row>
    <row r="83598" spans="17:17" x14ac:dyDescent="0.35">
      <c r="Q83598" s="1"/>
    </row>
    <row r="83613" spans="17:17" x14ac:dyDescent="0.35">
      <c r="Q83613" s="1"/>
    </row>
    <row r="83616" spans="17:17" x14ac:dyDescent="0.35">
      <c r="Q83616" s="1"/>
    </row>
    <row r="83619" spans="16:17" x14ac:dyDescent="0.35">
      <c r="Q83619" s="1"/>
    </row>
    <row r="83620" spans="16:17" x14ac:dyDescent="0.35">
      <c r="Q83620" s="1"/>
    </row>
    <row r="83629" spans="16:17" x14ac:dyDescent="0.35">
      <c r="P83629" s="1"/>
    </row>
    <row r="83652" spans="17:17" x14ac:dyDescent="0.35">
      <c r="Q83652" s="1"/>
    </row>
    <row r="83656" spans="17:17" x14ac:dyDescent="0.35">
      <c r="Q83656" s="1"/>
    </row>
    <row r="83658" spans="17:17" x14ac:dyDescent="0.35">
      <c r="Q83658" s="1"/>
    </row>
    <row r="83662" spans="17:17" x14ac:dyDescent="0.35">
      <c r="Q83662" s="1"/>
    </row>
    <row r="83674" spans="17:17" x14ac:dyDescent="0.35">
      <c r="Q83674" s="1"/>
    </row>
    <row r="83678" spans="17:17" x14ac:dyDescent="0.35">
      <c r="Q83678" s="1"/>
    </row>
    <row r="83679" spans="17:17" x14ac:dyDescent="0.35">
      <c r="Q83679" s="1"/>
    </row>
    <row r="83689" spans="16:17" x14ac:dyDescent="0.35">
      <c r="P83689" s="1"/>
    </row>
    <row r="83691" spans="16:17" x14ac:dyDescent="0.35">
      <c r="Q83691" s="1"/>
    </row>
    <row r="83696" spans="16:17" x14ac:dyDescent="0.35">
      <c r="Q83696" s="1"/>
    </row>
    <row r="83702" spans="17:17" x14ac:dyDescent="0.35">
      <c r="Q83702" s="1"/>
    </row>
    <row r="83707" spans="17:17" x14ac:dyDescent="0.35">
      <c r="Q83707" s="1"/>
    </row>
    <row r="83711" spans="17:17" x14ac:dyDescent="0.35">
      <c r="Q83711" s="1"/>
    </row>
    <row r="83716" spans="17:17" x14ac:dyDescent="0.35">
      <c r="Q83716" s="1"/>
    </row>
    <row r="83734" spans="17:17" x14ac:dyDescent="0.35">
      <c r="Q83734" s="1"/>
    </row>
    <row r="83741" spans="17:17" x14ac:dyDescent="0.35">
      <c r="Q83741" s="1"/>
    </row>
    <row r="83747" spans="17:17" x14ac:dyDescent="0.35">
      <c r="Q83747" s="1"/>
    </row>
    <row r="83752" spans="17:17" x14ac:dyDescent="0.35">
      <c r="Q83752" s="1"/>
    </row>
    <row r="83759" spans="17:17" x14ac:dyDescent="0.35">
      <c r="Q83759" s="1"/>
    </row>
    <row r="83765" spans="17:17" x14ac:dyDescent="0.35">
      <c r="Q83765" s="1"/>
    </row>
    <row r="83775" spans="17:17" x14ac:dyDescent="0.35">
      <c r="Q83775" s="1"/>
    </row>
    <row r="83784" spans="17:17" x14ac:dyDescent="0.35">
      <c r="Q83784" s="1"/>
    </row>
    <row r="83793" spans="16:17" x14ac:dyDescent="0.35">
      <c r="Q83793" s="1"/>
    </row>
    <row r="83795" spans="16:17" x14ac:dyDescent="0.35">
      <c r="Q83795" s="1"/>
    </row>
    <row r="83799" spans="16:17" x14ac:dyDescent="0.35">
      <c r="P83799" s="1"/>
    </row>
    <row r="83803" spans="16:17" x14ac:dyDescent="0.35">
      <c r="Q83803" s="1"/>
    </row>
    <row r="83804" spans="16:17" x14ac:dyDescent="0.35">
      <c r="Q83804" s="1"/>
    </row>
    <row r="83805" spans="16:17" x14ac:dyDescent="0.35">
      <c r="Q83805" s="1"/>
    </row>
    <row r="83809" spans="17:17" x14ac:dyDescent="0.35">
      <c r="Q83809" s="1"/>
    </row>
    <row r="83812" spans="17:17" x14ac:dyDescent="0.35">
      <c r="Q83812" s="1"/>
    </row>
    <row r="83814" spans="17:17" x14ac:dyDescent="0.35">
      <c r="Q83814" s="1"/>
    </row>
    <row r="83828" spans="17:17" x14ac:dyDescent="0.35">
      <c r="Q83828" s="1"/>
    </row>
    <row r="83850" spans="16:17" x14ac:dyDescent="0.35">
      <c r="Q83850" s="1"/>
    </row>
    <row r="83851" spans="16:17" x14ac:dyDescent="0.35">
      <c r="P83851" s="1"/>
    </row>
    <row r="83855" spans="16:17" x14ac:dyDescent="0.35">
      <c r="Q83855" s="1"/>
    </row>
    <row r="83862" spans="17:17" x14ac:dyDescent="0.35">
      <c r="Q83862" s="1"/>
    </row>
    <row r="83868" spans="17:17" x14ac:dyDescent="0.35">
      <c r="Q83868" s="1"/>
    </row>
    <row r="83872" spans="17:17" x14ac:dyDescent="0.35">
      <c r="Q83872" s="1"/>
    </row>
    <row r="83880" spans="16:16" x14ac:dyDescent="0.35">
      <c r="P83880" s="1"/>
    </row>
    <row r="83892" spans="16:17" x14ac:dyDescent="0.35">
      <c r="P83892" s="1"/>
    </row>
    <row r="83894" spans="16:17" x14ac:dyDescent="0.35">
      <c r="Q83894" s="1"/>
    </row>
    <row r="83907" spans="17:17" x14ac:dyDescent="0.35">
      <c r="Q83907" s="1"/>
    </row>
    <row r="83914" spans="17:17" x14ac:dyDescent="0.35">
      <c r="Q83914" s="1"/>
    </row>
    <row r="83917" spans="17:17" x14ac:dyDescent="0.35">
      <c r="Q83917" s="1"/>
    </row>
    <row r="83922" spans="17:17" x14ac:dyDescent="0.35">
      <c r="Q83922" s="1"/>
    </row>
    <row r="83924" spans="17:17" x14ac:dyDescent="0.35">
      <c r="Q83924" s="1"/>
    </row>
    <row r="83929" spans="17:17" x14ac:dyDescent="0.35">
      <c r="Q83929" s="1"/>
    </row>
    <row r="83931" spans="17:17" x14ac:dyDescent="0.35">
      <c r="Q83931" s="1"/>
    </row>
    <row r="83932" spans="17:17" x14ac:dyDescent="0.35">
      <c r="Q83932" s="1"/>
    </row>
    <row r="83938" spans="16:17" x14ac:dyDescent="0.35">
      <c r="P83938" s="1"/>
    </row>
    <row r="83941" spans="16:17" x14ac:dyDescent="0.35">
      <c r="Q83941" s="1"/>
    </row>
    <row r="83948" spans="16:17" x14ac:dyDescent="0.35">
      <c r="P83948" s="1"/>
    </row>
    <row r="83949" spans="16:17" x14ac:dyDescent="0.35">
      <c r="P83949" s="1"/>
    </row>
    <row r="83959" spans="16:16" x14ac:dyDescent="0.35">
      <c r="P83959" s="1"/>
    </row>
    <row r="83969" spans="17:17" x14ac:dyDescent="0.35">
      <c r="Q83969" s="1"/>
    </row>
    <row r="83975" spans="17:17" x14ac:dyDescent="0.35">
      <c r="Q83975" s="1"/>
    </row>
    <row r="83977" spans="17:17" x14ac:dyDescent="0.35">
      <c r="Q83977" s="1"/>
    </row>
    <row r="83985" spans="17:17" x14ac:dyDescent="0.35">
      <c r="Q83985" s="1"/>
    </row>
    <row r="84001" spans="16:16" x14ac:dyDescent="0.35">
      <c r="P84001" s="1"/>
    </row>
    <row r="84025" spans="17:17" x14ac:dyDescent="0.35">
      <c r="Q84025" s="1"/>
    </row>
    <row r="84052" spans="17:17" x14ac:dyDescent="0.35">
      <c r="Q84052" s="1"/>
    </row>
    <row r="84059" spans="17:17" x14ac:dyDescent="0.35">
      <c r="Q84059" s="1"/>
    </row>
    <row r="84060" spans="17:17" x14ac:dyDescent="0.35">
      <c r="Q84060" s="1"/>
    </row>
    <row r="84061" spans="17:17" x14ac:dyDescent="0.35">
      <c r="Q84061" s="1"/>
    </row>
    <row r="84063" spans="17:17" x14ac:dyDescent="0.35">
      <c r="Q84063" s="1"/>
    </row>
    <row r="84068" spans="17:17" x14ac:dyDescent="0.35">
      <c r="Q84068" s="1"/>
    </row>
    <row r="84092" spans="17:17" x14ac:dyDescent="0.35">
      <c r="Q84092" s="1"/>
    </row>
    <row r="84100" spans="17:17" x14ac:dyDescent="0.35">
      <c r="Q84100" s="1"/>
    </row>
    <row r="84110" spans="17:17" x14ac:dyDescent="0.35">
      <c r="Q84110" s="1"/>
    </row>
    <row r="84114" spans="17:17" x14ac:dyDescent="0.35">
      <c r="Q84114" s="1"/>
    </row>
    <row r="84122" spans="17:17" x14ac:dyDescent="0.35">
      <c r="Q84122" s="1"/>
    </row>
    <row r="84126" spans="17:17" x14ac:dyDescent="0.35">
      <c r="Q84126" s="1"/>
    </row>
    <row r="84129" spans="16:17" x14ac:dyDescent="0.35">
      <c r="Q84129" s="1"/>
    </row>
    <row r="84133" spans="16:17" x14ac:dyDescent="0.35">
      <c r="Q84133" s="1"/>
    </row>
    <row r="84134" spans="16:17" x14ac:dyDescent="0.35">
      <c r="Q84134" s="1"/>
    </row>
    <row r="84136" spans="16:17" x14ac:dyDescent="0.35">
      <c r="Q84136" s="1"/>
    </row>
    <row r="84137" spans="16:17" x14ac:dyDescent="0.35">
      <c r="P84137" s="1"/>
    </row>
    <row r="84138" spans="16:17" x14ac:dyDescent="0.35">
      <c r="Q84138" s="1"/>
    </row>
    <row r="84139" spans="16:17" x14ac:dyDescent="0.35">
      <c r="P84139" s="1"/>
    </row>
    <row r="84140" spans="16:17" x14ac:dyDescent="0.35">
      <c r="Q84140" s="1"/>
    </row>
    <row r="84148" spans="17:17" x14ac:dyDescent="0.35">
      <c r="Q84148" s="1"/>
    </row>
    <row r="84155" spans="17:17" x14ac:dyDescent="0.35">
      <c r="Q84155" s="1"/>
    </row>
    <row r="84161" spans="17:17" x14ac:dyDescent="0.35">
      <c r="Q84161" s="1"/>
    </row>
    <row r="84162" spans="17:17" x14ac:dyDescent="0.35">
      <c r="Q84162" s="1"/>
    </row>
    <row r="84169" spans="17:17" x14ac:dyDescent="0.35">
      <c r="Q84169" s="1"/>
    </row>
    <row r="84176" spans="17:17" x14ac:dyDescent="0.35">
      <c r="Q84176" s="1"/>
    </row>
    <row r="84178" spans="17:17" x14ac:dyDescent="0.35">
      <c r="Q84178" s="1"/>
    </row>
    <row r="84185" spans="17:17" x14ac:dyDescent="0.35">
      <c r="Q84185" s="1"/>
    </row>
    <row r="84189" spans="17:17" x14ac:dyDescent="0.35">
      <c r="Q84189" s="1"/>
    </row>
    <row r="84190" spans="17:17" x14ac:dyDescent="0.35">
      <c r="Q84190" s="1"/>
    </row>
    <row r="84191" spans="17:17" x14ac:dyDescent="0.35">
      <c r="Q84191" s="1"/>
    </row>
    <row r="84192" spans="17:17" x14ac:dyDescent="0.35">
      <c r="Q84192" s="1"/>
    </row>
    <row r="84197" spans="17:17" x14ac:dyDescent="0.35">
      <c r="Q84197" s="1"/>
    </row>
    <row r="84199" spans="17:17" x14ac:dyDescent="0.35">
      <c r="Q84199" s="1"/>
    </row>
    <row r="84208" spans="17:17" x14ac:dyDescent="0.35">
      <c r="Q84208" s="1"/>
    </row>
    <row r="84228" spans="17:17" x14ac:dyDescent="0.35">
      <c r="Q84228" s="1"/>
    </row>
    <row r="84235" spans="17:17" x14ac:dyDescent="0.35">
      <c r="Q84235" s="1"/>
    </row>
    <row r="84237" spans="17:17" x14ac:dyDescent="0.35">
      <c r="Q84237" s="1"/>
    </row>
    <row r="84239" spans="17:17" x14ac:dyDescent="0.35">
      <c r="Q84239" s="1"/>
    </row>
    <row r="84243" spans="17:17" x14ac:dyDescent="0.35">
      <c r="Q84243" s="1"/>
    </row>
    <row r="84244" spans="17:17" x14ac:dyDescent="0.35">
      <c r="Q84244" s="1"/>
    </row>
    <row r="84251" spans="17:17" x14ac:dyDescent="0.35">
      <c r="Q84251" s="1"/>
    </row>
    <row r="84252" spans="17:17" x14ac:dyDescent="0.35">
      <c r="Q84252" s="1"/>
    </row>
    <row r="84256" spans="17:17" x14ac:dyDescent="0.35">
      <c r="Q84256" s="1"/>
    </row>
    <row r="84257" spans="17:17" x14ac:dyDescent="0.35">
      <c r="Q84257" s="1"/>
    </row>
    <row r="84259" spans="17:17" x14ac:dyDescent="0.35">
      <c r="Q84259" s="1"/>
    </row>
    <row r="84260" spans="17:17" x14ac:dyDescent="0.35">
      <c r="Q84260" s="1"/>
    </row>
    <row r="84263" spans="17:17" x14ac:dyDescent="0.35">
      <c r="Q84263" s="1"/>
    </row>
    <row r="84265" spans="17:17" x14ac:dyDescent="0.35">
      <c r="Q84265" s="1"/>
    </row>
    <row r="84267" spans="17:17" x14ac:dyDescent="0.35">
      <c r="Q84267" s="1"/>
    </row>
    <row r="84269" spans="17:17" x14ac:dyDescent="0.35">
      <c r="Q84269" s="1"/>
    </row>
    <row r="84270" spans="17:17" x14ac:dyDescent="0.35">
      <c r="Q84270" s="1"/>
    </row>
    <row r="84278" spans="17:17" x14ac:dyDescent="0.35">
      <c r="Q84278" s="1"/>
    </row>
    <row r="84279" spans="17:17" x14ac:dyDescent="0.35">
      <c r="Q84279" s="1"/>
    </row>
    <row r="84286" spans="17:17" x14ac:dyDescent="0.35">
      <c r="Q84286" s="1"/>
    </row>
    <row r="84296" spans="17:17" x14ac:dyDescent="0.35">
      <c r="Q84296" s="1"/>
    </row>
    <row r="84300" spans="17:17" x14ac:dyDescent="0.35">
      <c r="Q84300" s="1"/>
    </row>
    <row r="84318" spans="17:17" x14ac:dyDescent="0.35">
      <c r="Q84318" s="1"/>
    </row>
    <row r="84336" spans="17:17" x14ac:dyDescent="0.35">
      <c r="Q84336" s="1"/>
    </row>
    <row r="84343" spans="17:17" x14ac:dyDescent="0.35">
      <c r="Q84343" s="1"/>
    </row>
    <row r="84345" spans="17:17" x14ac:dyDescent="0.35">
      <c r="Q84345" s="1"/>
    </row>
    <row r="84349" spans="17:17" x14ac:dyDescent="0.35">
      <c r="Q84349" s="1"/>
    </row>
    <row r="84362" spans="16:17" x14ac:dyDescent="0.35">
      <c r="Q84362" s="1"/>
    </row>
    <row r="84367" spans="16:17" x14ac:dyDescent="0.35">
      <c r="P84367" s="1"/>
    </row>
    <row r="84369" spans="17:17" x14ac:dyDescent="0.35">
      <c r="Q84369" s="1"/>
    </row>
    <row r="84374" spans="17:17" x14ac:dyDescent="0.35">
      <c r="Q84374" s="1"/>
    </row>
    <row r="84379" spans="17:17" x14ac:dyDescent="0.35">
      <c r="Q84379" s="1"/>
    </row>
    <row r="84382" spans="17:17" x14ac:dyDescent="0.35">
      <c r="Q84382" s="1"/>
    </row>
    <row r="84385" spans="17:17" x14ac:dyDescent="0.35">
      <c r="Q84385" s="1"/>
    </row>
    <row r="84388" spans="17:17" x14ac:dyDescent="0.35">
      <c r="Q84388" s="1"/>
    </row>
    <row r="84390" spans="17:17" x14ac:dyDescent="0.35">
      <c r="Q84390" s="1"/>
    </row>
    <row r="84396" spans="17:17" x14ac:dyDescent="0.35">
      <c r="Q84396" s="1"/>
    </row>
    <row r="84398" spans="17:17" x14ac:dyDescent="0.35">
      <c r="Q84398" s="1"/>
    </row>
    <row r="84404" spans="17:17" x14ac:dyDescent="0.35">
      <c r="Q84404" s="1"/>
    </row>
    <row r="84405" spans="17:17" x14ac:dyDescent="0.35">
      <c r="Q84405" s="1"/>
    </row>
    <row r="84406" spans="17:17" x14ac:dyDescent="0.35">
      <c r="Q84406" s="1"/>
    </row>
    <row r="84415" spans="17:17" x14ac:dyDescent="0.35">
      <c r="Q84415" s="1"/>
    </row>
    <row r="84418" spans="17:17" x14ac:dyDescent="0.35">
      <c r="Q84418" s="1"/>
    </row>
    <row r="84427" spans="17:17" x14ac:dyDescent="0.35">
      <c r="Q84427" s="1"/>
    </row>
    <row r="84432" spans="17:17" x14ac:dyDescent="0.35">
      <c r="Q84432" s="1"/>
    </row>
    <row r="84438" spans="17:17" x14ac:dyDescent="0.35">
      <c r="Q84438" s="1"/>
    </row>
    <row r="84441" spans="17:17" x14ac:dyDescent="0.35">
      <c r="Q84441" s="1"/>
    </row>
    <row r="84443" spans="17:17" x14ac:dyDescent="0.35">
      <c r="Q84443" s="1"/>
    </row>
    <row r="84444" spans="17:17" x14ac:dyDescent="0.35">
      <c r="Q84444" s="1"/>
    </row>
    <row r="84449" spans="17:17" x14ac:dyDescent="0.35">
      <c r="Q84449" s="1"/>
    </row>
    <row r="84453" spans="17:17" x14ac:dyDescent="0.35">
      <c r="Q84453" s="1"/>
    </row>
    <row r="84466" spans="17:17" x14ac:dyDescent="0.35">
      <c r="Q84466" s="1"/>
    </row>
    <row r="84475" spans="17:17" x14ac:dyDescent="0.35">
      <c r="Q84475" s="1"/>
    </row>
    <row r="84476" spans="17:17" x14ac:dyDescent="0.35">
      <c r="Q84476" s="1"/>
    </row>
    <row r="84484" spans="16:17" x14ac:dyDescent="0.35">
      <c r="Q84484" s="1"/>
    </row>
    <row r="84488" spans="16:17" x14ac:dyDescent="0.35">
      <c r="Q84488" s="1"/>
    </row>
    <row r="84491" spans="16:17" x14ac:dyDescent="0.35">
      <c r="Q84491" s="1"/>
    </row>
    <row r="84492" spans="16:17" x14ac:dyDescent="0.35">
      <c r="Q84492" s="1"/>
    </row>
    <row r="84496" spans="16:17" x14ac:dyDescent="0.35">
      <c r="P84496" s="1"/>
    </row>
    <row r="84500" spans="17:17" x14ac:dyDescent="0.35">
      <c r="Q84500" s="1"/>
    </row>
    <row r="84513" spans="16:17" x14ac:dyDescent="0.35">
      <c r="Q84513" s="1"/>
    </row>
    <row r="84517" spans="16:17" x14ac:dyDescent="0.35">
      <c r="P84517" s="1"/>
    </row>
    <row r="84527" spans="16:17" x14ac:dyDescent="0.35">
      <c r="Q84527" s="1"/>
    </row>
    <row r="84533" spans="17:17" x14ac:dyDescent="0.35">
      <c r="Q84533" s="1"/>
    </row>
    <row r="84534" spans="17:17" x14ac:dyDescent="0.35">
      <c r="Q84534" s="1"/>
    </row>
    <row r="84537" spans="17:17" x14ac:dyDescent="0.35">
      <c r="Q84537" s="1"/>
    </row>
    <row r="84556" spans="17:17" x14ac:dyDescent="0.35">
      <c r="Q84556" s="1"/>
    </row>
    <row r="84561" spans="16:17" x14ac:dyDescent="0.35">
      <c r="Q84561" s="1"/>
    </row>
    <row r="84570" spans="16:17" x14ac:dyDescent="0.35">
      <c r="P84570" s="1"/>
    </row>
    <row r="84575" spans="16:17" x14ac:dyDescent="0.35">
      <c r="Q84575" s="1"/>
    </row>
    <row r="84577" spans="17:17" x14ac:dyDescent="0.35">
      <c r="Q84577" s="1"/>
    </row>
    <row r="84581" spans="17:17" x14ac:dyDescent="0.35">
      <c r="Q84581" s="1"/>
    </row>
    <row r="84584" spans="17:17" x14ac:dyDescent="0.35">
      <c r="Q84584" s="1"/>
    </row>
    <row r="84601" spans="16:17" x14ac:dyDescent="0.35">
      <c r="Q84601" s="1"/>
    </row>
    <row r="84603" spans="16:17" x14ac:dyDescent="0.35">
      <c r="Q84603" s="1"/>
    </row>
    <row r="84607" spans="16:17" x14ac:dyDescent="0.35">
      <c r="Q84607" s="1"/>
    </row>
    <row r="84608" spans="16:17" x14ac:dyDescent="0.35">
      <c r="P84608" s="1"/>
    </row>
    <row r="84612" spans="17:17" x14ac:dyDescent="0.35">
      <c r="Q84612" s="1"/>
    </row>
    <row r="84615" spans="17:17" x14ac:dyDescent="0.35">
      <c r="Q84615" s="1"/>
    </row>
    <row r="84616" spans="17:17" x14ac:dyDescent="0.35">
      <c r="Q84616" s="1"/>
    </row>
    <row r="84619" spans="17:17" x14ac:dyDescent="0.35">
      <c r="Q84619" s="1"/>
    </row>
    <row r="84624" spans="17:17" x14ac:dyDescent="0.35">
      <c r="Q84624" s="1"/>
    </row>
    <row r="84627" spans="17:17" x14ac:dyDescent="0.35">
      <c r="Q84627" s="1"/>
    </row>
    <row r="84629" spans="17:17" x14ac:dyDescent="0.35">
      <c r="Q84629" s="1"/>
    </row>
    <row r="84632" spans="17:17" x14ac:dyDescent="0.35">
      <c r="Q84632" s="1"/>
    </row>
    <row r="84635" spans="17:17" x14ac:dyDescent="0.35">
      <c r="Q84635" s="1"/>
    </row>
    <row r="84645" spans="16:17" x14ac:dyDescent="0.35">
      <c r="P84645" s="1"/>
    </row>
    <row r="84649" spans="16:17" x14ac:dyDescent="0.35">
      <c r="Q84649" s="1"/>
    </row>
    <row r="84650" spans="16:17" x14ac:dyDescent="0.35">
      <c r="Q84650" s="1"/>
    </row>
    <row r="84653" spans="16:17" x14ac:dyDescent="0.35">
      <c r="Q84653" s="1"/>
    </row>
    <row r="84661" spans="16:17" x14ac:dyDescent="0.35">
      <c r="Q84661" s="1"/>
    </row>
    <row r="84662" spans="16:17" x14ac:dyDescent="0.35">
      <c r="P84662" s="1"/>
    </row>
    <row r="84664" spans="16:17" x14ac:dyDescent="0.35">
      <c r="Q84664" s="1"/>
    </row>
    <row r="84665" spans="16:17" x14ac:dyDescent="0.35">
      <c r="Q84665" s="1"/>
    </row>
    <row r="84667" spans="16:17" x14ac:dyDescent="0.35">
      <c r="Q84667" s="1"/>
    </row>
    <row r="84675" spans="17:17" x14ac:dyDescent="0.35">
      <c r="Q84675" s="1"/>
    </row>
    <row r="84683" spans="17:17" x14ac:dyDescent="0.35">
      <c r="Q84683" s="1"/>
    </row>
    <row r="84686" spans="17:17" x14ac:dyDescent="0.35">
      <c r="Q84686" s="1"/>
    </row>
    <row r="84688" spans="17:17" x14ac:dyDescent="0.35">
      <c r="Q84688" s="1"/>
    </row>
    <row r="84690" spans="17:17" x14ac:dyDescent="0.35">
      <c r="Q84690" s="1"/>
    </row>
    <row r="84699" spans="17:17" x14ac:dyDescent="0.35">
      <c r="Q84699" s="1"/>
    </row>
    <row r="84701" spans="17:17" x14ac:dyDescent="0.35">
      <c r="Q84701" s="1"/>
    </row>
    <row r="84705" spans="17:17" x14ac:dyDescent="0.35">
      <c r="Q84705" s="1"/>
    </row>
    <row r="84709" spans="17:17" x14ac:dyDescent="0.35">
      <c r="Q84709" s="1"/>
    </row>
    <row r="84717" spans="17:17" x14ac:dyDescent="0.35">
      <c r="Q84717" s="1"/>
    </row>
    <row r="84721" spans="17:17" x14ac:dyDescent="0.35">
      <c r="Q84721" s="1"/>
    </row>
    <row r="84724" spans="17:17" x14ac:dyDescent="0.35">
      <c r="Q84724" s="1"/>
    </row>
    <row r="84727" spans="17:17" x14ac:dyDescent="0.35">
      <c r="Q84727" s="1"/>
    </row>
    <row r="84735" spans="17:17" x14ac:dyDescent="0.35">
      <c r="Q84735" s="1"/>
    </row>
    <row r="84741" spans="16:17" x14ac:dyDescent="0.35">
      <c r="Q84741" s="1"/>
    </row>
    <row r="84743" spans="16:17" x14ac:dyDescent="0.35">
      <c r="Q84743" s="1"/>
    </row>
    <row r="84749" spans="16:17" x14ac:dyDescent="0.35">
      <c r="P84749" s="1"/>
      <c r="Q84749" s="1"/>
    </row>
    <row r="84751" spans="16:17" x14ac:dyDescent="0.35">
      <c r="Q84751" s="1"/>
    </row>
    <row r="84762" spans="17:17" x14ac:dyDescent="0.35">
      <c r="Q84762" s="1"/>
    </row>
    <row r="84766" spans="17:17" x14ac:dyDescent="0.35">
      <c r="Q84766" s="1"/>
    </row>
    <row r="84768" spans="17:17" x14ac:dyDescent="0.35">
      <c r="Q84768" s="1"/>
    </row>
    <row r="84773" spans="17:17" x14ac:dyDescent="0.35">
      <c r="Q84773" s="1"/>
    </row>
    <row r="84775" spans="17:17" x14ac:dyDescent="0.35">
      <c r="Q84775" s="1"/>
    </row>
    <row r="84796" spans="16:17" x14ac:dyDescent="0.35">
      <c r="Q84796" s="1"/>
    </row>
    <row r="84798" spans="16:17" x14ac:dyDescent="0.35">
      <c r="P84798" s="1"/>
    </row>
    <row r="84799" spans="16:17" x14ac:dyDescent="0.35">
      <c r="Q84799" s="1"/>
    </row>
    <row r="84812" spans="16:17" x14ac:dyDescent="0.35">
      <c r="Q84812" s="1"/>
    </row>
    <row r="84813" spans="16:17" x14ac:dyDescent="0.35">
      <c r="Q84813" s="1"/>
    </row>
    <row r="84816" spans="16:17" x14ac:dyDescent="0.35">
      <c r="P84816" s="1"/>
    </row>
    <row r="84825" spans="17:17" x14ac:dyDescent="0.35">
      <c r="Q84825" s="1"/>
    </row>
    <row r="84828" spans="17:17" x14ac:dyDescent="0.35">
      <c r="Q84828" s="1"/>
    </row>
    <row r="84829" spans="17:17" x14ac:dyDescent="0.35">
      <c r="Q84829" s="1"/>
    </row>
    <row r="84832" spans="17:17" x14ac:dyDescent="0.35">
      <c r="Q84832" s="1"/>
    </row>
    <row r="84839" spans="17:17" x14ac:dyDescent="0.35">
      <c r="Q84839" s="1"/>
    </row>
    <row r="84843" spans="17:17" x14ac:dyDescent="0.35">
      <c r="Q84843" s="1"/>
    </row>
    <row r="84844" spans="17:17" x14ac:dyDescent="0.35">
      <c r="Q84844" s="1"/>
    </row>
    <row r="84846" spans="17:17" x14ac:dyDescent="0.35">
      <c r="Q84846" s="1"/>
    </row>
    <row r="84848" spans="17:17" x14ac:dyDescent="0.35">
      <c r="Q84848" s="1"/>
    </row>
    <row r="84850" spans="16:17" x14ac:dyDescent="0.35">
      <c r="P84850" s="1"/>
      <c r="Q84850" s="1"/>
    </row>
    <row r="84857" spans="16:17" x14ac:dyDescent="0.35">
      <c r="Q84857" s="1"/>
    </row>
    <row r="84860" spans="16:17" x14ac:dyDescent="0.35">
      <c r="Q84860" s="1"/>
    </row>
    <row r="84866" spans="16:17" x14ac:dyDescent="0.35">
      <c r="Q84866" s="1"/>
    </row>
    <row r="84867" spans="16:17" x14ac:dyDescent="0.35">
      <c r="P84867" s="1"/>
    </row>
    <row r="84868" spans="16:17" x14ac:dyDescent="0.35">
      <c r="Q84868" s="1"/>
    </row>
    <row r="84869" spans="16:17" x14ac:dyDescent="0.35">
      <c r="Q84869" s="1"/>
    </row>
    <row r="84870" spans="16:17" x14ac:dyDescent="0.35">
      <c r="Q84870" s="1"/>
    </row>
    <row r="84877" spans="16:17" x14ac:dyDescent="0.35">
      <c r="Q84877" s="1"/>
    </row>
    <row r="84885" spans="17:17" x14ac:dyDescent="0.35">
      <c r="Q84885" s="1"/>
    </row>
    <row r="84888" spans="17:17" x14ac:dyDescent="0.35">
      <c r="Q84888" s="1"/>
    </row>
    <row r="84893" spans="17:17" x14ac:dyDescent="0.35">
      <c r="Q84893" s="1"/>
    </row>
    <row r="84906" spans="17:17" x14ac:dyDescent="0.35">
      <c r="Q84906" s="1"/>
    </row>
    <row r="84910" spans="17:17" x14ac:dyDescent="0.35">
      <c r="Q84910" s="1"/>
    </row>
    <row r="84913" spans="17:17" x14ac:dyDescent="0.35">
      <c r="Q84913" s="1"/>
    </row>
    <row r="84931" spans="16:17" x14ac:dyDescent="0.35">
      <c r="P84931" s="1"/>
    </row>
    <row r="84937" spans="16:17" x14ac:dyDescent="0.35">
      <c r="Q84937" s="1"/>
    </row>
    <row r="84939" spans="16:17" x14ac:dyDescent="0.35">
      <c r="Q84939" s="1"/>
    </row>
    <row r="84947" spans="16:17" x14ac:dyDescent="0.35">
      <c r="Q84947" s="1"/>
    </row>
    <row r="84949" spans="16:17" x14ac:dyDescent="0.35">
      <c r="P84949" s="1"/>
    </row>
    <row r="84960" spans="16:17" x14ac:dyDescent="0.35">
      <c r="Q84960" s="1"/>
    </row>
    <row r="84961" spans="16:17" x14ac:dyDescent="0.35">
      <c r="P84961" s="1"/>
    </row>
    <row r="84963" spans="16:17" x14ac:dyDescent="0.35">
      <c r="Q84963" s="1"/>
    </row>
    <row r="84964" spans="16:17" x14ac:dyDescent="0.35">
      <c r="Q84964" s="1"/>
    </row>
    <row r="84969" spans="16:17" x14ac:dyDescent="0.35">
      <c r="Q84969" s="1"/>
    </row>
    <row r="84972" spans="16:17" x14ac:dyDescent="0.35">
      <c r="Q84972" s="1"/>
    </row>
    <row r="84979" spans="16:17" x14ac:dyDescent="0.35">
      <c r="Q84979" s="1"/>
    </row>
    <row r="84981" spans="16:17" x14ac:dyDescent="0.35">
      <c r="Q84981" s="1"/>
    </row>
    <row r="84982" spans="16:17" x14ac:dyDescent="0.35">
      <c r="Q84982" s="1"/>
    </row>
    <row r="84984" spans="16:17" x14ac:dyDescent="0.35">
      <c r="P84984" s="1"/>
    </row>
    <row r="84986" spans="16:17" x14ac:dyDescent="0.35">
      <c r="Q84986" s="1"/>
    </row>
    <row r="84989" spans="16:17" x14ac:dyDescent="0.35">
      <c r="Q84989" s="1"/>
    </row>
    <row r="84990" spans="16:17" x14ac:dyDescent="0.35">
      <c r="Q84990" s="1"/>
    </row>
    <row r="84992" spans="16:17" x14ac:dyDescent="0.35">
      <c r="Q84992" s="1"/>
    </row>
    <row r="85001" spans="16:17" x14ac:dyDescent="0.35">
      <c r="Q85001" s="1"/>
    </row>
    <row r="85006" spans="16:17" x14ac:dyDescent="0.35">
      <c r="P85006" s="1"/>
    </row>
    <row r="85007" spans="16:17" x14ac:dyDescent="0.35">
      <c r="P85007" s="1"/>
    </row>
    <row r="85008" spans="16:17" x14ac:dyDescent="0.35">
      <c r="Q85008" s="1"/>
    </row>
    <row r="85014" spans="16:17" x14ac:dyDescent="0.35">
      <c r="Q85014" s="1"/>
    </row>
    <row r="85019" spans="16:17" x14ac:dyDescent="0.35">
      <c r="Q85019" s="1"/>
    </row>
    <row r="85020" spans="16:17" x14ac:dyDescent="0.35">
      <c r="P85020" s="1"/>
    </row>
    <row r="85021" spans="16:17" x14ac:dyDescent="0.35">
      <c r="Q85021" s="1"/>
    </row>
    <row r="85023" spans="16:17" x14ac:dyDescent="0.35">
      <c r="Q85023" s="1"/>
    </row>
    <row r="85027" spans="17:17" x14ac:dyDescent="0.35">
      <c r="Q85027" s="1"/>
    </row>
    <row r="85033" spans="17:17" x14ac:dyDescent="0.35">
      <c r="Q85033" s="1"/>
    </row>
    <row r="85035" spans="17:17" x14ac:dyDescent="0.35">
      <c r="Q85035" s="1"/>
    </row>
    <row r="85036" spans="17:17" x14ac:dyDescent="0.35">
      <c r="Q85036" s="1"/>
    </row>
    <row r="85038" spans="17:17" x14ac:dyDescent="0.35">
      <c r="Q85038" s="1"/>
    </row>
    <row r="85041" spans="17:17" x14ac:dyDescent="0.35">
      <c r="Q85041" s="1"/>
    </row>
    <row r="85042" spans="17:17" x14ac:dyDescent="0.35">
      <c r="Q85042" s="1"/>
    </row>
    <row r="85051" spans="17:17" x14ac:dyDescent="0.35">
      <c r="Q85051" s="1"/>
    </row>
    <row r="85052" spans="17:17" x14ac:dyDescent="0.35">
      <c r="Q85052" s="1"/>
    </row>
    <row r="85053" spans="17:17" x14ac:dyDescent="0.35">
      <c r="Q85053" s="1"/>
    </row>
    <row r="85055" spans="17:17" x14ac:dyDescent="0.35">
      <c r="Q85055" s="1"/>
    </row>
    <row r="85075" spans="17:17" x14ac:dyDescent="0.35">
      <c r="Q85075" s="1"/>
    </row>
    <row r="85089" spans="17:17" x14ac:dyDescent="0.35">
      <c r="Q85089" s="1"/>
    </row>
    <row r="85113" spans="17:17" x14ac:dyDescent="0.35">
      <c r="Q85113" s="1"/>
    </row>
    <row r="85116" spans="17:17" x14ac:dyDescent="0.35">
      <c r="Q85116" s="1"/>
    </row>
    <row r="85117" spans="17:17" x14ac:dyDescent="0.35">
      <c r="Q85117" s="1"/>
    </row>
    <row r="85121" spans="17:17" x14ac:dyDescent="0.35">
      <c r="Q85121" s="1"/>
    </row>
    <row r="85125" spans="17:17" x14ac:dyDescent="0.35">
      <c r="Q85125" s="1"/>
    </row>
    <row r="85128" spans="17:17" x14ac:dyDescent="0.35">
      <c r="Q85128" s="1"/>
    </row>
    <row r="85134" spans="17:17" x14ac:dyDescent="0.35">
      <c r="Q85134" s="1"/>
    </row>
    <row r="85145" spans="16:17" x14ac:dyDescent="0.35">
      <c r="P85145" s="1"/>
    </row>
    <row r="85146" spans="16:17" x14ac:dyDescent="0.35">
      <c r="P85146" s="1"/>
    </row>
    <row r="85148" spans="16:17" x14ac:dyDescent="0.35">
      <c r="Q85148" s="1"/>
    </row>
    <row r="85149" spans="16:17" x14ac:dyDescent="0.35">
      <c r="Q85149" s="1"/>
    </row>
    <row r="85150" spans="16:17" x14ac:dyDescent="0.35">
      <c r="Q85150" s="1"/>
    </row>
    <row r="85151" spans="16:17" x14ac:dyDescent="0.35">
      <c r="Q85151" s="1"/>
    </row>
    <row r="85152" spans="16:17" x14ac:dyDescent="0.35">
      <c r="P85152" s="1"/>
    </row>
    <row r="85157" spans="17:17" x14ac:dyDescent="0.35">
      <c r="Q85157" s="1"/>
    </row>
    <row r="85161" spans="17:17" x14ac:dyDescent="0.35">
      <c r="Q85161" s="1"/>
    </row>
    <row r="85164" spans="17:17" x14ac:dyDescent="0.35">
      <c r="Q85164" s="1"/>
    </row>
    <row r="85168" spans="17:17" x14ac:dyDescent="0.35">
      <c r="Q85168" s="1"/>
    </row>
    <row r="85177" spans="16:17" x14ac:dyDescent="0.35">
      <c r="P85177" s="1"/>
    </row>
    <row r="85180" spans="16:17" x14ac:dyDescent="0.35">
      <c r="P85180" s="1"/>
    </row>
    <row r="85182" spans="16:17" x14ac:dyDescent="0.35">
      <c r="Q85182" s="1"/>
    </row>
    <row r="85186" spans="16:17" x14ac:dyDescent="0.35">
      <c r="P85186" s="1"/>
    </row>
    <row r="85190" spans="16:17" x14ac:dyDescent="0.35">
      <c r="Q85190" s="1"/>
    </row>
    <row r="85195" spans="16:17" x14ac:dyDescent="0.35">
      <c r="Q85195" s="1"/>
    </row>
    <row r="85201" spans="17:17" x14ac:dyDescent="0.35">
      <c r="Q85201" s="1"/>
    </row>
    <row r="85209" spans="17:17" x14ac:dyDescent="0.35">
      <c r="Q85209" s="1"/>
    </row>
    <row r="85214" spans="17:17" x14ac:dyDescent="0.35">
      <c r="Q85214" s="1"/>
    </row>
    <row r="85217" spans="16:17" x14ac:dyDescent="0.35">
      <c r="Q85217" s="1"/>
    </row>
    <row r="85226" spans="16:17" x14ac:dyDescent="0.35">
      <c r="P85226" s="1"/>
    </row>
    <row r="85228" spans="16:17" x14ac:dyDescent="0.35">
      <c r="P85228" s="1"/>
    </row>
    <row r="85229" spans="16:17" x14ac:dyDescent="0.35">
      <c r="P85229" s="1"/>
    </row>
    <row r="85230" spans="16:17" x14ac:dyDescent="0.35">
      <c r="Q85230" s="1"/>
    </row>
    <row r="85232" spans="16:17" x14ac:dyDescent="0.35">
      <c r="P85232" s="1"/>
    </row>
    <row r="85234" spans="16:17" x14ac:dyDescent="0.35">
      <c r="P85234" s="1"/>
    </row>
    <row r="85236" spans="16:17" x14ac:dyDescent="0.35">
      <c r="Q85236" s="1"/>
    </row>
    <row r="85243" spans="16:17" x14ac:dyDescent="0.35">
      <c r="Q85243" s="1"/>
    </row>
    <row r="85264" spans="17:17" x14ac:dyDescent="0.35">
      <c r="Q85264" s="1"/>
    </row>
    <row r="85268" spans="17:17" x14ac:dyDescent="0.35">
      <c r="Q85268" s="1"/>
    </row>
    <row r="85273" spans="17:17" x14ac:dyDescent="0.35">
      <c r="Q85273" s="1"/>
    </row>
    <row r="85275" spans="17:17" x14ac:dyDescent="0.35">
      <c r="Q85275" s="1"/>
    </row>
    <row r="85278" spans="17:17" x14ac:dyDescent="0.35">
      <c r="Q85278" s="1"/>
    </row>
    <row r="85288" spans="17:17" x14ac:dyDescent="0.35">
      <c r="Q85288" s="1"/>
    </row>
    <row r="85294" spans="17:17" x14ac:dyDescent="0.35">
      <c r="Q85294" s="1"/>
    </row>
    <row r="85299" spans="17:17" x14ac:dyDescent="0.35">
      <c r="Q85299" s="1"/>
    </row>
    <row r="85308" spans="17:17" x14ac:dyDescent="0.35">
      <c r="Q85308" s="1"/>
    </row>
    <row r="85311" spans="17:17" x14ac:dyDescent="0.35">
      <c r="Q85311" s="1"/>
    </row>
    <row r="85313" spans="17:17" x14ac:dyDescent="0.35">
      <c r="Q85313" s="1"/>
    </row>
    <row r="85320" spans="17:17" x14ac:dyDescent="0.35">
      <c r="Q85320" s="1"/>
    </row>
    <row r="85337" spans="17:17" x14ac:dyDescent="0.35">
      <c r="Q85337" s="1"/>
    </row>
    <row r="85346" spans="17:17" x14ac:dyDescent="0.35">
      <c r="Q85346" s="1"/>
    </row>
    <row r="85349" spans="17:17" x14ac:dyDescent="0.35">
      <c r="Q85349" s="1"/>
    </row>
    <row r="85355" spans="17:17" x14ac:dyDescent="0.35">
      <c r="Q85355" s="1"/>
    </row>
    <row r="85370" spans="17:17" x14ac:dyDescent="0.35">
      <c r="Q85370" s="1"/>
    </row>
    <row r="85372" spans="17:17" x14ac:dyDescent="0.35">
      <c r="Q85372" s="1"/>
    </row>
    <row r="85373" spans="17:17" x14ac:dyDescent="0.35">
      <c r="Q85373" s="1"/>
    </row>
    <row r="85378" spans="16:17" x14ac:dyDescent="0.35">
      <c r="Q85378" s="1"/>
    </row>
    <row r="85380" spans="16:17" x14ac:dyDescent="0.35">
      <c r="Q85380" s="1"/>
    </row>
    <row r="85382" spans="16:17" x14ac:dyDescent="0.35">
      <c r="P85382" s="1"/>
    </row>
    <row r="85384" spans="16:17" x14ac:dyDescent="0.35">
      <c r="Q85384" s="1"/>
    </row>
    <row r="85385" spans="16:17" x14ac:dyDescent="0.35">
      <c r="P85385" s="1"/>
    </row>
    <row r="85386" spans="16:17" x14ac:dyDescent="0.35">
      <c r="P85386" s="1"/>
    </row>
    <row r="85388" spans="16:17" x14ac:dyDescent="0.35">
      <c r="Q85388" s="1"/>
    </row>
    <row r="85390" spans="16:17" x14ac:dyDescent="0.35">
      <c r="Q85390" s="1"/>
    </row>
    <row r="85392" spans="16:17" x14ac:dyDescent="0.35">
      <c r="Q85392" s="1"/>
    </row>
    <row r="85396" spans="17:17" x14ac:dyDescent="0.35">
      <c r="Q85396" s="1"/>
    </row>
    <row r="85399" spans="17:17" x14ac:dyDescent="0.35">
      <c r="Q85399" s="1"/>
    </row>
    <row r="85407" spans="17:17" x14ac:dyDescent="0.35">
      <c r="Q85407" s="1"/>
    </row>
    <row r="85409" spans="16:17" x14ac:dyDescent="0.35">
      <c r="Q85409" s="1"/>
    </row>
    <row r="85410" spans="16:17" x14ac:dyDescent="0.35">
      <c r="P85410" s="1"/>
      <c r="Q85410" s="1"/>
    </row>
    <row r="85411" spans="16:17" x14ac:dyDescent="0.35">
      <c r="Q85411" s="1"/>
    </row>
    <row r="85415" spans="16:17" x14ac:dyDescent="0.35">
      <c r="Q85415" s="1"/>
    </row>
    <row r="85417" spans="16:17" x14ac:dyDescent="0.35">
      <c r="P85417" s="1"/>
    </row>
    <row r="85418" spans="16:17" x14ac:dyDescent="0.35">
      <c r="Q85418" s="1"/>
    </row>
    <row r="85419" spans="16:17" x14ac:dyDescent="0.35">
      <c r="Q85419" s="1"/>
    </row>
    <row r="85421" spans="16:17" x14ac:dyDescent="0.35">
      <c r="Q85421" s="1"/>
    </row>
    <row r="85423" spans="16:17" x14ac:dyDescent="0.35">
      <c r="Q85423" s="1"/>
    </row>
    <row r="85427" spans="16:17" x14ac:dyDescent="0.35">
      <c r="P85427" s="1"/>
    </row>
    <row r="85430" spans="16:17" x14ac:dyDescent="0.35">
      <c r="Q85430" s="1"/>
    </row>
    <row r="85432" spans="16:17" x14ac:dyDescent="0.35">
      <c r="P85432" s="1"/>
    </row>
    <row r="85435" spans="16:17" x14ac:dyDescent="0.35">
      <c r="Q85435" s="1"/>
    </row>
    <row r="85441" spans="16:17" x14ac:dyDescent="0.35">
      <c r="P85441" s="1"/>
    </row>
    <row r="85443" spans="16:17" x14ac:dyDescent="0.35">
      <c r="Q85443" s="1"/>
    </row>
    <row r="85450" spans="16:17" x14ac:dyDescent="0.35">
      <c r="Q85450" s="1"/>
    </row>
    <row r="85455" spans="16:17" x14ac:dyDescent="0.35">
      <c r="Q85455" s="1"/>
    </row>
    <row r="85459" spans="16:17" x14ac:dyDescent="0.35">
      <c r="Q85459" s="1"/>
    </row>
    <row r="85460" spans="16:17" x14ac:dyDescent="0.35">
      <c r="P85460" s="1"/>
    </row>
    <row r="85463" spans="16:17" x14ac:dyDescent="0.35">
      <c r="Q85463" s="1"/>
    </row>
    <row r="85469" spans="16:17" x14ac:dyDescent="0.35">
      <c r="Q85469" s="1"/>
    </row>
    <row r="85470" spans="16:17" x14ac:dyDescent="0.35">
      <c r="Q85470" s="1"/>
    </row>
    <row r="85475" spans="16:17" x14ac:dyDescent="0.35">
      <c r="P85475" s="1"/>
    </row>
    <row r="85480" spans="16:17" x14ac:dyDescent="0.35">
      <c r="Q85480" s="1"/>
    </row>
    <row r="85483" spans="16:17" x14ac:dyDescent="0.35">
      <c r="Q85483" s="1"/>
    </row>
    <row r="85488" spans="16:17" x14ac:dyDescent="0.35">
      <c r="Q85488" s="1"/>
    </row>
    <row r="85491" spans="17:17" x14ac:dyDescent="0.35">
      <c r="Q85491" s="1"/>
    </row>
    <row r="85495" spans="17:17" x14ac:dyDescent="0.35">
      <c r="Q85495" s="1"/>
    </row>
    <row r="85496" spans="17:17" x14ac:dyDescent="0.35">
      <c r="Q85496" s="1"/>
    </row>
    <row r="85497" spans="17:17" x14ac:dyDescent="0.35">
      <c r="Q85497" s="1"/>
    </row>
    <row r="85503" spans="17:17" x14ac:dyDescent="0.35">
      <c r="Q85503" s="1"/>
    </row>
    <row r="85505" spans="16:17" x14ac:dyDescent="0.35">
      <c r="Q85505" s="1"/>
    </row>
    <row r="85509" spans="16:17" x14ac:dyDescent="0.35">
      <c r="P85509" s="1"/>
    </row>
    <row r="85517" spans="16:17" x14ac:dyDescent="0.35">
      <c r="Q85517" s="1"/>
    </row>
    <row r="85523" spans="17:17" x14ac:dyDescent="0.35">
      <c r="Q85523" s="1"/>
    </row>
    <row r="85525" spans="17:17" x14ac:dyDescent="0.35">
      <c r="Q85525" s="1"/>
    </row>
    <row r="85526" spans="17:17" x14ac:dyDescent="0.35">
      <c r="Q85526" s="1"/>
    </row>
    <row r="85527" spans="17:17" x14ac:dyDescent="0.35">
      <c r="Q85527" s="1"/>
    </row>
    <row r="85530" spans="17:17" x14ac:dyDescent="0.35">
      <c r="Q85530" s="1"/>
    </row>
    <row r="85533" spans="17:17" x14ac:dyDescent="0.35">
      <c r="Q85533" s="1"/>
    </row>
    <row r="85542" spans="17:17" x14ac:dyDescent="0.35">
      <c r="Q85542" s="1"/>
    </row>
    <row r="85544" spans="17:17" x14ac:dyDescent="0.35">
      <c r="Q85544" s="1"/>
    </row>
    <row r="85546" spans="17:17" x14ac:dyDescent="0.35">
      <c r="Q85546" s="1"/>
    </row>
    <row r="85557" spans="16:17" x14ac:dyDescent="0.35">
      <c r="P85557" s="1"/>
    </row>
    <row r="85562" spans="16:17" x14ac:dyDescent="0.35">
      <c r="Q85562" s="1"/>
    </row>
    <row r="85563" spans="16:17" x14ac:dyDescent="0.35">
      <c r="Q85563" s="1"/>
    </row>
    <row r="85567" spans="16:17" x14ac:dyDescent="0.35">
      <c r="P85567" s="1"/>
    </row>
    <row r="85574" spans="17:17" x14ac:dyDescent="0.35">
      <c r="Q85574" s="1"/>
    </row>
    <row r="85575" spans="17:17" x14ac:dyDescent="0.35">
      <c r="Q85575" s="1"/>
    </row>
    <row r="85578" spans="17:17" x14ac:dyDescent="0.35">
      <c r="Q85578" s="1"/>
    </row>
    <row r="85585" spans="17:17" x14ac:dyDescent="0.35">
      <c r="Q85585" s="1"/>
    </row>
    <row r="85586" spans="17:17" x14ac:dyDescent="0.35">
      <c r="Q85586" s="1"/>
    </row>
    <row r="85595" spans="17:17" x14ac:dyDescent="0.35">
      <c r="Q85595" s="1"/>
    </row>
    <row r="85596" spans="17:17" x14ac:dyDescent="0.35">
      <c r="Q85596" s="1"/>
    </row>
    <row r="85600" spans="17:17" x14ac:dyDescent="0.35">
      <c r="Q85600" s="1"/>
    </row>
    <row r="85602" spans="16:17" x14ac:dyDescent="0.35">
      <c r="P85602" s="1"/>
    </row>
    <row r="85613" spans="16:17" x14ac:dyDescent="0.35">
      <c r="P85613" s="1"/>
    </row>
    <row r="85614" spans="16:17" x14ac:dyDescent="0.35">
      <c r="Q85614" s="1"/>
    </row>
    <row r="85618" spans="16:17" x14ac:dyDescent="0.35">
      <c r="Q85618" s="1"/>
    </row>
    <row r="85621" spans="16:17" x14ac:dyDescent="0.35">
      <c r="Q85621" s="1"/>
    </row>
    <row r="85623" spans="16:17" x14ac:dyDescent="0.35">
      <c r="P85623" s="1"/>
    </row>
    <row r="85627" spans="16:17" x14ac:dyDescent="0.35">
      <c r="Q85627" s="1"/>
    </row>
    <row r="85628" spans="16:17" x14ac:dyDescent="0.35">
      <c r="P85628" s="1"/>
      <c r="Q85628" s="1"/>
    </row>
    <row r="85630" spans="16:17" x14ac:dyDescent="0.35">
      <c r="Q85630" s="1"/>
    </row>
    <row r="85635" spans="16:17" x14ac:dyDescent="0.35">
      <c r="Q85635" s="1"/>
    </row>
    <row r="85638" spans="16:17" x14ac:dyDescent="0.35">
      <c r="P85638" s="1"/>
      <c r="Q85638" s="1"/>
    </row>
    <row r="85641" spans="16:17" x14ac:dyDescent="0.35">
      <c r="P85641" s="1"/>
    </row>
    <row r="85659" spans="17:17" x14ac:dyDescent="0.35">
      <c r="Q85659" s="1"/>
    </row>
    <row r="85660" spans="17:17" x14ac:dyDescent="0.35">
      <c r="Q85660" s="1"/>
    </row>
    <row r="85665" spans="17:17" x14ac:dyDescent="0.35">
      <c r="Q85665" s="1"/>
    </row>
    <row r="85668" spans="17:17" x14ac:dyDescent="0.35">
      <c r="Q85668" s="1"/>
    </row>
    <row r="85681" spans="17:17" x14ac:dyDescent="0.35">
      <c r="Q85681" s="1"/>
    </row>
    <row r="85682" spans="17:17" x14ac:dyDescent="0.35">
      <c r="Q85682" s="1"/>
    </row>
    <row r="85685" spans="17:17" x14ac:dyDescent="0.35">
      <c r="Q85685" s="1"/>
    </row>
    <row r="85686" spans="17:17" x14ac:dyDescent="0.35">
      <c r="Q85686" s="1"/>
    </row>
    <row r="85687" spans="17:17" x14ac:dyDescent="0.35">
      <c r="Q85687" s="1"/>
    </row>
    <row r="85688" spans="17:17" x14ac:dyDescent="0.35">
      <c r="Q85688" s="1"/>
    </row>
    <row r="85696" spans="17:17" x14ac:dyDescent="0.35">
      <c r="Q85696" s="1"/>
    </row>
    <row r="85703" spans="16:17" x14ac:dyDescent="0.35">
      <c r="Q85703" s="1"/>
    </row>
    <row r="85704" spans="16:17" x14ac:dyDescent="0.35">
      <c r="Q85704" s="1"/>
    </row>
    <row r="85712" spans="16:17" x14ac:dyDescent="0.35">
      <c r="P85712" s="1"/>
      <c r="Q85712" s="1"/>
    </row>
    <row r="85713" spans="17:17" x14ac:dyDescent="0.35">
      <c r="Q85713" s="1"/>
    </row>
    <row r="85723" spans="17:17" x14ac:dyDescent="0.35">
      <c r="Q85723" s="1"/>
    </row>
    <row r="85724" spans="17:17" x14ac:dyDescent="0.35">
      <c r="Q85724" s="1"/>
    </row>
    <row r="85729" spans="16:17" x14ac:dyDescent="0.35">
      <c r="Q85729" s="1"/>
    </row>
    <row r="85733" spans="16:17" x14ac:dyDescent="0.35">
      <c r="Q85733" s="1"/>
    </row>
    <row r="85734" spans="16:17" x14ac:dyDescent="0.35">
      <c r="Q85734" s="1"/>
    </row>
    <row r="85739" spans="16:17" x14ac:dyDescent="0.35">
      <c r="Q85739" s="1"/>
    </row>
    <row r="85740" spans="16:17" x14ac:dyDescent="0.35">
      <c r="P85740" s="1"/>
      <c r="Q85740" s="1"/>
    </row>
    <row r="85742" spans="16:17" x14ac:dyDescent="0.35">
      <c r="Q85742" s="1"/>
    </row>
    <row r="85743" spans="16:17" x14ac:dyDescent="0.35">
      <c r="Q85743" s="1"/>
    </row>
    <row r="85748" spans="16:17" x14ac:dyDescent="0.35">
      <c r="P85748" s="1"/>
      <c r="Q85748" s="1"/>
    </row>
    <row r="85750" spans="16:17" x14ac:dyDescent="0.35">
      <c r="Q85750" s="1"/>
    </row>
    <row r="85751" spans="16:17" x14ac:dyDescent="0.35">
      <c r="Q85751" s="1"/>
    </row>
    <row r="85755" spans="16:17" x14ac:dyDescent="0.35">
      <c r="Q85755" s="1"/>
    </row>
    <row r="85758" spans="16:17" x14ac:dyDescent="0.35">
      <c r="P85758" s="1"/>
    </row>
    <row r="85761" spans="16:17" x14ac:dyDescent="0.35">
      <c r="Q85761" s="1"/>
    </row>
    <row r="85763" spans="16:17" x14ac:dyDescent="0.35">
      <c r="Q85763" s="1"/>
    </row>
    <row r="85764" spans="16:17" x14ac:dyDescent="0.35">
      <c r="Q85764" s="1"/>
    </row>
    <row r="85765" spans="16:17" x14ac:dyDescent="0.35">
      <c r="Q85765" s="1"/>
    </row>
    <row r="85768" spans="16:17" x14ac:dyDescent="0.35">
      <c r="Q85768" s="1"/>
    </row>
    <row r="85773" spans="16:17" x14ac:dyDescent="0.35">
      <c r="P85773" s="1"/>
    </row>
    <row r="85777" spans="16:17" x14ac:dyDescent="0.35">
      <c r="Q85777" s="1"/>
    </row>
    <row r="85778" spans="16:17" x14ac:dyDescent="0.35">
      <c r="P85778" s="1"/>
      <c r="Q85778" s="1"/>
    </row>
    <row r="85779" spans="16:17" x14ac:dyDescent="0.35">
      <c r="Q85779" s="1"/>
    </row>
    <row r="85781" spans="16:17" x14ac:dyDescent="0.35">
      <c r="Q85781" s="1"/>
    </row>
    <row r="85782" spans="16:17" x14ac:dyDescent="0.35">
      <c r="Q85782" s="1"/>
    </row>
    <row r="85783" spans="16:17" x14ac:dyDescent="0.35">
      <c r="Q85783" s="1"/>
    </row>
    <row r="85786" spans="16:17" x14ac:dyDescent="0.35">
      <c r="Q85786" s="1"/>
    </row>
    <row r="85787" spans="16:17" x14ac:dyDescent="0.35">
      <c r="Q85787" s="1"/>
    </row>
    <row r="85788" spans="16:17" x14ac:dyDescent="0.35">
      <c r="P85788" s="1"/>
    </row>
    <row r="85792" spans="16:17" x14ac:dyDescent="0.35">
      <c r="Q85792" s="1"/>
    </row>
    <row r="85798" spans="17:17" x14ac:dyDescent="0.35">
      <c r="Q85798" s="1"/>
    </row>
    <row r="85801" spans="17:17" x14ac:dyDescent="0.35">
      <c r="Q85801" s="1"/>
    </row>
    <row r="85804" spans="17:17" x14ac:dyDescent="0.35">
      <c r="Q85804" s="1"/>
    </row>
    <row r="85805" spans="17:17" x14ac:dyDescent="0.35">
      <c r="Q85805" s="1"/>
    </row>
    <row r="85810" spans="16:17" x14ac:dyDescent="0.35">
      <c r="Q85810" s="1"/>
    </row>
    <row r="85811" spans="16:17" x14ac:dyDescent="0.35">
      <c r="Q85811" s="1"/>
    </row>
    <row r="85816" spans="16:17" x14ac:dyDescent="0.35">
      <c r="Q85816" s="1"/>
    </row>
    <row r="85824" spans="16:17" x14ac:dyDescent="0.35">
      <c r="P85824" s="1"/>
    </row>
    <row r="85825" spans="17:17" x14ac:dyDescent="0.35">
      <c r="Q85825" s="1"/>
    </row>
    <row r="85826" spans="17:17" x14ac:dyDescent="0.35">
      <c r="Q85826" s="1"/>
    </row>
    <row r="85827" spans="17:17" x14ac:dyDescent="0.35">
      <c r="Q85827" s="1"/>
    </row>
    <row r="85830" spans="17:17" x14ac:dyDescent="0.35">
      <c r="Q85830" s="1"/>
    </row>
    <row r="85831" spans="17:17" x14ac:dyDescent="0.35">
      <c r="Q85831" s="1"/>
    </row>
    <row r="85832" spans="17:17" x14ac:dyDescent="0.35">
      <c r="Q85832" s="1"/>
    </row>
    <row r="85846" spans="17:17" x14ac:dyDescent="0.35">
      <c r="Q85846" s="1"/>
    </row>
    <row r="85847" spans="17:17" x14ac:dyDescent="0.35">
      <c r="Q85847" s="1"/>
    </row>
    <row r="85849" spans="17:17" x14ac:dyDescent="0.35">
      <c r="Q85849" s="1"/>
    </row>
    <row r="85856" spans="17:17" x14ac:dyDescent="0.35">
      <c r="Q85856" s="1"/>
    </row>
    <row r="85858" spans="17:17" x14ac:dyDescent="0.35">
      <c r="Q85858" s="1"/>
    </row>
    <row r="85859" spans="17:17" x14ac:dyDescent="0.35">
      <c r="Q85859" s="1"/>
    </row>
    <row r="85864" spans="17:17" x14ac:dyDescent="0.35">
      <c r="Q85864" s="1"/>
    </row>
    <row r="85866" spans="17:17" x14ac:dyDescent="0.35">
      <c r="Q85866" s="1"/>
    </row>
    <row r="85869" spans="17:17" x14ac:dyDescent="0.35">
      <c r="Q85869" s="1"/>
    </row>
    <row r="85872" spans="17:17" x14ac:dyDescent="0.35">
      <c r="Q85872" s="1"/>
    </row>
    <row r="85873" spans="16:17" x14ac:dyDescent="0.35">
      <c r="Q85873" s="1"/>
    </row>
    <row r="85875" spans="16:17" x14ac:dyDescent="0.35">
      <c r="P85875" s="1"/>
      <c r="Q85875" s="1"/>
    </row>
    <row r="85876" spans="16:17" x14ac:dyDescent="0.35">
      <c r="P85876" s="1"/>
      <c r="Q85876" s="1"/>
    </row>
    <row r="85879" spans="16:17" x14ac:dyDescent="0.35">
      <c r="Q85879" s="1"/>
    </row>
    <row r="85884" spans="16:17" x14ac:dyDescent="0.35">
      <c r="Q85884" s="1"/>
    </row>
    <row r="85886" spans="16:17" x14ac:dyDescent="0.35">
      <c r="Q85886" s="1"/>
    </row>
    <row r="85891" spans="17:17" x14ac:dyDescent="0.35">
      <c r="Q85891" s="1"/>
    </row>
    <row r="85895" spans="17:17" x14ac:dyDescent="0.35">
      <c r="Q85895" s="1"/>
    </row>
    <row r="85896" spans="17:17" x14ac:dyDescent="0.35">
      <c r="Q85896" s="1"/>
    </row>
    <row r="85901" spans="17:17" x14ac:dyDescent="0.35">
      <c r="Q85901" s="1"/>
    </row>
    <row r="85905" spans="16:17" x14ac:dyDescent="0.35">
      <c r="Q85905" s="1"/>
    </row>
    <row r="85910" spans="16:17" x14ac:dyDescent="0.35">
      <c r="Q85910" s="1"/>
    </row>
    <row r="85912" spans="16:17" x14ac:dyDescent="0.35">
      <c r="P85912" s="1"/>
    </row>
    <row r="85916" spans="16:17" x14ac:dyDescent="0.35">
      <c r="Q85916" s="1"/>
    </row>
    <row r="85920" spans="16:17" x14ac:dyDescent="0.35">
      <c r="Q85920" s="1"/>
    </row>
    <row r="85923" spans="17:17" x14ac:dyDescent="0.35">
      <c r="Q85923" s="1"/>
    </row>
    <row r="85926" spans="17:17" x14ac:dyDescent="0.35">
      <c r="Q85926" s="1"/>
    </row>
    <row r="85927" spans="17:17" x14ac:dyDescent="0.35">
      <c r="Q85927" s="1"/>
    </row>
    <row r="85928" spans="17:17" x14ac:dyDescent="0.35">
      <c r="Q85928" s="1"/>
    </row>
    <row r="85929" spans="17:17" x14ac:dyDescent="0.35">
      <c r="Q85929" s="1"/>
    </row>
    <row r="85935" spans="17:17" x14ac:dyDescent="0.35">
      <c r="Q85935" s="1"/>
    </row>
    <row r="85938" spans="16:17" x14ac:dyDescent="0.35">
      <c r="Q85938" s="1"/>
    </row>
    <row r="85943" spans="16:17" x14ac:dyDescent="0.35">
      <c r="P85943" s="1"/>
      <c r="Q85943" s="1"/>
    </row>
    <row r="85946" spans="16:17" x14ac:dyDescent="0.35">
      <c r="Q85946" s="1"/>
    </row>
    <row r="85948" spans="16:17" x14ac:dyDescent="0.35">
      <c r="Q85948" s="1"/>
    </row>
    <row r="85954" spans="16:17" x14ac:dyDescent="0.35">
      <c r="Q85954" s="1"/>
    </row>
    <row r="85957" spans="16:17" x14ac:dyDescent="0.35">
      <c r="P85957" s="1"/>
    </row>
    <row r="85961" spans="16:17" x14ac:dyDescent="0.35">
      <c r="Q85961" s="1"/>
    </row>
    <row r="85962" spans="16:17" x14ac:dyDescent="0.35">
      <c r="Q85962" s="1"/>
    </row>
    <row r="85970" spans="16:17" x14ac:dyDescent="0.35">
      <c r="Q85970" s="1"/>
    </row>
    <row r="85972" spans="16:17" x14ac:dyDescent="0.35">
      <c r="P85972" s="1"/>
      <c r="Q85972" s="1"/>
    </row>
    <row r="85975" spans="16:17" x14ac:dyDescent="0.35">
      <c r="P85975" s="1"/>
    </row>
    <row r="85980" spans="16:17" x14ac:dyDescent="0.35">
      <c r="Q85980" s="1"/>
    </row>
    <row r="85981" spans="16:17" x14ac:dyDescent="0.35">
      <c r="Q85981" s="1"/>
    </row>
    <row r="85986" spans="16:17" x14ac:dyDescent="0.35">
      <c r="P85986" s="1"/>
    </row>
    <row r="85988" spans="16:17" x14ac:dyDescent="0.35">
      <c r="Q85988" s="1"/>
    </row>
    <row r="85989" spans="16:17" x14ac:dyDescent="0.35">
      <c r="Q85989" s="1"/>
    </row>
    <row r="85992" spans="16:17" x14ac:dyDescent="0.35">
      <c r="Q85992" s="1"/>
    </row>
    <row r="85994" spans="16:17" x14ac:dyDescent="0.35">
      <c r="Q85994" s="1"/>
    </row>
    <row r="85999" spans="16:17" x14ac:dyDescent="0.35">
      <c r="Q85999" s="1"/>
    </row>
    <row r="86001" spans="16:17" x14ac:dyDescent="0.35">
      <c r="Q86001" s="1"/>
    </row>
    <row r="86002" spans="16:17" x14ac:dyDescent="0.35">
      <c r="P86002" s="1"/>
    </row>
    <row r="86004" spans="16:17" x14ac:dyDescent="0.35">
      <c r="Q86004" s="1"/>
    </row>
    <row r="86007" spans="16:17" x14ac:dyDescent="0.35">
      <c r="Q86007" s="1"/>
    </row>
    <row r="86011" spans="16:17" x14ac:dyDescent="0.35">
      <c r="Q86011" s="1"/>
    </row>
    <row r="86015" spans="16:17" x14ac:dyDescent="0.35">
      <c r="Q86015" s="1"/>
    </row>
    <row r="86018" spans="16:17" x14ac:dyDescent="0.35">
      <c r="P86018" s="1"/>
    </row>
    <row r="86019" spans="16:17" x14ac:dyDescent="0.35">
      <c r="P86019" s="1"/>
    </row>
    <row r="86020" spans="16:17" x14ac:dyDescent="0.35">
      <c r="Q86020" s="1"/>
    </row>
    <row r="86021" spans="16:17" x14ac:dyDescent="0.35">
      <c r="Q86021" s="1"/>
    </row>
    <row r="86023" spans="16:17" x14ac:dyDescent="0.35">
      <c r="P86023" s="1"/>
    </row>
    <row r="86027" spans="16:17" x14ac:dyDescent="0.35">
      <c r="Q86027" s="1"/>
    </row>
    <row r="86035" spans="16:17" x14ac:dyDescent="0.35">
      <c r="Q86035" s="1"/>
    </row>
    <row r="86037" spans="16:17" x14ac:dyDescent="0.35">
      <c r="Q86037" s="1"/>
    </row>
    <row r="86040" spans="16:17" x14ac:dyDescent="0.35">
      <c r="P86040" s="1"/>
    </row>
    <row r="86044" spans="16:17" x14ac:dyDescent="0.35">
      <c r="Q86044" s="1"/>
    </row>
    <row r="86046" spans="16:17" x14ac:dyDescent="0.35">
      <c r="P86046" s="1"/>
    </row>
    <row r="86050" spans="16:17" x14ac:dyDescent="0.35">
      <c r="P86050" s="1"/>
    </row>
    <row r="86051" spans="16:17" x14ac:dyDescent="0.35">
      <c r="P86051" s="1"/>
    </row>
    <row r="86053" spans="16:17" x14ac:dyDescent="0.35">
      <c r="Q86053" s="1"/>
    </row>
    <row r="86057" spans="16:17" x14ac:dyDescent="0.35">
      <c r="P86057" s="1"/>
      <c r="Q86057" s="1"/>
    </row>
    <row r="86059" spans="16:17" x14ac:dyDescent="0.35">
      <c r="P86059" s="1"/>
    </row>
    <row r="86063" spans="16:17" x14ac:dyDescent="0.35">
      <c r="Q86063" s="1"/>
    </row>
    <row r="86064" spans="16:17" x14ac:dyDescent="0.35">
      <c r="Q86064" s="1"/>
    </row>
    <row r="86065" spans="17:17" x14ac:dyDescent="0.35">
      <c r="Q86065" s="1"/>
    </row>
    <row r="86067" spans="17:17" x14ac:dyDescent="0.35">
      <c r="Q86067" s="1"/>
    </row>
    <row r="86071" spans="17:17" x14ac:dyDescent="0.35">
      <c r="Q86071" s="1"/>
    </row>
    <row r="86072" spans="17:17" x14ac:dyDescent="0.35">
      <c r="Q86072" s="1"/>
    </row>
    <row r="86075" spans="17:17" x14ac:dyDescent="0.35">
      <c r="Q86075" s="1"/>
    </row>
    <row r="86084" spans="17:17" x14ac:dyDescent="0.35">
      <c r="Q86084" s="1"/>
    </row>
    <row r="86098" spans="16:17" x14ac:dyDescent="0.35">
      <c r="Q86098" s="1"/>
    </row>
    <row r="86099" spans="16:17" x14ac:dyDescent="0.35">
      <c r="P86099" s="1"/>
    </row>
    <row r="86102" spans="16:17" x14ac:dyDescent="0.35">
      <c r="Q86102" s="1"/>
    </row>
    <row r="86103" spans="16:17" x14ac:dyDescent="0.35">
      <c r="Q86103" s="1"/>
    </row>
    <row r="86111" spans="16:17" x14ac:dyDescent="0.35">
      <c r="Q86111" s="1"/>
    </row>
    <row r="86115" spans="17:17" x14ac:dyDescent="0.35">
      <c r="Q86115" s="1"/>
    </row>
    <row r="86137" spans="17:17" x14ac:dyDescent="0.35">
      <c r="Q86137" s="1"/>
    </row>
    <row r="86139" spans="17:17" x14ac:dyDescent="0.35">
      <c r="Q86139" s="1"/>
    </row>
    <row r="86140" spans="17:17" x14ac:dyDescent="0.35">
      <c r="Q86140" s="1"/>
    </row>
    <row r="86142" spans="17:17" x14ac:dyDescent="0.35">
      <c r="Q86142" s="1"/>
    </row>
    <row r="86146" spans="17:17" x14ac:dyDescent="0.35">
      <c r="Q86146" s="1"/>
    </row>
    <row r="86150" spans="17:17" x14ac:dyDescent="0.35">
      <c r="Q86150" s="1"/>
    </row>
    <row r="86153" spans="17:17" x14ac:dyDescent="0.35">
      <c r="Q86153" s="1"/>
    </row>
    <row r="86159" spans="17:17" x14ac:dyDescent="0.35">
      <c r="Q86159" s="1"/>
    </row>
    <row r="86160" spans="17:17" x14ac:dyDescent="0.35">
      <c r="Q86160" s="1"/>
    </row>
    <row r="86162" spans="16:17" x14ac:dyDescent="0.35">
      <c r="Q86162" s="1"/>
    </row>
    <row r="86164" spans="16:17" x14ac:dyDescent="0.35">
      <c r="Q86164" s="1"/>
    </row>
    <row r="86165" spans="16:17" x14ac:dyDescent="0.35">
      <c r="P86165" s="1"/>
    </row>
    <row r="86166" spans="16:17" x14ac:dyDescent="0.35">
      <c r="P86166" s="1"/>
    </row>
    <row r="86169" spans="16:17" x14ac:dyDescent="0.35">
      <c r="Q86169" s="1"/>
    </row>
    <row r="86173" spans="16:17" x14ac:dyDescent="0.35">
      <c r="P86173" s="1"/>
      <c r="Q86173" s="1"/>
    </row>
    <row r="86174" spans="16:17" x14ac:dyDescent="0.35">
      <c r="P86174" s="1"/>
      <c r="Q86174" s="1"/>
    </row>
    <row r="86183" spans="17:17" x14ac:dyDescent="0.35">
      <c r="Q86183" s="1"/>
    </row>
    <row r="86195" spans="16:17" x14ac:dyDescent="0.35">
      <c r="P86195" s="1"/>
    </row>
    <row r="86197" spans="16:17" x14ac:dyDescent="0.35">
      <c r="Q86197" s="1"/>
    </row>
    <row r="86200" spans="16:17" x14ac:dyDescent="0.35">
      <c r="Q86200" s="1"/>
    </row>
    <row r="86203" spans="16:17" x14ac:dyDescent="0.35">
      <c r="P86203" s="1"/>
    </row>
    <row r="86206" spans="16:17" x14ac:dyDescent="0.35">
      <c r="Q86206" s="1"/>
    </row>
    <row r="86208" spans="16:17" x14ac:dyDescent="0.35">
      <c r="Q86208" s="1"/>
    </row>
    <row r="86213" spans="17:17" x14ac:dyDescent="0.35">
      <c r="Q86213" s="1"/>
    </row>
    <row r="86215" spans="17:17" x14ac:dyDescent="0.35">
      <c r="Q86215" s="1"/>
    </row>
    <row r="86219" spans="17:17" x14ac:dyDescent="0.35">
      <c r="Q86219" s="1"/>
    </row>
    <row r="86227" spans="17:17" x14ac:dyDescent="0.35">
      <c r="Q86227" s="1"/>
    </row>
    <row r="86231" spans="17:17" x14ac:dyDescent="0.35">
      <c r="Q86231" s="1"/>
    </row>
    <row r="86236" spans="17:17" x14ac:dyDescent="0.35">
      <c r="Q86236" s="1"/>
    </row>
    <row r="86243" spans="16:17" x14ac:dyDescent="0.35">
      <c r="Q86243" s="1"/>
    </row>
    <row r="86244" spans="16:17" x14ac:dyDescent="0.35">
      <c r="P86244" s="1"/>
    </row>
    <row r="86250" spans="16:17" x14ac:dyDescent="0.35">
      <c r="Q86250" s="1"/>
    </row>
    <row r="86251" spans="16:17" x14ac:dyDescent="0.35">
      <c r="Q86251" s="1"/>
    </row>
    <row r="86253" spans="16:17" x14ac:dyDescent="0.35">
      <c r="Q86253" s="1"/>
    </row>
    <row r="86257" spans="16:17" x14ac:dyDescent="0.35">
      <c r="Q86257" s="1"/>
    </row>
    <row r="86262" spans="16:17" x14ac:dyDescent="0.35">
      <c r="Q86262" s="1"/>
    </row>
    <row r="86270" spans="16:17" x14ac:dyDescent="0.35">
      <c r="P86270" s="1"/>
    </row>
    <row r="86277" spans="16:17" x14ac:dyDescent="0.35">
      <c r="Q86277" s="1"/>
    </row>
    <row r="86279" spans="16:17" x14ac:dyDescent="0.35">
      <c r="P86279" s="1"/>
    </row>
    <row r="86284" spans="16:17" x14ac:dyDescent="0.35">
      <c r="Q86284" s="1"/>
    </row>
    <row r="86285" spans="16:17" x14ac:dyDescent="0.35">
      <c r="Q86285" s="1"/>
    </row>
    <row r="86287" spans="16:17" x14ac:dyDescent="0.35">
      <c r="P86287" s="1"/>
    </row>
    <row r="86291" spans="17:17" x14ac:dyDescent="0.35">
      <c r="Q86291" s="1"/>
    </row>
    <row r="86296" spans="17:17" x14ac:dyDescent="0.35">
      <c r="Q86296" s="1"/>
    </row>
    <row r="86304" spans="17:17" x14ac:dyDescent="0.35">
      <c r="Q86304" s="1"/>
    </row>
    <row r="86319" spans="17:17" x14ac:dyDescent="0.35">
      <c r="Q86319" s="1"/>
    </row>
    <row r="86328" spans="16:17" x14ac:dyDescent="0.35">
      <c r="Q86328" s="1"/>
    </row>
    <row r="86329" spans="16:17" x14ac:dyDescent="0.35">
      <c r="Q86329" s="1"/>
    </row>
    <row r="86334" spans="16:17" x14ac:dyDescent="0.35">
      <c r="Q86334" s="1"/>
    </row>
    <row r="86335" spans="16:17" x14ac:dyDescent="0.35">
      <c r="P86335" s="1"/>
    </row>
    <row r="86336" spans="16:17" x14ac:dyDescent="0.35">
      <c r="P86336" s="1"/>
    </row>
    <row r="86337" spans="16:17" x14ac:dyDescent="0.35">
      <c r="P86337" s="1"/>
    </row>
    <row r="86338" spans="16:17" x14ac:dyDescent="0.35">
      <c r="P86338" s="1"/>
    </row>
    <row r="86340" spans="16:17" x14ac:dyDescent="0.35">
      <c r="Q86340" s="1"/>
    </row>
    <row r="86342" spans="16:17" x14ac:dyDescent="0.35">
      <c r="P86342" s="1"/>
    </row>
    <row r="86355" spans="17:17" x14ac:dyDescent="0.35">
      <c r="Q86355" s="1"/>
    </row>
    <row r="86356" spans="17:17" x14ac:dyDescent="0.35">
      <c r="Q86356" s="1"/>
    </row>
    <row r="86379" spans="17:17" x14ac:dyDescent="0.35">
      <c r="Q86379" s="1"/>
    </row>
    <row r="86382" spans="17:17" x14ac:dyDescent="0.35">
      <c r="Q86382" s="1"/>
    </row>
    <row r="86386" spans="17:17" x14ac:dyDescent="0.35">
      <c r="Q86386" s="1"/>
    </row>
    <row r="86393" spans="17:17" x14ac:dyDescent="0.35">
      <c r="Q86393" s="1"/>
    </row>
    <row r="86394" spans="17:17" x14ac:dyDescent="0.35">
      <c r="Q86394" s="1"/>
    </row>
    <row r="86408" spans="17:17" x14ac:dyDescent="0.35">
      <c r="Q86408" s="1"/>
    </row>
    <row r="86409" spans="17:17" x14ac:dyDescent="0.35">
      <c r="Q86409" s="1"/>
    </row>
    <row r="86411" spans="17:17" x14ac:dyDescent="0.35">
      <c r="Q86411" s="1"/>
    </row>
    <row r="86413" spans="17:17" x14ac:dyDescent="0.35">
      <c r="Q86413" s="1"/>
    </row>
    <row r="86416" spans="17:17" x14ac:dyDescent="0.35">
      <c r="Q86416" s="1"/>
    </row>
    <row r="86422" spans="17:17" x14ac:dyDescent="0.35">
      <c r="Q86422" s="1"/>
    </row>
    <row r="86424" spans="17:17" x14ac:dyDescent="0.35">
      <c r="Q86424" s="1"/>
    </row>
    <row r="86427" spans="17:17" x14ac:dyDescent="0.35">
      <c r="Q86427" s="1"/>
    </row>
    <row r="86429" spans="17:17" x14ac:dyDescent="0.35">
      <c r="Q86429" s="1"/>
    </row>
    <row r="86435" spans="16:17" x14ac:dyDescent="0.35">
      <c r="Q86435" s="1"/>
    </row>
    <row r="86438" spans="16:17" x14ac:dyDescent="0.35">
      <c r="P86438" s="1"/>
    </row>
    <row r="86441" spans="16:17" x14ac:dyDescent="0.35">
      <c r="Q86441" s="1"/>
    </row>
    <row r="86443" spans="16:17" x14ac:dyDescent="0.35">
      <c r="Q86443" s="1"/>
    </row>
    <row r="86445" spans="16:17" x14ac:dyDescent="0.35">
      <c r="Q86445" s="1"/>
    </row>
    <row r="86447" spans="16:17" x14ac:dyDescent="0.35">
      <c r="Q86447" s="1"/>
    </row>
    <row r="86459" spans="17:17" x14ac:dyDescent="0.35">
      <c r="Q86459" s="1"/>
    </row>
    <row r="86461" spans="17:17" x14ac:dyDescent="0.35">
      <c r="Q86461" s="1"/>
    </row>
    <row r="86464" spans="17:17" x14ac:dyDescent="0.35">
      <c r="Q86464" s="1"/>
    </row>
    <row r="86470" spans="5:5" x14ac:dyDescent="0.35">
      <c r="E86470" s="2"/>
    </row>
    <row r="86484" spans="17:17" x14ac:dyDescent="0.35">
      <c r="Q86484" s="1"/>
    </row>
    <row r="86485" spans="17:17" x14ac:dyDescent="0.35">
      <c r="Q86485" s="1"/>
    </row>
    <row r="86492" spans="17:17" x14ac:dyDescent="0.35">
      <c r="Q86492" s="1"/>
    </row>
    <row r="86493" spans="17:17" x14ac:dyDescent="0.35">
      <c r="Q86493" s="1"/>
    </row>
    <row r="86494" spans="17:17" x14ac:dyDescent="0.35">
      <c r="Q86494" s="1"/>
    </row>
    <row r="86495" spans="17:17" x14ac:dyDescent="0.35">
      <c r="Q86495" s="1"/>
    </row>
    <row r="86497" spans="17:17" x14ac:dyDescent="0.35">
      <c r="Q86497" s="1"/>
    </row>
    <row r="86498" spans="17:17" x14ac:dyDescent="0.35">
      <c r="Q86498" s="1"/>
    </row>
    <row r="86511" spans="17:17" x14ac:dyDescent="0.35">
      <c r="Q86511" s="1"/>
    </row>
    <row r="86517" spans="16:17" x14ac:dyDescent="0.35">
      <c r="P86517" s="1"/>
    </row>
    <row r="86521" spans="16:17" x14ac:dyDescent="0.35">
      <c r="P86521" s="1"/>
      <c r="Q86521" s="1"/>
    </row>
    <row r="86523" spans="16:17" x14ac:dyDescent="0.35">
      <c r="Q86523" s="1"/>
    </row>
    <row r="86524" spans="16:17" x14ac:dyDescent="0.35">
      <c r="Q86524" s="1"/>
    </row>
    <row r="86527" spans="16:17" x14ac:dyDescent="0.35">
      <c r="Q86527" s="1"/>
    </row>
    <row r="86529" spans="17:17" x14ac:dyDescent="0.35">
      <c r="Q86529" s="1"/>
    </row>
    <row r="86531" spans="17:17" x14ac:dyDescent="0.35">
      <c r="Q86531" s="1"/>
    </row>
    <row r="86533" spans="17:17" x14ac:dyDescent="0.35">
      <c r="Q86533" s="1"/>
    </row>
    <row r="86534" spans="17:17" x14ac:dyDescent="0.35">
      <c r="Q86534" s="1"/>
    </row>
    <row r="86537" spans="17:17" x14ac:dyDescent="0.35">
      <c r="Q86537" s="1"/>
    </row>
    <row r="86543" spans="17:17" x14ac:dyDescent="0.35">
      <c r="Q86543" s="1"/>
    </row>
    <row r="86545" spans="16:17" x14ac:dyDescent="0.35">
      <c r="P86545" s="1"/>
    </row>
    <row r="86555" spans="16:17" x14ac:dyDescent="0.35">
      <c r="Q86555" s="1"/>
    </row>
    <row r="86556" spans="16:17" x14ac:dyDescent="0.35">
      <c r="Q86556" s="1"/>
    </row>
    <row r="86562" spans="17:17" x14ac:dyDescent="0.35">
      <c r="Q86562" s="1"/>
    </row>
    <row r="86566" spans="17:17" x14ac:dyDescent="0.35">
      <c r="Q86566" s="1"/>
    </row>
    <row r="86569" spans="17:17" x14ac:dyDescent="0.35">
      <c r="Q86569" s="1"/>
    </row>
    <row r="86579" spans="16:17" x14ac:dyDescent="0.35">
      <c r="P86579" s="1"/>
    </row>
    <row r="86580" spans="16:17" x14ac:dyDescent="0.35">
      <c r="Q86580" s="1"/>
    </row>
    <row r="86583" spans="16:17" x14ac:dyDescent="0.35">
      <c r="Q86583" s="1"/>
    </row>
    <row r="86584" spans="16:17" x14ac:dyDescent="0.35">
      <c r="P86584" s="1"/>
    </row>
    <row r="86585" spans="16:17" x14ac:dyDescent="0.35">
      <c r="P86585" s="1"/>
    </row>
    <row r="86587" spans="16:17" x14ac:dyDescent="0.35">
      <c r="Q86587" s="1"/>
    </row>
    <row r="86590" spans="16:17" x14ac:dyDescent="0.35">
      <c r="Q86590" s="1"/>
    </row>
    <row r="86592" spans="16:17" x14ac:dyDescent="0.35">
      <c r="Q86592" s="1"/>
    </row>
    <row r="86593" spans="16:17" x14ac:dyDescent="0.35">
      <c r="Q86593" s="1"/>
    </row>
    <row r="86596" spans="16:17" x14ac:dyDescent="0.35">
      <c r="Q86596" s="1"/>
    </row>
    <row r="86598" spans="16:17" x14ac:dyDescent="0.35">
      <c r="Q86598" s="1"/>
    </row>
    <row r="86602" spans="16:17" x14ac:dyDescent="0.35">
      <c r="P86602" s="1"/>
      <c r="Q86602" s="1"/>
    </row>
    <row r="86604" spans="16:17" x14ac:dyDescent="0.35">
      <c r="P86604" s="1"/>
      <c r="Q86604" s="1"/>
    </row>
    <row r="86605" spans="16:17" x14ac:dyDescent="0.35">
      <c r="Q86605" s="1"/>
    </row>
    <row r="86610" spans="17:17" x14ac:dyDescent="0.35">
      <c r="Q86610" s="1"/>
    </row>
    <row r="86616" spans="17:17" x14ac:dyDescent="0.35">
      <c r="Q86616" s="1"/>
    </row>
    <row r="86620" spans="17:17" x14ac:dyDescent="0.35">
      <c r="Q86620" s="1"/>
    </row>
    <row r="86622" spans="17:17" x14ac:dyDescent="0.35">
      <c r="Q86622" s="1"/>
    </row>
    <row r="86626" spans="16:17" x14ac:dyDescent="0.35">
      <c r="Q86626" s="1"/>
    </row>
    <row r="86627" spans="16:17" x14ac:dyDescent="0.35">
      <c r="Q86627" s="1"/>
    </row>
    <row r="86628" spans="16:17" x14ac:dyDescent="0.35">
      <c r="Q86628" s="1"/>
    </row>
    <row r="86636" spans="16:17" x14ac:dyDescent="0.35">
      <c r="P86636" s="1"/>
    </row>
    <row r="86637" spans="16:17" x14ac:dyDescent="0.35">
      <c r="Q86637" s="1"/>
    </row>
    <row r="86644" spans="17:17" x14ac:dyDescent="0.35">
      <c r="Q86644" s="1"/>
    </row>
    <row r="86647" spans="17:17" x14ac:dyDescent="0.35">
      <c r="Q86647" s="1"/>
    </row>
    <row r="86649" spans="17:17" x14ac:dyDescent="0.35">
      <c r="Q86649" s="1"/>
    </row>
    <row r="86651" spans="17:17" x14ac:dyDescent="0.35">
      <c r="Q86651" s="1"/>
    </row>
    <row r="86654" spans="17:17" x14ac:dyDescent="0.35">
      <c r="Q86654" s="1"/>
    </row>
    <row r="86655" spans="17:17" x14ac:dyDescent="0.35">
      <c r="Q86655" s="1"/>
    </row>
    <row r="86660" spans="16:17" x14ac:dyDescent="0.35">
      <c r="Q86660" s="1"/>
    </row>
    <row r="86661" spans="16:17" x14ac:dyDescent="0.35">
      <c r="Q86661" s="1"/>
    </row>
    <row r="86663" spans="16:17" x14ac:dyDescent="0.35">
      <c r="Q86663" s="1"/>
    </row>
    <row r="86666" spans="16:17" x14ac:dyDescent="0.35">
      <c r="P86666" s="1"/>
      <c r="Q86666" s="1"/>
    </row>
    <row r="86670" spans="16:17" x14ac:dyDescent="0.35">
      <c r="P86670" s="1"/>
    </row>
    <row r="86675" spans="16:17" x14ac:dyDescent="0.35">
      <c r="Q86675" s="1"/>
    </row>
    <row r="86677" spans="16:17" x14ac:dyDescent="0.35">
      <c r="P86677" s="1"/>
    </row>
    <row r="86681" spans="16:17" x14ac:dyDescent="0.35">
      <c r="P86681" s="1"/>
    </row>
    <row r="86683" spans="16:17" x14ac:dyDescent="0.35">
      <c r="Q86683" s="1"/>
    </row>
    <row r="86687" spans="16:17" x14ac:dyDescent="0.35">
      <c r="Q86687" s="1"/>
    </row>
    <row r="86688" spans="16:17" x14ac:dyDescent="0.35">
      <c r="Q86688" s="1"/>
    </row>
    <row r="86691" spans="17:17" x14ac:dyDescent="0.35">
      <c r="Q86691" s="1"/>
    </row>
    <row r="86699" spans="17:17" x14ac:dyDescent="0.35">
      <c r="Q86699" s="1"/>
    </row>
    <row r="86704" spans="17:17" x14ac:dyDescent="0.35">
      <c r="Q86704" s="1"/>
    </row>
    <row r="86706" spans="16:17" x14ac:dyDescent="0.35">
      <c r="P86706" s="1"/>
    </row>
    <row r="86707" spans="16:17" x14ac:dyDescent="0.35">
      <c r="P86707" s="1"/>
    </row>
    <row r="86708" spans="16:17" x14ac:dyDescent="0.35">
      <c r="Q86708" s="1"/>
    </row>
    <row r="86709" spans="16:17" x14ac:dyDescent="0.35">
      <c r="Q86709" s="1"/>
    </row>
    <row r="86716" spans="16:17" x14ac:dyDescent="0.35">
      <c r="Q86716" s="1"/>
    </row>
    <row r="86721" spans="16:17" x14ac:dyDescent="0.35">
      <c r="Q86721" s="1"/>
    </row>
    <row r="86722" spans="16:17" x14ac:dyDescent="0.35">
      <c r="Q86722" s="1"/>
    </row>
    <row r="86723" spans="16:17" x14ac:dyDescent="0.35">
      <c r="P86723" s="1"/>
    </row>
    <row r="86725" spans="16:17" x14ac:dyDescent="0.35">
      <c r="Q86725" s="1"/>
    </row>
    <row r="86728" spans="16:17" x14ac:dyDescent="0.35">
      <c r="Q86728" s="1"/>
    </row>
    <row r="86729" spans="16:17" x14ac:dyDescent="0.35">
      <c r="Q86729" s="1"/>
    </row>
    <row r="86732" spans="16:17" x14ac:dyDescent="0.35">
      <c r="Q86732" s="1"/>
    </row>
    <row r="86735" spans="16:17" x14ac:dyDescent="0.35">
      <c r="Q86735" s="1"/>
    </row>
    <row r="86737" spans="17:17" x14ac:dyDescent="0.35">
      <c r="Q86737" s="1"/>
    </row>
    <row r="86740" spans="17:17" x14ac:dyDescent="0.35">
      <c r="Q86740" s="1"/>
    </row>
    <row r="86744" spans="17:17" x14ac:dyDescent="0.35">
      <c r="Q86744" s="1"/>
    </row>
    <row r="86746" spans="17:17" x14ac:dyDescent="0.35">
      <c r="Q86746" s="1"/>
    </row>
    <row r="86750" spans="17:17" x14ac:dyDescent="0.35">
      <c r="Q86750" s="1"/>
    </row>
    <row r="86755" spans="16:17" x14ac:dyDescent="0.35">
      <c r="Q86755" s="1"/>
    </row>
    <row r="86757" spans="16:17" x14ac:dyDescent="0.35">
      <c r="Q86757" s="1"/>
    </row>
    <row r="86758" spans="16:17" x14ac:dyDescent="0.35">
      <c r="P86758" s="1"/>
    </row>
    <row r="86759" spans="16:17" x14ac:dyDescent="0.35">
      <c r="P86759" s="1"/>
    </row>
    <row r="86761" spans="16:17" x14ac:dyDescent="0.35">
      <c r="Q86761" s="1"/>
    </row>
    <row r="86766" spans="16:17" x14ac:dyDescent="0.35">
      <c r="Q86766" s="1"/>
    </row>
    <row r="86778" spans="17:17" x14ac:dyDescent="0.35">
      <c r="Q86778" s="1"/>
    </row>
    <row r="86794" spans="17:17" x14ac:dyDescent="0.35">
      <c r="Q86794" s="1"/>
    </row>
    <row r="86796" spans="17:17" x14ac:dyDescent="0.35">
      <c r="Q86796" s="1"/>
    </row>
    <row r="86797" spans="17:17" x14ac:dyDescent="0.35">
      <c r="Q86797" s="1"/>
    </row>
    <row r="86799" spans="17:17" x14ac:dyDescent="0.35">
      <c r="Q86799" s="1"/>
    </row>
    <row r="86802" spans="5:17" x14ac:dyDescent="0.35">
      <c r="P86802" s="1"/>
    </row>
    <row r="86809" spans="5:17" x14ac:dyDescent="0.35">
      <c r="Q86809" s="1"/>
    </row>
    <row r="86810" spans="5:17" x14ac:dyDescent="0.35">
      <c r="E86810" s="2"/>
    </row>
    <row r="86811" spans="5:17" x14ac:dyDescent="0.35">
      <c r="P86811" s="1"/>
    </row>
    <row r="86812" spans="5:17" x14ac:dyDescent="0.35">
      <c r="Q86812" s="1"/>
    </row>
    <row r="86813" spans="5:17" x14ac:dyDescent="0.35">
      <c r="Q86813" s="1"/>
    </row>
    <row r="86818" spans="5:17" x14ac:dyDescent="0.35">
      <c r="Q86818" s="1"/>
    </row>
    <row r="86820" spans="5:17" x14ac:dyDescent="0.35">
      <c r="Q86820" s="1"/>
    </row>
    <row r="86822" spans="5:17" x14ac:dyDescent="0.35">
      <c r="P86822" s="1"/>
    </row>
    <row r="86824" spans="5:17" x14ac:dyDescent="0.35">
      <c r="E86824" s="2"/>
    </row>
    <row r="86826" spans="5:17" x14ac:dyDescent="0.35">
      <c r="Q86826" s="1"/>
    </row>
    <row r="86828" spans="5:17" x14ac:dyDescent="0.35">
      <c r="Q86828" s="1"/>
    </row>
    <row r="86830" spans="5:17" x14ac:dyDescent="0.35">
      <c r="Q86830" s="1"/>
    </row>
    <row r="86833" spans="5:17" x14ac:dyDescent="0.35">
      <c r="Q86833" s="1"/>
    </row>
    <row r="86837" spans="5:17" x14ac:dyDescent="0.35">
      <c r="Q86837" s="1"/>
    </row>
    <row r="86839" spans="5:17" x14ac:dyDescent="0.35">
      <c r="E86839" s="2"/>
      <c r="Q86839" s="1"/>
    </row>
    <row r="86854" spans="17:17" x14ac:dyDescent="0.35">
      <c r="Q86854" s="1"/>
    </row>
    <row r="86858" spans="17:17" x14ac:dyDescent="0.35">
      <c r="Q86858" s="1"/>
    </row>
    <row r="86859" spans="17:17" x14ac:dyDescent="0.35">
      <c r="Q86859" s="1"/>
    </row>
    <row r="86864" spans="17:17" x14ac:dyDescent="0.35">
      <c r="Q86864" s="1"/>
    </row>
    <row r="86867" spans="16:17" x14ac:dyDescent="0.35">
      <c r="Q86867" s="1"/>
    </row>
    <row r="86869" spans="16:17" x14ac:dyDescent="0.35">
      <c r="P86869" s="1"/>
    </row>
    <row r="86873" spans="16:17" x14ac:dyDescent="0.35">
      <c r="Q86873" s="1"/>
    </row>
    <row r="86878" spans="16:17" x14ac:dyDescent="0.35">
      <c r="Q86878" s="1"/>
    </row>
    <row r="86884" spans="17:17" x14ac:dyDescent="0.35">
      <c r="Q86884" s="1"/>
    </row>
    <row r="86895" spans="17:17" x14ac:dyDescent="0.35">
      <c r="Q86895" s="1"/>
    </row>
    <row r="86897" spans="16:17" x14ac:dyDescent="0.35">
      <c r="P86897" s="1"/>
      <c r="Q86897" s="1"/>
    </row>
    <row r="86910" spans="16:17" x14ac:dyDescent="0.35">
      <c r="Q86910" s="1"/>
    </row>
    <row r="86913" spans="17:17" x14ac:dyDescent="0.35">
      <c r="Q86913" s="1"/>
    </row>
    <row r="86915" spans="17:17" x14ac:dyDescent="0.35">
      <c r="Q86915" s="1"/>
    </row>
    <row r="86919" spans="17:17" x14ac:dyDescent="0.35">
      <c r="Q86919" s="1"/>
    </row>
    <row r="86924" spans="17:17" x14ac:dyDescent="0.35">
      <c r="Q86924" s="1"/>
    </row>
    <row r="86925" spans="17:17" x14ac:dyDescent="0.35">
      <c r="Q86925" s="1"/>
    </row>
    <row r="86932" spans="16:17" x14ac:dyDescent="0.35">
      <c r="Q86932" s="1"/>
    </row>
    <row r="86933" spans="16:17" x14ac:dyDescent="0.35">
      <c r="Q86933" s="1"/>
    </row>
    <row r="86934" spans="16:17" x14ac:dyDescent="0.35">
      <c r="Q86934" s="1"/>
    </row>
    <row r="86936" spans="16:17" x14ac:dyDescent="0.35">
      <c r="Q86936" s="1"/>
    </row>
    <row r="86937" spans="16:17" x14ac:dyDescent="0.35">
      <c r="Q86937" s="1"/>
    </row>
    <row r="86938" spans="16:17" x14ac:dyDescent="0.35">
      <c r="Q86938" s="1"/>
    </row>
    <row r="86940" spans="16:17" x14ac:dyDescent="0.35">
      <c r="P86940" s="1"/>
    </row>
    <row r="86941" spans="16:17" x14ac:dyDescent="0.35">
      <c r="Q86941" s="1"/>
    </row>
    <row r="86945" spans="16:17" x14ac:dyDescent="0.35">
      <c r="Q86945" s="1"/>
    </row>
    <row r="86947" spans="16:17" x14ac:dyDescent="0.35">
      <c r="Q86947" s="1"/>
    </row>
    <row r="86951" spans="16:17" x14ac:dyDescent="0.35">
      <c r="Q86951" s="1"/>
    </row>
    <row r="86952" spans="16:17" x14ac:dyDescent="0.35">
      <c r="P86952" s="1"/>
    </row>
    <row r="86960" spans="16:17" x14ac:dyDescent="0.35">
      <c r="Q86960" s="1"/>
    </row>
    <row r="86962" spans="16:17" x14ac:dyDescent="0.35">
      <c r="Q86962" s="1"/>
    </row>
    <row r="86964" spans="16:17" x14ac:dyDescent="0.35">
      <c r="P86964" s="1"/>
      <c r="Q86964" s="1"/>
    </row>
    <row r="86967" spans="16:17" x14ac:dyDescent="0.35">
      <c r="P86967" s="1"/>
    </row>
    <row r="86969" spans="16:17" x14ac:dyDescent="0.35">
      <c r="Q86969" s="1"/>
    </row>
    <row r="86970" spans="16:17" x14ac:dyDescent="0.35">
      <c r="P86970" s="1"/>
      <c r="Q86970" s="1"/>
    </row>
    <row r="86971" spans="16:17" x14ac:dyDescent="0.35">
      <c r="Q86971" s="1"/>
    </row>
    <row r="86975" spans="16:17" x14ac:dyDescent="0.35">
      <c r="P86975" s="1"/>
      <c r="Q86975" s="1"/>
    </row>
    <row r="86977" spans="16:17" x14ac:dyDescent="0.35">
      <c r="Q86977" s="1"/>
    </row>
    <row r="86978" spans="16:17" x14ac:dyDescent="0.35">
      <c r="Q86978" s="1"/>
    </row>
    <row r="86981" spans="16:17" x14ac:dyDescent="0.35">
      <c r="Q86981" s="1"/>
    </row>
    <row r="86983" spans="16:17" x14ac:dyDescent="0.35">
      <c r="P86983" s="1"/>
      <c r="Q86983" s="1"/>
    </row>
    <row r="86986" spans="16:17" x14ac:dyDescent="0.35">
      <c r="Q86986" s="1"/>
    </row>
    <row r="86987" spans="16:17" x14ac:dyDescent="0.35">
      <c r="P86987" s="1"/>
      <c r="Q86987" s="1"/>
    </row>
    <row r="86988" spans="16:17" x14ac:dyDescent="0.35">
      <c r="P86988" s="1"/>
    </row>
    <row r="86989" spans="16:17" x14ac:dyDescent="0.35">
      <c r="Q86989" s="1"/>
    </row>
    <row r="86994" spans="17:17" x14ac:dyDescent="0.35">
      <c r="Q86994" s="1"/>
    </row>
    <row r="86996" spans="17:17" x14ac:dyDescent="0.35">
      <c r="Q86996" s="1"/>
    </row>
    <row r="87002" spans="17:17" x14ac:dyDescent="0.35">
      <c r="Q87002" s="1"/>
    </row>
    <row r="87004" spans="17:17" x14ac:dyDescent="0.35">
      <c r="Q87004" s="1"/>
    </row>
    <row r="87016" spans="17:17" x14ac:dyDescent="0.35">
      <c r="Q87016" s="1"/>
    </row>
    <row r="87017" spans="17:17" x14ac:dyDescent="0.35">
      <c r="Q87017" s="1"/>
    </row>
    <row r="87018" spans="17:17" x14ac:dyDescent="0.35">
      <c r="Q87018" s="1"/>
    </row>
    <row r="87019" spans="17:17" x14ac:dyDescent="0.35">
      <c r="Q87019" s="1"/>
    </row>
    <row r="87021" spans="17:17" x14ac:dyDescent="0.35">
      <c r="Q87021" s="1"/>
    </row>
    <row r="87023" spans="17:17" x14ac:dyDescent="0.35">
      <c r="Q87023" s="1"/>
    </row>
    <row r="87024" spans="17:17" x14ac:dyDescent="0.35">
      <c r="Q87024" s="1"/>
    </row>
    <row r="87026" spans="17:17" x14ac:dyDescent="0.35">
      <c r="Q87026" s="1"/>
    </row>
    <row r="87027" spans="17:17" x14ac:dyDescent="0.35">
      <c r="Q87027" s="1"/>
    </row>
    <row r="87031" spans="17:17" x14ac:dyDescent="0.35">
      <c r="Q87031" s="1"/>
    </row>
    <row r="87035" spans="17:17" x14ac:dyDescent="0.35">
      <c r="Q87035" s="1"/>
    </row>
    <row r="87036" spans="17:17" x14ac:dyDescent="0.35">
      <c r="Q87036" s="1"/>
    </row>
    <row r="87039" spans="17:17" x14ac:dyDescent="0.35">
      <c r="Q87039" s="1"/>
    </row>
    <row r="87041" spans="17:17" x14ac:dyDescent="0.35">
      <c r="Q87041" s="1"/>
    </row>
    <row r="87042" spans="17:17" x14ac:dyDescent="0.35">
      <c r="Q87042" s="1"/>
    </row>
    <row r="87044" spans="17:17" x14ac:dyDescent="0.35">
      <c r="Q87044" s="1"/>
    </row>
    <row r="87046" spans="17:17" x14ac:dyDescent="0.35">
      <c r="Q87046" s="1"/>
    </row>
    <row r="87047" spans="17:17" x14ac:dyDescent="0.35">
      <c r="Q87047" s="1"/>
    </row>
    <row r="87048" spans="17:17" x14ac:dyDescent="0.35">
      <c r="Q87048" s="1"/>
    </row>
    <row r="87049" spans="17:17" x14ac:dyDescent="0.35">
      <c r="Q87049" s="1"/>
    </row>
    <row r="87050" spans="17:17" x14ac:dyDescent="0.35">
      <c r="Q87050" s="1"/>
    </row>
    <row r="87051" spans="17:17" x14ac:dyDescent="0.35">
      <c r="Q87051" s="1"/>
    </row>
    <row r="87054" spans="17:17" x14ac:dyDescent="0.35">
      <c r="Q87054" s="1"/>
    </row>
    <row r="87055" spans="17:17" x14ac:dyDescent="0.35">
      <c r="Q87055" s="1"/>
    </row>
    <row r="87059" spans="17:17" x14ac:dyDescent="0.35">
      <c r="Q87059" s="1"/>
    </row>
    <row r="87060" spans="17:17" x14ac:dyDescent="0.35">
      <c r="Q87060" s="1"/>
    </row>
    <row r="87061" spans="17:17" x14ac:dyDescent="0.35">
      <c r="Q87061" s="1"/>
    </row>
    <row r="87062" spans="17:17" x14ac:dyDescent="0.35">
      <c r="Q87062" s="1"/>
    </row>
    <row r="87063" spans="17:17" x14ac:dyDescent="0.35">
      <c r="Q87063" s="1"/>
    </row>
    <row r="87064" spans="17:17" x14ac:dyDescent="0.35">
      <c r="Q87064" s="1"/>
    </row>
    <row r="87065" spans="17:17" x14ac:dyDescent="0.35">
      <c r="Q87065" s="1"/>
    </row>
    <row r="87066" spans="17:17" x14ac:dyDescent="0.35">
      <c r="Q87066" s="1"/>
    </row>
    <row r="87067" spans="17:17" x14ac:dyDescent="0.35">
      <c r="Q87067" s="1"/>
    </row>
    <row r="87068" spans="17:17" x14ac:dyDescent="0.35">
      <c r="Q87068" s="1"/>
    </row>
    <row r="87070" spans="17:17" x14ac:dyDescent="0.35">
      <c r="Q87070" s="1"/>
    </row>
    <row r="87071" spans="17:17" x14ac:dyDescent="0.35">
      <c r="Q87071" s="1"/>
    </row>
    <row r="87072" spans="17:17" x14ac:dyDescent="0.35">
      <c r="Q87072" s="1"/>
    </row>
    <row r="87073" spans="17:17" x14ac:dyDescent="0.35">
      <c r="Q87073" s="1"/>
    </row>
    <row r="87074" spans="17:17" x14ac:dyDescent="0.35">
      <c r="Q87074" s="1"/>
    </row>
    <row r="87075" spans="17:17" x14ac:dyDescent="0.35">
      <c r="Q87075" s="1"/>
    </row>
    <row r="87077" spans="17:17" x14ac:dyDescent="0.35">
      <c r="Q87077" s="1"/>
    </row>
    <row r="87079" spans="17:17" x14ac:dyDescent="0.35">
      <c r="Q87079" s="1"/>
    </row>
    <row r="87080" spans="17:17" x14ac:dyDescent="0.35">
      <c r="Q87080" s="1"/>
    </row>
    <row r="87081" spans="17:17" x14ac:dyDescent="0.35">
      <c r="Q87081" s="1"/>
    </row>
    <row r="87082" spans="17:17" x14ac:dyDescent="0.35">
      <c r="Q87082" s="1"/>
    </row>
    <row r="87083" spans="17:17" x14ac:dyDescent="0.35">
      <c r="Q87083" s="1"/>
    </row>
    <row r="87084" spans="17:17" x14ac:dyDescent="0.35">
      <c r="Q87084" s="1"/>
    </row>
    <row r="87085" spans="17:17" x14ac:dyDescent="0.35">
      <c r="Q87085" s="1"/>
    </row>
    <row r="87086" spans="17:17" x14ac:dyDescent="0.35">
      <c r="Q87086" s="1"/>
    </row>
    <row r="87087" spans="17:17" x14ac:dyDescent="0.35">
      <c r="Q87087" s="1"/>
    </row>
    <row r="87088" spans="17:17" x14ac:dyDescent="0.35">
      <c r="Q87088" s="1"/>
    </row>
    <row r="87089" spans="17:17" x14ac:dyDescent="0.35">
      <c r="Q87089" s="1"/>
    </row>
    <row r="87090" spans="17:17" x14ac:dyDescent="0.35">
      <c r="Q87090" s="1"/>
    </row>
    <row r="87092" spans="17:17" x14ac:dyDescent="0.35">
      <c r="Q87092" s="1"/>
    </row>
    <row r="87093" spans="17:17" x14ac:dyDescent="0.35">
      <c r="Q87093" s="1"/>
    </row>
    <row r="87094" spans="17:17" x14ac:dyDescent="0.35">
      <c r="Q87094" s="1"/>
    </row>
    <row r="87095" spans="17:17" x14ac:dyDescent="0.35">
      <c r="Q87095" s="1"/>
    </row>
    <row r="87096" spans="17:17" x14ac:dyDescent="0.35">
      <c r="Q87096" s="1"/>
    </row>
    <row r="87097" spans="17:17" x14ac:dyDescent="0.35">
      <c r="Q87097" s="1"/>
    </row>
    <row r="87099" spans="17:17" x14ac:dyDescent="0.35">
      <c r="Q87099" s="1"/>
    </row>
    <row r="87106" spans="17:17" x14ac:dyDescent="0.35">
      <c r="Q87106" s="1"/>
    </row>
    <row r="87107" spans="17:17" x14ac:dyDescent="0.35">
      <c r="Q87107" s="1"/>
    </row>
    <row r="87111" spans="17:17" x14ac:dyDescent="0.35">
      <c r="Q87111" s="1"/>
    </row>
    <row r="87116" spans="17:17" x14ac:dyDescent="0.35">
      <c r="Q87116" s="1"/>
    </row>
    <row r="87119" spans="17:17" x14ac:dyDescent="0.35">
      <c r="Q87119" s="1"/>
    </row>
    <row r="87122" spans="17:17" x14ac:dyDescent="0.35">
      <c r="Q87122" s="1"/>
    </row>
    <row r="87136" spans="17:17" x14ac:dyDescent="0.35">
      <c r="Q87136" s="1"/>
    </row>
    <row r="87137" spans="17:17" x14ac:dyDescent="0.35">
      <c r="Q87137" s="1"/>
    </row>
    <row r="87142" spans="17:17" x14ac:dyDescent="0.35">
      <c r="Q87142" s="1"/>
    </row>
    <row r="87153" spans="17:17" x14ac:dyDescent="0.35">
      <c r="Q87153" s="1"/>
    </row>
    <row r="87166" spans="17:17" x14ac:dyDescent="0.35">
      <c r="Q87166" s="1"/>
    </row>
    <row r="87177" spans="17:17" x14ac:dyDescent="0.35">
      <c r="Q87177" s="1"/>
    </row>
    <row r="87179" spans="17:17" x14ac:dyDescent="0.35">
      <c r="Q87179" s="1"/>
    </row>
    <row r="87181" spans="17:17" x14ac:dyDescent="0.35">
      <c r="Q87181" s="1"/>
    </row>
    <row r="87187" spans="17:17" x14ac:dyDescent="0.35">
      <c r="Q87187" s="1"/>
    </row>
    <row r="87192" spans="17:17" x14ac:dyDescent="0.35">
      <c r="Q87192" s="1"/>
    </row>
    <row r="87193" spans="17:17" x14ac:dyDescent="0.35">
      <c r="Q87193" s="1"/>
    </row>
    <row r="87202" spans="17:17" x14ac:dyDescent="0.35">
      <c r="Q87202" s="1"/>
    </row>
    <row r="87204" spans="17:17" x14ac:dyDescent="0.35">
      <c r="Q87204" s="1"/>
    </row>
    <row r="87207" spans="17:17" x14ac:dyDescent="0.35">
      <c r="Q87207" s="1"/>
    </row>
    <row r="87209" spans="17:17" x14ac:dyDescent="0.35">
      <c r="Q87209" s="1"/>
    </row>
    <row r="87213" spans="17:17" x14ac:dyDescent="0.35">
      <c r="Q87213" s="1"/>
    </row>
    <row r="87214" spans="17:17" x14ac:dyDescent="0.35">
      <c r="Q87214" s="1"/>
    </row>
    <row r="87217" spans="17:17" x14ac:dyDescent="0.35">
      <c r="Q87217" s="1"/>
    </row>
    <row r="87218" spans="17:17" x14ac:dyDescent="0.35">
      <c r="Q87218" s="1"/>
    </row>
    <row r="87223" spans="17:17" x14ac:dyDescent="0.35">
      <c r="Q87223" s="1"/>
    </row>
    <row r="87227" spans="17:17" x14ac:dyDescent="0.35">
      <c r="Q87227" s="1"/>
    </row>
    <row r="87231" spans="17:17" x14ac:dyDescent="0.35">
      <c r="Q87231" s="1"/>
    </row>
    <row r="87239" spans="17:17" x14ac:dyDescent="0.35">
      <c r="Q87239" s="1"/>
    </row>
    <row r="87240" spans="17:17" x14ac:dyDescent="0.35">
      <c r="Q87240" s="1"/>
    </row>
    <row r="87251" spans="17:17" x14ac:dyDescent="0.35">
      <c r="Q87251" s="1"/>
    </row>
    <row r="87256" spans="17:17" x14ac:dyDescent="0.35">
      <c r="Q87256" s="1"/>
    </row>
    <row r="87263" spans="17:17" x14ac:dyDescent="0.35">
      <c r="Q87263" s="1"/>
    </row>
    <row r="87264" spans="17:17" x14ac:dyDescent="0.35">
      <c r="Q87264" s="1"/>
    </row>
    <row r="87266" spans="17:17" x14ac:dyDescent="0.35">
      <c r="Q87266" s="1"/>
    </row>
    <row r="87267" spans="17:17" x14ac:dyDescent="0.35">
      <c r="Q87267" s="1"/>
    </row>
    <row r="87273" spans="17:17" x14ac:dyDescent="0.35">
      <c r="Q87273" s="1"/>
    </row>
    <row r="87276" spans="17:17" x14ac:dyDescent="0.35">
      <c r="Q87276" s="1"/>
    </row>
    <row r="87278" spans="17:17" x14ac:dyDescent="0.35">
      <c r="Q87278" s="1"/>
    </row>
    <row r="87282" spans="17:17" x14ac:dyDescent="0.35">
      <c r="Q87282" s="1"/>
    </row>
    <row r="87284" spans="17:17" x14ac:dyDescent="0.35">
      <c r="Q87284" s="1"/>
    </row>
    <row r="87291" spans="17:17" x14ac:dyDescent="0.35">
      <c r="Q87291" s="1"/>
    </row>
    <row r="87292" spans="17:17" x14ac:dyDescent="0.35">
      <c r="Q87292" s="1"/>
    </row>
    <row r="87293" spans="17:17" x14ac:dyDescent="0.35">
      <c r="Q87293" s="1"/>
    </row>
    <row r="87294" spans="17:17" x14ac:dyDescent="0.35">
      <c r="Q87294" s="1"/>
    </row>
    <row r="87295" spans="17:17" x14ac:dyDescent="0.35">
      <c r="Q87295" s="1"/>
    </row>
    <row r="87296" spans="17:17" x14ac:dyDescent="0.35">
      <c r="Q87296" s="1"/>
    </row>
    <row r="87297" spans="17:17" x14ac:dyDescent="0.35">
      <c r="Q87297" s="1"/>
    </row>
    <row r="87298" spans="17:17" x14ac:dyDescent="0.35">
      <c r="Q87298" s="1"/>
    </row>
    <row r="87306" spans="17:17" x14ac:dyDescent="0.35">
      <c r="Q87306" s="1"/>
    </row>
    <row r="87314" spans="17:17" x14ac:dyDescent="0.35">
      <c r="Q87314" s="1"/>
    </row>
    <row r="87315" spans="17:17" x14ac:dyDescent="0.35">
      <c r="Q87315" s="1"/>
    </row>
    <row r="87317" spans="17:17" x14ac:dyDescent="0.35">
      <c r="Q87317" s="1"/>
    </row>
    <row r="87322" spans="17:17" x14ac:dyDescent="0.35">
      <c r="Q87322" s="1"/>
    </row>
    <row r="87328" spans="17:17" x14ac:dyDescent="0.35">
      <c r="Q87328" s="1"/>
    </row>
    <row r="87333" spans="17:17" x14ac:dyDescent="0.35">
      <c r="Q87333" s="1"/>
    </row>
    <row r="87337" spans="17:17" x14ac:dyDescent="0.35">
      <c r="Q87337" s="1"/>
    </row>
    <row r="87338" spans="17:17" x14ac:dyDescent="0.35">
      <c r="Q87338" s="1"/>
    </row>
    <row r="87340" spans="17:17" x14ac:dyDescent="0.35">
      <c r="Q87340" s="1"/>
    </row>
    <row r="87341" spans="17:17" x14ac:dyDescent="0.35">
      <c r="Q87341" s="1"/>
    </row>
    <row r="87345" spans="17:17" x14ac:dyDescent="0.35">
      <c r="Q87345" s="1"/>
    </row>
    <row r="87347" spans="17:17" x14ac:dyDescent="0.35">
      <c r="Q87347" s="1"/>
    </row>
    <row r="87349" spans="17:17" x14ac:dyDescent="0.35">
      <c r="Q87349" s="1"/>
    </row>
    <row r="87351" spans="17:17" x14ac:dyDescent="0.35">
      <c r="Q87351" s="1"/>
    </row>
    <row r="87353" spans="17:17" x14ac:dyDescent="0.35">
      <c r="Q87353" s="1"/>
    </row>
    <row r="87355" spans="17:17" x14ac:dyDescent="0.35">
      <c r="Q87355" s="1"/>
    </row>
    <row r="87356" spans="17:17" x14ac:dyDescent="0.35">
      <c r="Q87356" s="1"/>
    </row>
    <row r="87363" spans="17:17" x14ac:dyDescent="0.35">
      <c r="Q87363" s="1"/>
    </row>
    <row r="87374" spans="17:17" x14ac:dyDescent="0.35">
      <c r="Q87374" s="1"/>
    </row>
    <row r="87375" spans="17:17" x14ac:dyDescent="0.35">
      <c r="Q87375" s="1"/>
    </row>
    <row r="87376" spans="17:17" x14ac:dyDescent="0.35">
      <c r="Q87376" s="1"/>
    </row>
    <row r="87378" spans="16:17" x14ac:dyDescent="0.35">
      <c r="P87378" s="1"/>
    </row>
    <row r="87382" spans="16:17" x14ac:dyDescent="0.35">
      <c r="Q87382" s="1"/>
    </row>
    <row r="87387" spans="16:17" x14ac:dyDescent="0.35">
      <c r="Q87387" s="1"/>
    </row>
    <row r="87390" spans="16:17" x14ac:dyDescent="0.35">
      <c r="Q87390" s="1"/>
    </row>
    <row r="87391" spans="16:17" x14ac:dyDescent="0.35">
      <c r="Q87391" s="1"/>
    </row>
    <row r="87394" spans="17:17" x14ac:dyDescent="0.35">
      <c r="Q87394" s="1"/>
    </row>
    <row r="87397" spans="17:17" x14ac:dyDescent="0.35">
      <c r="Q87397" s="1"/>
    </row>
    <row r="87398" spans="17:17" x14ac:dyDescent="0.35">
      <c r="Q87398" s="1"/>
    </row>
    <row r="87408" spans="17:17" x14ac:dyDescent="0.35">
      <c r="Q87408" s="1"/>
    </row>
    <row r="87414" spans="17:17" x14ac:dyDescent="0.35">
      <c r="Q87414" s="1"/>
    </row>
    <row r="87424" spans="17:17" x14ac:dyDescent="0.35">
      <c r="Q87424" s="1"/>
    </row>
    <row r="87426" spans="17:17" x14ac:dyDescent="0.35">
      <c r="Q87426" s="1"/>
    </row>
    <row r="87429" spans="17:17" x14ac:dyDescent="0.35">
      <c r="Q87429" s="1"/>
    </row>
    <row r="87437" spans="17:17" x14ac:dyDescent="0.35">
      <c r="Q87437" s="1"/>
    </row>
    <row r="87440" spans="17:17" x14ac:dyDescent="0.35">
      <c r="Q87440" s="1"/>
    </row>
    <row r="87442" spans="17:17" x14ac:dyDescent="0.35">
      <c r="Q87442" s="1"/>
    </row>
    <row r="87443" spans="17:17" x14ac:dyDescent="0.35">
      <c r="Q87443" s="1"/>
    </row>
    <row r="87444" spans="17:17" x14ac:dyDescent="0.35">
      <c r="Q87444" s="1"/>
    </row>
    <row r="87445" spans="17:17" x14ac:dyDescent="0.35">
      <c r="Q87445" s="1"/>
    </row>
    <row r="87451" spans="17:17" x14ac:dyDescent="0.35">
      <c r="Q87451" s="1"/>
    </row>
    <row r="87452" spans="17:17" x14ac:dyDescent="0.35">
      <c r="Q87452" s="1"/>
    </row>
    <row r="87454" spans="17:17" x14ac:dyDescent="0.35">
      <c r="Q87454" s="1"/>
    </row>
    <row r="87455" spans="17:17" x14ac:dyDescent="0.35">
      <c r="Q87455" s="1"/>
    </row>
    <row r="87464" spans="17:17" x14ac:dyDescent="0.35">
      <c r="Q87464" s="1"/>
    </row>
    <row r="87469" spans="17:17" x14ac:dyDescent="0.35">
      <c r="Q87469" s="1"/>
    </row>
    <row r="87475" spans="17:17" x14ac:dyDescent="0.35">
      <c r="Q87475" s="1"/>
    </row>
    <row r="87483" spans="17:17" x14ac:dyDescent="0.35">
      <c r="Q87483" s="1"/>
    </row>
    <row r="87484" spans="17:17" x14ac:dyDescent="0.35">
      <c r="Q87484" s="1"/>
    </row>
    <row r="87487" spans="17:17" x14ac:dyDescent="0.35">
      <c r="Q87487" s="1"/>
    </row>
    <row r="87494" spans="17:17" x14ac:dyDescent="0.35">
      <c r="Q87494" s="1"/>
    </row>
    <row r="87498" spans="17:17" x14ac:dyDescent="0.35">
      <c r="Q87498" s="1"/>
    </row>
    <row r="87500" spans="17:17" x14ac:dyDescent="0.35">
      <c r="Q87500" s="1"/>
    </row>
    <row r="87501" spans="17:17" x14ac:dyDescent="0.35">
      <c r="Q87501" s="1"/>
    </row>
    <row r="87505" spans="17:17" x14ac:dyDescent="0.35">
      <c r="Q87505" s="1"/>
    </row>
    <row r="87510" spans="17:17" x14ac:dyDescent="0.35">
      <c r="Q87510" s="1"/>
    </row>
    <row r="87515" spans="17:17" x14ac:dyDescent="0.35">
      <c r="Q87515" s="1"/>
    </row>
    <row r="87518" spans="17:17" x14ac:dyDescent="0.35">
      <c r="Q87518" s="1"/>
    </row>
    <row r="87526" spans="17:17" x14ac:dyDescent="0.35">
      <c r="Q87526" s="1"/>
    </row>
    <row r="87529" spans="17:17" x14ac:dyDescent="0.35">
      <c r="Q87529" s="1"/>
    </row>
    <row r="87537" spans="17:17" x14ac:dyDescent="0.35">
      <c r="Q87537" s="1"/>
    </row>
    <row r="87558" spans="17:17" x14ac:dyDescent="0.35">
      <c r="Q87558" s="1"/>
    </row>
    <row r="87560" spans="17:17" x14ac:dyDescent="0.35">
      <c r="Q87560" s="1"/>
    </row>
    <row r="87565" spans="17:17" x14ac:dyDescent="0.35">
      <c r="Q87565" s="1"/>
    </row>
    <row r="87571" spans="17:17" x14ac:dyDescent="0.35">
      <c r="Q87571" s="1"/>
    </row>
    <row r="87572" spans="17:17" x14ac:dyDescent="0.35">
      <c r="Q87572" s="1"/>
    </row>
    <row r="87573" spans="17:17" x14ac:dyDescent="0.35">
      <c r="Q87573" s="1"/>
    </row>
    <row r="87574" spans="17:17" x14ac:dyDescent="0.35">
      <c r="Q87574" s="1"/>
    </row>
    <row r="87581" spans="17:17" x14ac:dyDescent="0.35">
      <c r="Q87581" s="1"/>
    </row>
    <row r="87584" spans="17:17" x14ac:dyDescent="0.35">
      <c r="Q87584" s="1"/>
    </row>
    <row r="87586" spans="17:17" x14ac:dyDescent="0.35">
      <c r="Q87586" s="1"/>
    </row>
    <row r="87587" spans="17:17" x14ac:dyDescent="0.35">
      <c r="Q87587" s="1"/>
    </row>
    <row r="87588" spans="17:17" x14ac:dyDescent="0.35">
      <c r="Q87588" s="1"/>
    </row>
    <row r="87592" spans="17:17" x14ac:dyDescent="0.35">
      <c r="Q87592" s="1"/>
    </row>
    <row r="87595" spans="17:17" x14ac:dyDescent="0.35">
      <c r="Q87595" s="1"/>
    </row>
    <row r="87615" spans="17:17" x14ac:dyDescent="0.35">
      <c r="Q87615" s="1"/>
    </row>
    <row r="87617" spans="11:17" x14ac:dyDescent="0.35">
      <c r="Q87617" s="1"/>
    </row>
    <row r="87621" spans="11:17" x14ac:dyDescent="0.35">
      <c r="Q87621" s="1"/>
    </row>
    <row r="87623" spans="11:17" x14ac:dyDescent="0.35">
      <c r="Q87623" s="1"/>
    </row>
    <row r="87625" spans="11:17" x14ac:dyDescent="0.35">
      <c r="Q87625" s="1"/>
    </row>
    <row r="87626" spans="11:17" x14ac:dyDescent="0.35">
      <c r="Q87626" s="1"/>
    </row>
    <row r="87628" spans="11:17" x14ac:dyDescent="0.35">
      <c r="Q87628" s="1"/>
    </row>
    <row r="87631" spans="11:17" x14ac:dyDescent="0.35">
      <c r="K87631" s="1"/>
    </row>
    <row r="87633" spans="17:17" x14ac:dyDescent="0.35">
      <c r="Q87633" s="1"/>
    </row>
    <row r="87634" spans="17:17" x14ac:dyDescent="0.35">
      <c r="Q87634" s="1"/>
    </row>
    <row r="87635" spans="17:17" x14ac:dyDescent="0.35">
      <c r="Q87635" s="1"/>
    </row>
    <row r="87643" spans="17:17" x14ac:dyDescent="0.35">
      <c r="Q87643" s="1"/>
    </row>
    <row r="87648" spans="17:17" x14ac:dyDescent="0.35">
      <c r="Q87648" s="1"/>
    </row>
    <row r="87653" spans="17:17" x14ac:dyDescent="0.35">
      <c r="Q87653" s="1"/>
    </row>
    <row r="87659" spans="17:17" x14ac:dyDescent="0.35">
      <c r="Q87659" s="1"/>
    </row>
    <row r="87665" spans="17:17" x14ac:dyDescent="0.35">
      <c r="Q87665" s="1"/>
    </row>
    <row r="87672" spans="17:17" x14ac:dyDescent="0.35">
      <c r="Q87672" s="1"/>
    </row>
    <row r="87676" spans="17:17" x14ac:dyDescent="0.35">
      <c r="Q87676" s="1"/>
    </row>
    <row r="87678" spans="17:17" x14ac:dyDescent="0.35">
      <c r="Q87678" s="1"/>
    </row>
    <row r="87681" spans="17:17" x14ac:dyDescent="0.35">
      <c r="Q87681" s="1"/>
    </row>
    <row r="87682" spans="17:17" x14ac:dyDescent="0.35">
      <c r="Q87682" s="1"/>
    </row>
    <row r="87683" spans="17:17" x14ac:dyDescent="0.35">
      <c r="Q87683" s="1"/>
    </row>
    <row r="87686" spans="17:17" x14ac:dyDescent="0.35">
      <c r="Q87686" s="1"/>
    </row>
    <row r="87688" spans="17:17" x14ac:dyDescent="0.35">
      <c r="Q87688" s="1"/>
    </row>
    <row r="87693" spans="17:17" x14ac:dyDescent="0.35">
      <c r="Q87693" s="1"/>
    </row>
    <row r="87694" spans="17:17" x14ac:dyDescent="0.35">
      <c r="Q87694" s="1"/>
    </row>
    <row r="87699" spans="17:17" x14ac:dyDescent="0.35">
      <c r="Q87699" s="1"/>
    </row>
    <row r="87701" spans="17:17" x14ac:dyDescent="0.35">
      <c r="Q87701" s="1"/>
    </row>
    <row r="87704" spans="17:17" x14ac:dyDescent="0.35">
      <c r="Q87704" s="1"/>
    </row>
    <row r="87705" spans="17:17" x14ac:dyDescent="0.35">
      <c r="Q87705" s="1"/>
    </row>
    <row r="87706" spans="17:17" x14ac:dyDescent="0.35">
      <c r="Q87706" s="1"/>
    </row>
    <row r="87711" spans="17:17" x14ac:dyDescent="0.35">
      <c r="Q87711" s="1"/>
    </row>
    <row r="87715" spans="17:17" x14ac:dyDescent="0.35">
      <c r="Q87715" s="1"/>
    </row>
    <row r="87717" spans="17:17" x14ac:dyDescent="0.35">
      <c r="Q87717" s="1"/>
    </row>
    <row r="87724" spans="17:17" x14ac:dyDescent="0.35">
      <c r="Q87724" s="1"/>
    </row>
    <row r="87728" spans="17:17" x14ac:dyDescent="0.35">
      <c r="Q87728" s="1"/>
    </row>
    <row r="87730" spans="17:17" x14ac:dyDescent="0.35">
      <c r="Q87730" s="1"/>
    </row>
    <row r="87734" spans="17:17" x14ac:dyDescent="0.35">
      <c r="Q87734" s="1"/>
    </row>
    <row r="87736" spans="17:17" x14ac:dyDescent="0.35">
      <c r="Q87736" s="1"/>
    </row>
    <row r="87737" spans="17:17" x14ac:dyDescent="0.35">
      <c r="Q87737" s="1"/>
    </row>
    <row r="87741" spans="17:17" x14ac:dyDescent="0.35">
      <c r="Q87741" s="1"/>
    </row>
    <row r="87745" spans="17:17" x14ac:dyDescent="0.35">
      <c r="Q87745" s="1"/>
    </row>
    <row r="87746" spans="17:17" x14ac:dyDescent="0.35">
      <c r="Q87746" s="1"/>
    </row>
    <row r="87747" spans="17:17" x14ac:dyDescent="0.35">
      <c r="Q87747" s="1"/>
    </row>
    <row r="87750" spans="17:17" x14ac:dyDescent="0.35">
      <c r="Q87750" s="1"/>
    </row>
    <row r="87751" spans="17:17" x14ac:dyDescent="0.35">
      <c r="Q87751" s="1"/>
    </row>
    <row r="87757" spans="17:17" x14ac:dyDescent="0.35">
      <c r="Q87757" s="1"/>
    </row>
    <row r="87758" spans="17:17" x14ac:dyDescent="0.35">
      <c r="Q87758" s="1"/>
    </row>
    <row r="87761" spans="17:17" x14ac:dyDescent="0.35">
      <c r="Q87761" s="1"/>
    </row>
    <row r="87766" spans="17:17" x14ac:dyDescent="0.35">
      <c r="Q87766" s="1"/>
    </row>
    <row r="87768" spans="17:17" x14ac:dyDescent="0.35">
      <c r="Q87768" s="1"/>
    </row>
    <row r="87774" spans="17:17" x14ac:dyDescent="0.35">
      <c r="Q87774" s="1"/>
    </row>
    <row r="87778" spans="17:17" x14ac:dyDescent="0.35">
      <c r="Q87778" s="1"/>
    </row>
    <row r="87781" spans="17:17" x14ac:dyDescent="0.35">
      <c r="Q87781" s="1"/>
    </row>
    <row r="87783" spans="17:17" x14ac:dyDescent="0.35">
      <c r="Q87783" s="1"/>
    </row>
    <row r="87784" spans="17:17" x14ac:dyDescent="0.35">
      <c r="Q87784" s="1"/>
    </row>
    <row r="87786" spans="17:17" x14ac:dyDescent="0.35">
      <c r="Q87786" s="1"/>
    </row>
    <row r="87787" spans="17:17" x14ac:dyDescent="0.35">
      <c r="Q87787" s="1"/>
    </row>
    <row r="87789" spans="17:17" x14ac:dyDescent="0.35">
      <c r="Q87789" s="1"/>
    </row>
    <row r="87790" spans="17:17" x14ac:dyDescent="0.35">
      <c r="Q87790" s="1"/>
    </row>
    <row r="87791" spans="17:17" x14ac:dyDescent="0.35">
      <c r="Q87791" s="1"/>
    </row>
    <row r="87792" spans="17:17" x14ac:dyDescent="0.35">
      <c r="Q87792" s="1"/>
    </row>
    <row r="87793" spans="17:17" x14ac:dyDescent="0.35">
      <c r="Q87793" s="1"/>
    </row>
    <row r="87794" spans="17:17" x14ac:dyDescent="0.35">
      <c r="Q87794" s="1"/>
    </row>
    <row r="87796" spans="17:17" x14ac:dyDescent="0.35">
      <c r="Q87796" s="1"/>
    </row>
    <row r="87797" spans="17:17" x14ac:dyDescent="0.35">
      <c r="Q87797" s="1"/>
    </row>
    <row r="87799" spans="17:17" x14ac:dyDescent="0.35">
      <c r="Q87799" s="1"/>
    </row>
    <row r="87800" spans="17:17" x14ac:dyDescent="0.35">
      <c r="Q87800" s="1"/>
    </row>
    <row r="87812" spans="17:17" x14ac:dyDescent="0.35">
      <c r="Q87812" s="1"/>
    </row>
    <row r="87814" spans="17:17" x14ac:dyDescent="0.35">
      <c r="Q87814" s="1"/>
    </row>
    <row r="87821" spans="17:17" x14ac:dyDescent="0.35">
      <c r="Q87821" s="1"/>
    </row>
    <row r="87826" spans="17:17" x14ac:dyDescent="0.35">
      <c r="Q87826" s="1"/>
    </row>
    <row r="87828" spans="17:17" x14ac:dyDescent="0.35">
      <c r="Q87828" s="1"/>
    </row>
    <row r="87830" spans="17:17" x14ac:dyDescent="0.35">
      <c r="Q87830" s="1"/>
    </row>
    <row r="87833" spans="17:17" x14ac:dyDescent="0.35">
      <c r="Q87833" s="1"/>
    </row>
    <row r="87837" spans="17:17" x14ac:dyDescent="0.35">
      <c r="Q87837" s="1"/>
    </row>
    <row r="87839" spans="17:17" x14ac:dyDescent="0.35">
      <c r="Q87839" s="1"/>
    </row>
    <row r="87842" spans="17:17" x14ac:dyDescent="0.35">
      <c r="Q87842" s="1"/>
    </row>
    <row r="87848" spans="17:17" x14ac:dyDescent="0.35">
      <c r="Q87848" s="1"/>
    </row>
    <row r="87849" spans="17:17" x14ac:dyDescent="0.35">
      <c r="Q87849" s="1"/>
    </row>
    <row r="87855" spans="17:17" x14ac:dyDescent="0.35">
      <c r="Q87855" s="1"/>
    </row>
    <row r="87857" spans="17:17" x14ac:dyDescent="0.35">
      <c r="Q87857" s="1"/>
    </row>
    <row r="87858" spans="17:17" x14ac:dyDescent="0.35">
      <c r="Q87858" s="1"/>
    </row>
    <row r="87868" spans="17:17" x14ac:dyDescent="0.35">
      <c r="Q87868" s="1"/>
    </row>
    <row r="87869" spans="17:17" x14ac:dyDescent="0.35">
      <c r="Q87869" s="1"/>
    </row>
    <row r="87871" spans="17:17" x14ac:dyDescent="0.35">
      <c r="Q87871" s="1"/>
    </row>
    <row r="87874" spans="17:17" x14ac:dyDescent="0.35">
      <c r="Q87874" s="1"/>
    </row>
    <row r="87880" spans="17:17" x14ac:dyDescent="0.35">
      <c r="Q87880" s="1"/>
    </row>
    <row r="87884" spans="17:17" x14ac:dyDescent="0.35">
      <c r="Q87884" s="1"/>
    </row>
    <row r="87886" spans="17:17" x14ac:dyDescent="0.35">
      <c r="Q87886" s="1"/>
    </row>
    <row r="87887" spans="17:17" x14ac:dyDescent="0.35">
      <c r="Q87887" s="1"/>
    </row>
    <row r="87890" spans="17:17" x14ac:dyDescent="0.35">
      <c r="Q87890" s="1"/>
    </row>
    <row r="87892" spans="17:17" x14ac:dyDescent="0.35">
      <c r="Q87892" s="1"/>
    </row>
    <row r="87896" spans="17:17" x14ac:dyDescent="0.35">
      <c r="Q87896" s="1"/>
    </row>
    <row r="87897" spans="17:17" x14ac:dyDescent="0.35">
      <c r="Q87897" s="1"/>
    </row>
    <row r="87900" spans="17:17" x14ac:dyDescent="0.35">
      <c r="Q87900" s="1"/>
    </row>
    <row r="87905" spans="17:17" x14ac:dyDescent="0.35">
      <c r="Q87905" s="1"/>
    </row>
    <row r="87907" spans="17:17" x14ac:dyDescent="0.35">
      <c r="Q87907" s="1"/>
    </row>
    <row r="87911" spans="17:17" x14ac:dyDescent="0.35">
      <c r="Q87911" s="1"/>
    </row>
    <row r="87912" spans="17:17" x14ac:dyDescent="0.35">
      <c r="Q87912" s="1"/>
    </row>
    <row r="87913" spans="17:17" x14ac:dyDescent="0.35">
      <c r="Q87913" s="1"/>
    </row>
    <row r="87919" spans="17:17" x14ac:dyDescent="0.35">
      <c r="Q87919" s="1"/>
    </row>
    <row r="87920" spans="17:17" x14ac:dyDescent="0.35">
      <c r="Q87920" s="1"/>
    </row>
    <row r="87924" spans="17:17" x14ac:dyDescent="0.35">
      <c r="Q87924" s="1"/>
    </row>
    <row r="87931" spans="17:17" x14ac:dyDescent="0.35">
      <c r="Q87931" s="1"/>
    </row>
    <row r="87942" spans="17:17" x14ac:dyDescent="0.35">
      <c r="Q87942" s="1"/>
    </row>
    <row r="87943" spans="17:17" x14ac:dyDescent="0.35">
      <c r="Q87943" s="1"/>
    </row>
    <row r="87944" spans="17:17" x14ac:dyDescent="0.35">
      <c r="Q87944" s="1"/>
    </row>
    <row r="87945" spans="17:17" x14ac:dyDescent="0.35">
      <c r="Q87945" s="1"/>
    </row>
    <row r="87947" spans="17:17" x14ac:dyDescent="0.35">
      <c r="Q87947" s="1"/>
    </row>
    <row r="87953" spans="17:17" x14ac:dyDescent="0.35">
      <c r="Q87953" s="1"/>
    </row>
    <row r="87957" spans="17:17" x14ac:dyDescent="0.35">
      <c r="Q87957" s="1"/>
    </row>
    <row r="87970" spans="17:17" x14ac:dyDescent="0.35">
      <c r="Q87970" s="1"/>
    </row>
    <row r="87971" spans="17:17" x14ac:dyDescent="0.35">
      <c r="Q87971" s="1"/>
    </row>
    <row r="87978" spans="17:17" x14ac:dyDescent="0.35">
      <c r="Q87978" s="1"/>
    </row>
    <row r="87983" spans="17:17" x14ac:dyDescent="0.35">
      <c r="Q87983" s="1"/>
    </row>
    <row r="87988" spans="17:17" x14ac:dyDescent="0.35">
      <c r="Q87988" s="1"/>
    </row>
    <row r="87991" spans="17:17" x14ac:dyDescent="0.35">
      <c r="Q87991" s="1"/>
    </row>
    <row r="87994" spans="17:17" x14ac:dyDescent="0.35">
      <c r="Q87994" s="1"/>
    </row>
    <row r="88001" spans="17:17" x14ac:dyDescent="0.35">
      <c r="Q88001" s="1"/>
    </row>
    <row r="88021" spans="17:17" x14ac:dyDescent="0.35">
      <c r="Q88021" s="1"/>
    </row>
    <row r="88023" spans="17:17" x14ac:dyDescent="0.35">
      <c r="Q88023" s="1"/>
    </row>
    <row r="88026" spans="17:17" x14ac:dyDescent="0.35">
      <c r="Q88026" s="1"/>
    </row>
    <row r="88027" spans="17:17" x14ac:dyDescent="0.35">
      <c r="Q88027" s="1"/>
    </row>
    <row r="88031" spans="17:17" x14ac:dyDescent="0.35">
      <c r="Q88031" s="1"/>
    </row>
    <row r="88032" spans="17:17" x14ac:dyDescent="0.35">
      <c r="Q88032" s="1"/>
    </row>
    <row r="88034" spans="17:17" x14ac:dyDescent="0.35">
      <c r="Q88034" s="1"/>
    </row>
    <row r="88035" spans="17:17" x14ac:dyDescent="0.35">
      <c r="Q88035" s="1"/>
    </row>
    <row r="88039" spans="17:17" x14ac:dyDescent="0.35">
      <c r="Q88039" s="1"/>
    </row>
    <row r="88041" spans="17:17" x14ac:dyDescent="0.35">
      <c r="Q88041" s="1"/>
    </row>
    <row r="88048" spans="17:17" x14ac:dyDescent="0.35">
      <c r="Q88048" s="1"/>
    </row>
    <row r="88049" spans="17:17" x14ac:dyDescent="0.35">
      <c r="Q88049" s="1"/>
    </row>
    <row r="88052" spans="17:17" x14ac:dyDescent="0.35">
      <c r="Q88052" s="1"/>
    </row>
    <row r="88053" spans="17:17" x14ac:dyDescent="0.35">
      <c r="Q88053" s="1"/>
    </row>
    <row r="88054" spans="17:17" x14ac:dyDescent="0.35">
      <c r="Q88054" s="1"/>
    </row>
    <row r="88055" spans="17:17" x14ac:dyDescent="0.35">
      <c r="Q88055" s="1"/>
    </row>
    <row r="88056" spans="17:17" x14ac:dyDescent="0.35">
      <c r="Q88056" s="1"/>
    </row>
    <row r="88057" spans="17:17" x14ac:dyDescent="0.35">
      <c r="Q88057" s="1"/>
    </row>
    <row r="88058" spans="17:17" x14ac:dyDescent="0.35">
      <c r="Q88058" s="1"/>
    </row>
    <row r="88059" spans="17:17" x14ac:dyDescent="0.35">
      <c r="Q88059" s="1"/>
    </row>
    <row r="88060" spans="17:17" x14ac:dyDescent="0.35">
      <c r="Q88060" s="1"/>
    </row>
    <row r="88069" spans="17:17" x14ac:dyDescent="0.35">
      <c r="Q88069" s="1"/>
    </row>
    <row r="88070" spans="17:17" x14ac:dyDescent="0.35">
      <c r="Q88070" s="1"/>
    </row>
    <row r="88072" spans="17:17" x14ac:dyDescent="0.35">
      <c r="Q88072" s="1"/>
    </row>
    <row r="88087" spans="17:17" x14ac:dyDescent="0.35">
      <c r="Q88087" s="1"/>
    </row>
    <row r="88089" spans="17:17" x14ac:dyDescent="0.35">
      <c r="Q88089" s="1"/>
    </row>
    <row r="88093" spans="17:17" x14ac:dyDescent="0.35">
      <c r="Q88093" s="1"/>
    </row>
    <row r="88094" spans="17:17" x14ac:dyDescent="0.35">
      <c r="Q88094" s="1"/>
    </row>
    <row r="88098" spans="17:17" x14ac:dyDescent="0.35">
      <c r="Q88098" s="1"/>
    </row>
    <row r="88100" spans="17:17" x14ac:dyDescent="0.35">
      <c r="Q88100" s="1"/>
    </row>
    <row r="88101" spans="17:17" x14ac:dyDescent="0.35">
      <c r="Q88101" s="1"/>
    </row>
    <row r="88102" spans="17:17" x14ac:dyDescent="0.35">
      <c r="Q88102" s="1"/>
    </row>
    <row r="88113" spans="17:17" x14ac:dyDescent="0.35">
      <c r="Q88113" s="1"/>
    </row>
    <row r="88128" spans="17:17" x14ac:dyDescent="0.35">
      <c r="Q88128" s="1"/>
    </row>
    <row r="88129" spans="17:17" x14ac:dyDescent="0.35">
      <c r="Q88129" s="1"/>
    </row>
    <row r="88131" spans="17:17" x14ac:dyDescent="0.35">
      <c r="Q88131" s="1"/>
    </row>
    <row r="88132" spans="17:17" x14ac:dyDescent="0.35">
      <c r="Q88132" s="1"/>
    </row>
    <row r="88133" spans="17:17" x14ac:dyDescent="0.35">
      <c r="Q88133" s="1"/>
    </row>
    <row r="88136" spans="17:17" x14ac:dyDescent="0.35">
      <c r="Q88136" s="1"/>
    </row>
    <row r="88137" spans="17:17" x14ac:dyDescent="0.35">
      <c r="Q88137" s="1"/>
    </row>
    <row r="88138" spans="17:17" x14ac:dyDescent="0.35">
      <c r="Q88138" s="1"/>
    </row>
    <row r="88142" spans="17:17" x14ac:dyDescent="0.35">
      <c r="Q88142" s="1"/>
    </row>
    <row r="88144" spans="17:17" x14ac:dyDescent="0.35">
      <c r="Q88144" s="1"/>
    </row>
    <row r="88146" spans="17:17" x14ac:dyDescent="0.35">
      <c r="Q88146" s="1"/>
    </row>
    <row r="88169" spans="17:17" x14ac:dyDescent="0.35">
      <c r="Q88169" s="1"/>
    </row>
    <row r="88178" spans="17:17" x14ac:dyDescent="0.35">
      <c r="Q88178" s="1"/>
    </row>
    <row r="88187" spans="17:17" x14ac:dyDescent="0.35">
      <c r="Q88187" s="1"/>
    </row>
    <row r="88191" spans="17:17" x14ac:dyDescent="0.35">
      <c r="Q88191" s="1"/>
    </row>
    <row r="88193" spans="17:17" x14ac:dyDescent="0.35">
      <c r="Q88193" s="1"/>
    </row>
    <row r="88199" spans="17:17" x14ac:dyDescent="0.35">
      <c r="Q88199" s="1"/>
    </row>
    <row r="88200" spans="17:17" x14ac:dyDescent="0.35">
      <c r="Q88200" s="1"/>
    </row>
    <row r="88201" spans="17:17" x14ac:dyDescent="0.35">
      <c r="Q88201" s="1"/>
    </row>
    <row r="88220" spans="17:17" x14ac:dyDescent="0.35">
      <c r="Q88220" s="1"/>
    </row>
    <row r="88221" spans="17:17" x14ac:dyDescent="0.35">
      <c r="Q88221" s="1"/>
    </row>
    <row r="88248" spans="17:17" x14ac:dyDescent="0.35">
      <c r="Q88248" s="1"/>
    </row>
    <row r="88249" spans="17:17" x14ac:dyDescent="0.35">
      <c r="Q88249" s="1"/>
    </row>
    <row r="88250" spans="17:17" x14ac:dyDescent="0.35">
      <c r="Q88250" s="1"/>
    </row>
    <row r="88269" spans="17:17" x14ac:dyDescent="0.35">
      <c r="Q88269" s="1"/>
    </row>
    <row r="88287" spans="17:17" x14ac:dyDescent="0.35">
      <c r="Q88287" s="1"/>
    </row>
    <row r="88288" spans="17:17" x14ac:dyDescent="0.35">
      <c r="Q88288" s="1"/>
    </row>
    <row r="88289" spans="17:17" x14ac:dyDescent="0.35">
      <c r="Q88289" s="1"/>
    </row>
    <row r="88290" spans="17:17" x14ac:dyDescent="0.35">
      <c r="Q88290" s="1"/>
    </row>
    <row r="88291" spans="17:17" x14ac:dyDescent="0.35">
      <c r="Q88291" s="1"/>
    </row>
    <row r="88295" spans="17:17" x14ac:dyDescent="0.35">
      <c r="Q88295" s="1"/>
    </row>
    <row r="88297" spans="17:17" x14ac:dyDescent="0.35">
      <c r="Q88297" s="1"/>
    </row>
    <row r="88298" spans="17:17" x14ac:dyDescent="0.35">
      <c r="Q88298" s="1"/>
    </row>
    <row r="88302" spans="17:17" x14ac:dyDescent="0.35">
      <c r="Q88302" s="1"/>
    </row>
    <row r="88312" spans="17:17" x14ac:dyDescent="0.35">
      <c r="Q88312" s="1"/>
    </row>
    <row r="88315" spans="17:17" x14ac:dyDescent="0.35">
      <c r="Q88315" s="1"/>
    </row>
    <row r="88317" spans="17:17" x14ac:dyDescent="0.35">
      <c r="Q88317" s="1"/>
    </row>
    <row r="88323" spans="17:17" x14ac:dyDescent="0.35">
      <c r="Q88323" s="1"/>
    </row>
    <row r="88324" spans="17:17" x14ac:dyDescent="0.35">
      <c r="Q88324" s="1"/>
    </row>
    <row r="88329" spans="17:17" x14ac:dyDescent="0.35">
      <c r="Q88329" s="1"/>
    </row>
    <row r="88330" spans="17:17" x14ac:dyDescent="0.35">
      <c r="Q88330" s="1"/>
    </row>
    <row r="88353" spans="17:17" x14ac:dyDescent="0.35">
      <c r="Q88353" s="1"/>
    </row>
    <row r="88377" spans="17:17" x14ac:dyDescent="0.35">
      <c r="Q88377" s="1"/>
    </row>
    <row r="88378" spans="17:17" x14ac:dyDescent="0.35">
      <c r="Q88378" s="1"/>
    </row>
    <row r="88380" spans="17:17" x14ac:dyDescent="0.35">
      <c r="Q88380" s="1"/>
    </row>
    <row r="88381" spans="17:17" x14ac:dyDescent="0.35">
      <c r="Q88381" s="1"/>
    </row>
    <row r="88387" spans="17:17" x14ac:dyDescent="0.35">
      <c r="Q88387" s="1"/>
    </row>
    <row r="88391" spans="17:17" x14ac:dyDescent="0.35">
      <c r="Q88391" s="1"/>
    </row>
    <row r="88394" spans="17:17" x14ac:dyDescent="0.35">
      <c r="Q88394" s="1"/>
    </row>
    <row r="88397" spans="17:17" x14ac:dyDescent="0.35">
      <c r="Q88397" s="1"/>
    </row>
    <row r="88399" spans="17:17" x14ac:dyDescent="0.35">
      <c r="Q88399" s="1"/>
    </row>
    <row r="88402" spans="17:17" x14ac:dyDescent="0.35">
      <c r="Q88402" s="1"/>
    </row>
    <row r="88405" spans="17:17" x14ac:dyDescent="0.35">
      <c r="Q88405" s="1"/>
    </row>
    <row r="88406" spans="17:17" x14ac:dyDescent="0.35">
      <c r="Q88406" s="1"/>
    </row>
    <row r="88407" spans="17:17" x14ac:dyDescent="0.35">
      <c r="Q88407" s="1"/>
    </row>
    <row r="88412" spans="17:17" x14ac:dyDescent="0.35">
      <c r="Q88412" s="1"/>
    </row>
    <row r="88413" spans="17:17" x14ac:dyDescent="0.35">
      <c r="Q88413" s="1"/>
    </row>
    <row r="88414" spans="17:17" x14ac:dyDescent="0.35">
      <c r="Q88414" s="1"/>
    </row>
    <row r="88415" spans="17:17" x14ac:dyDescent="0.35">
      <c r="Q88415" s="1"/>
    </row>
    <row r="88416" spans="17:17" x14ac:dyDescent="0.35">
      <c r="Q88416" s="1"/>
    </row>
    <row r="88417" spans="17:17" x14ac:dyDescent="0.35">
      <c r="Q88417" s="1"/>
    </row>
    <row r="88418" spans="17:17" x14ac:dyDescent="0.35">
      <c r="Q88418" s="1"/>
    </row>
    <row r="88419" spans="17:17" x14ac:dyDescent="0.35">
      <c r="Q88419" s="1"/>
    </row>
    <row r="88420" spans="17:17" x14ac:dyDescent="0.35">
      <c r="Q88420" s="1"/>
    </row>
    <row r="88423" spans="17:17" x14ac:dyDescent="0.35">
      <c r="Q88423" s="1"/>
    </row>
    <row r="88429" spans="17:17" x14ac:dyDescent="0.35">
      <c r="Q88429" s="1"/>
    </row>
    <row r="88432" spans="17:17" x14ac:dyDescent="0.35">
      <c r="Q88432" s="1"/>
    </row>
    <row r="88437" spans="17:17" x14ac:dyDescent="0.35">
      <c r="Q88437" s="1"/>
    </row>
    <row r="88438" spans="17:17" x14ac:dyDescent="0.35">
      <c r="Q88438" s="1"/>
    </row>
    <row r="88439" spans="17:17" x14ac:dyDescent="0.35">
      <c r="Q88439" s="1"/>
    </row>
    <row r="88440" spans="17:17" x14ac:dyDescent="0.35">
      <c r="Q88440" s="1"/>
    </row>
    <row r="88452" spans="17:17" x14ac:dyDescent="0.35">
      <c r="Q88452" s="1"/>
    </row>
    <row r="88453" spans="17:17" x14ac:dyDescent="0.35">
      <c r="Q88453" s="1"/>
    </row>
    <row r="88462" spans="17:17" x14ac:dyDescent="0.35">
      <c r="Q88462" s="1"/>
    </row>
    <row r="88463" spans="17:17" x14ac:dyDescent="0.35">
      <c r="Q88463" s="1"/>
    </row>
    <row r="88464" spans="17:17" x14ac:dyDescent="0.35">
      <c r="Q88464" s="1"/>
    </row>
    <row r="88465" spans="17:17" x14ac:dyDescent="0.35">
      <c r="Q88465" s="1"/>
    </row>
    <row r="88467" spans="17:17" x14ac:dyDescent="0.35">
      <c r="Q88467" s="1"/>
    </row>
    <row r="88470" spans="17:17" x14ac:dyDescent="0.35">
      <c r="Q88470" s="1"/>
    </row>
    <row r="88471" spans="17:17" x14ac:dyDescent="0.35">
      <c r="Q88471" s="1"/>
    </row>
    <row r="88473" spans="17:17" x14ac:dyDescent="0.35">
      <c r="Q88473" s="1"/>
    </row>
    <row r="88476" spans="17:17" x14ac:dyDescent="0.35">
      <c r="Q88476" s="1"/>
    </row>
    <row r="88477" spans="17:17" x14ac:dyDescent="0.35">
      <c r="Q88477" s="1"/>
    </row>
    <row r="88478" spans="17:17" x14ac:dyDescent="0.35">
      <c r="Q88478" s="1"/>
    </row>
    <row r="88481" spans="17:17" x14ac:dyDescent="0.35">
      <c r="Q88481" s="1"/>
    </row>
    <row r="88482" spans="17:17" x14ac:dyDescent="0.35">
      <c r="Q88482" s="1"/>
    </row>
    <row r="88483" spans="17:17" x14ac:dyDescent="0.35">
      <c r="Q88483" s="1"/>
    </row>
    <row r="88484" spans="17:17" x14ac:dyDescent="0.35">
      <c r="Q88484" s="1"/>
    </row>
    <row r="88485" spans="17:17" x14ac:dyDescent="0.35">
      <c r="Q88485" s="1"/>
    </row>
    <row r="88486" spans="17:17" x14ac:dyDescent="0.35">
      <c r="Q88486" s="1"/>
    </row>
    <row r="88489" spans="17:17" x14ac:dyDescent="0.35">
      <c r="Q88489" s="1"/>
    </row>
    <row r="88493" spans="17:17" x14ac:dyDescent="0.35">
      <c r="Q88493" s="1"/>
    </row>
    <row r="88497" spans="17:17" x14ac:dyDescent="0.35">
      <c r="Q88497" s="1"/>
    </row>
    <row r="88506" spans="17:17" x14ac:dyDescent="0.35">
      <c r="Q88506" s="1"/>
    </row>
    <row r="88507" spans="17:17" x14ac:dyDescent="0.35">
      <c r="Q88507" s="1"/>
    </row>
    <row r="88508" spans="17:17" x14ac:dyDescent="0.35">
      <c r="Q88508" s="1"/>
    </row>
    <row r="88509" spans="17:17" x14ac:dyDescent="0.35">
      <c r="Q88509" s="1"/>
    </row>
    <row r="88512" spans="17:17" x14ac:dyDescent="0.35">
      <c r="Q88512" s="1"/>
    </row>
    <row r="88514" spans="17:17" x14ac:dyDescent="0.35">
      <c r="Q88514" s="1"/>
    </row>
    <row r="88515" spans="17:17" x14ac:dyDescent="0.35">
      <c r="Q88515" s="1"/>
    </row>
    <row r="88519" spans="17:17" x14ac:dyDescent="0.35">
      <c r="Q88519" s="1"/>
    </row>
    <row r="88520" spans="17:17" x14ac:dyDescent="0.35">
      <c r="Q88520" s="1"/>
    </row>
    <row r="88524" spans="17:17" x14ac:dyDescent="0.35">
      <c r="Q88524" s="1"/>
    </row>
    <row r="88525" spans="17:17" x14ac:dyDescent="0.35">
      <c r="Q88525" s="1"/>
    </row>
    <row r="88526" spans="17:17" x14ac:dyDescent="0.35">
      <c r="Q88526" s="1"/>
    </row>
    <row r="88541" spans="17:17" x14ac:dyDescent="0.35">
      <c r="Q88541" s="1"/>
    </row>
    <row r="88545" spans="17:17" x14ac:dyDescent="0.35">
      <c r="Q88545" s="1"/>
    </row>
    <row r="88548" spans="17:17" x14ac:dyDescent="0.35">
      <c r="Q88548" s="1"/>
    </row>
    <row r="88557" spans="17:17" x14ac:dyDescent="0.35">
      <c r="Q88557" s="1"/>
    </row>
    <row r="88562" spans="17:17" x14ac:dyDescent="0.35">
      <c r="Q88562" s="1"/>
    </row>
    <row r="88565" spans="17:17" x14ac:dyDescent="0.35">
      <c r="Q88565" s="1"/>
    </row>
    <row r="88566" spans="17:17" x14ac:dyDescent="0.35">
      <c r="Q88566" s="1"/>
    </row>
    <row r="88567" spans="17:17" x14ac:dyDescent="0.35">
      <c r="Q88567" s="1"/>
    </row>
    <row r="88568" spans="17:17" x14ac:dyDescent="0.35">
      <c r="Q88568" s="1"/>
    </row>
    <row r="88569" spans="17:17" x14ac:dyDescent="0.35">
      <c r="Q88569" s="1"/>
    </row>
    <row r="88570" spans="17:17" x14ac:dyDescent="0.35">
      <c r="Q88570" s="1"/>
    </row>
    <row r="88571" spans="17:17" x14ac:dyDescent="0.35">
      <c r="Q88571" s="1"/>
    </row>
    <row r="88573" spans="17:17" x14ac:dyDescent="0.35">
      <c r="Q88573" s="1"/>
    </row>
    <row r="88574" spans="17:17" x14ac:dyDescent="0.35">
      <c r="Q88574" s="1"/>
    </row>
    <row r="88575" spans="17:17" x14ac:dyDescent="0.35">
      <c r="Q88575" s="1"/>
    </row>
    <row r="88576" spans="17:17" x14ac:dyDescent="0.35">
      <c r="Q88576" s="1"/>
    </row>
    <row r="88577" spans="17:17" x14ac:dyDescent="0.35">
      <c r="Q88577" s="1"/>
    </row>
    <row r="88578" spans="17:17" x14ac:dyDescent="0.35">
      <c r="Q88578" s="1"/>
    </row>
    <row r="88579" spans="17:17" x14ac:dyDescent="0.35">
      <c r="Q88579" s="1"/>
    </row>
    <row r="88580" spans="17:17" x14ac:dyDescent="0.35">
      <c r="Q88580" s="1"/>
    </row>
    <row r="88602" spans="17:17" x14ac:dyDescent="0.35">
      <c r="Q88602" s="1"/>
    </row>
    <row r="88605" spans="17:17" x14ac:dyDescent="0.35">
      <c r="Q88605" s="1"/>
    </row>
    <row r="88607" spans="17:17" x14ac:dyDescent="0.35">
      <c r="Q88607" s="1"/>
    </row>
    <row r="88609" spans="6:17" x14ac:dyDescent="0.35">
      <c r="Q88609" s="1"/>
    </row>
    <row r="88610" spans="6:17" x14ac:dyDescent="0.35">
      <c r="F88610" s="2"/>
      <c r="Q88610" s="1"/>
    </row>
    <row r="88619" spans="6:17" x14ac:dyDescent="0.35">
      <c r="Q88619" s="1"/>
    </row>
    <row r="88627" spans="17:17" x14ac:dyDescent="0.35">
      <c r="Q88627" s="1"/>
    </row>
    <row r="88628" spans="17:17" x14ac:dyDescent="0.35">
      <c r="Q88628" s="1"/>
    </row>
    <row r="88629" spans="17:17" x14ac:dyDescent="0.35">
      <c r="Q88629" s="1"/>
    </row>
    <row r="88634" spans="17:17" x14ac:dyDescent="0.35">
      <c r="Q88634" s="1"/>
    </row>
    <row r="88638" spans="17:17" x14ac:dyDescent="0.35">
      <c r="Q88638" s="1"/>
    </row>
    <row r="88639" spans="17:17" x14ac:dyDescent="0.35">
      <c r="Q88639" s="1"/>
    </row>
    <row r="88640" spans="17:17" x14ac:dyDescent="0.35">
      <c r="Q88640" s="1"/>
    </row>
    <row r="88641" spans="17:17" x14ac:dyDescent="0.35">
      <c r="Q88641" s="1"/>
    </row>
    <row r="88643" spans="17:17" x14ac:dyDescent="0.35">
      <c r="Q88643" s="1"/>
    </row>
    <row r="88645" spans="17:17" x14ac:dyDescent="0.35">
      <c r="Q88645" s="1"/>
    </row>
    <row r="88646" spans="17:17" x14ac:dyDescent="0.35">
      <c r="Q88646" s="1"/>
    </row>
    <row r="88647" spans="17:17" x14ac:dyDescent="0.35">
      <c r="Q88647" s="1"/>
    </row>
    <row r="88648" spans="17:17" x14ac:dyDescent="0.35">
      <c r="Q88648" s="1"/>
    </row>
    <row r="88649" spans="17:17" x14ac:dyDescent="0.35">
      <c r="Q88649" s="1"/>
    </row>
    <row r="88651" spans="17:17" x14ac:dyDescent="0.35">
      <c r="Q88651" s="1"/>
    </row>
    <row r="88652" spans="17:17" x14ac:dyDescent="0.35">
      <c r="Q88652" s="1"/>
    </row>
    <row r="88658" spans="17:17" x14ac:dyDescent="0.35">
      <c r="Q88658" s="1"/>
    </row>
    <row r="88659" spans="17:17" x14ac:dyDescent="0.35">
      <c r="Q88659" s="1"/>
    </row>
    <row r="88660" spans="17:17" x14ac:dyDescent="0.35">
      <c r="Q88660" s="1"/>
    </row>
    <row r="88661" spans="17:17" x14ac:dyDescent="0.35">
      <c r="Q88661" s="1"/>
    </row>
    <row r="88664" spans="17:17" x14ac:dyDescent="0.35">
      <c r="Q88664" s="1"/>
    </row>
    <row r="88665" spans="17:17" x14ac:dyDescent="0.35">
      <c r="Q88665" s="1"/>
    </row>
    <row r="88673" spans="17:17" x14ac:dyDescent="0.35">
      <c r="Q88673" s="1"/>
    </row>
    <row r="88678" spans="17:17" x14ac:dyDescent="0.35">
      <c r="Q88678" s="1"/>
    </row>
    <row r="88679" spans="17:17" x14ac:dyDescent="0.35">
      <c r="Q88679" s="1"/>
    </row>
    <row r="88680" spans="17:17" x14ac:dyDescent="0.35">
      <c r="Q88680" s="1"/>
    </row>
    <row r="88684" spans="17:17" x14ac:dyDescent="0.35">
      <c r="Q88684" s="1"/>
    </row>
    <row r="88693" spans="17:17" x14ac:dyDescent="0.35">
      <c r="Q88693" s="1"/>
    </row>
    <row r="88695" spans="17:17" x14ac:dyDescent="0.35">
      <c r="Q88695" s="1"/>
    </row>
    <row r="88697" spans="17:17" x14ac:dyDescent="0.35">
      <c r="Q88697" s="1"/>
    </row>
    <row r="88699" spans="17:17" x14ac:dyDescent="0.35">
      <c r="Q88699" s="1"/>
    </row>
    <row r="88701" spans="17:17" x14ac:dyDescent="0.35">
      <c r="Q88701" s="1"/>
    </row>
    <row r="88704" spans="17:17" x14ac:dyDescent="0.35">
      <c r="Q88704" s="1"/>
    </row>
    <row r="88705" spans="17:17" x14ac:dyDescent="0.35">
      <c r="Q88705" s="1"/>
    </row>
    <row r="88706" spans="17:17" x14ac:dyDescent="0.35">
      <c r="Q88706" s="1"/>
    </row>
    <row r="88710" spans="17:17" x14ac:dyDescent="0.35">
      <c r="Q88710" s="1"/>
    </row>
    <row r="88718" spans="17:17" x14ac:dyDescent="0.35">
      <c r="Q88718" s="1"/>
    </row>
    <row r="88721" spans="17:17" x14ac:dyDescent="0.35">
      <c r="Q88721" s="1"/>
    </row>
    <row r="88722" spans="17:17" x14ac:dyDescent="0.35">
      <c r="Q88722" s="1"/>
    </row>
    <row r="88726" spans="17:17" x14ac:dyDescent="0.35">
      <c r="Q88726" s="1"/>
    </row>
    <row r="88727" spans="17:17" x14ac:dyDescent="0.35">
      <c r="Q88727" s="1"/>
    </row>
    <row r="88729" spans="17:17" x14ac:dyDescent="0.35">
      <c r="Q88729" s="1"/>
    </row>
    <row r="88731" spans="17:17" x14ac:dyDescent="0.35">
      <c r="Q88731" s="1"/>
    </row>
    <row r="88734" spans="17:17" x14ac:dyDescent="0.35">
      <c r="Q88734" s="1"/>
    </row>
    <row r="88750" spans="5:17" x14ac:dyDescent="0.35">
      <c r="Q88750" s="1"/>
    </row>
    <row r="88751" spans="5:17" x14ac:dyDescent="0.35">
      <c r="E88751" s="2"/>
      <c r="F88751" s="2"/>
    </row>
    <row r="88754" spans="17:17" x14ac:dyDescent="0.35">
      <c r="Q88754" s="1"/>
    </row>
    <row r="88757" spans="17:17" x14ac:dyDescent="0.35">
      <c r="Q88757" s="1"/>
    </row>
    <row r="88760" spans="17:17" x14ac:dyDescent="0.35">
      <c r="Q88760" s="1"/>
    </row>
    <row r="88764" spans="17:17" x14ac:dyDescent="0.35">
      <c r="Q88764" s="1"/>
    </row>
    <row r="88766" spans="17:17" x14ac:dyDescent="0.35">
      <c r="Q88766" s="1"/>
    </row>
    <row r="88768" spans="17:17" x14ac:dyDescent="0.35">
      <c r="Q88768" s="1"/>
    </row>
    <row r="88769" spans="17:17" x14ac:dyDescent="0.35">
      <c r="Q88769" s="1"/>
    </row>
    <row r="88771" spans="17:17" x14ac:dyDescent="0.35">
      <c r="Q88771" s="1"/>
    </row>
    <row r="88774" spans="17:17" x14ac:dyDescent="0.35">
      <c r="Q88774" s="1"/>
    </row>
    <row r="88780" spans="17:17" x14ac:dyDescent="0.35">
      <c r="Q88780" s="1"/>
    </row>
    <row r="88782" spans="17:17" x14ac:dyDescent="0.35">
      <c r="Q88782" s="1"/>
    </row>
    <row r="88795" spans="17:17" x14ac:dyDescent="0.35">
      <c r="Q88795" s="1"/>
    </row>
    <row r="88798" spans="17:17" x14ac:dyDescent="0.35">
      <c r="Q88798" s="1"/>
    </row>
    <row r="88799" spans="17:17" x14ac:dyDescent="0.35">
      <c r="Q88799" s="1"/>
    </row>
    <row r="88802" spans="17:17" x14ac:dyDescent="0.35">
      <c r="Q88802" s="1"/>
    </row>
    <row r="88803" spans="17:17" x14ac:dyDescent="0.35">
      <c r="Q88803" s="1"/>
    </row>
    <row r="88806" spans="17:17" x14ac:dyDescent="0.35">
      <c r="Q88806" s="1"/>
    </row>
    <row r="88814" spans="17:17" x14ac:dyDescent="0.35">
      <c r="Q88814" s="1"/>
    </row>
    <row r="88819" spans="17:17" x14ac:dyDescent="0.35">
      <c r="Q88819" s="1"/>
    </row>
    <row r="88827" spans="17:17" x14ac:dyDescent="0.35">
      <c r="Q88827" s="1"/>
    </row>
    <row r="88843" spans="17:17" x14ac:dyDescent="0.35">
      <c r="Q88843" s="1"/>
    </row>
    <row r="88846" spans="17:17" x14ac:dyDescent="0.35">
      <c r="Q88846" s="1"/>
    </row>
    <row r="88848" spans="17:17" x14ac:dyDescent="0.35">
      <c r="Q88848" s="1"/>
    </row>
    <row r="88849" spans="17:17" x14ac:dyDescent="0.35">
      <c r="Q88849" s="1"/>
    </row>
    <row r="88850" spans="17:17" x14ac:dyDescent="0.35">
      <c r="Q88850" s="1"/>
    </row>
    <row r="88856" spans="17:17" x14ac:dyDescent="0.35">
      <c r="Q88856" s="1"/>
    </row>
    <row r="88857" spans="17:17" x14ac:dyDescent="0.35">
      <c r="Q88857" s="1"/>
    </row>
    <row r="88865" spans="17:17" x14ac:dyDescent="0.35">
      <c r="Q88865" s="1"/>
    </row>
    <row r="88868" spans="17:17" x14ac:dyDescent="0.35">
      <c r="Q88868" s="1"/>
    </row>
    <row r="88870" spans="17:17" x14ac:dyDescent="0.35">
      <c r="Q88870" s="1"/>
    </row>
    <row r="88872" spans="17:17" x14ac:dyDescent="0.35">
      <c r="Q88872" s="1"/>
    </row>
    <row r="88873" spans="17:17" x14ac:dyDescent="0.35">
      <c r="Q88873" s="1"/>
    </row>
    <row r="88875" spans="17:17" x14ac:dyDescent="0.35">
      <c r="Q88875" s="1"/>
    </row>
    <row r="88876" spans="17:17" x14ac:dyDescent="0.35">
      <c r="Q88876" s="1"/>
    </row>
    <row r="88877" spans="17:17" x14ac:dyDescent="0.35">
      <c r="Q88877" s="1"/>
    </row>
    <row r="88880" spans="17:17" x14ac:dyDescent="0.35">
      <c r="Q88880" s="1"/>
    </row>
    <row r="88882" spans="17:17" x14ac:dyDescent="0.35">
      <c r="Q88882" s="1"/>
    </row>
    <row r="88883" spans="17:17" x14ac:dyDescent="0.35">
      <c r="Q88883" s="1"/>
    </row>
    <row r="88885" spans="17:17" x14ac:dyDescent="0.35">
      <c r="Q88885" s="1"/>
    </row>
    <row r="88886" spans="17:17" x14ac:dyDescent="0.35">
      <c r="Q88886" s="1"/>
    </row>
    <row r="88887" spans="17:17" x14ac:dyDescent="0.35">
      <c r="Q88887" s="1"/>
    </row>
    <row r="88895" spans="17:17" x14ac:dyDescent="0.35">
      <c r="Q88895" s="1"/>
    </row>
    <row r="88900" spans="17:17" x14ac:dyDescent="0.35">
      <c r="Q88900" s="1"/>
    </row>
    <row r="88909" spans="17:17" x14ac:dyDescent="0.35">
      <c r="Q88909" s="1"/>
    </row>
    <row r="88914" spans="17:17" x14ac:dyDescent="0.35">
      <c r="Q88914" s="1"/>
    </row>
    <row r="88918" spans="17:17" x14ac:dyDescent="0.35">
      <c r="Q88918" s="1"/>
    </row>
    <row r="88928" spans="17:17" x14ac:dyDescent="0.35">
      <c r="Q88928" s="1"/>
    </row>
    <row r="88929" spans="17:17" x14ac:dyDescent="0.35">
      <c r="Q88929" s="1"/>
    </row>
    <row r="88932" spans="17:17" x14ac:dyDescent="0.35">
      <c r="Q88932" s="1"/>
    </row>
    <row r="88936" spans="17:17" x14ac:dyDescent="0.35">
      <c r="Q88936" s="1"/>
    </row>
    <row r="88937" spans="17:17" x14ac:dyDescent="0.35">
      <c r="Q88937" s="1"/>
    </row>
    <row r="88943" spans="17:17" x14ac:dyDescent="0.35">
      <c r="Q88943" s="1"/>
    </row>
    <row r="88944" spans="17:17" x14ac:dyDescent="0.35">
      <c r="Q88944" s="1"/>
    </row>
    <row r="88946" spans="5:17" x14ac:dyDescent="0.35">
      <c r="Q88946" s="1"/>
    </row>
    <row r="88949" spans="5:17" x14ac:dyDescent="0.35">
      <c r="Q88949" s="1"/>
    </row>
    <row r="88950" spans="5:17" x14ac:dyDescent="0.35">
      <c r="Q88950" s="1"/>
    </row>
    <row r="88951" spans="5:17" x14ac:dyDescent="0.35">
      <c r="Q88951" s="1"/>
    </row>
    <row r="88953" spans="5:17" x14ac:dyDescent="0.35">
      <c r="Q88953" s="1"/>
    </row>
    <row r="88954" spans="5:17" x14ac:dyDescent="0.35">
      <c r="Q88954" s="1"/>
    </row>
    <row r="88955" spans="5:17" x14ac:dyDescent="0.35">
      <c r="E88955" s="2"/>
      <c r="F88955" s="7"/>
    </row>
    <row r="88959" spans="5:17" x14ac:dyDescent="0.35">
      <c r="Q88959" s="1"/>
    </row>
    <row r="88962" spans="17:17" x14ac:dyDescent="0.35">
      <c r="Q88962" s="1"/>
    </row>
    <row r="88965" spans="17:17" x14ac:dyDescent="0.35">
      <c r="Q88965" s="1"/>
    </row>
    <row r="88967" spans="17:17" x14ac:dyDescent="0.35">
      <c r="Q88967" s="1"/>
    </row>
    <row r="88969" spans="17:17" x14ac:dyDescent="0.35">
      <c r="Q88969" s="1"/>
    </row>
    <row r="88977" spans="17:17" x14ac:dyDescent="0.35">
      <c r="Q88977" s="1"/>
    </row>
    <row r="88980" spans="17:17" x14ac:dyDescent="0.35">
      <c r="Q88980" s="1"/>
    </row>
    <row r="88984" spans="17:17" x14ac:dyDescent="0.35">
      <c r="Q88984" s="1"/>
    </row>
    <row r="88986" spans="17:17" x14ac:dyDescent="0.35">
      <c r="Q88986" s="1"/>
    </row>
    <row r="88987" spans="17:17" x14ac:dyDescent="0.35">
      <c r="Q88987" s="1"/>
    </row>
    <row r="88988" spans="17:17" x14ac:dyDescent="0.35">
      <c r="Q88988" s="1"/>
    </row>
    <row r="88989" spans="17:17" x14ac:dyDescent="0.35">
      <c r="Q88989" s="1"/>
    </row>
    <row r="88994" spans="17:17" x14ac:dyDescent="0.35">
      <c r="Q88994" s="1"/>
    </row>
    <row r="88998" spans="17:17" x14ac:dyDescent="0.35">
      <c r="Q88998" s="1"/>
    </row>
    <row r="88999" spans="17:17" x14ac:dyDescent="0.35">
      <c r="Q88999" s="1"/>
    </row>
    <row r="89001" spans="17:17" x14ac:dyDescent="0.35">
      <c r="Q89001" s="1"/>
    </row>
    <row r="89016" spans="17:17" x14ac:dyDescent="0.35">
      <c r="Q89016" s="1"/>
    </row>
    <row r="89021" spans="17:17" x14ac:dyDescent="0.35">
      <c r="Q89021" s="1"/>
    </row>
    <row r="89022" spans="17:17" x14ac:dyDescent="0.35">
      <c r="Q89022" s="1"/>
    </row>
    <row r="89027" spans="17:17" x14ac:dyDescent="0.35">
      <c r="Q89027" s="1"/>
    </row>
    <row r="89031" spans="17:17" x14ac:dyDescent="0.35">
      <c r="Q89031" s="1"/>
    </row>
    <row r="89032" spans="17:17" x14ac:dyDescent="0.35">
      <c r="Q89032" s="1"/>
    </row>
    <row r="89038" spans="17:17" x14ac:dyDescent="0.35">
      <c r="Q89038" s="1"/>
    </row>
    <row r="89041" spans="17:17" x14ac:dyDescent="0.35">
      <c r="Q89041" s="1"/>
    </row>
    <row r="89043" spans="17:17" x14ac:dyDescent="0.35">
      <c r="Q89043" s="1"/>
    </row>
    <row r="89045" spans="17:17" x14ac:dyDescent="0.35">
      <c r="Q89045" s="1"/>
    </row>
    <row r="89047" spans="17:17" x14ac:dyDescent="0.35">
      <c r="Q89047" s="1"/>
    </row>
    <row r="89049" spans="17:17" x14ac:dyDescent="0.35">
      <c r="Q89049" s="1"/>
    </row>
    <row r="89052" spans="17:17" x14ac:dyDescent="0.35">
      <c r="Q89052" s="1"/>
    </row>
    <row r="89053" spans="17:17" x14ac:dyDescent="0.35">
      <c r="Q89053" s="1"/>
    </row>
    <row r="89054" spans="17:17" x14ac:dyDescent="0.35">
      <c r="Q89054" s="1"/>
    </row>
    <row r="89055" spans="17:17" x14ac:dyDescent="0.35">
      <c r="Q89055" s="1"/>
    </row>
    <row r="89056" spans="17:17" x14ac:dyDescent="0.35">
      <c r="Q89056" s="1"/>
    </row>
    <row r="89057" spans="17:17" x14ac:dyDescent="0.35">
      <c r="Q89057" s="1"/>
    </row>
    <row r="89059" spans="17:17" x14ac:dyDescent="0.35">
      <c r="Q89059" s="1"/>
    </row>
    <row r="89060" spans="17:17" x14ac:dyDescent="0.35">
      <c r="Q89060" s="1"/>
    </row>
    <row r="89065" spans="17:17" x14ac:dyDescent="0.35">
      <c r="Q89065" s="1"/>
    </row>
    <row r="89070" spans="17:17" x14ac:dyDescent="0.35">
      <c r="Q89070" s="1"/>
    </row>
    <row r="89080" spans="17:17" x14ac:dyDescent="0.35">
      <c r="Q89080" s="1"/>
    </row>
    <row r="89087" spans="17:17" x14ac:dyDescent="0.35">
      <c r="Q89087" s="1"/>
    </row>
    <row r="89088" spans="17:17" x14ac:dyDescent="0.35">
      <c r="Q89088" s="1"/>
    </row>
    <row r="89091" spans="17:17" x14ac:dyDescent="0.35">
      <c r="Q89091" s="1"/>
    </row>
    <row r="89092" spans="17:17" x14ac:dyDescent="0.35">
      <c r="Q89092" s="1"/>
    </row>
    <row r="89096" spans="17:17" x14ac:dyDescent="0.35">
      <c r="Q89096" s="1"/>
    </row>
    <row r="89098" spans="17:17" x14ac:dyDescent="0.35">
      <c r="Q89098" s="1"/>
    </row>
    <row r="89101" spans="17:17" x14ac:dyDescent="0.35">
      <c r="Q89101" s="1"/>
    </row>
    <row r="89102" spans="17:17" x14ac:dyDescent="0.35">
      <c r="Q89102" s="1"/>
    </row>
    <row r="89103" spans="17:17" x14ac:dyDescent="0.35">
      <c r="Q89103" s="1"/>
    </row>
    <row r="89113" spans="17:17" x14ac:dyDescent="0.35">
      <c r="Q89113" s="1"/>
    </row>
    <row r="89128" spans="17:17" x14ac:dyDescent="0.35">
      <c r="Q89128" s="1"/>
    </row>
    <row r="89132" spans="17:17" x14ac:dyDescent="0.35">
      <c r="Q89132" s="1"/>
    </row>
    <row r="89133" spans="17:17" x14ac:dyDescent="0.35">
      <c r="Q89133" s="1"/>
    </row>
    <row r="89135" spans="17:17" x14ac:dyDescent="0.35">
      <c r="Q89135" s="1"/>
    </row>
    <row r="89136" spans="17:17" x14ac:dyDescent="0.35">
      <c r="Q89136" s="1"/>
    </row>
    <row r="89140" spans="17:17" x14ac:dyDescent="0.35">
      <c r="Q89140" s="1"/>
    </row>
    <row r="89141" spans="17:17" x14ac:dyDescent="0.35">
      <c r="Q89141" s="1"/>
    </row>
    <row r="89142" spans="17:17" x14ac:dyDescent="0.35">
      <c r="Q89142" s="1"/>
    </row>
    <row r="89143" spans="17:17" x14ac:dyDescent="0.35">
      <c r="Q89143" s="1"/>
    </row>
    <row r="89148" spans="17:17" x14ac:dyDescent="0.35">
      <c r="Q89148" s="1"/>
    </row>
    <row r="89149" spans="17:17" x14ac:dyDescent="0.35">
      <c r="Q89149" s="1"/>
    </row>
    <row r="89170" spans="17:17" x14ac:dyDescent="0.35">
      <c r="Q89170" s="1"/>
    </row>
    <row r="89171" spans="17:17" x14ac:dyDescent="0.35">
      <c r="Q89171" s="1"/>
    </row>
    <row r="89174" spans="17:17" x14ac:dyDescent="0.35">
      <c r="Q89174" s="1"/>
    </row>
    <row r="89177" spans="17:17" x14ac:dyDescent="0.35">
      <c r="Q89177" s="1"/>
    </row>
    <row r="89178" spans="17:17" x14ac:dyDescent="0.35">
      <c r="Q89178" s="1"/>
    </row>
    <row r="89196" spans="17:17" x14ac:dyDescent="0.35">
      <c r="Q89196" s="1"/>
    </row>
    <row r="89197" spans="17:17" x14ac:dyDescent="0.35">
      <c r="Q89197" s="1"/>
    </row>
    <row r="89200" spans="17:17" x14ac:dyDescent="0.35">
      <c r="Q89200" s="1"/>
    </row>
    <row r="89217" spans="17:17" x14ac:dyDescent="0.35">
      <c r="Q89217" s="1"/>
    </row>
    <row r="89230" spans="17:17" x14ac:dyDescent="0.35">
      <c r="Q89230" s="1"/>
    </row>
    <row r="89243" spans="17:17" x14ac:dyDescent="0.35">
      <c r="Q89243" s="1"/>
    </row>
    <row r="89245" spans="17:17" x14ac:dyDescent="0.35">
      <c r="Q89245" s="1"/>
    </row>
    <row r="89251" spans="17:17" x14ac:dyDescent="0.35">
      <c r="Q89251" s="1"/>
    </row>
    <row r="89270" spans="17:17" x14ac:dyDescent="0.35">
      <c r="Q89270" s="1"/>
    </row>
    <row r="89279" spans="17:17" x14ac:dyDescent="0.35">
      <c r="Q89279" s="1"/>
    </row>
    <row r="89280" spans="17:17" x14ac:dyDescent="0.35">
      <c r="Q89280" s="1"/>
    </row>
    <row r="89281" spans="17:17" x14ac:dyDescent="0.35">
      <c r="Q89281" s="1"/>
    </row>
    <row r="89293" spans="17:17" x14ac:dyDescent="0.35">
      <c r="Q89293" s="1"/>
    </row>
    <row r="89295" spans="17:17" x14ac:dyDescent="0.35">
      <c r="Q89295" s="1"/>
    </row>
    <row r="89296" spans="17:17" x14ac:dyDescent="0.35">
      <c r="Q89296" s="1"/>
    </row>
    <row r="89297" spans="17:17" x14ac:dyDescent="0.35">
      <c r="Q89297" s="1"/>
    </row>
    <row r="89301" spans="17:17" x14ac:dyDescent="0.35">
      <c r="Q89301" s="1"/>
    </row>
    <row r="89302" spans="17:17" x14ac:dyDescent="0.35">
      <c r="Q89302" s="1"/>
    </row>
    <row r="89310" spans="17:17" x14ac:dyDescent="0.35">
      <c r="Q89310" s="1"/>
    </row>
    <row r="89315" spans="17:17" x14ac:dyDescent="0.35">
      <c r="Q89315" s="1"/>
    </row>
    <row r="89316" spans="17:17" x14ac:dyDescent="0.35">
      <c r="Q89316" s="1"/>
    </row>
    <row r="89322" spans="17:17" x14ac:dyDescent="0.35">
      <c r="Q89322" s="1"/>
    </row>
    <row r="89324" spans="17:17" x14ac:dyDescent="0.35">
      <c r="Q89324" s="1"/>
    </row>
    <row r="89338" spans="17:17" x14ac:dyDescent="0.35">
      <c r="Q89338" s="1"/>
    </row>
    <row r="89343" spans="17:17" x14ac:dyDescent="0.35">
      <c r="Q89343" s="1"/>
    </row>
    <row r="89352" spans="17:17" x14ac:dyDescent="0.35">
      <c r="Q89352" s="1"/>
    </row>
    <row r="89370" spans="17:17" x14ac:dyDescent="0.35">
      <c r="Q89370" s="1"/>
    </row>
    <row r="89371" spans="17:17" x14ac:dyDescent="0.35">
      <c r="Q89371" s="1"/>
    </row>
    <row r="89372" spans="17:17" x14ac:dyDescent="0.35">
      <c r="Q89372" s="1"/>
    </row>
    <row r="89376" spans="17:17" x14ac:dyDescent="0.35">
      <c r="Q89376" s="1"/>
    </row>
    <row r="89377" spans="17:17" x14ac:dyDescent="0.35">
      <c r="Q89377" s="1"/>
    </row>
    <row r="89378" spans="17:17" x14ac:dyDescent="0.35">
      <c r="Q89378" s="1"/>
    </row>
    <row r="89385" spans="17:17" x14ac:dyDescent="0.35">
      <c r="Q89385" s="1"/>
    </row>
    <row r="89396" spans="17:17" x14ac:dyDescent="0.35">
      <c r="Q89396" s="1"/>
    </row>
    <row r="89399" spans="17:17" x14ac:dyDescent="0.35">
      <c r="Q89399" s="1"/>
    </row>
    <row r="89402" spans="17:17" x14ac:dyDescent="0.35">
      <c r="Q89402" s="1"/>
    </row>
    <row r="89405" spans="17:17" x14ac:dyDescent="0.35">
      <c r="Q89405" s="1"/>
    </row>
    <row r="89406" spans="17:17" x14ac:dyDescent="0.35">
      <c r="Q89406" s="1"/>
    </row>
    <row r="89409" spans="17:17" x14ac:dyDescent="0.35">
      <c r="Q89409" s="1"/>
    </row>
    <row r="89412" spans="17:17" x14ac:dyDescent="0.35">
      <c r="Q89412" s="1"/>
    </row>
    <row r="89413" spans="17:17" x14ac:dyDescent="0.35">
      <c r="Q89413" s="1"/>
    </row>
    <row r="89414" spans="17:17" x14ac:dyDescent="0.35">
      <c r="Q89414" s="1"/>
    </row>
    <row r="89415" spans="17:17" x14ac:dyDescent="0.35">
      <c r="Q89415" s="1"/>
    </row>
    <row r="89416" spans="17:17" x14ac:dyDescent="0.35">
      <c r="Q89416" s="1"/>
    </row>
    <row r="89417" spans="17:17" x14ac:dyDescent="0.35">
      <c r="Q89417" s="1"/>
    </row>
    <row r="89418" spans="17:17" x14ac:dyDescent="0.35">
      <c r="Q89418" s="1"/>
    </row>
    <row r="89419" spans="17:17" x14ac:dyDescent="0.35">
      <c r="Q89419" s="1"/>
    </row>
    <row r="89420" spans="17:17" x14ac:dyDescent="0.35">
      <c r="Q89420" s="1"/>
    </row>
    <row r="89423" spans="17:17" x14ac:dyDescent="0.35">
      <c r="Q89423" s="1"/>
    </row>
    <row r="89429" spans="17:17" x14ac:dyDescent="0.35">
      <c r="Q89429" s="1"/>
    </row>
    <row r="89430" spans="17:17" x14ac:dyDescent="0.35">
      <c r="Q89430" s="1"/>
    </row>
    <row r="89431" spans="17:17" x14ac:dyDescent="0.35">
      <c r="Q89431" s="1"/>
    </row>
    <row r="89432" spans="17:17" x14ac:dyDescent="0.35">
      <c r="Q89432" s="1"/>
    </row>
    <row r="89433" spans="17:17" x14ac:dyDescent="0.35">
      <c r="Q89433" s="1"/>
    </row>
    <row r="89443" spans="17:17" x14ac:dyDescent="0.35">
      <c r="Q89443" s="1"/>
    </row>
    <row r="89446" spans="17:17" x14ac:dyDescent="0.35">
      <c r="Q89446" s="1"/>
    </row>
    <row r="89452" spans="17:17" x14ac:dyDescent="0.35">
      <c r="Q89452" s="1"/>
    </row>
    <row r="89453" spans="17:17" x14ac:dyDescent="0.35">
      <c r="Q89453" s="1"/>
    </row>
    <row r="89460" spans="17:17" x14ac:dyDescent="0.35">
      <c r="Q89460" s="1"/>
    </row>
    <row r="89462" spans="17:17" x14ac:dyDescent="0.35">
      <c r="Q89462" s="1"/>
    </row>
    <row r="89463" spans="17:17" x14ac:dyDescent="0.35">
      <c r="Q89463" s="1"/>
    </row>
    <row r="89464" spans="17:17" x14ac:dyDescent="0.35">
      <c r="Q89464" s="1"/>
    </row>
    <row r="89466" spans="17:17" x14ac:dyDescent="0.35">
      <c r="Q89466" s="1"/>
    </row>
    <row r="89467" spans="17:17" x14ac:dyDescent="0.35">
      <c r="Q89467" s="1"/>
    </row>
    <row r="89469" spans="17:17" x14ac:dyDescent="0.35">
      <c r="Q89469" s="1"/>
    </row>
    <row r="89472" spans="17:17" x14ac:dyDescent="0.35">
      <c r="Q89472" s="1"/>
    </row>
    <row r="89473" spans="17:17" x14ac:dyDescent="0.35">
      <c r="Q89473" s="1"/>
    </row>
    <row r="89474" spans="17:17" x14ac:dyDescent="0.35">
      <c r="Q89474" s="1"/>
    </row>
    <row r="89476" spans="17:17" x14ac:dyDescent="0.35">
      <c r="Q89476" s="1"/>
    </row>
    <row r="89477" spans="17:17" x14ac:dyDescent="0.35">
      <c r="Q89477" s="1"/>
    </row>
    <row r="89478" spans="17:17" x14ac:dyDescent="0.35">
      <c r="Q89478" s="1"/>
    </row>
    <row r="89480" spans="17:17" x14ac:dyDescent="0.35">
      <c r="Q89480" s="1"/>
    </row>
    <row r="89481" spans="17:17" x14ac:dyDescent="0.35">
      <c r="Q89481" s="1"/>
    </row>
    <row r="89483" spans="17:17" x14ac:dyDescent="0.35">
      <c r="Q89483" s="1"/>
    </row>
    <row r="89487" spans="17:17" x14ac:dyDescent="0.35">
      <c r="Q89487" s="1"/>
    </row>
    <row r="89489" spans="17:17" x14ac:dyDescent="0.35">
      <c r="Q89489" s="1"/>
    </row>
    <row r="89491" spans="17:17" x14ac:dyDescent="0.35">
      <c r="Q89491" s="1"/>
    </row>
    <row r="89497" spans="17:17" x14ac:dyDescent="0.35">
      <c r="Q89497" s="1"/>
    </row>
    <row r="89501" spans="17:17" x14ac:dyDescent="0.35">
      <c r="Q89501" s="1"/>
    </row>
    <row r="89504" spans="17:17" x14ac:dyDescent="0.35">
      <c r="Q89504" s="1"/>
    </row>
    <row r="89505" spans="17:17" x14ac:dyDescent="0.35">
      <c r="Q89505" s="1"/>
    </row>
    <row r="89506" spans="17:17" x14ac:dyDescent="0.35">
      <c r="Q89506" s="1"/>
    </row>
    <row r="89507" spans="17:17" x14ac:dyDescent="0.35">
      <c r="Q89507" s="1"/>
    </row>
    <row r="89510" spans="17:17" x14ac:dyDescent="0.35">
      <c r="Q89510" s="1"/>
    </row>
    <row r="89511" spans="17:17" x14ac:dyDescent="0.35">
      <c r="Q89511" s="1"/>
    </row>
    <row r="89512" spans="17:17" x14ac:dyDescent="0.35">
      <c r="Q89512" s="1"/>
    </row>
    <row r="89514" spans="17:17" x14ac:dyDescent="0.35">
      <c r="Q89514" s="1"/>
    </row>
    <row r="89515" spans="17:17" x14ac:dyDescent="0.35">
      <c r="Q89515" s="1"/>
    </row>
    <row r="89516" spans="17:17" x14ac:dyDescent="0.35">
      <c r="Q89516" s="1"/>
    </row>
    <row r="89520" spans="17:17" x14ac:dyDescent="0.35">
      <c r="Q89520" s="1"/>
    </row>
    <row r="89521" spans="17:17" x14ac:dyDescent="0.35">
      <c r="Q89521" s="1"/>
    </row>
    <row r="89524" spans="17:17" x14ac:dyDescent="0.35">
      <c r="Q89524" s="1"/>
    </row>
    <row r="89525" spans="17:17" x14ac:dyDescent="0.35">
      <c r="Q89525" s="1"/>
    </row>
    <row r="89526" spans="17:17" x14ac:dyDescent="0.35">
      <c r="Q89526" s="1"/>
    </row>
    <row r="89527" spans="17:17" x14ac:dyDescent="0.35">
      <c r="Q89527" s="1"/>
    </row>
    <row r="89528" spans="17:17" x14ac:dyDescent="0.35">
      <c r="Q89528" s="1"/>
    </row>
    <row r="89529" spans="17:17" x14ac:dyDescent="0.35">
      <c r="Q89529" s="1"/>
    </row>
    <row r="89530" spans="17:17" x14ac:dyDescent="0.35">
      <c r="Q89530" s="1"/>
    </row>
    <row r="89532" spans="17:17" x14ac:dyDescent="0.35">
      <c r="Q89532" s="1"/>
    </row>
    <row r="89533" spans="17:17" x14ac:dyDescent="0.35">
      <c r="Q89533" s="1"/>
    </row>
    <row r="89534" spans="17:17" x14ac:dyDescent="0.35">
      <c r="Q89534" s="1"/>
    </row>
    <row r="89536" spans="17:17" x14ac:dyDescent="0.35">
      <c r="Q89536" s="1"/>
    </row>
    <row r="89540" spans="17:17" x14ac:dyDescent="0.35">
      <c r="Q89540" s="1"/>
    </row>
    <row r="89543" spans="17:17" x14ac:dyDescent="0.35">
      <c r="Q89543" s="1"/>
    </row>
    <row r="89557" spans="6:17" x14ac:dyDescent="0.35">
      <c r="Q89557" s="1"/>
    </row>
    <row r="89558" spans="6:17" x14ac:dyDescent="0.35">
      <c r="Q89558" s="1"/>
    </row>
    <row r="89560" spans="6:17" x14ac:dyDescent="0.35">
      <c r="Q89560" s="1"/>
    </row>
    <row r="89563" spans="6:17" x14ac:dyDescent="0.35">
      <c r="Q89563" s="1"/>
    </row>
    <row r="89564" spans="6:17" x14ac:dyDescent="0.35">
      <c r="F89564" s="2"/>
      <c r="Q89564" s="1"/>
    </row>
    <row r="89575" spans="17:17" x14ac:dyDescent="0.35">
      <c r="Q89575" s="1"/>
    </row>
    <row r="89578" spans="17:17" x14ac:dyDescent="0.35">
      <c r="Q89578" s="1"/>
    </row>
    <row r="89579" spans="17:17" x14ac:dyDescent="0.35">
      <c r="Q89579" s="1"/>
    </row>
    <row r="89590" spans="17:17" x14ac:dyDescent="0.35">
      <c r="Q89590" s="1"/>
    </row>
    <row r="89602" spans="17:17" x14ac:dyDescent="0.35">
      <c r="Q89602" s="1"/>
    </row>
    <row r="89604" spans="17:17" x14ac:dyDescent="0.35">
      <c r="Q89604" s="1"/>
    </row>
    <row r="89607" spans="17:17" x14ac:dyDescent="0.35">
      <c r="Q89607" s="1"/>
    </row>
    <row r="89611" spans="17:17" x14ac:dyDescent="0.35">
      <c r="Q89611" s="1"/>
    </row>
    <row r="89612" spans="17:17" x14ac:dyDescent="0.35">
      <c r="Q89612" s="1"/>
    </row>
    <row r="89613" spans="17:17" x14ac:dyDescent="0.35">
      <c r="Q89613" s="1"/>
    </row>
    <row r="89616" spans="17:17" x14ac:dyDescent="0.35">
      <c r="Q89616" s="1"/>
    </row>
    <row r="89622" spans="17:17" x14ac:dyDescent="0.35">
      <c r="Q89622" s="1"/>
    </row>
    <row r="89625" spans="17:17" x14ac:dyDescent="0.35">
      <c r="Q89625" s="1"/>
    </row>
    <row r="89628" spans="17:17" x14ac:dyDescent="0.35">
      <c r="Q89628" s="1"/>
    </row>
    <row r="89630" spans="17:17" x14ac:dyDescent="0.35">
      <c r="Q89630" s="1"/>
    </row>
    <row r="89632" spans="17:17" x14ac:dyDescent="0.35">
      <c r="Q89632" s="1"/>
    </row>
    <row r="89633" spans="17:17" x14ac:dyDescent="0.35">
      <c r="Q89633" s="1"/>
    </row>
    <row r="89634" spans="17:17" x14ac:dyDescent="0.35">
      <c r="Q89634" s="1"/>
    </row>
    <row r="89635" spans="17:17" x14ac:dyDescent="0.35">
      <c r="Q89635" s="1"/>
    </row>
    <row r="89636" spans="17:17" x14ac:dyDescent="0.35">
      <c r="Q89636" s="1"/>
    </row>
    <row r="89637" spans="17:17" x14ac:dyDescent="0.35">
      <c r="Q89637" s="1"/>
    </row>
    <row r="89639" spans="17:17" x14ac:dyDescent="0.35">
      <c r="Q89639" s="1"/>
    </row>
    <row r="89641" spans="17:17" x14ac:dyDescent="0.35">
      <c r="Q89641" s="1"/>
    </row>
    <row r="89642" spans="17:17" x14ac:dyDescent="0.35">
      <c r="Q89642" s="1"/>
    </row>
    <row r="89643" spans="17:17" x14ac:dyDescent="0.35">
      <c r="Q89643" s="1"/>
    </row>
    <row r="89645" spans="17:17" x14ac:dyDescent="0.35">
      <c r="Q89645" s="1"/>
    </row>
    <row r="89647" spans="17:17" x14ac:dyDescent="0.35">
      <c r="Q89647" s="1"/>
    </row>
    <row r="89648" spans="17:17" x14ac:dyDescent="0.35">
      <c r="Q89648" s="1"/>
    </row>
    <row r="89651" spans="17:17" x14ac:dyDescent="0.35">
      <c r="Q89651" s="1"/>
    </row>
    <row r="89654" spans="17:17" x14ac:dyDescent="0.35">
      <c r="Q89654" s="1"/>
    </row>
    <row r="89655" spans="17:17" x14ac:dyDescent="0.35">
      <c r="Q89655" s="1"/>
    </row>
    <row r="89659" spans="17:17" x14ac:dyDescent="0.35">
      <c r="Q89659" s="1"/>
    </row>
    <row r="89660" spans="17:17" x14ac:dyDescent="0.35">
      <c r="Q89660" s="1"/>
    </row>
    <row r="89670" spans="17:17" x14ac:dyDescent="0.35">
      <c r="Q89670" s="1"/>
    </row>
    <row r="89671" spans="17:17" x14ac:dyDescent="0.35">
      <c r="Q89671" s="1"/>
    </row>
    <row r="89672" spans="17:17" x14ac:dyDescent="0.35">
      <c r="Q89672" s="1"/>
    </row>
    <row r="89675" spans="17:17" x14ac:dyDescent="0.35">
      <c r="Q89675" s="1"/>
    </row>
    <row r="89681" spans="17:17" x14ac:dyDescent="0.35">
      <c r="Q89681" s="1"/>
    </row>
    <row r="89700" spans="5:17" x14ac:dyDescent="0.35">
      <c r="E89700" s="2"/>
      <c r="F89700" s="2"/>
    </row>
    <row r="89701" spans="5:17" x14ac:dyDescent="0.35">
      <c r="Q89701" s="1"/>
    </row>
    <row r="89702" spans="5:17" x14ac:dyDescent="0.35">
      <c r="Q89702" s="1"/>
    </row>
    <row r="89703" spans="5:17" x14ac:dyDescent="0.35">
      <c r="Q89703" s="1"/>
    </row>
    <row r="89705" spans="5:17" x14ac:dyDescent="0.35">
      <c r="Q89705" s="1"/>
    </row>
    <row r="89706" spans="5:17" x14ac:dyDescent="0.35">
      <c r="Q89706" s="1"/>
    </row>
    <row r="89712" spans="5:17" x14ac:dyDescent="0.35">
      <c r="Q89712" s="1"/>
    </row>
    <row r="89716" spans="17:17" x14ac:dyDescent="0.35">
      <c r="Q89716" s="1"/>
    </row>
    <row r="89722" spans="17:17" x14ac:dyDescent="0.35">
      <c r="Q89722" s="1"/>
    </row>
    <row r="89725" spans="17:17" x14ac:dyDescent="0.35">
      <c r="Q89725" s="1"/>
    </row>
    <row r="89728" spans="17:17" x14ac:dyDescent="0.35">
      <c r="Q89728" s="1"/>
    </row>
    <row r="89729" spans="17:17" x14ac:dyDescent="0.35">
      <c r="Q89729" s="1"/>
    </row>
    <row r="89732" spans="17:17" x14ac:dyDescent="0.35">
      <c r="Q89732" s="1"/>
    </row>
    <row r="89736" spans="17:17" x14ac:dyDescent="0.35">
      <c r="Q89736" s="1"/>
    </row>
    <row r="89738" spans="17:17" x14ac:dyDescent="0.35">
      <c r="Q89738" s="1"/>
    </row>
    <row r="89743" spans="17:17" x14ac:dyDescent="0.35">
      <c r="Q89743" s="1"/>
    </row>
    <row r="89755" spans="17:17" x14ac:dyDescent="0.35">
      <c r="Q89755" s="1"/>
    </row>
    <row r="89764" spans="17:17" x14ac:dyDescent="0.35">
      <c r="Q89764" s="1"/>
    </row>
    <row r="89772" spans="17:17" x14ac:dyDescent="0.35">
      <c r="Q89772" s="1"/>
    </row>
    <row r="89775" spans="17:17" x14ac:dyDescent="0.35">
      <c r="Q89775" s="1"/>
    </row>
    <row r="89778" spans="17:17" x14ac:dyDescent="0.35">
      <c r="Q89778" s="1"/>
    </row>
    <row r="89782" spans="17:17" x14ac:dyDescent="0.35">
      <c r="Q89782" s="1"/>
    </row>
    <row r="89784" spans="17:17" x14ac:dyDescent="0.35">
      <c r="Q89784" s="1"/>
    </row>
    <row r="89785" spans="17:17" x14ac:dyDescent="0.35">
      <c r="Q89785" s="1"/>
    </row>
    <row r="89791" spans="17:17" x14ac:dyDescent="0.35">
      <c r="Q89791" s="1"/>
    </row>
    <row r="89794" spans="17:17" x14ac:dyDescent="0.35">
      <c r="Q89794" s="1"/>
    </row>
    <row r="89797" spans="17:17" x14ac:dyDescent="0.35">
      <c r="Q89797" s="1"/>
    </row>
    <row r="89801" spans="17:17" x14ac:dyDescent="0.35">
      <c r="Q89801" s="1"/>
    </row>
    <row r="89802" spans="17:17" x14ac:dyDescent="0.35">
      <c r="Q89802" s="1"/>
    </row>
    <row r="89803" spans="17:17" x14ac:dyDescent="0.35">
      <c r="Q89803" s="1"/>
    </row>
    <row r="89810" spans="5:17" x14ac:dyDescent="0.35">
      <c r="Q89810" s="1"/>
    </row>
    <row r="89811" spans="5:17" x14ac:dyDescent="0.35">
      <c r="E89811" s="2"/>
      <c r="F89811" s="7"/>
    </row>
    <row r="89813" spans="5:17" x14ac:dyDescent="0.35">
      <c r="Q89813" s="1"/>
    </row>
    <row r="89815" spans="5:17" x14ac:dyDescent="0.35">
      <c r="Q89815" s="1"/>
    </row>
    <row r="89818" spans="5:17" x14ac:dyDescent="0.35">
      <c r="Q89818" s="1"/>
    </row>
    <row r="89819" spans="5:17" x14ac:dyDescent="0.35">
      <c r="Q89819" s="1"/>
    </row>
    <row r="89821" spans="5:17" x14ac:dyDescent="0.35">
      <c r="Q89821" s="1"/>
    </row>
    <row r="89822" spans="5:17" x14ac:dyDescent="0.35">
      <c r="Q89822" s="1"/>
    </row>
    <row r="89823" spans="5:17" x14ac:dyDescent="0.35">
      <c r="Q89823" s="1"/>
    </row>
    <row r="89824" spans="5:17" x14ac:dyDescent="0.35">
      <c r="Q89824" s="1"/>
    </row>
    <row r="89836" spans="17:17" x14ac:dyDescent="0.35">
      <c r="Q89836" s="1"/>
    </row>
    <row r="89837" spans="17:17" x14ac:dyDescent="0.35">
      <c r="Q89837" s="1"/>
    </row>
    <row r="89841" spans="17:17" x14ac:dyDescent="0.35">
      <c r="Q89841" s="1"/>
    </row>
    <row r="89842" spans="17:17" x14ac:dyDescent="0.35">
      <c r="Q89842" s="1"/>
    </row>
    <row r="89845" spans="17:17" x14ac:dyDescent="0.35">
      <c r="Q89845" s="1"/>
    </row>
    <row r="89851" spans="17:17" x14ac:dyDescent="0.35">
      <c r="Q89851" s="1"/>
    </row>
    <row r="89852" spans="17:17" x14ac:dyDescent="0.35">
      <c r="Q89852" s="1"/>
    </row>
    <row r="89859" spans="17:17" x14ac:dyDescent="0.35">
      <c r="Q89859" s="1"/>
    </row>
    <row r="89865" spans="17:17" x14ac:dyDescent="0.35">
      <c r="Q89865" s="1"/>
    </row>
    <row r="89866" spans="17:17" x14ac:dyDescent="0.35">
      <c r="Q89866" s="1"/>
    </row>
    <row r="89867" spans="17:17" x14ac:dyDescent="0.35">
      <c r="Q89867" s="1"/>
    </row>
    <row r="89870" spans="17:17" x14ac:dyDescent="0.35">
      <c r="Q89870" s="1"/>
    </row>
    <row r="89877" spans="17:17" x14ac:dyDescent="0.35">
      <c r="Q89877" s="1"/>
    </row>
    <row r="89889" spans="17:17" x14ac:dyDescent="0.35">
      <c r="Q89889" s="1"/>
    </row>
    <row r="89890" spans="17:17" x14ac:dyDescent="0.35">
      <c r="Q89890" s="1"/>
    </row>
    <row r="89891" spans="17:17" x14ac:dyDescent="0.35">
      <c r="Q89891" s="1"/>
    </row>
    <row r="89893" spans="17:17" x14ac:dyDescent="0.35">
      <c r="Q89893" s="1"/>
    </row>
    <row r="89894" spans="17:17" x14ac:dyDescent="0.35">
      <c r="Q89894" s="1"/>
    </row>
    <row r="89898" spans="17:17" x14ac:dyDescent="0.35">
      <c r="Q89898" s="1"/>
    </row>
    <row r="89900" spans="17:17" x14ac:dyDescent="0.35">
      <c r="Q89900" s="1"/>
    </row>
    <row r="89902" spans="17:17" x14ac:dyDescent="0.35">
      <c r="Q89902" s="1"/>
    </row>
    <row r="89903" spans="17:17" x14ac:dyDescent="0.35">
      <c r="Q89903" s="1"/>
    </row>
    <row r="89907" spans="17:17" x14ac:dyDescent="0.35">
      <c r="Q89907" s="1"/>
    </row>
    <row r="89909" spans="17:17" x14ac:dyDescent="0.35">
      <c r="Q89909" s="1"/>
    </row>
    <row r="89915" spans="17:17" x14ac:dyDescent="0.35">
      <c r="Q89915" s="1"/>
    </row>
    <row r="89920" spans="17:17" x14ac:dyDescent="0.35">
      <c r="Q89920" s="1"/>
    </row>
    <row r="89923" spans="17:17" x14ac:dyDescent="0.35">
      <c r="Q89923" s="1"/>
    </row>
    <row r="89936" spans="17:17" x14ac:dyDescent="0.35">
      <c r="Q89936" s="1"/>
    </row>
    <row r="89939" spans="17:17" x14ac:dyDescent="0.35">
      <c r="Q89939" s="1"/>
    </row>
    <row r="89942" spans="17:17" x14ac:dyDescent="0.35">
      <c r="Q89942" s="1"/>
    </row>
    <row r="89945" spans="17:17" x14ac:dyDescent="0.35">
      <c r="Q89945" s="1"/>
    </row>
    <row r="89954" spans="17:17" x14ac:dyDescent="0.35">
      <c r="Q89954" s="1"/>
    </row>
    <row r="89956" spans="17:17" x14ac:dyDescent="0.35">
      <c r="Q89956" s="1"/>
    </row>
    <row r="89958" spans="17:17" x14ac:dyDescent="0.35">
      <c r="Q89958" s="1"/>
    </row>
    <row r="89961" spans="17:17" x14ac:dyDescent="0.35">
      <c r="Q89961" s="1"/>
    </row>
    <row r="89962" spans="17:17" x14ac:dyDescent="0.35">
      <c r="Q89962" s="1"/>
    </row>
    <row r="89968" spans="17:17" x14ac:dyDescent="0.35">
      <c r="Q89968" s="1"/>
    </row>
    <row r="89969" spans="5:17" x14ac:dyDescent="0.35">
      <c r="Q89969" s="1"/>
    </row>
    <row r="89970" spans="5:17" x14ac:dyDescent="0.35">
      <c r="Q89970" s="1"/>
    </row>
    <row r="89975" spans="5:17" x14ac:dyDescent="0.35">
      <c r="E89975" s="2"/>
      <c r="Q89975" s="1"/>
    </row>
    <row r="89977" spans="5:17" x14ac:dyDescent="0.35">
      <c r="Q89977" s="1"/>
    </row>
    <row r="89980" spans="5:17" x14ac:dyDescent="0.35">
      <c r="Q89980" s="1"/>
    </row>
    <row r="89991" spans="17:17" x14ac:dyDescent="0.35">
      <c r="Q89991" s="1"/>
    </row>
    <row r="89992" spans="17:17" x14ac:dyDescent="0.35">
      <c r="Q89992" s="1"/>
    </row>
    <row r="89993" spans="17:17" x14ac:dyDescent="0.35">
      <c r="Q89993" s="1"/>
    </row>
    <row r="89997" spans="17:17" x14ac:dyDescent="0.35">
      <c r="Q89997" s="1"/>
    </row>
    <row r="90001" spans="17:17" x14ac:dyDescent="0.35">
      <c r="Q90001" s="1"/>
    </row>
    <row r="90003" spans="17:17" x14ac:dyDescent="0.35">
      <c r="Q90003" s="1"/>
    </row>
    <row r="90006" spans="17:17" x14ac:dyDescent="0.35">
      <c r="Q90006" s="1"/>
    </row>
    <row r="90007" spans="17:17" x14ac:dyDescent="0.35">
      <c r="Q90007" s="1"/>
    </row>
    <row r="90008" spans="17:17" x14ac:dyDescent="0.35">
      <c r="Q90008" s="1"/>
    </row>
    <row r="90010" spans="17:17" x14ac:dyDescent="0.35">
      <c r="Q90010" s="1"/>
    </row>
    <row r="90011" spans="17:17" x14ac:dyDescent="0.35">
      <c r="Q90011" s="1"/>
    </row>
    <row r="90012" spans="17:17" x14ac:dyDescent="0.35">
      <c r="Q90012" s="1"/>
    </row>
    <row r="90013" spans="17:17" x14ac:dyDescent="0.35">
      <c r="Q90013" s="1"/>
    </row>
    <row r="90014" spans="17:17" x14ac:dyDescent="0.35">
      <c r="Q90014" s="1"/>
    </row>
    <row r="90015" spans="17:17" x14ac:dyDescent="0.35">
      <c r="Q90015" s="1"/>
    </row>
    <row r="90016" spans="17:17" x14ac:dyDescent="0.35">
      <c r="Q90016" s="1"/>
    </row>
    <row r="90017" spans="17:17" x14ac:dyDescent="0.35">
      <c r="Q90017" s="1"/>
    </row>
    <row r="90018" spans="17:17" x14ac:dyDescent="0.35">
      <c r="Q90018" s="1"/>
    </row>
    <row r="90019" spans="17:17" x14ac:dyDescent="0.35">
      <c r="Q90019" s="1"/>
    </row>
    <row r="90020" spans="17:17" x14ac:dyDescent="0.35">
      <c r="Q90020" s="1"/>
    </row>
    <row r="90021" spans="17:17" x14ac:dyDescent="0.35">
      <c r="Q90021" s="1"/>
    </row>
    <row r="90022" spans="17:17" x14ac:dyDescent="0.35">
      <c r="Q90022" s="1"/>
    </row>
    <row r="90023" spans="17:17" x14ac:dyDescent="0.35">
      <c r="Q90023" s="1"/>
    </row>
    <row r="90024" spans="17:17" x14ac:dyDescent="0.35">
      <c r="Q90024" s="1"/>
    </row>
    <row r="90025" spans="17:17" x14ac:dyDescent="0.35">
      <c r="Q90025" s="1"/>
    </row>
    <row r="90026" spans="17:17" x14ac:dyDescent="0.35">
      <c r="Q90026" s="1"/>
    </row>
    <row r="90027" spans="17:17" x14ac:dyDescent="0.35">
      <c r="Q90027" s="1"/>
    </row>
    <row r="90028" spans="17:17" x14ac:dyDescent="0.35">
      <c r="Q90028" s="1"/>
    </row>
    <row r="90029" spans="17:17" x14ac:dyDescent="0.35">
      <c r="Q90029" s="1"/>
    </row>
    <row r="90030" spans="17:17" x14ac:dyDescent="0.35">
      <c r="Q90030" s="1"/>
    </row>
    <row r="90031" spans="17:17" x14ac:dyDescent="0.35">
      <c r="Q90031" s="1"/>
    </row>
    <row r="90033" spans="17:17" x14ac:dyDescent="0.35">
      <c r="Q90033" s="1"/>
    </row>
    <row r="90034" spans="17:17" x14ac:dyDescent="0.35">
      <c r="Q90034" s="1"/>
    </row>
    <row r="90035" spans="17:17" x14ac:dyDescent="0.35">
      <c r="Q90035" s="1"/>
    </row>
    <row r="90036" spans="17:17" x14ac:dyDescent="0.35">
      <c r="Q90036" s="1"/>
    </row>
    <row r="90037" spans="17:17" x14ac:dyDescent="0.35">
      <c r="Q90037" s="1"/>
    </row>
    <row r="90038" spans="17:17" x14ac:dyDescent="0.35">
      <c r="Q90038" s="1"/>
    </row>
    <row r="90039" spans="17:17" x14ac:dyDescent="0.35">
      <c r="Q90039" s="1"/>
    </row>
    <row r="90041" spans="17:17" x14ac:dyDescent="0.35">
      <c r="Q90041" s="1"/>
    </row>
    <row r="90042" spans="17:17" x14ac:dyDescent="0.35">
      <c r="Q90042" s="1"/>
    </row>
    <row r="90043" spans="17:17" x14ac:dyDescent="0.35">
      <c r="Q90043" s="1"/>
    </row>
    <row r="90044" spans="17:17" x14ac:dyDescent="0.35">
      <c r="Q90044" s="1"/>
    </row>
    <row r="90045" spans="17:17" x14ac:dyDescent="0.35">
      <c r="Q90045" s="1"/>
    </row>
    <row r="90046" spans="17:17" x14ac:dyDescent="0.35">
      <c r="Q90046" s="1"/>
    </row>
    <row r="90047" spans="17:17" x14ac:dyDescent="0.35">
      <c r="Q90047" s="1"/>
    </row>
    <row r="90048" spans="17:17" x14ac:dyDescent="0.35">
      <c r="Q90048" s="1"/>
    </row>
    <row r="90049" spans="17:17" x14ac:dyDescent="0.35">
      <c r="Q90049" s="1"/>
    </row>
    <row r="90050" spans="17:17" x14ac:dyDescent="0.35">
      <c r="Q90050" s="1"/>
    </row>
    <row r="90051" spans="17:17" x14ac:dyDescent="0.35">
      <c r="Q90051" s="1"/>
    </row>
    <row r="90052" spans="17:17" x14ac:dyDescent="0.35">
      <c r="Q90052" s="1"/>
    </row>
    <row r="90055" spans="17:17" x14ac:dyDescent="0.35">
      <c r="Q90055" s="1"/>
    </row>
    <row r="90056" spans="17:17" x14ac:dyDescent="0.35">
      <c r="Q90056" s="1"/>
    </row>
    <row r="90058" spans="17:17" x14ac:dyDescent="0.35">
      <c r="Q90058" s="1"/>
    </row>
    <row r="90063" spans="17:17" x14ac:dyDescent="0.35">
      <c r="Q90063" s="1"/>
    </row>
    <row r="90065" spans="17:17" x14ac:dyDescent="0.35">
      <c r="Q90065" s="1"/>
    </row>
    <row r="90066" spans="17:17" x14ac:dyDescent="0.35">
      <c r="Q90066" s="1"/>
    </row>
    <row r="90068" spans="17:17" x14ac:dyDescent="0.35">
      <c r="Q90068" s="1"/>
    </row>
    <row r="90072" spans="17:17" x14ac:dyDescent="0.35">
      <c r="Q90072" s="1"/>
    </row>
    <row r="90082" spans="17:17" x14ac:dyDescent="0.35">
      <c r="Q90082" s="1"/>
    </row>
    <row r="90091" spans="17:17" x14ac:dyDescent="0.35">
      <c r="Q90091" s="1"/>
    </row>
    <row r="90093" spans="17:17" x14ac:dyDescent="0.35">
      <c r="Q90093" s="1"/>
    </row>
    <row r="90094" spans="17:17" x14ac:dyDescent="0.35">
      <c r="Q90094" s="1"/>
    </row>
    <row r="90095" spans="17:17" x14ac:dyDescent="0.35">
      <c r="Q90095" s="1"/>
    </row>
    <row r="90097" spans="17:17" x14ac:dyDescent="0.35">
      <c r="Q90097" s="1"/>
    </row>
    <row r="90098" spans="17:17" x14ac:dyDescent="0.35">
      <c r="Q90098" s="1"/>
    </row>
    <row r="90099" spans="17:17" x14ac:dyDescent="0.35">
      <c r="Q90099" s="1"/>
    </row>
    <row r="90100" spans="17:17" x14ac:dyDescent="0.35">
      <c r="Q90100" s="1"/>
    </row>
    <row r="90103" spans="17:17" x14ac:dyDescent="0.35">
      <c r="Q90103" s="1"/>
    </row>
    <row r="90104" spans="17:17" x14ac:dyDescent="0.35">
      <c r="Q90104" s="1"/>
    </row>
    <row r="90106" spans="17:17" x14ac:dyDescent="0.35">
      <c r="Q90106" s="1"/>
    </row>
    <row r="90107" spans="17:17" x14ac:dyDescent="0.35">
      <c r="Q90107" s="1"/>
    </row>
    <row r="90117" spans="17:17" x14ac:dyDescent="0.35">
      <c r="Q90117" s="1"/>
    </row>
    <row r="90120" spans="17:17" x14ac:dyDescent="0.35">
      <c r="Q90120" s="1"/>
    </row>
    <row r="90121" spans="17:17" x14ac:dyDescent="0.35">
      <c r="Q90121" s="1"/>
    </row>
    <row r="90125" spans="17:17" x14ac:dyDescent="0.35">
      <c r="Q90125" s="1"/>
    </row>
    <row r="90134" spans="17:17" x14ac:dyDescent="0.35">
      <c r="Q90134" s="1"/>
    </row>
    <row r="90136" spans="17:17" x14ac:dyDescent="0.35">
      <c r="Q90136" s="1"/>
    </row>
    <row r="90139" spans="17:17" x14ac:dyDescent="0.35">
      <c r="Q90139" s="1"/>
    </row>
    <row r="90148" spans="17:17" x14ac:dyDescent="0.35">
      <c r="Q90148" s="1"/>
    </row>
    <row r="90150" spans="17:17" x14ac:dyDescent="0.35">
      <c r="Q90150" s="1"/>
    </row>
    <row r="90151" spans="17:17" x14ac:dyDescent="0.35">
      <c r="Q90151" s="1"/>
    </row>
    <row r="90156" spans="17:17" x14ac:dyDescent="0.35">
      <c r="Q90156" s="1"/>
    </row>
    <row r="90157" spans="17:17" x14ac:dyDescent="0.35">
      <c r="Q90157" s="1"/>
    </row>
    <row r="90159" spans="17:17" x14ac:dyDescent="0.35">
      <c r="Q90159" s="1"/>
    </row>
    <row r="90160" spans="17:17" x14ac:dyDescent="0.35">
      <c r="Q90160" s="1"/>
    </row>
    <row r="90161" spans="17:17" x14ac:dyDescent="0.35">
      <c r="Q90161" s="1"/>
    </row>
    <row r="90165" spans="17:17" x14ac:dyDescent="0.35">
      <c r="Q90165" s="1"/>
    </row>
    <row r="90166" spans="17:17" x14ac:dyDescent="0.35">
      <c r="Q90166" s="1"/>
    </row>
    <row r="90168" spans="17:17" x14ac:dyDescent="0.35">
      <c r="Q90168" s="1"/>
    </row>
    <row r="90171" spans="17:17" x14ac:dyDescent="0.35">
      <c r="Q90171" s="1"/>
    </row>
    <row r="90175" spans="17:17" x14ac:dyDescent="0.35">
      <c r="Q90175" s="1"/>
    </row>
    <row r="90179" spans="17:17" x14ac:dyDescent="0.35">
      <c r="Q90179" s="1"/>
    </row>
    <row r="90186" spans="17:17" x14ac:dyDescent="0.35">
      <c r="Q90186" s="1"/>
    </row>
    <row r="90189" spans="17:17" x14ac:dyDescent="0.35">
      <c r="Q90189" s="1"/>
    </row>
    <row r="90200" spans="17:17" x14ac:dyDescent="0.35">
      <c r="Q90200" s="1"/>
    </row>
    <row r="90211" spans="17:17" x14ac:dyDescent="0.35">
      <c r="Q90211" s="1"/>
    </row>
    <row r="90214" spans="17:17" x14ac:dyDescent="0.35">
      <c r="Q90214" s="1"/>
    </row>
    <row r="90222" spans="17:17" x14ac:dyDescent="0.35">
      <c r="Q90222" s="1"/>
    </row>
    <row r="90223" spans="17:17" x14ac:dyDescent="0.35">
      <c r="Q90223" s="1"/>
    </row>
    <row r="90227" spans="17:17" x14ac:dyDescent="0.35">
      <c r="Q90227" s="1"/>
    </row>
    <row r="90232" spans="17:17" x14ac:dyDescent="0.35">
      <c r="Q90232" s="1"/>
    </row>
    <row r="90243" spans="17:17" x14ac:dyDescent="0.35">
      <c r="Q90243" s="1"/>
    </row>
    <row r="90245" spans="17:17" x14ac:dyDescent="0.35">
      <c r="Q90245" s="1"/>
    </row>
    <row r="90248" spans="17:17" x14ac:dyDescent="0.35">
      <c r="Q90248" s="1"/>
    </row>
    <row r="90255" spans="17:17" x14ac:dyDescent="0.35">
      <c r="Q90255" s="1"/>
    </row>
    <row r="90260" spans="17:17" x14ac:dyDescent="0.35">
      <c r="Q90260" s="1"/>
    </row>
    <row r="90261" spans="17:17" x14ac:dyDescent="0.35">
      <c r="Q90261" s="1"/>
    </row>
    <row r="90262" spans="17:17" x14ac:dyDescent="0.35">
      <c r="Q90262" s="1"/>
    </row>
    <row r="90263" spans="17:17" x14ac:dyDescent="0.35">
      <c r="Q90263" s="1"/>
    </row>
    <row r="90275" spans="17:17" x14ac:dyDescent="0.35">
      <c r="Q90275" s="1"/>
    </row>
    <row r="90286" spans="17:17" x14ac:dyDescent="0.35">
      <c r="Q90286" s="1"/>
    </row>
    <row r="90289" spans="17:17" x14ac:dyDescent="0.35">
      <c r="Q90289" s="1"/>
    </row>
    <row r="90290" spans="17:17" x14ac:dyDescent="0.35">
      <c r="Q90290" s="1"/>
    </row>
    <row r="90293" spans="17:17" x14ac:dyDescent="0.35">
      <c r="Q90293" s="1"/>
    </row>
    <row r="90294" spans="17:17" x14ac:dyDescent="0.35">
      <c r="Q90294" s="1"/>
    </row>
    <row r="90300" spans="17:17" x14ac:dyDescent="0.35">
      <c r="Q90300" s="1"/>
    </row>
    <row r="90304" spans="17:17" x14ac:dyDescent="0.35">
      <c r="Q90304" s="1"/>
    </row>
    <row r="90305" spans="17:17" x14ac:dyDescent="0.35">
      <c r="Q90305" s="1"/>
    </row>
    <row r="90306" spans="17:17" x14ac:dyDescent="0.35">
      <c r="Q90306" s="1"/>
    </row>
    <row r="90311" spans="17:17" x14ac:dyDescent="0.35">
      <c r="Q90311" s="1"/>
    </row>
    <row r="90314" spans="17:17" x14ac:dyDescent="0.35">
      <c r="Q90314" s="1"/>
    </row>
    <row r="90315" spans="17:17" x14ac:dyDescent="0.35">
      <c r="Q90315" s="1"/>
    </row>
    <row r="90316" spans="17:17" x14ac:dyDescent="0.35">
      <c r="Q90316" s="1"/>
    </row>
    <row r="90319" spans="17:17" x14ac:dyDescent="0.35">
      <c r="Q90319" s="1"/>
    </row>
    <row r="90323" spans="17:17" x14ac:dyDescent="0.35">
      <c r="Q90323" s="1"/>
    </row>
    <row r="90324" spans="17:17" x14ac:dyDescent="0.35">
      <c r="Q90324" s="1"/>
    </row>
    <row r="90328" spans="17:17" x14ac:dyDescent="0.35">
      <c r="Q90328" s="1"/>
    </row>
    <row r="90329" spans="17:17" x14ac:dyDescent="0.35">
      <c r="Q90329" s="1"/>
    </row>
    <row r="90334" spans="17:17" x14ac:dyDescent="0.35">
      <c r="Q90334" s="1"/>
    </row>
    <row r="90337" spans="17:17" x14ac:dyDescent="0.35">
      <c r="Q90337" s="1"/>
    </row>
    <row r="90347" spans="17:17" x14ac:dyDescent="0.35">
      <c r="Q90347" s="1"/>
    </row>
    <row r="90349" spans="17:17" x14ac:dyDescent="0.35">
      <c r="Q90349" s="1"/>
    </row>
    <row r="90355" spans="17:17" x14ac:dyDescent="0.35">
      <c r="Q90355" s="1"/>
    </row>
    <row r="90361" spans="17:17" x14ac:dyDescent="0.35">
      <c r="Q90361" s="1"/>
    </row>
    <row r="90365" spans="17:17" x14ac:dyDescent="0.35">
      <c r="Q90365" s="1"/>
    </row>
    <row r="90372" spans="17:17" x14ac:dyDescent="0.35">
      <c r="Q90372" s="1"/>
    </row>
    <row r="90378" spans="17:17" x14ac:dyDescent="0.35">
      <c r="Q90378" s="1"/>
    </row>
    <row r="90399" spans="17:17" x14ac:dyDescent="0.35">
      <c r="Q90399" s="1"/>
    </row>
    <row r="90402" spans="17:17" x14ac:dyDescent="0.35">
      <c r="Q90402" s="1"/>
    </row>
    <row r="90403" spans="17:17" x14ac:dyDescent="0.35">
      <c r="Q90403" s="1"/>
    </row>
    <row r="90410" spans="17:17" x14ac:dyDescent="0.35">
      <c r="Q90410" s="1"/>
    </row>
    <row r="90412" spans="17:17" x14ac:dyDescent="0.35">
      <c r="Q90412" s="1"/>
    </row>
    <row r="90413" spans="17:17" x14ac:dyDescent="0.35">
      <c r="Q90413" s="1"/>
    </row>
    <row r="90417" spans="17:17" x14ac:dyDescent="0.35">
      <c r="Q90417" s="1"/>
    </row>
    <row r="90422" spans="17:17" x14ac:dyDescent="0.35">
      <c r="Q90422" s="1"/>
    </row>
    <row r="90423" spans="17:17" x14ac:dyDescent="0.35">
      <c r="Q90423" s="1"/>
    </row>
    <row r="90428" spans="17:17" x14ac:dyDescent="0.35">
      <c r="Q90428" s="1"/>
    </row>
    <row r="90429" spans="17:17" x14ac:dyDescent="0.35">
      <c r="Q90429" s="1"/>
    </row>
    <row r="90437" spans="17:17" x14ac:dyDescent="0.35">
      <c r="Q90437" s="1"/>
    </row>
    <row r="90444" spans="17:17" x14ac:dyDescent="0.35">
      <c r="Q90444" s="1"/>
    </row>
    <row r="90451" spans="17:17" x14ac:dyDescent="0.35">
      <c r="Q90451" s="1"/>
    </row>
    <row r="90452" spans="17:17" x14ac:dyDescent="0.35">
      <c r="Q90452" s="1"/>
    </row>
    <row r="90456" spans="17:17" x14ac:dyDescent="0.35">
      <c r="Q90456" s="1"/>
    </row>
    <row r="90457" spans="17:17" x14ac:dyDescent="0.35">
      <c r="Q90457" s="1"/>
    </row>
    <row r="90461" spans="17:17" x14ac:dyDescent="0.35">
      <c r="Q90461" s="1"/>
    </row>
    <row r="90468" spans="17:17" x14ac:dyDescent="0.35">
      <c r="Q90468" s="1"/>
    </row>
    <row r="90477" spans="17:17" x14ac:dyDescent="0.35">
      <c r="Q90477" s="1"/>
    </row>
    <row r="90481" spans="17:17" x14ac:dyDescent="0.35">
      <c r="Q90481" s="1"/>
    </row>
    <row r="90488" spans="17:17" x14ac:dyDescent="0.35">
      <c r="Q90488" s="1"/>
    </row>
    <row r="90497" spans="17:17" x14ac:dyDescent="0.35">
      <c r="Q90497" s="1"/>
    </row>
    <row r="90500" spans="17:17" x14ac:dyDescent="0.35">
      <c r="Q90500" s="1"/>
    </row>
    <row r="90503" spans="17:17" x14ac:dyDescent="0.35">
      <c r="Q90503" s="1"/>
    </row>
    <row r="90508" spans="17:17" x14ac:dyDescent="0.35">
      <c r="Q90508" s="1"/>
    </row>
    <row r="90509" spans="17:17" x14ac:dyDescent="0.35">
      <c r="Q90509" s="1"/>
    </row>
    <row r="90512" spans="17:17" x14ac:dyDescent="0.35">
      <c r="Q90512" s="1"/>
    </row>
    <row r="90514" spans="17:17" x14ac:dyDescent="0.35">
      <c r="Q90514" s="1"/>
    </row>
    <row r="90516" spans="17:17" x14ac:dyDescent="0.35">
      <c r="Q90516" s="1"/>
    </row>
    <row r="90518" spans="17:17" x14ac:dyDescent="0.35">
      <c r="Q90518" s="1"/>
    </row>
    <row r="90520" spans="17:17" x14ac:dyDescent="0.35">
      <c r="Q90520" s="1"/>
    </row>
    <row r="90521" spans="17:17" x14ac:dyDescent="0.35">
      <c r="Q90521" s="1"/>
    </row>
    <row r="90525" spans="17:17" x14ac:dyDescent="0.35">
      <c r="Q90525" s="1"/>
    </row>
    <row r="90527" spans="17:17" x14ac:dyDescent="0.35">
      <c r="Q90527" s="1"/>
    </row>
    <row r="90528" spans="17:17" x14ac:dyDescent="0.35">
      <c r="Q90528" s="1"/>
    </row>
    <row r="90530" spans="17:17" x14ac:dyDescent="0.35">
      <c r="Q90530" s="1"/>
    </row>
    <row r="90534" spans="17:17" x14ac:dyDescent="0.35">
      <c r="Q90534" s="1"/>
    </row>
    <row r="90539" spans="17:17" x14ac:dyDescent="0.35">
      <c r="Q90539" s="1"/>
    </row>
    <row r="90540" spans="17:17" x14ac:dyDescent="0.35">
      <c r="Q90540" s="1"/>
    </row>
    <row r="90544" spans="17:17" x14ac:dyDescent="0.35">
      <c r="Q90544" s="1"/>
    </row>
    <row r="90548" spans="17:17" x14ac:dyDescent="0.35">
      <c r="Q90548" s="1"/>
    </row>
    <row r="90552" spans="17:17" x14ac:dyDescent="0.35">
      <c r="Q90552" s="1"/>
    </row>
    <row r="90556" spans="17:17" x14ac:dyDescent="0.35">
      <c r="Q90556" s="1"/>
    </row>
    <row r="90568" spans="17:17" x14ac:dyDescent="0.35">
      <c r="Q90568" s="1"/>
    </row>
    <row r="90569" spans="17:17" x14ac:dyDescent="0.35">
      <c r="Q90569" s="1"/>
    </row>
    <row r="90571" spans="17:17" x14ac:dyDescent="0.35">
      <c r="Q90571" s="1"/>
    </row>
    <row r="90576" spans="17:17" x14ac:dyDescent="0.35">
      <c r="Q90576" s="1"/>
    </row>
    <row r="90577" spans="17:17" x14ac:dyDescent="0.35">
      <c r="Q90577" s="1"/>
    </row>
    <row r="90579" spans="17:17" x14ac:dyDescent="0.35">
      <c r="Q90579" s="1"/>
    </row>
    <row r="90582" spans="17:17" x14ac:dyDescent="0.35">
      <c r="Q90582" s="1"/>
    </row>
    <row r="90586" spans="17:17" x14ac:dyDescent="0.35">
      <c r="Q90586" s="1"/>
    </row>
    <row r="90592" spans="17:17" x14ac:dyDescent="0.35">
      <c r="Q90592" s="1"/>
    </row>
    <row r="90600" spans="17:17" x14ac:dyDescent="0.35">
      <c r="Q90600" s="1"/>
    </row>
    <row r="90604" spans="17:17" x14ac:dyDescent="0.35">
      <c r="Q90604" s="1"/>
    </row>
    <row r="90606" spans="17:17" x14ac:dyDescent="0.35">
      <c r="Q90606" s="1"/>
    </row>
    <row r="90607" spans="17:17" x14ac:dyDescent="0.35">
      <c r="Q90607" s="1"/>
    </row>
    <row r="90610" spans="17:17" x14ac:dyDescent="0.35">
      <c r="Q90610" s="1"/>
    </row>
    <row r="90612" spans="17:17" x14ac:dyDescent="0.35">
      <c r="Q90612" s="1"/>
    </row>
    <row r="90614" spans="17:17" x14ac:dyDescent="0.35">
      <c r="Q90614" s="1"/>
    </row>
    <row r="90624" spans="17:17" x14ac:dyDescent="0.35">
      <c r="Q90624" s="1"/>
    </row>
    <row r="90626" spans="16:17" x14ac:dyDescent="0.35">
      <c r="Q90626" s="1"/>
    </row>
    <row r="90628" spans="16:17" x14ac:dyDescent="0.35">
      <c r="Q90628" s="1"/>
    </row>
    <row r="90631" spans="16:17" x14ac:dyDescent="0.35">
      <c r="Q90631" s="1"/>
    </row>
    <row r="90633" spans="16:17" x14ac:dyDescent="0.35">
      <c r="P90633" s="1"/>
    </row>
    <row r="90635" spans="16:17" x14ac:dyDescent="0.35">
      <c r="Q90635" s="1"/>
    </row>
    <row r="90641" spans="17:17" x14ac:dyDescent="0.35">
      <c r="Q90641" s="1"/>
    </row>
    <row r="90651" spans="17:17" x14ac:dyDescent="0.35">
      <c r="Q90651" s="1"/>
    </row>
    <row r="90657" spans="17:17" x14ac:dyDescent="0.35">
      <c r="Q90657" s="1"/>
    </row>
    <row r="90658" spans="17:17" x14ac:dyDescent="0.35">
      <c r="Q90658" s="1"/>
    </row>
    <row r="90662" spans="17:17" x14ac:dyDescent="0.35">
      <c r="Q90662" s="1"/>
    </row>
    <row r="90663" spans="17:17" x14ac:dyDescent="0.35">
      <c r="Q90663" s="1"/>
    </row>
    <row r="90669" spans="17:17" x14ac:dyDescent="0.35">
      <c r="Q90669" s="1"/>
    </row>
    <row r="90670" spans="17:17" x14ac:dyDescent="0.35">
      <c r="Q90670" s="1"/>
    </row>
    <row r="90671" spans="17:17" x14ac:dyDescent="0.35">
      <c r="Q90671" s="1"/>
    </row>
    <row r="90672" spans="17:17" x14ac:dyDescent="0.35">
      <c r="Q90672" s="1"/>
    </row>
    <row r="90676" spans="17:17" x14ac:dyDescent="0.35">
      <c r="Q90676" s="1"/>
    </row>
    <row r="90679" spans="17:17" x14ac:dyDescent="0.35">
      <c r="Q90679" s="1"/>
    </row>
    <row r="90681" spans="17:17" x14ac:dyDescent="0.35">
      <c r="Q90681" s="1"/>
    </row>
    <row r="90683" spans="17:17" x14ac:dyDescent="0.35">
      <c r="Q90683" s="1"/>
    </row>
    <row r="90685" spans="17:17" x14ac:dyDescent="0.35">
      <c r="Q90685" s="1"/>
    </row>
    <row r="90688" spans="17:17" x14ac:dyDescent="0.35">
      <c r="Q90688" s="1"/>
    </row>
    <row r="90689" spans="17:17" x14ac:dyDescent="0.35">
      <c r="Q90689" s="1"/>
    </row>
    <row r="90691" spans="17:17" x14ac:dyDescent="0.35">
      <c r="Q90691" s="1"/>
    </row>
    <row r="90701" spans="17:17" x14ac:dyDescent="0.35">
      <c r="Q90701" s="1"/>
    </row>
    <row r="90702" spans="17:17" x14ac:dyDescent="0.35">
      <c r="Q90702" s="1"/>
    </row>
    <row r="90709" spans="17:17" x14ac:dyDescent="0.35">
      <c r="Q90709" s="1"/>
    </row>
    <row r="90713" spans="17:17" x14ac:dyDescent="0.35">
      <c r="Q90713" s="1"/>
    </row>
    <row r="90718" spans="17:17" x14ac:dyDescent="0.35">
      <c r="Q90718" s="1"/>
    </row>
    <row r="90724" spans="17:17" x14ac:dyDescent="0.35">
      <c r="Q90724" s="1"/>
    </row>
    <row r="90725" spans="17:17" x14ac:dyDescent="0.35">
      <c r="Q90725" s="1"/>
    </row>
    <row r="90733" spans="17:17" x14ac:dyDescent="0.35">
      <c r="Q90733" s="1"/>
    </row>
    <row r="90738" spans="16:17" x14ac:dyDescent="0.35">
      <c r="P90738" s="1"/>
    </row>
    <row r="90742" spans="16:17" x14ac:dyDescent="0.35">
      <c r="Q90742" s="1"/>
    </row>
    <row r="90747" spans="16:17" x14ac:dyDescent="0.35">
      <c r="Q90747" s="1"/>
    </row>
    <row r="90748" spans="16:17" x14ac:dyDescent="0.35">
      <c r="Q90748" s="1"/>
    </row>
    <row r="90749" spans="16:17" x14ac:dyDescent="0.35">
      <c r="Q90749" s="1"/>
    </row>
    <row r="90753" spans="17:17" x14ac:dyDescent="0.35">
      <c r="Q90753" s="1"/>
    </row>
    <row r="90754" spans="17:17" x14ac:dyDescent="0.35">
      <c r="Q90754" s="1"/>
    </row>
    <row r="90755" spans="17:17" x14ac:dyDescent="0.35">
      <c r="Q90755" s="1"/>
    </row>
    <row r="90758" spans="17:17" x14ac:dyDescent="0.35">
      <c r="Q90758" s="1"/>
    </row>
    <row r="90762" spans="17:17" x14ac:dyDescent="0.35">
      <c r="Q90762" s="1"/>
    </row>
    <row r="90763" spans="17:17" x14ac:dyDescent="0.35">
      <c r="Q90763" s="1"/>
    </row>
    <row r="90765" spans="17:17" x14ac:dyDescent="0.35">
      <c r="Q90765" s="1"/>
    </row>
    <row r="90769" spans="17:17" x14ac:dyDescent="0.35">
      <c r="Q90769" s="1"/>
    </row>
    <row r="90772" spans="17:17" x14ac:dyDescent="0.35">
      <c r="Q90772" s="1"/>
    </row>
    <row r="90775" spans="17:17" x14ac:dyDescent="0.35">
      <c r="Q90775" s="1"/>
    </row>
    <row r="90788" spans="17:17" x14ac:dyDescent="0.35">
      <c r="Q90788" s="1"/>
    </row>
    <row r="90789" spans="17:17" x14ac:dyDescent="0.35">
      <c r="Q90789" s="1"/>
    </row>
    <row r="90794" spans="17:17" x14ac:dyDescent="0.35">
      <c r="Q90794" s="1"/>
    </row>
    <row r="90799" spans="17:17" x14ac:dyDescent="0.35">
      <c r="Q90799" s="1"/>
    </row>
    <row r="90801" spans="17:17" x14ac:dyDescent="0.35">
      <c r="Q90801" s="1"/>
    </row>
    <row r="90802" spans="17:17" x14ac:dyDescent="0.35">
      <c r="Q90802" s="1"/>
    </row>
    <row r="90806" spans="17:17" x14ac:dyDescent="0.35">
      <c r="Q90806" s="1"/>
    </row>
    <row r="90807" spans="17:17" x14ac:dyDescent="0.35">
      <c r="Q90807" s="1"/>
    </row>
    <row r="90809" spans="17:17" x14ac:dyDescent="0.35">
      <c r="Q90809" s="1"/>
    </row>
    <row r="90810" spans="17:17" x14ac:dyDescent="0.35">
      <c r="Q90810" s="1"/>
    </row>
    <row r="90812" spans="17:17" x14ac:dyDescent="0.35">
      <c r="Q90812" s="1"/>
    </row>
    <row r="90816" spans="17:17" x14ac:dyDescent="0.35">
      <c r="Q90816" s="1"/>
    </row>
    <row r="90825" spans="16:17" x14ac:dyDescent="0.35">
      <c r="Q90825" s="1"/>
    </row>
    <row r="90827" spans="16:17" x14ac:dyDescent="0.35">
      <c r="Q90827" s="1"/>
    </row>
    <row r="90828" spans="16:17" x14ac:dyDescent="0.35">
      <c r="Q90828" s="1"/>
    </row>
    <row r="90830" spans="16:17" x14ac:dyDescent="0.35">
      <c r="P90830" s="1"/>
      <c r="Q90830" s="1"/>
    </row>
    <row r="90833" spans="17:17" x14ac:dyDescent="0.35">
      <c r="Q90833" s="1"/>
    </row>
    <row r="90835" spans="17:17" x14ac:dyDescent="0.35">
      <c r="Q90835" s="1"/>
    </row>
    <row r="90836" spans="17:17" x14ac:dyDescent="0.35">
      <c r="Q90836" s="1"/>
    </row>
    <row r="90837" spans="17:17" x14ac:dyDescent="0.35">
      <c r="Q90837" s="1"/>
    </row>
    <row r="90841" spans="17:17" x14ac:dyDescent="0.35">
      <c r="Q90841" s="1"/>
    </row>
    <row r="90842" spans="17:17" x14ac:dyDescent="0.35">
      <c r="Q90842" s="1"/>
    </row>
    <row r="90844" spans="17:17" x14ac:dyDescent="0.35">
      <c r="Q90844" s="1"/>
    </row>
    <row r="90847" spans="17:17" x14ac:dyDescent="0.35">
      <c r="Q90847" s="1"/>
    </row>
    <row r="90861" spans="17:17" x14ac:dyDescent="0.35">
      <c r="Q90861" s="1"/>
    </row>
    <row r="90863" spans="17:17" x14ac:dyDescent="0.35">
      <c r="Q90863" s="1"/>
    </row>
    <row r="90866" spans="17:17" x14ac:dyDescent="0.35">
      <c r="Q90866" s="1"/>
    </row>
    <row r="90867" spans="17:17" x14ac:dyDescent="0.35">
      <c r="Q90867" s="1"/>
    </row>
    <row r="90868" spans="17:17" x14ac:dyDescent="0.35">
      <c r="Q90868" s="1"/>
    </row>
    <row r="90869" spans="17:17" x14ac:dyDescent="0.35">
      <c r="Q90869" s="1"/>
    </row>
    <row r="90872" spans="17:17" x14ac:dyDescent="0.35">
      <c r="Q90872" s="1"/>
    </row>
    <row r="90875" spans="17:17" x14ac:dyDescent="0.35">
      <c r="Q90875" s="1"/>
    </row>
    <row r="90876" spans="17:17" x14ac:dyDescent="0.35">
      <c r="Q90876" s="1"/>
    </row>
    <row r="90877" spans="17:17" x14ac:dyDescent="0.35">
      <c r="Q90877" s="1"/>
    </row>
    <row r="90885" spans="17:17" x14ac:dyDescent="0.35">
      <c r="Q90885" s="1"/>
    </row>
    <row r="90887" spans="17:17" x14ac:dyDescent="0.35">
      <c r="Q90887" s="1"/>
    </row>
    <row r="90893" spans="17:17" x14ac:dyDescent="0.35">
      <c r="Q90893" s="1"/>
    </row>
    <row r="90894" spans="17:17" x14ac:dyDescent="0.35">
      <c r="Q90894" s="1"/>
    </row>
    <row r="90897" spans="17:17" x14ac:dyDescent="0.35">
      <c r="Q90897" s="1"/>
    </row>
    <row r="90900" spans="17:17" x14ac:dyDescent="0.35">
      <c r="Q90900" s="1"/>
    </row>
    <row r="90903" spans="17:17" x14ac:dyDescent="0.35">
      <c r="Q90903" s="1"/>
    </row>
    <row r="90904" spans="17:17" x14ac:dyDescent="0.35">
      <c r="Q90904" s="1"/>
    </row>
    <row r="90910" spans="17:17" x14ac:dyDescent="0.35">
      <c r="Q90910" s="1"/>
    </row>
    <row r="90918" spans="17:17" x14ac:dyDescent="0.35">
      <c r="Q90918" s="1"/>
    </row>
    <row r="90920" spans="17:17" x14ac:dyDescent="0.35">
      <c r="Q90920" s="1"/>
    </row>
    <row r="90926" spans="17:17" x14ac:dyDescent="0.35">
      <c r="Q90926" s="1"/>
    </row>
    <row r="90929" spans="16:17" x14ac:dyDescent="0.35">
      <c r="Q90929" s="1"/>
    </row>
    <row r="90931" spans="16:17" x14ac:dyDescent="0.35">
      <c r="Q90931" s="1"/>
    </row>
    <row r="90934" spans="16:17" x14ac:dyDescent="0.35">
      <c r="Q90934" s="1"/>
    </row>
    <row r="90935" spans="16:17" x14ac:dyDescent="0.35">
      <c r="P90935" s="1"/>
    </row>
    <row r="90939" spans="16:17" x14ac:dyDescent="0.35">
      <c r="Q90939" s="1"/>
    </row>
    <row r="90946" spans="17:17" x14ac:dyDescent="0.35">
      <c r="Q90946" s="1"/>
    </row>
    <row r="90947" spans="17:17" x14ac:dyDescent="0.35">
      <c r="Q90947" s="1"/>
    </row>
    <row r="90948" spans="17:17" x14ac:dyDescent="0.35">
      <c r="Q90948" s="1"/>
    </row>
    <row r="90952" spans="17:17" x14ac:dyDescent="0.35">
      <c r="Q90952" s="1"/>
    </row>
    <row r="90956" spans="17:17" x14ac:dyDescent="0.35">
      <c r="Q90956" s="1"/>
    </row>
    <row r="90962" spans="17:17" x14ac:dyDescent="0.35">
      <c r="Q90962" s="1"/>
    </row>
    <row r="90968" spans="17:17" x14ac:dyDescent="0.35">
      <c r="Q90968" s="1"/>
    </row>
    <row r="90972" spans="17:17" x14ac:dyDescent="0.35">
      <c r="Q90972" s="1"/>
    </row>
    <row r="90973" spans="17:17" x14ac:dyDescent="0.35">
      <c r="Q90973" s="1"/>
    </row>
    <row r="90974" spans="17:17" x14ac:dyDescent="0.35">
      <c r="Q90974" s="1"/>
    </row>
    <row r="90978" spans="17:17" x14ac:dyDescent="0.35">
      <c r="Q90978" s="1"/>
    </row>
    <row r="90981" spans="17:17" x14ac:dyDescent="0.35">
      <c r="Q90981" s="1"/>
    </row>
    <row r="90990" spans="17:17" x14ac:dyDescent="0.35">
      <c r="Q90990" s="1"/>
    </row>
    <row r="90991" spans="17:17" x14ac:dyDescent="0.35">
      <c r="Q90991" s="1"/>
    </row>
    <row r="90993" spans="17:17" x14ac:dyDescent="0.35">
      <c r="Q90993" s="1"/>
    </row>
    <row r="90994" spans="17:17" x14ac:dyDescent="0.35">
      <c r="Q90994" s="1"/>
    </row>
    <row r="90996" spans="17:17" x14ac:dyDescent="0.35">
      <c r="Q90996" s="1"/>
    </row>
    <row r="90997" spans="17:17" x14ac:dyDescent="0.35">
      <c r="Q90997" s="1"/>
    </row>
    <row r="90998" spans="17:17" x14ac:dyDescent="0.35">
      <c r="Q90998" s="1"/>
    </row>
    <row r="90999" spans="17:17" x14ac:dyDescent="0.35">
      <c r="Q90999" s="1"/>
    </row>
    <row r="91001" spans="17:17" x14ac:dyDescent="0.35">
      <c r="Q91001" s="1"/>
    </row>
    <row r="91007" spans="17:17" x14ac:dyDescent="0.35">
      <c r="Q91007" s="1"/>
    </row>
    <row r="91028" spans="17:17" x14ac:dyDescent="0.35">
      <c r="Q91028" s="1"/>
    </row>
    <row r="91030" spans="17:17" x14ac:dyDescent="0.35">
      <c r="Q91030" s="1"/>
    </row>
    <row r="91041" spans="17:17" x14ac:dyDescent="0.35">
      <c r="Q91041" s="1"/>
    </row>
    <row r="91046" spans="17:17" x14ac:dyDescent="0.35">
      <c r="Q91046" s="1"/>
    </row>
    <row r="91047" spans="17:17" x14ac:dyDescent="0.35">
      <c r="Q91047" s="1"/>
    </row>
    <row r="91051" spans="17:17" x14ac:dyDescent="0.35">
      <c r="Q91051" s="1"/>
    </row>
    <row r="91052" spans="17:17" x14ac:dyDescent="0.35">
      <c r="Q91052" s="1"/>
    </row>
    <row r="91069" spans="17:17" x14ac:dyDescent="0.35">
      <c r="Q91069" s="1"/>
    </row>
    <row r="91077" spans="17:17" x14ac:dyDescent="0.35">
      <c r="Q91077" s="1"/>
    </row>
    <row r="91089" spans="17:17" x14ac:dyDescent="0.35">
      <c r="Q91089" s="1"/>
    </row>
    <row r="91092" spans="17:17" x14ac:dyDescent="0.35">
      <c r="Q91092" s="1"/>
    </row>
    <row r="91104" spans="17:17" x14ac:dyDescent="0.35">
      <c r="Q91104" s="1"/>
    </row>
    <row r="91106" spans="17:17" x14ac:dyDescent="0.35">
      <c r="Q91106" s="1"/>
    </row>
    <row r="91108" spans="17:17" x14ac:dyDescent="0.35">
      <c r="Q91108" s="1"/>
    </row>
    <row r="91110" spans="17:17" x14ac:dyDescent="0.35">
      <c r="Q91110" s="1"/>
    </row>
    <row r="91121" spans="16:17" x14ac:dyDescent="0.35">
      <c r="Q91121" s="1"/>
    </row>
    <row r="91122" spans="16:17" x14ac:dyDescent="0.35">
      <c r="P91122" s="1"/>
    </row>
    <row r="91131" spans="16:17" x14ac:dyDescent="0.35">
      <c r="Q91131" s="1"/>
    </row>
    <row r="91139" spans="17:17" x14ac:dyDescent="0.35">
      <c r="Q91139" s="1"/>
    </row>
    <row r="91147" spans="17:17" x14ac:dyDescent="0.35">
      <c r="Q91147" s="1"/>
    </row>
    <row r="91150" spans="17:17" x14ac:dyDescent="0.35">
      <c r="Q91150" s="1"/>
    </row>
    <row r="91151" spans="17:17" x14ac:dyDescent="0.35">
      <c r="Q91151" s="1"/>
    </row>
    <row r="91153" spans="16:17" x14ac:dyDescent="0.35">
      <c r="Q91153" s="1"/>
    </row>
    <row r="91155" spans="16:17" x14ac:dyDescent="0.35">
      <c r="Q91155" s="1"/>
    </row>
    <row r="91158" spans="16:17" x14ac:dyDescent="0.35">
      <c r="P91158" s="1"/>
    </row>
    <row r="91159" spans="16:17" x14ac:dyDescent="0.35">
      <c r="P91159" s="1"/>
    </row>
    <row r="91160" spans="16:17" x14ac:dyDescent="0.35">
      <c r="P91160" s="1"/>
    </row>
    <row r="91163" spans="16:17" x14ac:dyDescent="0.35">
      <c r="P91163" s="1"/>
    </row>
    <row r="91171" spans="16:17" x14ac:dyDescent="0.35">
      <c r="Q91171" s="1"/>
    </row>
    <row r="91172" spans="16:17" x14ac:dyDescent="0.35">
      <c r="P91172" s="1"/>
    </row>
    <row r="91175" spans="16:17" x14ac:dyDescent="0.35">
      <c r="P91175" s="1"/>
    </row>
    <row r="91176" spans="16:17" x14ac:dyDescent="0.35">
      <c r="P91176" s="1"/>
    </row>
    <row r="91177" spans="16:17" x14ac:dyDescent="0.35">
      <c r="P91177" s="1"/>
    </row>
    <row r="91179" spans="16:17" x14ac:dyDescent="0.35">
      <c r="P91179" s="1"/>
    </row>
    <row r="91180" spans="16:17" x14ac:dyDescent="0.35">
      <c r="P91180" s="1"/>
    </row>
    <row r="91183" spans="16:17" x14ac:dyDescent="0.35">
      <c r="P91183" s="1"/>
    </row>
    <row r="91204" spans="16:17" x14ac:dyDescent="0.35">
      <c r="Q91204" s="1"/>
    </row>
    <row r="91215" spans="16:17" x14ac:dyDescent="0.35">
      <c r="P91215" s="1"/>
    </row>
    <row r="91216" spans="16:17" x14ac:dyDescent="0.35">
      <c r="P91216" s="1"/>
    </row>
    <row r="91217" spans="16:17" x14ac:dyDescent="0.35">
      <c r="P91217" s="1"/>
    </row>
    <row r="91221" spans="16:17" x14ac:dyDescent="0.35">
      <c r="P91221" s="1"/>
    </row>
    <row r="91223" spans="16:17" x14ac:dyDescent="0.35">
      <c r="Q91223" s="1"/>
    </row>
    <row r="91234" spans="16:17" x14ac:dyDescent="0.35">
      <c r="P91234" s="1"/>
    </row>
    <row r="91235" spans="16:17" x14ac:dyDescent="0.35">
      <c r="P91235" s="1"/>
    </row>
    <row r="91236" spans="16:17" x14ac:dyDescent="0.35">
      <c r="P91236" s="1"/>
    </row>
    <row r="91237" spans="16:17" x14ac:dyDescent="0.35">
      <c r="Q91237" s="1"/>
    </row>
    <row r="91238" spans="16:17" x14ac:dyDescent="0.35">
      <c r="P91238" s="1"/>
    </row>
    <row r="91259" spans="17:17" x14ac:dyDescent="0.35">
      <c r="Q91259" s="1"/>
    </row>
    <row r="91260" spans="17:17" x14ac:dyDescent="0.35">
      <c r="Q91260" s="1"/>
    </row>
    <row r="91264" spans="17:17" x14ac:dyDescent="0.35">
      <c r="Q91264" s="1"/>
    </row>
    <row r="91283" spans="17:17" x14ac:dyDescent="0.35">
      <c r="Q91283" s="1"/>
    </row>
    <row r="91284" spans="17:17" x14ac:dyDescent="0.35">
      <c r="Q91284" s="1"/>
    </row>
    <row r="91288" spans="17:17" x14ac:dyDescent="0.35">
      <c r="Q91288" s="1"/>
    </row>
    <row r="91300" spans="16:17" x14ac:dyDescent="0.35">
      <c r="Q91300" s="1"/>
    </row>
    <row r="91305" spans="16:17" x14ac:dyDescent="0.35">
      <c r="Q91305" s="1"/>
    </row>
    <row r="91306" spans="16:17" x14ac:dyDescent="0.35">
      <c r="P91306" s="1"/>
    </row>
    <row r="91308" spans="16:17" x14ac:dyDescent="0.35">
      <c r="Q91308" s="1"/>
    </row>
    <row r="91315" spans="17:17" x14ac:dyDescent="0.35">
      <c r="Q91315" s="1"/>
    </row>
    <row r="91322" spans="17:17" x14ac:dyDescent="0.35">
      <c r="Q91322" s="1"/>
    </row>
    <row r="91325" spans="17:17" x14ac:dyDescent="0.35">
      <c r="Q91325" s="1"/>
    </row>
    <row r="91355" spans="17:17" x14ac:dyDescent="0.35">
      <c r="Q91355" s="1"/>
    </row>
    <row r="91368" spans="17:17" x14ac:dyDescent="0.35">
      <c r="Q91368" s="1"/>
    </row>
    <row r="91373" spans="17:17" x14ac:dyDescent="0.35">
      <c r="Q91373" s="1"/>
    </row>
    <row r="91391" spans="17:17" x14ac:dyDescent="0.35">
      <c r="Q91391" s="1"/>
    </row>
    <row r="91394" spans="16:17" x14ac:dyDescent="0.35">
      <c r="P91394" s="1"/>
    </row>
    <row r="91398" spans="16:17" x14ac:dyDescent="0.35">
      <c r="Q91398" s="1"/>
    </row>
    <row r="91401" spans="16:17" x14ac:dyDescent="0.35">
      <c r="Q91401" s="1"/>
    </row>
    <row r="91407" spans="16:17" x14ac:dyDescent="0.35">
      <c r="Q91407" s="1"/>
    </row>
    <row r="91408" spans="16:17" x14ac:dyDescent="0.35">
      <c r="Q91408" s="1"/>
    </row>
    <row r="91410" spans="17:17" x14ac:dyDescent="0.35">
      <c r="Q91410" s="1"/>
    </row>
    <row r="91411" spans="17:17" x14ac:dyDescent="0.35">
      <c r="Q91411" s="1"/>
    </row>
    <row r="91412" spans="17:17" x14ac:dyDescent="0.35">
      <c r="Q91412" s="1"/>
    </row>
    <row r="91413" spans="17:17" x14ac:dyDescent="0.35">
      <c r="Q91413" s="1"/>
    </row>
    <row r="91415" spans="17:17" x14ac:dyDescent="0.35">
      <c r="Q91415" s="1"/>
    </row>
    <row r="91416" spans="17:17" x14ac:dyDescent="0.35">
      <c r="Q91416" s="1"/>
    </row>
    <row r="91417" spans="17:17" x14ac:dyDescent="0.35">
      <c r="Q91417" s="1"/>
    </row>
    <row r="91418" spans="17:17" x14ac:dyDescent="0.35">
      <c r="Q91418" s="1"/>
    </row>
    <row r="91442" spans="17:17" x14ac:dyDescent="0.35">
      <c r="Q91442" s="1"/>
    </row>
    <row r="91447" spans="17:17" x14ac:dyDescent="0.35">
      <c r="Q91447" s="1"/>
    </row>
    <row r="91452" spans="17:17" x14ac:dyDescent="0.35">
      <c r="Q91452" s="1"/>
    </row>
    <row r="91459" spans="16:17" x14ac:dyDescent="0.35">
      <c r="Q91459" s="1"/>
    </row>
    <row r="91461" spans="16:17" x14ac:dyDescent="0.35">
      <c r="Q91461" s="1"/>
    </row>
    <row r="91465" spans="16:17" x14ac:dyDescent="0.35">
      <c r="Q91465" s="1"/>
    </row>
    <row r="91467" spans="16:17" x14ac:dyDescent="0.35">
      <c r="Q91467" s="1"/>
    </row>
    <row r="91469" spans="16:17" x14ac:dyDescent="0.35">
      <c r="P91469" s="1"/>
      <c r="Q91469" s="1"/>
    </row>
    <row r="91474" spans="17:17" x14ac:dyDescent="0.35">
      <c r="Q91474" s="1"/>
    </row>
    <row r="91476" spans="17:17" x14ac:dyDescent="0.35">
      <c r="Q91476" s="1"/>
    </row>
    <row r="91500" spans="17:17" x14ac:dyDescent="0.35">
      <c r="Q91500" s="1"/>
    </row>
    <row r="91505" spans="17:17" x14ac:dyDescent="0.35">
      <c r="Q91505" s="1"/>
    </row>
    <row r="91510" spans="17:17" x14ac:dyDescent="0.35">
      <c r="Q91510" s="1"/>
    </row>
    <row r="91514" spans="17:17" x14ac:dyDescent="0.35">
      <c r="Q91514" s="1"/>
    </row>
    <row r="91519" spans="17:17" x14ac:dyDescent="0.35">
      <c r="Q91519" s="1"/>
    </row>
    <row r="91522" spans="16:17" x14ac:dyDescent="0.35">
      <c r="P91522" s="1"/>
    </row>
    <row r="91524" spans="16:17" x14ac:dyDescent="0.35">
      <c r="P91524" s="1"/>
      <c r="Q91524" s="1"/>
    </row>
    <row r="91532" spans="16:17" x14ac:dyDescent="0.35">
      <c r="Q91532" s="1"/>
    </row>
    <row r="91543" spans="17:17" x14ac:dyDescent="0.35">
      <c r="Q91543" s="1"/>
    </row>
    <row r="91549" spans="17:17" x14ac:dyDescent="0.35">
      <c r="Q91549" s="1"/>
    </row>
    <row r="91552" spans="17:17" x14ac:dyDescent="0.35">
      <c r="Q91552" s="1"/>
    </row>
    <row r="91573" spans="17:17" x14ac:dyDescent="0.35">
      <c r="Q91573" s="1"/>
    </row>
    <row r="91602" spans="16:17" x14ac:dyDescent="0.35">
      <c r="P91602" s="1"/>
    </row>
    <row r="91605" spans="16:17" x14ac:dyDescent="0.35">
      <c r="Q91605" s="1"/>
    </row>
    <row r="91608" spans="16:17" x14ac:dyDescent="0.35">
      <c r="Q91608" s="1"/>
    </row>
    <row r="91609" spans="16:17" x14ac:dyDescent="0.35">
      <c r="Q91609" s="1"/>
    </row>
    <row r="91610" spans="16:17" x14ac:dyDescent="0.35">
      <c r="Q91610" s="1"/>
    </row>
    <row r="91612" spans="16:17" x14ac:dyDescent="0.35">
      <c r="Q91612" s="1"/>
    </row>
    <row r="91614" spans="16:17" x14ac:dyDescent="0.35">
      <c r="Q91614" s="1"/>
    </row>
    <row r="91628" spans="17:17" x14ac:dyDescent="0.35">
      <c r="Q91628" s="1"/>
    </row>
    <row r="91633" spans="17:17" x14ac:dyDescent="0.35">
      <c r="Q91633" s="1"/>
    </row>
    <row r="91653" spans="17:17" x14ac:dyDescent="0.35">
      <c r="Q91653" s="1"/>
    </row>
    <row r="91657" spans="17:17" x14ac:dyDescent="0.35">
      <c r="Q91657" s="1"/>
    </row>
    <row r="91672" spans="17:17" x14ac:dyDescent="0.35">
      <c r="Q91672" s="1"/>
    </row>
    <row r="91690" spans="17:17" x14ac:dyDescent="0.35">
      <c r="Q91690" s="1"/>
    </row>
    <row r="91698" spans="17:17" x14ac:dyDescent="0.35">
      <c r="Q91698" s="1"/>
    </row>
    <row r="91705" spans="17:17" x14ac:dyDescent="0.35">
      <c r="Q91705" s="1"/>
    </row>
    <row r="91706" spans="17:17" x14ac:dyDescent="0.35">
      <c r="Q91706" s="1"/>
    </row>
    <row r="91707" spans="17:17" x14ac:dyDescent="0.35">
      <c r="Q91707" s="1"/>
    </row>
    <row r="91708" spans="17:17" x14ac:dyDescent="0.35">
      <c r="Q91708" s="1"/>
    </row>
    <row r="91709" spans="17:17" x14ac:dyDescent="0.35">
      <c r="Q91709" s="1"/>
    </row>
    <row r="91711" spans="17:17" x14ac:dyDescent="0.35">
      <c r="Q91711" s="1"/>
    </row>
    <row r="91713" spans="17:17" x14ac:dyDescent="0.35">
      <c r="Q91713" s="1"/>
    </row>
    <row r="91716" spans="17:17" x14ac:dyDescent="0.35">
      <c r="Q91716" s="1"/>
    </row>
    <row r="91717" spans="17:17" x14ac:dyDescent="0.35">
      <c r="Q91717" s="1"/>
    </row>
    <row r="91734" spans="17:17" x14ac:dyDescent="0.35">
      <c r="Q91734" s="1"/>
    </row>
    <row r="91736" spans="17:17" x14ac:dyDescent="0.35">
      <c r="Q91736" s="1"/>
    </row>
    <row r="91737" spans="17:17" x14ac:dyDescent="0.35">
      <c r="Q91737" s="1"/>
    </row>
    <row r="91751" spans="16:17" x14ac:dyDescent="0.35">
      <c r="Q91751" s="1"/>
    </row>
    <row r="91754" spans="16:17" x14ac:dyDescent="0.35">
      <c r="P91754" s="1"/>
    </row>
    <row r="91756" spans="16:17" x14ac:dyDescent="0.35">
      <c r="Q91756" s="1"/>
    </row>
    <row r="91758" spans="16:17" x14ac:dyDescent="0.35">
      <c r="Q91758" s="1"/>
    </row>
    <row r="91759" spans="16:17" x14ac:dyDescent="0.35">
      <c r="Q91759" s="1"/>
    </row>
    <row r="91760" spans="16:17" x14ac:dyDescent="0.35">
      <c r="Q91760" s="1"/>
    </row>
    <row r="91771" spans="17:17" x14ac:dyDescent="0.35">
      <c r="Q91771" s="1"/>
    </row>
    <row r="91773" spans="17:17" x14ac:dyDescent="0.35">
      <c r="Q91773" s="1"/>
    </row>
    <row r="91775" spans="17:17" x14ac:dyDescent="0.35">
      <c r="Q91775" s="1"/>
    </row>
    <row r="91778" spans="17:17" x14ac:dyDescent="0.35">
      <c r="Q91778" s="1"/>
    </row>
    <row r="91779" spans="17:17" x14ac:dyDescent="0.35">
      <c r="Q91779" s="1"/>
    </row>
    <row r="91784" spans="17:17" x14ac:dyDescent="0.35">
      <c r="Q91784" s="1"/>
    </row>
    <row r="91789" spans="17:17" x14ac:dyDescent="0.35">
      <c r="Q91789" s="1"/>
    </row>
    <row r="91794" spans="17:17" x14ac:dyDescent="0.35">
      <c r="Q91794" s="1"/>
    </row>
    <row r="91795" spans="17:17" x14ac:dyDescent="0.35">
      <c r="Q91795" s="1"/>
    </row>
    <row r="91798" spans="17:17" x14ac:dyDescent="0.35">
      <c r="Q91798" s="1"/>
    </row>
    <row r="91799" spans="17:17" x14ac:dyDescent="0.35">
      <c r="Q91799" s="1"/>
    </row>
    <row r="91804" spans="17:17" x14ac:dyDescent="0.35">
      <c r="Q91804" s="1"/>
    </row>
    <row r="91805" spans="17:17" x14ac:dyDescent="0.35">
      <c r="Q91805" s="1"/>
    </row>
    <row r="91810" spans="16:17" x14ac:dyDescent="0.35">
      <c r="Q91810" s="1"/>
    </row>
    <row r="91812" spans="16:17" x14ac:dyDescent="0.35">
      <c r="Q91812" s="1"/>
    </row>
    <row r="91813" spans="16:17" x14ac:dyDescent="0.35">
      <c r="P91813" s="1"/>
    </row>
    <row r="91819" spans="16:17" x14ac:dyDescent="0.35">
      <c r="P91819" s="1"/>
    </row>
    <row r="91820" spans="16:17" x14ac:dyDescent="0.35">
      <c r="P91820" s="1"/>
    </row>
    <row r="91825" spans="16:17" x14ac:dyDescent="0.35">
      <c r="Q91825" s="1"/>
    </row>
    <row r="91827" spans="16:17" x14ac:dyDescent="0.35">
      <c r="Q91827" s="1"/>
    </row>
    <row r="91829" spans="16:17" x14ac:dyDescent="0.35">
      <c r="Q91829" s="1"/>
    </row>
    <row r="91830" spans="16:17" x14ac:dyDescent="0.35">
      <c r="P91830" s="1"/>
    </row>
    <row r="91839" spans="16:17" x14ac:dyDescent="0.35">
      <c r="Q91839" s="1"/>
    </row>
    <row r="91846" spans="17:17" x14ac:dyDescent="0.35">
      <c r="Q91846" s="1"/>
    </row>
    <row r="91852" spans="17:17" x14ac:dyDescent="0.35">
      <c r="Q91852" s="1"/>
    </row>
    <row r="91856" spans="17:17" x14ac:dyDescent="0.35">
      <c r="Q91856" s="1"/>
    </row>
    <row r="91858" spans="17:17" x14ac:dyDescent="0.35">
      <c r="Q91858" s="1"/>
    </row>
    <row r="91860" spans="17:17" x14ac:dyDescent="0.35">
      <c r="Q91860" s="1"/>
    </row>
    <row r="91862" spans="17:17" x14ac:dyDescent="0.35">
      <c r="Q91862" s="1"/>
    </row>
    <row r="91865" spans="17:17" x14ac:dyDescent="0.35">
      <c r="Q91865" s="1"/>
    </row>
    <row r="91866" spans="17:17" x14ac:dyDescent="0.35">
      <c r="Q91866" s="1"/>
    </row>
    <row r="91868" spans="17:17" x14ac:dyDescent="0.35">
      <c r="Q91868" s="1"/>
    </row>
    <row r="91870" spans="17:17" x14ac:dyDescent="0.35">
      <c r="Q91870" s="1"/>
    </row>
    <row r="91871" spans="17:17" x14ac:dyDescent="0.35">
      <c r="Q91871" s="1"/>
    </row>
    <row r="91882" spans="17:17" x14ac:dyDescent="0.35">
      <c r="Q91882" s="1"/>
    </row>
    <row r="91885" spans="17:17" x14ac:dyDescent="0.35">
      <c r="Q91885" s="1"/>
    </row>
    <row r="91889" spans="16:17" x14ac:dyDescent="0.35">
      <c r="Q91889" s="1"/>
    </row>
    <row r="91892" spans="16:17" x14ac:dyDescent="0.35">
      <c r="Q91892" s="1"/>
    </row>
    <row r="91893" spans="16:17" x14ac:dyDescent="0.35">
      <c r="P91893" s="1"/>
    </row>
    <row r="91894" spans="16:17" x14ac:dyDescent="0.35">
      <c r="P91894" s="1"/>
    </row>
    <row r="91895" spans="16:17" x14ac:dyDescent="0.35">
      <c r="P91895" s="1"/>
    </row>
    <row r="91897" spans="16:17" x14ac:dyDescent="0.35">
      <c r="P91897" s="1"/>
    </row>
    <row r="91900" spans="16:17" x14ac:dyDescent="0.35">
      <c r="Q91900" s="1"/>
    </row>
    <row r="91901" spans="16:17" x14ac:dyDescent="0.35">
      <c r="Q91901" s="1"/>
    </row>
    <row r="91902" spans="16:17" x14ac:dyDescent="0.35">
      <c r="Q91902" s="1"/>
    </row>
    <row r="91905" spans="17:17" x14ac:dyDescent="0.35">
      <c r="Q91905" s="1"/>
    </row>
    <row r="91910" spans="17:17" x14ac:dyDescent="0.35">
      <c r="Q91910" s="1"/>
    </row>
    <row r="91918" spans="17:17" x14ac:dyDescent="0.35">
      <c r="Q91918" s="1"/>
    </row>
    <row r="91923" spans="17:17" x14ac:dyDescent="0.35">
      <c r="Q91923" s="1"/>
    </row>
    <row r="91926" spans="17:17" x14ac:dyDescent="0.35">
      <c r="Q91926" s="1"/>
    </row>
    <row r="91937" spans="17:17" x14ac:dyDescent="0.35">
      <c r="Q91937" s="1"/>
    </row>
    <row r="91941" spans="17:17" x14ac:dyDescent="0.35">
      <c r="Q91941" s="1"/>
    </row>
    <row r="91943" spans="17:17" x14ac:dyDescent="0.35">
      <c r="Q91943" s="1"/>
    </row>
    <row r="91950" spans="17:17" x14ac:dyDescent="0.35">
      <c r="Q91950" s="1"/>
    </row>
    <row r="91951" spans="17:17" x14ac:dyDescent="0.35">
      <c r="Q91951" s="1"/>
    </row>
    <row r="91967" spans="17:17" x14ac:dyDescent="0.35">
      <c r="Q91967" s="1"/>
    </row>
    <row r="91968" spans="17:17" x14ac:dyDescent="0.35">
      <c r="Q91968" s="1"/>
    </row>
    <row r="91980" spans="17:17" x14ac:dyDescent="0.35">
      <c r="Q91980" s="1"/>
    </row>
    <row r="91983" spans="17:17" x14ac:dyDescent="0.35">
      <c r="Q91983" s="1"/>
    </row>
    <row r="91985" spans="17:17" x14ac:dyDescent="0.35">
      <c r="Q91985" s="1"/>
    </row>
    <row r="91987" spans="17:17" x14ac:dyDescent="0.35">
      <c r="Q91987" s="1"/>
    </row>
    <row r="91988" spans="17:17" x14ac:dyDescent="0.35">
      <c r="Q91988" s="1"/>
    </row>
    <row r="91991" spans="17:17" x14ac:dyDescent="0.35">
      <c r="Q91991" s="1"/>
    </row>
    <row r="92005" spans="17:17" x14ac:dyDescent="0.35">
      <c r="Q92005" s="1"/>
    </row>
    <row r="92007" spans="17:17" x14ac:dyDescent="0.35">
      <c r="Q92007" s="1"/>
    </row>
    <row r="92008" spans="17:17" x14ac:dyDescent="0.35">
      <c r="Q92008" s="1"/>
    </row>
    <row r="92010" spans="17:17" x14ac:dyDescent="0.35">
      <c r="Q92010" s="1"/>
    </row>
    <row r="92011" spans="17:17" x14ac:dyDescent="0.35">
      <c r="Q92011" s="1"/>
    </row>
    <row r="92012" spans="17:17" x14ac:dyDescent="0.35">
      <c r="Q92012" s="1"/>
    </row>
    <row r="92013" spans="17:17" x14ac:dyDescent="0.35">
      <c r="Q92013" s="1"/>
    </row>
    <row r="92014" spans="17:17" x14ac:dyDescent="0.35">
      <c r="Q92014" s="1"/>
    </row>
    <row r="92015" spans="17:17" x14ac:dyDescent="0.35">
      <c r="Q92015" s="1"/>
    </row>
    <row r="92016" spans="17:17" x14ac:dyDescent="0.35">
      <c r="Q92016" s="1"/>
    </row>
    <row r="92017" spans="17:17" x14ac:dyDescent="0.35">
      <c r="Q92017" s="1"/>
    </row>
    <row r="92018" spans="17:17" x14ac:dyDescent="0.35">
      <c r="Q92018" s="1"/>
    </row>
    <row r="92019" spans="17:17" x14ac:dyDescent="0.35">
      <c r="Q92019" s="1"/>
    </row>
    <row r="92020" spans="17:17" x14ac:dyDescent="0.35">
      <c r="Q92020" s="1"/>
    </row>
    <row r="92021" spans="17:17" x14ac:dyDescent="0.35">
      <c r="Q92021" s="1"/>
    </row>
    <row r="92022" spans="17:17" x14ac:dyDescent="0.35">
      <c r="Q92022" s="1"/>
    </row>
    <row r="92023" spans="17:17" x14ac:dyDescent="0.35">
      <c r="Q92023" s="1"/>
    </row>
    <row r="92024" spans="17:17" x14ac:dyDescent="0.35">
      <c r="Q92024" s="1"/>
    </row>
    <row r="92025" spans="17:17" x14ac:dyDescent="0.35">
      <c r="Q92025" s="1"/>
    </row>
    <row r="92026" spans="17:17" x14ac:dyDescent="0.35">
      <c r="Q92026" s="1"/>
    </row>
    <row r="92027" spans="17:17" x14ac:dyDescent="0.35">
      <c r="Q92027" s="1"/>
    </row>
    <row r="92028" spans="17:17" x14ac:dyDescent="0.35">
      <c r="Q92028" s="1"/>
    </row>
    <row r="92030" spans="17:17" x14ac:dyDescent="0.35">
      <c r="Q92030" s="1"/>
    </row>
    <row r="92031" spans="17:17" x14ac:dyDescent="0.35">
      <c r="Q92031" s="1"/>
    </row>
    <row r="92032" spans="17:17" x14ac:dyDescent="0.35">
      <c r="Q92032" s="1"/>
    </row>
    <row r="92033" spans="17:17" x14ac:dyDescent="0.35">
      <c r="Q92033" s="1"/>
    </row>
    <row r="92034" spans="17:17" x14ac:dyDescent="0.35">
      <c r="Q92034" s="1"/>
    </row>
    <row r="92035" spans="17:17" x14ac:dyDescent="0.35">
      <c r="Q92035" s="1"/>
    </row>
    <row r="92036" spans="17:17" x14ac:dyDescent="0.35">
      <c r="Q92036" s="1"/>
    </row>
    <row r="92037" spans="17:17" x14ac:dyDescent="0.35">
      <c r="Q92037" s="1"/>
    </row>
    <row r="92038" spans="17:17" x14ac:dyDescent="0.35">
      <c r="Q92038" s="1"/>
    </row>
    <row r="92039" spans="17:17" x14ac:dyDescent="0.35">
      <c r="Q92039" s="1"/>
    </row>
    <row r="92040" spans="17:17" x14ac:dyDescent="0.35">
      <c r="Q92040" s="1"/>
    </row>
    <row r="92041" spans="17:17" x14ac:dyDescent="0.35">
      <c r="Q92041" s="1"/>
    </row>
    <row r="92042" spans="17:17" x14ac:dyDescent="0.35">
      <c r="Q92042" s="1"/>
    </row>
    <row r="92043" spans="17:17" x14ac:dyDescent="0.35">
      <c r="Q92043" s="1"/>
    </row>
    <row r="92044" spans="17:17" x14ac:dyDescent="0.35">
      <c r="Q92044" s="1"/>
    </row>
    <row r="92045" spans="17:17" x14ac:dyDescent="0.35">
      <c r="Q92045" s="1"/>
    </row>
    <row r="92046" spans="17:17" x14ac:dyDescent="0.35">
      <c r="Q92046" s="1"/>
    </row>
    <row r="92048" spans="17:17" x14ac:dyDescent="0.35">
      <c r="Q92048" s="1"/>
    </row>
    <row r="92049" spans="17:17" x14ac:dyDescent="0.35">
      <c r="Q92049" s="1"/>
    </row>
    <row r="92050" spans="17:17" x14ac:dyDescent="0.35">
      <c r="Q92050" s="1"/>
    </row>
    <row r="92051" spans="17:17" x14ac:dyDescent="0.35">
      <c r="Q92051" s="1"/>
    </row>
    <row r="92097" spans="17:17" x14ac:dyDescent="0.35">
      <c r="Q92097" s="1"/>
    </row>
    <row r="92098" spans="17:17" x14ac:dyDescent="0.35">
      <c r="Q92098" s="1"/>
    </row>
    <row r="92102" spans="17:17" x14ac:dyDescent="0.35">
      <c r="Q92102" s="1"/>
    </row>
    <row r="92103" spans="17:17" x14ac:dyDescent="0.35">
      <c r="Q92103" s="1"/>
    </row>
    <row r="92114" spans="17:17" x14ac:dyDescent="0.35">
      <c r="Q92114" s="1"/>
    </row>
    <row r="92117" spans="17:17" x14ac:dyDescent="0.35">
      <c r="Q92117" s="1"/>
    </row>
    <row r="92127" spans="17:17" x14ac:dyDescent="0.35">
      <c r="Q92127" s="1"/>
    </row>
    <row r="92128" spans="17:17" x14ac:dyDescent="0.35">
      <c r="Q92128" s="1"/>
    </row>
    <row r="92132" spans="17:17" x14ac:dyDescent="0.35">
      <c r="Q92132" s="1"/>
    </row>
    <row r="92135" spans="17:17" x14ac:dyDescent="0.35">
      <c r="Q92135" s="1"/>
    </row>
    <row r="92136" spans="17:17" x14ac:dyDescent="0.35">
      <c r="Q92136" s="1"/>
    </row>
    <row r="92137" spans="17:17" x14ac:dyDescent="0.35">
      <c r="Q92137" s="1"/>
    </row>
    <row r="92144" spans="17:17" x14ac:dyDescent="0.35">
      <c r="Q92144" s="1"/>
    </row>
    <row r="92145" spans="17:17" x14ac:dyDescent="0.35">
      <c r="Q92145" s="1"/>
    </row>
    <row r="92147" spans="17:17" x14ac:dyDescent="0.35">
      <c r="Q92147" s="1"/>
    </row>
    <row r="92148" spans="17:17" x14ac:dyDescent="0.35">
      <c r="Q92148" s="1"/>
    </row>
    <row r="92150" spans="17:17" x14ac:dyDescent="0.35">
      <c r="Q92150" s="1"/>
    </row>
    <row r="92153" spans="17:17" x14ac:dyDescent="0.35">
      <c r="Q92153" s="1"/>
    </row>
    <row r="92155" spans="17:17" x14ac:dyDescent="0.35">
      <c r="Q92155" s="1"/>
    </row>
    <row r="92156" spans="17:17" x14ac:dyDescent="0.35">
      <c r="Q92156" s="1"/>
    </row>
    <row r="92157" spans="17:17" x14ac:dyDescent="0.35">
      <c r="Q92157" s="1"/>
    </row>
    <row r="92164" spans="17:17" x14ac:dyDescent="0.35">
      <c r="Q92164" s="1"/>
    </row>
    <row r="92165" spans="17:17" x14ac:dyDescent="0.35">
      <c r="Q92165" s="1"/>
    </row>
    <row r="92166" spans="17:17" x14ac:dyDescent="0.35">
      <c r="Q92166" s="1"/>
    </row>
    <row r="92170" spans="17:17" x14ac:dyDescent="0.35">
      <c r="Q92170" s="1"/>
    </row>
    <row r="92174" spans="17:17" x14ac:dyDescent="0.35">
      <c r="Q92174" s="1"/>
    </row>
    <row r="92178" spans="16:17" x14ac:dyDescent="0.35">
      <c r="Q92178" s="1"/>
    </row>
    <row r="92181" spans="16:17" x14ac:dyDescent="0.35">
      <c r="Q92181" s="1"/>
    </row>
    <row r="92188" spans="16:17" x14ac:dyDescent="0.35">
      <c r="Q92188" s="1"/>
    </row>
    <row r="92189" spans="16:17" x14ac:dyDescent="0.35">
      <c r="Q92189" s="1"/>
    </row>
    <row r="92190" spans="16:17" x14ac:dyDescent="0.35">
      <c r="P92190" s="1"/>
    </row>
    <row r="92198" spans="17:17" x14ac:dyDescent="0.35">
      <c r="Q92198" s="1"/>
    </row>
    <row r="92205" spans="17:17" x14ac:dyDescent="0.35">
      <c r="Q92205" s="1"/>
    </row>
    <row r="92213" spans="17:17" x14ac:dyDescent="0.35">
      <c r="Q92213" s="1"/>
    </row>
    <row r="92214" spans="17:17" x14ac:dyDescent="0.35">
      <c r="Q92214" s="1"/>
    </row>
    <row r="92215" spans="17:17" x14ac:dyDescent="0.35">
      <c r="Q92215" s="1"/>
    </row>
    <row r="92216" spans="17:17" x14ac:dyDescent="0.35">
      <c r="Q92216" s="1"/>
    </row>
    <row r="92219" spans="17:17" x14ac:dyDescent="0.35">
      <c r="Q92219" s="1"/>
    </row>
    <row r="92221" spans="17:17" x14ac:dyDescent="0.35">
      <c r="Q92221" s="1"/>
    </row>
    <row r="92227" spans="17:17" x14ac:dyDescent="0.35">
      <c r="Q92227" s="1"/>
    </row>
    <row r="92228" spans="17:17" x14ac:dyDescent="0.35">
      <c r="Q92228" s="1"/>
    </row>
    <row r="92229" spans="17:17" x14ac:dyDescent="0.35">
      <c r="Q92229" s="1"/>
    </row>
    <row r="92237" spans="17:17" x14ac:dyDescent="0.35">
      <c r="Q92237" s="1"/>
    </row>
    <row r="92240" spans="17:17" x14ac:dyDescent="0.35">
      <c r="Q92240" s="1"/>
    </row>
    <row r="92244" spans="17:17" x14ac:dyDescent="0.35">
      <c r="Q92244" s="1"/>
    </row>
    <row r="92252" spans="17:17" x14ac:dyDescent="0.35">
      <c r="Q92252" s="1"/>
    </row>
    <row r="92253" spans="17:17" x14ac:dyDescent="0.35">
      <c r="Q92253" s="1"/>
    </row>
    <row r="92257" spans="17:17" x14ac:dyDescent="0.35">
      <c r="Q92257" s="1"/>
    </row>
    <row r="92259" spans="17:17" x14ac:dyDescent="0.35">
      <c r="Q92259" s="1"/>
    </row>
    <row r="92260" spans="17:17" x14ac:dyDescent="0.35">
      <c r="Q92260" s="1"/>
    </row>
    <row r="92264" spans="17:17" x14ac:dyDescent="0.35">
      <c r="Q92264" s="1"/>
    </row>
    <row r="92271" spans="17:17" x14ac:dyDescent="0.35">
      <c r="Q92271" s="1"/>
    </row>
    <row r="92274" spans="17:17" x14ac:dyDescent="0.35">
      <c r="Q92274" s="1"/>
    </row>
    <row r="92283" spans="17:17" x14ac:dyDescent="0.35">
      <c r="Q92283" s="1"/>
    </row>
    <row r="92285" spans="17:17" x14ac:dyDescent="0.35">
      <c r="Q92285" s="1"/>
    </row>
    <row r="92292" spans="17:17" x14ac:dyDescent="0.35">
      <c r="Q92292" s="1"/>
    </row>
    <row r="92296" spans="17:17" x14ac:dyDescent="0.35">
      <c r="Q92296" s="1"/>
    </row>
    <row r="92297" spans="17:17" x14ac:dyDescent="0.35">
      <c r="Q92297" s="1"/>
    </row>
    <row r="92298" spans="17:17" x14ac:dyDescent="0.35">
      <c r="Q92298" s="1"/>
    </row>
    <row r="92302" spans="17:17" x14ac:dyDescent="0.35">
      <c r="Q92302" s="1"/>
    </row>
    <row r="92304" spans="17:17" x14ac:dyDescent="0.35">
      <c r="Q92304" s="1"/>
    </row>
    <row r="92315" spans="17:17" x14ac:dyDescent="0.35">
      <c r="Q92315" s="1"/>
    </row>
    <row r="92317" spans="17:17" x14ac:dyDescent="0.35">
      <c r="Q92317" s="1"/>
    </row>
    <row r="92319" spans="17:17" x14ac:dyDescent="0.35">
      <c r="Q92319" s="1"/>
    </row>
    <row r="92321" spans="17:17" x14ac:dyDescent="0.35">
      <c r="Q92321" s="1"/>
    </row>
    <row r="92324" spans="17:17" x14ac:dyDescent="0.35">
      <c r="Q92324" s="1"/>
    </row>
    <row r="92329" spans="17:17" x14ac:dyDescent="0.35">
      <c r="Q92329" s="1"/>
    </row>
    <row r="92331" spans="17:17" x14ac:dyDescent="0.35">
      <c r="Q92331" s="1"/>
    </row>
    <row r="92333" spans="17:17" x14ac:dyDescent="0.35">
      <c r="Q92333" s="1"/>
    </row>
    <row r="92338" spans="17:17" x14ac:dyDescent="0.35">
      <c r="Q92338" s="1"/>
    </row>
    <row r="92339" spans="17:17" x14ac:dyDescent="0.35">
      <c r="Q92339" s="1"/>
    </row>
    <row r="92341" spans="17:17" x14ac:dyDescent="0.35">
      <c r="Q92341" s="1"/>
    </row>
    <row r="92343" spans="17:17" x14ac:dyDescent="0.35">
      <c r="Q92343" s="1"/>
    </row>
    <row r="92344" spans="17:17" x14ac:dyDescent="0.35">
      <c r="Q92344" s="1"/>
    </row>
    <row r="92345" spans="17:17" x14ac:dyDescent="0.35">
      <c r="Q92345" s="1"/>
    </row>
    <row r="92348" spans="17:17" x14ac:dyDescent="0.35">
      <c r="Q92348" s="1"/>
    </row>
    <row r="92352" spans="17:17" x14ac:dyDescent="0.35">
      <c r="Q92352" s="1"/>
    </row>
    <row r="92359" spans="17:17" x14ac:dyDescent="0.35">
      <c r="Q92359" s="1"/>
    </row>
    <row r="92364" spans="17:17" x14ac:dyDescent="0.35">
      <c r="Q92364" s="1"/>
    </row>
    <row r="92374" spans="17:17" x14ac:dyDescent="0.35">
      <c r="Q92374" s="1"/>
    </row>
    <row r="92377" spans="17:17" x14ac:dyDescent="0.35">
      <c r="Q92377" s="1"/>
    </row>
    <row r="92381" spans="17:17" x14ac:dyDescent="0.35">
      <c r="Q92381" s="1"/>
    </row>
    <row r="92382" spans="17:17" x14ac:dyDescent="0.35">
      <c r="Q92382" s="1"/>
    </row>
    <row r="92385" spans="17:17" x14ac:dyDescent="0.35">
      <c r="Q92385" s="1"/>
    </row>
    <row r="92395" spans="17:17" x14ac:dyDescent="0.35">
      <c r="Q92395" s="1"/>
    </row>
    <row r="92396" spans="17:17" x14ac:dyDescent="0.35">
      <c r="Q92396" s="1"/>
    </row>
    <row r="92397" spans="17:17" x14ac:dyDescent="0.35">
      <c r="Q92397" s="1"/>
    </row>
    <row r="92405" spans="17:17" x14ac:dyDescent="0.35">
      <c r="Q92405" s="1"/>
    </row>
    <row r="92409" spans="17:17" x14ac:dyDescent="0.35">
      <c r="Q92409" s="1"/>
    </row>
    <row r="92410" spans="17:17" x14ac:dyDescent="0.35">
      <c r="Q92410" s="1"/>
    </row>
    <row r="92412" spans="17:17" x14ac:dyDescent="0.35">
      <c r="Q92412" s="1"/>
    </row>
    <row r="92416" spans="17:17" x14ac:dyDescent="0.35">
      <c r="Q92416" s="1"/>
    </row>
    <row r="92421" spans="17:17" x14ac:dyDescent="0.35">
      <c r="Q92421" s="1"/>
    </row>
    <row r="92422" spans="17:17" x14ac:dyDescent="0.35">
      <c r="Q92422" s="1"/>
    </row>
    <row r="92423" spans="17:17" x14ac:dyDescent="0.35">
      <c r="Q92423" s="1"/>
    </row>
    <row r="92425" spans="17:17" x14ac:dyDescent="0.35">
      <c r="Q92425" s="1"/>
    </row>
    <row r="92426" spans="17:17" x14ac:dyDescent="0.35">
      <c r="Q92426" s="1"/>
    </row>
    <row r="92429" spans="17:17" x14ac:dyDescent="0.35">
      <c r="Q92429" s="1"/>
    </row>
    <row r="92432" spans="17:17" x14ac:dyDescent="0.35">
      <c r="Q92432" s="1"/>
    </row>
    <row r="92434" spans="17:17" x14ac:dyDescent="0.35">
      <c r="Q92434" s="1"/>
    </row>
    <row r="92438" spans="17:17" x14ac:dyDescent="0.35">
      <c r="Q92438" s="1"/>
    </row>
    <row r="92449" spans="17:17" x14ac:dyDescent="0.35">
      <c r="Q92449" s="1"/>
    </row>
    <row r="92452" spans="17:17" x14ac:dyDescent="0.35">
      <c r="Q92452" s="1"/>
    </row>
    <row r="92458" spans="17:17" x14ac:dyDescent="0.35">
      <c r="Q92458" s="1"/>
    </row>
    <row r="92459" spans="17:17" x14ac:dyDescent="0.35">
      <c r="Q92459" s="1"/>
    </row>
    <row r="92460" spans="17:17" x14ac:dyDescent="0.35">
      <c r="Q92460" s="1"/>
    </row>
    <row r="92464" spans="17:17" x14ac:dyDescent="0.35">
      <c r="Q92464" s="1"/>
    </row>
    <row r="92467" spans="17:17" x14ac:dyDescent="0.35">
      <c r="Q92467" s="1"/>
    </row>
    <row r="92468" spans="17:17" x14ac:dyDescent="0.35">
      <c r="Q92468" s="1"/>
    </row>
    <row r="92471" spans="17:17" x14ac:dyDescent="0.35">
      <c r="Q92471" s="1"/>
    </row>
    <row r="92474" spans="17:17" x14ac:dyDescent="0.35">
      <c r="Q92474" s="1"/>
    </row>
    <row r="92476" spans="17:17" x14ac:dyDescent="0.35">
      <c r="Q92476" s="1"/>
    </row>
    <row r="92479" spans="17:17" x14ac:dyDescent="0.35">
      <c r="Q92479" s="1"/>
    </row>
    <row r="92483" spans="17:17" x14ac:dyDescent="0.35">
      <c r="Q92483" s="1"/>
    </row>
    <row r="92486" spans="17:17" x14ac:dyDescent="0.35">
      <c r="Q92486" s="1"/>
    </row>
    <row r="92496" spans="17:17" x14ac:dyDescent="0.35">
      <c r="Q92496" s="1"/>
    </row>
    <row r="92499" spans="16:17" x14ac:dyDescent="0.35">
      <c r="P92499" s="1"/>
      <c r="Q92499" s="1"/>
    </row>
    <row r="92502" spans="16:17" x14ac:dyDescent="0.35">
      <c r="Q92502" s="1"/>
    </row>
    <row r="92507" spans="16:17" x14ac:dyDescent="0.35">
      <c r="Q92507" s="1"/>
    </row>
    <row r="92508" spans="16:17" x14ac:dyDescent="0.35">
      <c r="Q92508" s="1"/>
    </row>
    <row r="92509" spans="16:17" x14ac:dyDescent="0.35">
      <c r="P92509" s="1"/>
    </row>
    <row r="92515" spans="17:17" x14ac:dyDescent="0.35">
      <c r="Q92515" s="1"/>
    </row>
    <row r="92518" spans="17:17" x14ac:dyDescent="0.35">
      <c r="Q92518" s="1"/>
    </row>
    <row r="92520" spans="17:17" x14ac:dyDescent="0.35">
      <c r="Q92520" s="1"/>
    </row>
    <row r="92524" spans="17:17" x14ac:dyDescent="0.35">
      <c r="Q92524" s="1"/>
    </row>
    <row r="92529" spans="17:17" x14ac:dyDescent="0.35">
      <c r="Q92529" s="1"/>
    </row>
    <row r="92530" spans="17:17" x14ac:dyDescent="0.35">
      <c r="Q92530" s="1"/>
    </row>
    <row r="92533" spans="17:17" x14ac:dyDescent="0.35">
      <c r="Q92533" s="1"/>
    </row>
    <row r="92534" spans="17:17" x14ac:dyDescent="0.35">
      <c r="Q92534" s="1"/>
    </row>
    <row r="92538" spans="17:17" x14ac:dyDescent="0.35">
      <c r="Q92538" s="1"/>
    </row>
    <row r="92543" spans="17:17" x14ac:dyDescent="0.35">
      <c r="Q92543" s="1"/>
    </row>
    <row r="92548" spans="17:17" x14ac:dyDescent="0.35">
      <c r="Q92548" s="1"/>
    </row>
    <row r="92549" spans="17:17" x14ac:dyDescent="0.35">
      <c r="Q92549" s="1"/>
    </row>
    <row r="92555" spans="17:17" x14ac:dyDescent="0.35">
      <c r="Q92555" s="1"/>
    </row>
    <row r="92559" spans="17:17" x14ac:dyDescent="0.35">
      <c r="Q92559" s="1"/>
    </row>
    <row r="92570" spans="17:17" x14ac:dyDescent="0.35">
      <c r="Q92570" s="1"/>
    </row>
    <row r="92571" spans="17:17" x14ac:dyDescent="0.35">
      <c r="Q92571" s="1"/>
    </row>
    <row r="92576" spans="17:17" x14ac:dyDescent="0.35">
      <c r="Q92576" s="1"/>
    </row>
    <row r="92577" spans="17:17" x14ac:dyDescent="0.35">
      <c r="Q92577" s="1"/>
    </row>
    <row r="92578" spans="17:17" x14ac:dyDescent="0.35">
      <c r="Q92578" s="1"/>
    </row>
    <row r="92581" spans="17:17" x14ac:dyDescent="0.35">
      <c r="Q92581" s="1"/>
    </row>
    <row r="92582" spans="17:17" x14ac:dyDescent="0.35">
      <c r="Q92582" s="1"/>
    </row>
    <row r="92583" spans="17:17" x14ac:dyDescent="0.35">
      <c r="Q92583" s="1"/>
    </row>
    <row r="92585" spans="17:17" x14ac:dyDescent="0.35">
      <c r="Q92585" s="1"/>
    </row>
    <row r="92587" spans="17:17" x14ac:dyDescent="0.35">
      <c r="Q92587" s="1"/>
    </row>
    <row r="92589" spans="17:17" x14ac:dyDescent="0.35">
      <c r="Q92589" s="1"/>
    </row>
    <row r="92592" spans="17:17" x14ac:dyDescent="0.35">
      <c r="Q92592" s="1"/>
    </row>
    <row r="92601" spans="17:17" x14ac:dyDescent="0.35">
      <c r="Q92601" s="1"/>
    </row>
    <row r="92603" spans="17:17" x14ac:dyDescent="0.35">
      <c r="Q92603" s="1"/>
    </row>
    <row r="92607" spans="17:17" x14ac:dyDescent="0.35">
      <c r="Q92607" s="1"/>
    </row>
    <row r="92608" spans="17:17" x14ac:dyDescent="0.35">
      <c r="Q92608" s="1"/>
    </row>
    <row r="92610" spans="17:17" x14ac:dyDescent="0.35">
      <c r="Q92610" s="1"/>
    </row>
    <row r="92613" spans="17:17" x14ac:dyDescent="0.35">
      <c r="Q92613" s="1"/>
    </row>
    <row r="92622" spans="17:17" x14ac:dyDescent="0.35">
      <c r="Q92622" s="1"/>
    </row>
    <row r="92630" spans="17:17" x14ac:dyDescent="0.35">
      <c r="Q92630" s="1"/>
    </row>
    <row r="92631" spans="17:17" x14ac:dyDescent="0.35">
      <c r="Q92631" s="1"/>
    </row>
    <row r="92633" spans="17:17" x14ac:dyDescent="0.35">
      <c r="Q92633" s="1"/>
    </row>
    <row r="92634" spans="17:17" x14ac:dyDescent="0.35">
      <c r="Q92634" s="1"/>
    </row>
    <row r="92636" spans="17:17" x14ac:dyDescent="0.35">
      <c r="Q92636" s="1"/>
    </row>
    <row r="92637" spans="17:17" x14ac:dyDescent="0.35">
      <c r="Q92637" s="1"/>
    </row>
    <row r="92639" spans="17:17" x14ac:dyDescent="0.35">
      <c r="Q92639" s="1"/>
    </row>
    <row r="92643" spans="17:17" x14ac:dyDescent="0.35">
      <c r="Q92643" s="1"/>
    </row>
    <row r="92645" spans="17:17" x14ac:dyDescent="0.35">
      <c r="Q92645" s="1"/>
    </row>
    <row r="92646" spans="17:17" x14ac:dyDescent="0.35">
      <c r="Q92646" s="1"/>
    </row>
    <row r="92647" spans="17:17" x14ac:dyDescent="0.35">
      <c r="Q92647" s="1"/>
    </row>
    <row r="92648" spans="17:17" x14ac:dyDescent="0.35">
      <c r="Q92648" s="1"/>
    </row>
    <row r="92652" spans="17:17" x14ac:dyDescent="0.35">
      <c r="Q92652" s="1"/>
    </row>
    <row r="92653" spans="17:17" x14ac:dyDescent="0.35">
      <c r="Q92653" s="1"/>
    </row>
    <row r="92656" spans="17:17" x14ac:dyDescent="0.35">
      <c r="Q92656" s="1"/>
    </row>
    <row r="92657" spans="17:17" x14ac:dyDescent="0.35">
      <c r="Q92657" s="1"/>
    </row>
    <row r="92671" spans="17:17" x14ac:dyDescent="0.35">
      <c r="Q92671" s="1"/>
    </row>
    <row r="92674" spans="16:17" x14ac:dyDescent="0.35">
      <c r="Q92674" s="1"/>
    </row>
    <row r="92675" spans="16:17" x14ac:dyDescent="0.35">
      <c r="Q92675" s="1"/>
    </row>
    <row r="92676" spans="16:17" x14ac:dyDescent="0.35">
      <c r="Q92676" s="1"/>
    </row>
    <row r="92678" spans="16:17" x14ac:dyDescent="0.35">
      <c r="Q92678" s="1"/>
    </row>
    <row r="92683" spans="16:17" x14ac:dyDescent="0.35">
      <c r="Q92683" s="1"/>
    </row>
    <row r="92685" spans="16:17" x14ac:dyDescent="0.35">
      <c r="P92685" s="1"/>
    </row>
    <row r="92690" spans="17:17" x14ac:dyDescent="0.35">
      <c r="Q92690" s="1"/>
    </row>
    <row r="92691" spans="17:17" x14ac:dyDescent="0.35">
      <c r="Q92691" s="1"/>
    </row>
    <row r="92697" spans="17:17" x14ac:dyDescent="0.35">
      <c r="Q92697" s="1"/>
    </row>
    <row r="92699" spans="17:17" x14ac:dyDescent="0.35">
      <c r="Q92699" s="1"/>
    </row>
    <row r="92700" spans="17:17" x14ac:dyDescent="0.35">
      <c r="Q92700" s="1"/>
    </row>
    <row r="92701" spans="17:17" x14ac:dyDescent="0.35">
      <c r="Q92701" s="1"/>
    </row>
    <row r="92703" spans="17:17" x14ac:dyDescent="0.35">
      <c r="Q92703" s="1"/>
    </row>
    <row r="92706" spans="17:17" x14ac:dyDescent="0.35">
      <c r="Q92706" s="1"/>
    </row>
    <row r="92711" spans="17:17" x14ac:dyDescent="0.35">
      <c r="Q92711" s="1"/>
    </row>
    <row r="92715" spans="17:17" x14ac:dyDescent="0.35">
      <c r="Q92715" s="1"/>
    </row>
    <row r="92719" spans="17:17" x14ac:dyDescent="0.35">
      <c r="Q92719" s="1"/>
    </row>
    <row r="92720" spans="17:17" x14ac:dyDescent="0.35">
      <c r="Q92720" s="1"/>
    </row>
    <row r="92735" spans="17:17" x14ac:dyDescent="0.35">
      <c r="Q92735" s="1"/>
    </row>
    <row r="92736" spans="17:17" x14ac:dyDescent="0.35">
      <c r="Q92736" s="1"/>
    </row>
    <row r="92737" spans="17:17" x14ac:dyDescent="0.35">
      <c r="Q92737" s="1"/>
    </row>
    <row r="92743" spans="17:17" x14ac:dyDescent="0.35">
      <c r="Q92743" s="1"/>
    </row>
    <row r="92745" spans="17:17" x14ac:dyDescent="0.35">
      <c r="Q92745" s="1"/>
    </row>
    <row r="92751" spans="17:17" x14ac:dyDescent="0.35">
      <c r="Q92751" s="1"/>
    </row>
    <row r="92757" spans="17:17" x14ac:dyDescent="0.35">
      <c r="Q92757" s="1"/>
    </row>
    <row r="92760" spans="17:17" x14ac:dyDescent="0.35">
      <c r="Q92760" s="1"/>
    </row>
    <row r="92767" spans="17:17" x14ac:dyDescent="0.35">
      <c r="Q92767" s="1"/>
    </row>
    <row r="92770" spans="16:17" x14ac:dyDescent="0.35">
      <c r="Q92770" s="1"/>
    </row>
    <row r="92774" spans="16:17" x14ac:dyDescent="0.35">
      <c r="Q92774" s="1"/>
    </row>
    <row r="92778" spans="16:17" x14ac:dyDescent="0.35">
      <c r="Q92778" s="1"/>
    </row>
    <row r="92779" spans="16:17" x14ac:dyDescent="0.35">
      <c r="P92779" s="1"/>
      <c r="Q92779" s="1"/>
    </row>
    <row r="92782" spans="16:17" x14ac:dyDescent="0.35">
      <c r="Q92782" s="1"/>
    </row>
    <row r="92787" spans="17:17" x14ac:dyDescent="0.35">
      <c r="Q92787" s="1"/>
    </row>
    <row r="92791" spans="17:17" x14ac:dyDescent="0.35">
      <c r="Q92791" s="1"/>
    </row>
    <row r="92793" spans="17:17" x14ac:dyDescent="0.35">
      <c r="Q92793" s="1"/>
    </row>
    <row r="92795" spans="17:17" x14ac:dyDescent="0.35">
      <c r="Q92795" s="1"/>
    </row>
    <row r="92797" spans="17:17" x14ac:dyDescent="0.35">
      <c r="Q92797" s="1"/>
    </row>
    <row r="92803" spans="17:17" x14ac:dyDescent="0.35">
      <c r="Q92803" s="1"/>
    </row>
    <row r="92804" spans="17:17" x14ac:dyDescent="0.35">
      <c r="Q92804" s="1"/>
    </row>
    <row r="92807" spans="17:17" x14ac:dyDescent="0.35">
      <c r="Q92807" s="1"/>
    </row>
    <row r="92812" spans="17:17" x14ac:dyDescent="0.35">
      <c r="Q92812" s="1"/>
    </row>
    <row r="92813" spans="17:17" x14ac:dyDescent="0.35">
      <c r="Q92813" s="1"/>
    </row>
    <row r="92814" spans="17:17" x14ac:dyDescent="0.35">
      <c r="Q92814" s="1"/>
    </row>
    <row r="92820" spans="17:17" x14ac:dyDescent="0.35">
      <c r="Q92820" s="1"/>
    </row>
    <row r="92821" spans="17:17" x14ac:dyDescent="0.35">
      <c r="Q92821" s="1"/>
    </row>
    <row r="92825" spans="17:17" x14ac:dyDescent="0.35">
      <c r="Q92825" s="1"/>
    </row>
    <row r="92826" spans="17:17" x14ac:dyDescent="0.35">
      <c r="Q92826" s="1"/>
    </row>
    <row r="92828" spans="17:17" x14ac:dyDescent="0.35">
      <c r="Q92828" s="1"/>
    </row>
    <row r="92829" spans="17:17" x14ac:dyDescent="0.35">
      <c r="Q92829" s="1"/>
    </row>
    <row r="92840" spans="17:17" x14ac:dyDescent="0.35">
      <c r="Q92840" s="1"/>
    </row>
    <row r="92842" spans="17:17" x14ac:dyDescent="0.35">
      <c r="Q92842" s="1"/>
    </row>
    <row r="92851" spans="17:17" x14ac:dyDescent="0.35">
      <c r="Q92851" s="1"/>
    </row>
    <row r="92853" spans="17:17" x14ac:dyDescent="0.35">
      <c r="Q92853" s="1"/>
    </row>
    <row r="92863" spans="17:17" x14ac:dyDescent="0.35">
      <c r="Q92863" s="1"/>
    </row>
    <row r="92868" spans="16:17" x14ac:dyDescent="0.35">
      <c r="Q92868" s="1"/>
    </row>
    <row r="92870" spans="16:17" x14ac:dyDescent="0.35">
      <c r="Q92870" s="1"/>
    </row>
    <row r="92874" spans="16:17" x14ac:dyDescent="0.35">
      <c r="Q92874" s="1"/>
    </row>
    <row r="92875" spans="16:17" x14ac:dyDescent="0.35">
      <c r="P92875" s="1"/>
    </row>
    <row r="92878" spans="16:17" x14ac:dyDescent="0.35">
      <c r="Q92878" s="1"/>
    </row>
    <row r="92885" spans="17:17" x14ac:dyDescent="0.35">
      <c r="Q92885" s="1"/>
    </row>
    <row r="92886" spans="17:17" x14ac:dyDescent="0.35">
      <c r="Q92886" s="1"/>
    </row>
    <row r="92887" spans="17:17" x14ac:dyDescent="0.35">
      <c r="Q92887" s="1"/>
    </row>
    <row r="92893" spans="17:17" x14ac:dyDescent="0.35">
      <c r="Q92893" s="1"/>
    </row>
    <row r="92895" spans="17:17" x14ac:dyDescent="0.35">
      <c r="Q92895" s="1"/>
    </row>
    <row r="92900" spans="17:17" x14ac:dyDescent="0.35">
      <c r="Q92900" s="1"/>
    </row>
    <row r="92901" spans="17:17" x14ac:dyDescent="0.35">
      <c r="Q92901" s="1"/>
    </row>
    <row r="92903" spans="17:17" x14ac:dyDescent="0.35">
      <c r="Q92903" s="1"/>
    </row>
    <row r="92904" spans="17:17" x14ac:dyDescent="0.35">
      <c r="Q92904" s="1"/>
    </row>
    <row r="92909" spans="17:17" x14ac:dyDescent="0.35">
      <c r="Q92909" s="1"/>
    </row>
    <row r="92912" spans="17:17" x14ac:dyDescent="0.35">
      <c r="Q92912" s="1"/>
    </row>
    <row r="92916" spans="17:17" x14ac:dyDescent="0.35">
      <c r="Q92916" s="1"/>
    </row>
    <row r="92921" spans="17:17" x14ac:dyDescent="0.35">
      <c r="Q92921" s="1"/>
    </row>
    <row r="92924" spans="17:17" x14ac:dyDescent="0.35">
      <c r="Q92924" s="1"/>
    </row>
    <row r="92925" spans="17:17" x14ac:dyDescent="0.35">
      <c r="Q92925" s="1"/>
    </row>
    <row r="92927" spans="17:17" x14ac:dyDescent="0.35">
      <c r="Q92927" s="1"/>
    </row>
    <row r="92930" spans="17:17" x14ac:dyDescent="0.35">
      <c r="Q92930" s="1"/>
    </row>
    <row r="92933" spans="17:17" x14ac:dyDescent="0.35">
      <c r="Q92933" s="1"/>
    </row>
    <row r="92934" spans="17:17" x14ac:dyDescent="0.35">
      <c r="Q92934" s="1"/>
    </row>
    <row r="92937" spans="17:17" x14ac:dyDescent="0.35">
      <c r="Q92937" s="1"/>
    </row>
    <row r="92943" spans="17:17" x14ac:dyDescent="0.35">
      <c r="Q92943" s="1"/>
    </row>
    <row r="92951" spans="17:17" x14ac:dyDescent="0.35">
      <c r="Q92951" s="1"/>
    </row>
    <row r="92955" spans="17:17" x14ac:dyDescent="0.35">
      <c r="Q92955" s="1"/>
    </row>
    <row r="92957" spans="17:17" x14ac:dyDescent="0.35">
      <c r="Q92957" s="1"/>
    </row>
    <row r="92959" spans="17:17" x14ac:dyDescent="0.35">
      <c r="Q92959" s="1"/>
    </row>
    <row r="92960" spans="17:17" x14ac:dyDescent="0.35">
      <c r="Q92960" s="1"/>
    </row>
    <row r="92961" spans="17:17" x14ac:dyDescent="0.35">
      <c r="Q92961" s="1"/>
    </row>
    <row r="92962" spans="17:17" x14ac:dyDescent="0.35">
      <c r="Q92962" s="1"/>
    </row>
    <row r="92965" spans="17:17" x14ac:dyDescent="0.35">
      <c r="Q92965" s="1"/>
    </row>
    <row r="92967" spans="17:17" x14ac:dyDescent="0.35">
      <c r="Q92967" s="1"/>
    </row>
    <row r="92970" spans="17:17" x14ac:dyDescent="0.35">
      <c r="Q92970" s="1"/>
    </row>
    <row r="92971" spans="17:17" x14ac:dyDescent="0.35">
      <c r="Q92971" s="1"/>
    </row>
    <row r="92974" spans="17:17" x14ac:dyDescent="0.35">
      <c r="Q92974" s="1"/>
    </row>
    <row r="92976" spans="17:17" x14ac:dyDescent="0.35">
      <c r="Q92976" s="1"/>
    </row>
    <row r="92980" spans="17:17" x14ac:dyDescent="0.35">
      <c r="Q92980" s="1"/>
    </row>
    <row r="92981" spans="17:17" x14ac:dyDescent="0.35">
      <c r="Q92981" s="1"/>
    </row>
    <row r="92983" spans="17:17" x14ac:dyDescent="0.35">
      <c r="Q92983" s="1"/>
    </row>
    <row r="92984" spans="17:17" x14ac:dyDescent="0.35">
      <c r="Q92984" s="1"/>
    </row>
    <row r="92987" spans="17:17" x14ac:dyDescent="0.35">
      <c r="Q92987" s="1"/>
    </row>
    <row r="92988" spans="17:17" x14ac:dyDescent="0.35">
      <c r="Q92988" s="1"/>
    </row>
    <row r="92989" spans="17:17" x14ac:dyDescent="0.35">
      <c r="Q92989" s="1"/>
    </row>
    <row r="92990" spans="17:17" x14ac:dyDescent="0.35">
      <c r="Q92990" s="1"/>
    </row>
    <row r="92992" spans="17:17" x14ac:dyDescent="0.35">
      <c r="Q92992" s="1"/>
    </row>
    <row r="92994" spans="17:17" x14ac:dyDescent="0.35">
      <c r="Q92994" s="1"/>
    </row>
    <row r="92996" spans="17:17" x14ac:dyDescent="0.35">
      <c r="Q92996" s="1"/>
    </row>
    <row r="92998" spans="17:17" x14ac:dyDescent="0.35">
      <c r="Q92998" s="1"/>
    </row>
    <row r="92999" spans="17:17" x14ac:dyDescent="0.35">
      <c r="Q92999" s="1"/>
    </row>
    <row r="93001" spans="17:17" x14ac:dyDescent="0.35">
      <c r="Q93001" s="1"/>
    </row>
    <row r="93003" spans="17:17" x14ac:dyDescent="0.35">
      <c r="Q93003" s="1"/>
    </row>
    <row r="93006" spans="17:17" x14ac:dyDescent="0.35">
      <c r="Q93006" s="1"/>
    </row>
    <row r="93008" spans="17:17" x14ac:dyDescent="0.35">
      <c r="Q93008" s="1"/>
    </row>
    <row r="93013" spans="17:17" x14ac:dyDescent="0.35">
      <c r="Q93013" s="1"/>
    </row>
    <row r="93025" spans="17:17" x14ac:dyDescent="0.35">
      <c r="Q93025" s="1"/>
    </row>
    <row r="93028" spans="17:17" x14ac:dyDescent="0.35">
      <c r="Q93028" s="1"/>
    </row>
    <row r="93029" spans="17:17" x14ac:dyDescent="0.35">
      <c r="Q93029" s="1"/>
    </row>
    <row r="93031" spans="17:17" x14ac:dyDescent="0.35">
      <c r="Q93031" s="1"/>
    </row>
    <row r="93033" spans="17:17" x14ac:dyDescent="0.35">
      <c r="Q93033" s="1"/>
    </row>
    <row r="93036" spans="17:17" x14ac:dyDescent="0.35">
      <c r="Q93036" s="1"/>
    </row>
    <row r="93039" spans="17:17" x14ac:dyDescent="0.35">
      <c r="Q93039" s="1"/>
    </row>
    <row r="93055" spans="17:17" x14ac:dyDescent="0.35">
      <c r="Q93055" s="1"/>
    </row>
    <row r="93061" spans="17:17" x14ac:dyDescent="0.35">
      <c r="Q93061" s="1"/>
    </row>
    <row r="93077" spans="17:17" x14ac:dyDescent="0.35">
      <c r="Q93077" s="1"/>
    </row>
    <row r="93083" spans="17:17" x14ac:dyDescent="0.35">
      <c r="Q93083" s="1"/>
    </row>
    <row r="93084" spans="17:17" x14ac:dyDescent="0.35">
      <c r="Q93084" s="1"/>
    </row>
    <row r="93085" spans="17:17" x14ac:dyDescent="0.35">
      <c r="Q93085" s="1"/>
    </row>
    <row r="93091" spans="17:17" x14ac:dyDescent="0.35">
      <c r="Q93091" s="1"/>
    </row>
    <row r="93104" spans="17:17" x14ac:dyDescent="0.35">
      <c r="Q93104" s="1"/>
    </row>
    <row r="93108" spans="17:17" x14ac:dyDescent="0.35">
      <c r="Q93108" s="1"/>
    </row>
    <row r="93109" spans="17:17" x14ac:dyDescent="0.35">
      <c r="Q93109" s="1"/>
    </row>
    <row r="93110" spans="17:17" x14ac:dyDescent="0.35">
      <c r="Q93110" s="1"/>
    </row>
    <row r="93112" spans="17:17" x14ac:dyDescent="0.35">
      <c r="Q93112" s="1"/>
    </row>
    <row r="93114" spans="17:17" x14ac:dyDescent="0.35">
      <c r="Q93114" s="1"/>
    </row>
    <row r="93118" spans="17:17" x14ac:dyDescent="0.35">
      <c r="Q93118" s="1"/>
    </row>
    <row r="93122" spans="17:17" x14ac:dyDescent="0.35">
      <c r="Q93122" s="1"/>
    </row>
    <row r="93128" spans="17:17" x14ac:dyDescent="0.35">
      <c r="Q93128" s="1"/>
    </row>
    <row r="93133" spans="17:17" x14ac:dyDescent="0.35">
      <c r="Q93133" s="1"/>
    </row>
    <row r="93136" spans="17:17" x14ac:dyDescent="0.35">
      <c r="Q93136" s="1"/>
    </row>
    <row r="93144" spans="17:17" x14ac:dyDescent="0.35">
      <c r="Q93144" s="1"/>
    </row>
    <row r="93145" spans="17:17" x14ac:dyDescent="0.35">
      <c r="Q93145" s="1"/>
    </row>
    <row r="93150" spans="17:17" x14ac:dyDescent="0.35">
      <c r="Q93150" s="1"/>
    </row>
    <row r="93152" spans="17:17" x14ac:dyDescent="0.35">
      <c r="Q93152" s="1"/>
    </row>
    <row r="93156" spans="17:17" x14ac:dyDescent="0.35">
      <c r="Q93156" s="1"/>
    </row>
    <row r="93160" spans="17:17" x14ac:dyDescent="0.35">
      <c r="Q93160" s="1"/>
    </row>
    <row r="93164" spans="17:17" x14ac:dyDescent="0.35">
      <c r="Q93164" s="1"/>
    </row>
    <row r="93165" spans="17:17" x14ac:dyDescent="0.35">
      <c r="Q93165" s="1"/>
    </row>
    <row r="93168" spans="17:17" x14ac:dyDescent="0.35">
      <c r="Q93168" s="1"/>
    </row>
    <row r="93170" spans="17:17" x14ac:dyDescent="0.35">
      <c r="Q93170" s="1"/>
    </row>
    <row r="93171" spans="17:17" x14ac:dyDescent="0.35">
      <c r="Q93171" s="1"/>
    </row>
    <row r="93174" spans="17:17" x14ac:dyDescent="0.35">
      <c r="Q93174" s="1"/>
    </row>
    <row r="93177" spans="17:17" x14ac:dyDescent="0.35">
      <c r="Q93177" s="1"/>
    </row>
    <row r="93180" spans="17:17" x14ac:dyDescent="0.35">
      <c r="Q93180" s="1"/>
    </row>
    <row r="93182" spans="17:17" x14ac:dyDescent="0.35">
      <c r="Q93182" s="1"/>
    </row>
    <row r="93184" spans="17:17" x14ac:dyDescent="0.35">
      <c r="Q93184" s="1"/>
    </row>
    <row r="93185" spans="17:17" x14ac:dyDescent="0.35">
      <c r="Q93185" s="1"/>
    </row>
    <row r="93190" spans="17:17" x14ac:dyDescent="0.35">
      <c r="Q93190" s="1"/>
    </row>
    <row r="93204" spans="17:17" x14ac:dyDescent="0.35">
      <c r="Q93204" s="1"/>
    </row>
    <row r="93207" spans="17:17" x14ac:dyDescent="0.35">
      <c r="Q93207" s="1"/>
    </row>
    <row r="93213" spans="17:17" x14ac:dyDescent="0.35">
      <c r="Q93213" s="1"/>
    </row>
    <row r="93215" spans="17:17" x14ac:dyDescent="0.35">
      <c r="Q93215" s="1"/>
    </row>
    <row r="93217" spans="17:17" x14ac:dyDescent="0.35">
      <c r="Q93217" s="1"/>
    </row>
    <row r="93224" spans="17:17" x14ac:dyDescent="0.35">
      <c r="Q93224" s="1"/>
    </row>
    <row r="93225" spans="17:17" x14ac:dyDescent="0.35">
      <c r="Q93225" s="1"/>
    </row>
    <row r="93234" spans="17:17" x14ac:dyDescent="0.35">
      <c r="Q93234" s="1"/>
    </row>
    <row r="93236" spans="17:17" x14ac:dyDescent="0.35">
      <c r="Q93236" s="1"/>
    </row>
    <row r="93237" spans="17:17" x14ac:dyDescent="0.35">
      <c r="Q93237" s="1"/>
    </row>
    <row r="93242" spans="17:17" x14ac:dyDescent="0.35">
      <c r="Q93242" s="1"/>
    </row>
    <row r="93247" spans="17:17" x14ac:dyDescent="0.35">
      <c r="Q93247" s="1"/>
    </row>
    <row r="93260" spans="17:17" x14ac:dyDescent="0.35">
      <c r="Q93260" s="1"/>
    </row>
    <row r="93270" spans="17:17" x14ac:dyDescent="0.35">
      <c r="Q93270" s="1"/>
    </row>
    <row r="93272" spans="17:17" x14ac:dyDescent="0.35">
      <c r="Q93272" s="1"/>
    </row>
    <row r="93273" spans="17:17" x14ac:dyDescent="0.35">
      <c r="Q93273" s="1"/>
    </row>
    <row r="93275" spans="17:17" x14ac:dyDescent="0.35">
      <c r="Q93275" s="1"/>
    </row>
    <row r="93281" spans="17:17" x14ac:dyDescent="0.35">
      <c r="Q93281" s="1"/>
    </row>
    <row r="93284" spans="17:17" x14ac:dyDescent="0.35">
      <c r="Q93284" s="1"/>
    </row>
    <row r="93285" spans="17:17" x14ac:dyDescent="0.35">
      <c r="Q93285" s="1"/>
    </row>
    <row r="93287" spans="17:17" x14ac:dyDescent="0.35">
      <c r="Q93287" s="1"/>
    </row>
    <row r="93291" spans="17:17" x14ac:dyDescent="0.35">
      <c r="Q93291" s="1"/>
    </row>
    <row r="93292" spans="17:17" x14ac:dyDescent="0.35">
      <c r="Q93292" s="1"/>
    </row>
    <row r="93293" spans="17:17" x14ac:dyDescent="0.35">
      <c r="Q93293" s="1"/>
    </row>
    <row r="93295" spans="17:17" x14ac:dyDescent="0.35">
      <c r="Q93295" s="1"/>
    </row>
    <row r="93298" spans="17:17" x14ac:dyDescent="0.35">
      <c r="Q93298" s="1"/>
    </row>
    <row r="93306" spans="17:17" x14ac:dyDescent="0.35">
      <c r="Q93306" s="1"/>
    </row>
    <row r="93314" spans="17:17" x14ac:dyDescent="0.35">
      <c r="Q93314" s="1"/>
    </row>
    <row r="93315" spans="17:17" x14ac:dyDescent="0.35">
      <c r="Q93315" s="1"/>
    </row>
    <row r="93316" spans="17:17" x14ac:dyDescent="0.35">
      <c r="Q93316" s="1"/>
    </row>
    <row r="93317" spans="17:17" x14ac:dyDescent="0.35">
      <c r="Q93317" s="1"/>
    </row>
    <row r="93318" spans="17:17" x14ac:dyDescent="0.35">
      <c r="Q93318" s="1"/>
    </row>
    <row r="93319" spans="17:17" x14ac:dyDescent="0.35">
      <c r="Q93319" s="1"/>
    </row>
    <row r="93321" spans="17:17" x14ac:dyDescent="0.35">
      <c r="Q93321" s="1"/>
    </row>
    <row r="93330" spans="17:17" x14ac:dyDescent="0.35">
      <c r="Q93330" s="1"/>
    </row>
    <row r="93339" spans="17:17" x14ac:dyDescent="0.35">
      <c r="Q93339" s="1"/>
    </row>
    <row r="93340" spans="17:17" x14ac:dyDescent="0.35">
      <c r="Q93340" s="1"/>
    </row>
    <row r="93391" spans="17:17" x14ac:dyDescent="0.35">
      <c r="Q93391" s="1"/>
    </row>
    <row r="93392" spans="17:17" x14ac:dyDescent="0.35">
      <c r="Q93392" s="1"/>
    </row>
    <row r="93393" spans="17:17" x14ac:dyDescent="0.35">
      <c r="Q93393" s="1"/>
    </row>
    <row r="93403" spans="17:17" x14ac:dyDescent="0.35">
      <c r="Q93403" s="1"/>
    </row>
    <row r="93418" spans="17:17" x14ac:dyDescent="0.35">
      <c r="Q93418" s="1"/>
    </row>
    <row r="93427" spans="17:17" x14ac:dyDescent="0.35">
      <c r="Q93427" s="1"/>
    </row>
    <row r="93429" spans="17:17" x14ac:dyDescent="0.35">
      <c r="Q93429" s="1"/>
    </row>
    <row r="93432" spans="17:17" x14ac:dyDescent="0.35">
      <c r="Q93432" s="1"/>
    </row>
    <row r="93436" spans="17:17" x14ac:dyDescent="0.35">
      <c r="Q93436" s="1"/>
    </row>
    <row r="93441" spans="17:17" x14ac:dyDescent="0.35">
      <c r="Q93441" s="1"/>
    </row>
    <row r="93445" spans="17:17" x14ac:dyDescent="0.35">
      <c r="Q93445" s="1"/>
    </row>
    <row r="93453" spans="17:17" x14ac:dyDescent="0.35">
      <c r="Q93453" s="1"/>
    </row>
    <row r="93459" spans="17:17" x14ac:dyDescent="0.35">
      <c r="Q93459" s="1"/>
    </row>
    <row r="93461" spans="17:17" x14ac:dyDescent="0.35">
      <c r="Q93461" s="1"/>
    </row>
    <row r="93472" spans="17:17" x14ac:dyDescent="0.35">
      <c r="Q93472" s="1"/>
    </row>
    <row r="93477" spans="17:17" x14ac:dyDescent="0.35">
      <c r="Q93477" s="1"/>
    </row>
    <row r="93479" spans="17:17" x14ac:dyDescent="0.35">
      <c r="Q93479" s="1"/>
    </row>
    <row r="93486" spans="17:17" x14ac:dyDescent="0.35">
      <c r="Q93486" s="1"/>
    </row>
    <row r="93487" spans="17:17" x14ac:dyDescent="0.35">
      <c r="Q93487" s="1"/>
    </row>
    <row r="93496" spans="17:17" x14ac:dyDescent="0.35">
      <c r="Q93496" s="1"/>
    </row>
    <row r="93504" spans="17:17" x14ac:dyDescent="0.35">
      <c r="Q93504" s="1"/>
    </row>
    <row r="93510" spans="17:17" x14ac:dyDescent="0.35">
      <c r="Q93510" s="1"/>
    </row>
    <row r="93512" spans="17:17" x14ac:dyDescent="0.35">
      <c r="Q93512" s="1"/>
    </row>
    <row r="93514" spans="17:17" x14ac:dyDescent="0.35">
      <c r="Q93514" s="1"/>
    </row>
    <row r="93524" spans="17:17" x14ac:dyDescent="0.35">
      <c r="Q93524" s="1"/>
    </row>
    <row r="93529" spans="17:17" x14ac:dyDescent="0.35">
      <c r="Q93529" s="1"/>
    </row>
    <row r="93537" spans="17:17" x14ac:dyDescent="0.35">
      <c r="Q93537" s="1"/>
    </row>
    <row r="93538" spans="17:17" x14ac:dyDescent="0.35">
      <c r="Q93538" s="1"/>
    </row>
    <row r="93539" spans="17:17" x14ac:dyDescent="0.35">
      <c r="Q93539" s="1"/>
    </row>
    <row r="93540" spans="17:17" x14ac:dyDescent="0.35">
      <c r="Q93540" s="1"/>
    </row>
    <row r="93549" spans="17:17" x14ac:dyDescent="0.35">
      <c r="Q93549" s="1"/>
    </row>
    <row r="93557" spans="17:17" x14ac:dyDescent="0.35">
      <c r="Q93557" s="1"/>
    </row>
    <row r="93565" spans="17:17" x14ac:dyDescent="0.35">
      <c r="Q93565" s="1"/>
    </row>
    <row r="93567" spans="17:17" x14ac:dyDescent="0.35">
      <c r="Q93567" s="1"/>
    </row>
    <row r="93568" spans="17:17" x14ac:dyDescent="0.35">
      <c r="Q93568" s="1"/>
    </row>
    <row r="93572" spans="17:17" x14ac:dyDescent="0.35">
      <c r="Q93572" s="1"/>
    </row>
    <row r="93579" spans="17:17" x14ac:dyDescent="0.35">
      <c r="Q93579" s="1"/>
    </row>
    <row r="93582" spans="17:17" x14ac:dyDescent="0.35">
      <c r="Q93582" s="1"/>
    </row>
    <row r="93593" spans="17:17" x14ac:dyDescent="0.35">
      <c r="Q93593" s="1"/>
    </row>
    <row r="93608" spans="17:17" x14ac:dyDescent="0.35">
      <c r="Q93608" s="1"/>
    </row>
    <row r="93626" spans="17:17" x14ac:dyDescent="0.35">
      <c r="Q93626" s="1"/>
    </row>
    <row r="93629" spans="17:17" x14ac:dyDescent="0.35">
      <c r="Q93629" s="1"/>
    </row>
    <row r="93634" spans="17:17" x14ac:dyDescent="0.35">
      <c r="Q93634" s="1"/>
    </row>
    <row r="93640" spans="17:17" x14ac:dyDescent="0.35">
      <c r="Q93640" s="1"/>
    </row>
    <row r="93642" spans="17:17" x14ac:dyDescent="0.35">
      <c r="Q93642" s="1"/>
    </row>
    <row r="93648" spans="17:17" x14ac:dyDescent="0.35">
      <c r="Q93648" s="1"/>
    </row>
    <row r="93651" spans="17:17" x14ac:dyDescent="0.35">
      <c r="Q93651" s="1"/>
    </row>
    <row r="93656" spans="17:17" x14ac:dyDescent="0.35">
      <c r="Q93656" s="1"/>
    </row>
    <row r="93664" spans="17:17" x14ac:dyDescent="0.35">
      <c r="Q93664" s="1"/>
    </row>
    <row r="93668" spans="17:17" x14ac:dyDescent="0.35">
      <c r="Q93668" s="1"/>
    </row>
    <row r="93679" spans="17:17" x14ac:dyDescent="0.35">
      <c r="Q93679" s="1"/>
    </row>
    <row r="93680" spans="17:17" x14ac:dyDescent="0.35">
      <c r="Q93680" s="1"/>
    </row>
    <row r="93682" spans="17:17" x14ac:dyDescent="0.35">
      <c r="Q93682" s="1"/>
    </row>
    <row r="93683" spans="17:17" x14ac:dyDescent="0.35">
      <c r="Q93683" s="1"/>
    </row>
    <row r="93689" spans="17:17" x14ac:dyDescent="0.35">
      <c r="Q93689" s="1"/>
    </row>
    <row r="93697" spans="17:17" x14ac:dyDescent="0.35">
      <c r="Q93697" s="1"/>
    </row>
    <row r="93705" spans="17:17" x14ac:dyDescent="0.35">
      <c r="Q93705" s="1"/>
    </row>
    <row r="93713" spans="17:17" x14ac:dyDescent="0.35">
      <c r="Q93713" s="1"/>
    </row>
    <row r="93716" spans="17:17" x14ac:dyDescent="0.35">
      <c r="Q93716" s="1"/>
    </row>
    <row r="93717" spans="17:17" x14ac:dyDescent="0.35">
      <c r="Q93717" s="1"/>
    </row>
    <row r="93721" spans="17:17" x14ac:dyDescent="0.35">
      <c r="Q93721" s="1"/>
    </row>
    <row r="93730" spans="17:17" x14ac:dyDescent="0.35">
      <c r="Q93730" s="1"/>
    </row>
    <row r="93733" spans="17:17" x14ac:dyDescent="0.35">
      <c r="Q93733" s="1"/>
    </row>
    <row r="93735" spans="17:17" x14ac:dyDescent="0.35">
      <c r="Q93735" s="1"/>
    </row>
    <row r="93736" spans="17:17" x14ac:dyDescent="0.35">
      <c r="Q93736" s="1"/>
    </row>
    <row r="93738" spans="17:17" x14ac:dyDescent="0.35">
      <c r="Q93738" s="1"/>
    </row>
    <row r="93740" spans="17:17" x14ac:dyDescent="0.35">
      <c r="Q93740" s="1"/>
    </row>
    <row r="93743" spans="17:17" x14ac:dyDescent="0.35">
      <c r="Q93743" s="1"/>
    </row>
    <row r="93756" spans="17:17" x14ac:dyDescent="0.35">
      <c r="Q93756" s="1"/>
    </row>
    <row r="93767" spans="17:17" x14ac:dyDescent="0.35">
      <c r="Q93767" s="1"/>
    </row>
    <row r="93769" spans="17:17" x14ac:dyDescent="0.35">
      <c r="Q93769" s="1"/>
    </row>
    <row r="93771" spans="17:17" x14ac:dyDescent="0.35">
      <c r="Q93771" s="1"/>
    </row>
    <row r="93781" spans="17:17" x14ac:dyDescent="0.35">
      <c r="Q93781" s="1"/>
    </row>
    <row r="93782" spans="17:17" x14ac:dyDescent="0.35">
      <c r="Q93782" s="1"/>
    </row>
    <row r="93783" spans="17:17" x14ac:dyDescent="0.35">
      <c r="Q93783" s="1"/>
    </row>
    <row r="93786" spans="17:17" x14ac:dyDescent="0.35">
      <c r="Q93786" s="1"/>
    </row>
    <row r="93790" spans="17:17" x14ac:dyDescent="0.35">
      <c r="Q93790" s="1"/>
    </row>
    <row r="93793" spans="17:17" x14ac:dyDescent="0.35">
      <c r="Q93793" s="1"/>
    </row>
    <row r="93802" spans="17:17" x14ac:dyDescent="0.35">
      <c r="Q93802" s="1"/>
    </row>
    <row r="93803" spans="17:17" x14ac:dyDescent="0.35">
      <c r="Q93803" s="1"/>
    </row>
    <row r="93809" spans="17:17" x14ac:dyDescent="0.35">
      <c r="Q93809" s="1"/>
    </row>
    <row r="93812" spans="17:17" x14ac:dyDescent="0.35">
      <c r="Q93812" s="1"/>
    </row>
    <row r="93817" spans="17:17" x14ac:dyDescent="0.35">
      <c r="Q93817" s="1"/>
    </row>
    <row r="93818" spans="17:17" x14ac:dyDescent="0.35">
      <c r="Q93818" s="1"/>
    </row>
    <row r="93820" spans="17:17" x14ac:dyDescent="0.35">
      <c r="Q93820" s="1"/>
    </row>
    <row r="93824" spans="17:17" x14ac:dyDescent="0.35">
      <c r="Q93824" s="1"/>
    </row>
    <row r="93838" spans="17:17" x14ac:dyDescent="0.35">
      <c r="Q93838" s="1"/>
    </row>
    <row r="93842" spans="17:17" x14ac:dyDescent="0.35">
      <c r="Q93842" s="1"/>
    </row>
    <row r="93846" spans="17:17" x14ac:dyDescent="0.35">
      <c r="Q93846" s="1"/>
    </row>
    <row r="93858" spans="17:17" x14ac:dyDescent="0.35">
      <c r="Q93858" s="1"/>
    </row>
    <row r="93865" spans="17:17" x14ac:dyDescent="0.35">
      <c r="Q93865" s="1"/>
    </row>
    <row r="93867" spans="17:17" x14ac:dyDescent="0.35">
      <c r="Q93867" s="1"/>
    </row>
    <row r="93870" spans="17:17" x14ac:dyDescent="0.35">
      <c r="Q93870" s="1"/>
    </row>
    <row r="93875" spans="17:17" x14ac:dyDescent="0.35">
      <c r="Q93875" s="1"/>
    </row>
    <row r="93886" spans="17:17" x14ac:dyDescent="0.35">
      <c r="Q93886" s="1"/>
    </row>
    <row r="93892" spans="17:17" x14ac:dyDescent="0.35">
      <c r="Q93892" s="1"/>
    </row>
    <row r="93896" spans="17:17" x14ac:dyDescent="0.35">
      <c r="Q93896" s="1"/>
    </row>
    <row r="93900" spans="17:17" x14ac:dyDescent="0.35">
      <c r="Q93900" s="1"/>
    </row>
    <row r="93905" spans="17:17" x14ac:dyDescent="0.35">
      <c r="Q93905" s="1"/>
    </row>
    <row r="93908" spans="17:17" x14ac:dyDescent="0.35">
      <c r="Q93908" s="1"/>
    </row>
    <row r="93909" spans="17:17" x14ac:dyDescent="0.35">
      <c r="Q93909" s="1"/>
    </row>
    <row r="93912" spans="17:17" x14ac:dyDescent="0.35">
      <c r="Q93912" s="1"/>
    </row>
    <row r="93913" spans="17:17" x14ac:dyDescent="0.35">
      <c r="Q93913" s="1"/>
    </row>
    <row r="93915" spans="17:17" x14ac:dyDescent="0.35">
      <c r="Q93915" s="1"/>
    </row>
    <row r="93918" spans="17:17" x14ac:dyDescent="0.35">
      <c r="Q93918" s="1"/>
    </row>
    <row r="93920" spans="17:17" x14ac:dyDescent="0.35">
      <c r="Q93920" s="1"/>
    </row>
    <row r="93928" spans="17:17" x14ac:dyDescent="0.35">
      <c r="Q93928" s="1"/>
    </row>
    <row r="93935" spans="17:17" x14ac:dyDescent="0.35">
      <c r="Q93935" s="1"/>
    </row>
    <row r="93940" spans="17:17" x14ac:dyDescent="0.35">
      <c r="Q93940" s="1"/>
    </row>
    <row r="93942" spans="17:17" x14ac:dyDescent="0.35">
      <c r="Q93942" s="1"/>
    </row>
    <row r="93952" spans="17:17" x14ac:dyDescent="0.35">
      <c r="Q93952" s="1"/>
    </row>
    <row r="93955" spans="17:17" x14ac:dyDescent="0.35">
      <c r="Q93955" s="1"/>
    </row>
    <row r="93956" spans="17:17" x14ac:dyDescent="0.35">
      <c r="Q93956" s="1"/>
    </row>
    <row r="93958" spans="17:17" x14ac:dyDescent="0.35">
      <c r="Q93958" s="1"/>
    </row>
    <row r="93960" spans="17:17" x14ac:dyDescent="0.35">
      <c r="Q93960" s="1"/>
    </row>
    <row r="93970" spans="17:17" x14ac:dyDescent="0.35">
      <c r="Q93970" s="1"/>
    </row>
    <row r="93976" spans="17:17" x14ac:dyDescent="0.35">
      <c r="Q93976" s="1"/>
    </row>
    <row r="93978" spans="17:17" x14ac:dyDescent="0.35">
      <c r="Q93978" s="1"/>
    </row>
    <row r="93979" spans="17:17" x14ac:dyDescent="0.35">
      <c r="Q93979" s="1"/>
    </row>
    <row r="93984" spans="17:17" x14ac:dyDescent="0.35">
      <c r="Q93984" s="1"/>
    </row>
    <row r="93985" spans="17:17" x14ac:dyDescent="0.35">
      <c r="Q93985" s="1"/>
    </row>
    <row r="93986" spans="17:17" x14ac:dyDescent="0.35">
      <c r="Q93986" s="1"/>
    </row>
    <row r="93988" spans="17:17" x14ac:dyDescent="0.35">
      <c r="Q93988" s="1"/>
    </row>
    <row r="93990" spans="17:17" x14ac:dyDescent="0.35">
      <c r="Q93990" s="1"/>
    </row>
    <row r="93992" spans="17:17" x14ac:dyDescent="0.35">
      <c r="Q93992" s="1"/>
    </row>
    <row r="93998" spans="17:17" x14ac:dyDescent="0.35">
      <c r="Q93998" s="1"/>
    </row>
    <row r="94006" spans="17:17" x14ac:dyDescent="0.35">
      <c r="Q94006" s="1"/>
    </row>
    <row r="94008" spans="17:17" x14ac:dyDescent="0.35">
      <c r="Q94008" s="1"/>
    </row>
    <row r="94011" spans="17:17" x14ac:dyDescent="0.35">
      <c r="Q94011" s="1"/>
    </row>
    <row r="94032" spans="17:17" x14ac:dyDescent="0.35">
      <c r="Q94032" s="1"/>
    </row>
    <row r="94034" spans="17:17" x14ac:dyDescent="0.35">
      <c r="Q94034" s="1"/>
    </row>
    <row r="94041" spans="17:17" x14ac:dyDescent="0.35">
      <c r="Q94041" s="1"/>
    </row>
    <row r="94043" spans="17:17" x14ac:dyDescent="0.35">
      <c r="Q94043" s="1"/>
    </row>
    <row r="94055" spans="5:6" x14ac:dyDescent="0.35">
      <c r="E94055" s="7"/>
      <c r="F94055" s="7"/>
    </row>
    <row r="94065" spans="17:17" x14ac:dyDescent="0.35">
      <c r="Q94065" s="1"/>
    </row>
    <row r="94068" spans="17:17" x14ac:dyDescent="0.35">
      <c r="Q94068" s="1"/>
    </row>
    <row r="94069" spans="17:17" x14ac:dyDescent="0.35">
      <c r="Q94069" s="1"/>
    </row>
    <row r="94070" spans="17:17" x14ac:dyDescent="0.35">
      <c r="Q94070" s="1"/>
    </row>
    <row r="94083" spans="17:17" x14ac:dyDescent="0.35">
      <c r="Q94083" s="1"/>
    </row>
    <row r="94086" spans="17:17" x14ac:dyDescent="0.35">
      <c r="Q94086" s="1"/>
    </row>
    <row r="94106" spans="17:17" x14ac:dyDescent="0.35">
      <c r="Q94106" s="1"/>
    </row>
    <row r="94108" spans="17:17" x14ac:dyDescent="0.35">
      <c r="Q94108" s="1"/>
    </row>
    <row r="94111" spans="17:17" x14ac:dyDescent="0.35">
      <c r="Q94111" s="1"/>
    </row>
    <row r="94112" spans="17:17" x14ac:dyDescent="0.35">
      <c r="Q94112" s="1"/>
    </row>
    <row r="94123" spans="17:17" x14ac:dyDescent="0.35">
      <c r="Q94123" s="1"/>
    </row>
    <row r="94134" spans="17:17" x14ac:dyDescent="0.35">
      <c r="Q94134" s="1"/>
    </row>
    <row r="94152" spans="5:17" x14ac:dyDescent="0.35">
      <c r="E94152" s="7"/>
      <c r="F94152" s="7"/>
    </row>
    <row r="94156" spans="5:17" x14ac:dyDescent="0.35">
      <c r="Q94156" s="1"/>
    </row>
    <row r="94158" spans="5:17" x14ac:dyDescent="0.35">
      <c r="Q94158" s="1"/>
    </row>
    <row r="94166" spans="17:17" x14ac:dyDescent="0.35">
      <c r="Q94166" s="1"/>
    </row>
    <row r="94175" spans="17:17" x14ac:dyDescent="0.35">
      <c r="Q94175" s="1"/>
    </row>
    <row r="94183" spans="17:17" x14ac:dyDescent="0.35">
      <c r="Q94183" s="1"/>
    </row>
    <row r="94184" spans="17:17" x14ac:dyDescent="0.35">
      <c r="Q94184" s="1"/>
    </row>
    <row r="94193" spans="17:17" x14ac:dyDescent="0.35">
      <c r="Q94193" s="1"/>
    </row>
    <row r="94205" spans="17:17" x14ac:dyDescent="0.35">
      <c r="Q94205" s="1"/>
    </row>
    <row r="94206" spans="17:17" x14ac:dyDescent="0.35">
      <c r="Q94206" s="1"/>
    </row>
    <row r="94207" spans="17:17" x14ac:dyDescent="0.35">
      <c r="Q94207" s="1"/>
    </row>
    <row r="94227" spans="17:17" x14ac:dyDescent="0.35">
      <c r="Q94227" s="1"/>
    </row>
    <row r="94231" spans="17:17" x14ac:dyDescent="0.35">
      <c r="Q94231" s="1"/>
    </row>
    <row r="94244" spans="17:17" x14ac:dyDescent="0.35">
      <c r="Q94244" s="1"/>
    </row>
    <row r="94248" spans="17:17" x14ac:dyDescent="0.35">
      <c r="Q94248" s="1"/>
    </row>
    <row r="94254" spans="17:17" x14ac:dyDescent="0.35">
      <c r="Q94254" s="1"/>
    </row>
    <row r="94270" spans="17:17" x14ac:dyDescent="0.35">
      <c r="Q94270" s="1"/>
    </row>
    <row r="94277" spans="17:17" x14ac:dyDescent="0.35">
      <c r="Q94277" s="1"/>
    </row>
    <row r="94292" spans="17:17" x14ac:dyDescent="0.35">
      <c r="Q94292" s="1"/>
    </row>
    <row r="94305" spans="17:17" x14ac:dyDescent="0.35">
      <c r="Q94305" s="1"/>
    </row>
    <row r="94309" spans="17:17" x14ac:dyDescent="0.35">
      <c r="Q94309" s="1"/>
    </row>
    <row r="94315" spans="17:17" x14ac:dyDescent="0.35">
      <c r="Q94315" s="1"/>
    </row>
    <row r="94322" spans="17:17" x14ac:dyDescent="0.35">
      <c r="Q94322" s="1"/>
    </row>
    <row r="94358" spans="17:17" x14ac:dyDescent="0.35">
      <c r="Q94358" s="1"/>
    </row>
    <row r="94360" spans="17:17" x14ac:dyDescent="0.35">
      <c r="Q94360" s="1"/>
    </row>
    <row r="94361" spans="17:17" x14ac:dyDescent="0.35">
      <c r="Q94361" s="1"/>
    </row>
    <row r="94365" spans="17:17" x14ac:dyDescent="0.35">
      <c r="Q94365" s="1"/>
    </row>
    <row r="94369" spans="17:17" x14ac:dyDescent="0.35">
      <c r="Q94369" s="1"/>
    </row>
    <row r="94375" spans="17:17" x14ac:dyDescent="0.35">
      <c r="Q94375" s="1"/>
    </row>
    <row r="94380" spans="17:17" x14ac:dyDescent="0.35">
      <c r="Q94380" s="1"/>
    </row>
    <row r="94381" spans="17:17" x14ac:dyDescent="0.35">
      <c r="Q94381" s="1"/>
    </row>
    <row r="94387" spans="17:17" x14ac:dyDescent="0.35">
      <c r="Q94387" s="1"/>
    </row>
    <row r="94388" spans="17:17" x14ac:dyDescent="0.35">
      <c r="Q94388" s="1"/>
    </row>
    <row r="94397" spans="17:17" x14ac:dyDescent="0.35">
      <c r="Q94397" s="1"/>
    </row>
    <row r="94409" spans="17:17" x14ac:dyDescent="0.35">
      <c r="Q94409" s="1"/>
    </row>
    <row r="94411" spans="17:17" x14ac:dyDescent="0.35">
      <c r="Q94411" s="1"/>
    </row>
    <row r="94422" spans="17:17" x14ac:dyDescent="0.35">
      <c r="Q94422" s="1"/>
    </row>
    <row r="94427" spans="17:17" x14ac:dyDescent="0.35">
      <c r="Q94427" s="1"/>
    </row>
    <row r="94429" spans="17:17" x14ac:dyDescent="0.35">
      <c r="Q94429" s="1"/>
    </row>
    <row r="94433" spans="17:17" x14ac:dyDescent="0.35">
      <c r="Q94433" s="1"/>
    </row>
    <row r="94436" spans="17:17" x14ac:dyDescent="0.35">
      <c r="Q94436" s="1"/>
    </row>
    <row r="94468" spans="17:17" x14ac:dyDescent="0.35">
      <c r="Q94468" s="1"/>
    </row>
    <row r="94473" spans="17:17" x14ac:dyDescent="0.35">
      <c r="Q94473" s="1"/>
    </row>
    <row r="94481" spans="17:17" x14ac:dyDescent="0.35">
      <c r="Q94481" s="1"/>
    </row>
    <row r="94483" spans="17:17" x14ac:dyDescent="0.35">
      <c r="Q94483" s="1"/>
    </row>
    <row r="94489" spans="17:17" x14ac:dyDescent="0.35">
      <c r="Q94489" s="1"/>
    </row>
    <row r="94496" spans="17:17" x14ac:dyDescent="0.35">
      <c r="Q94496" s="1"/>
    </row>
    <row r="94507" spans="17:17" x14ac:dyDescent="0.35">
      <c r="Q94507" s="1"/>
    </row>
    <row r="94513" spans="17:17" x14ac:dyDescent="0.35">
      <c r="Q94513" s="1"/>
    </row>
    <row r="94522" spans="17:17" x14ac:dyDescent="0.35">
      <c r="Q94522" s="1"/>
    </row>
    <row r="94524" spans="17:17" x14ac:dyDescent="0.35">
      <c r="Q94524" s="1"/>
    </row>
    <row r="94527" spans="17:17" x14ac:dyDescent="0.35">
      <c r="Q94527" s="1"/>
    </row>
    <row r="94529" spans="17:17" x14ac:dyDescent="0.35">
      <c r="Q94529" s="1"/>
    </row>
    <row r="94535" spans="17:17" x14ac:dyDescent="0.35">
      <c r="Q94535" s="1"/>
    </row>
    <row r="94543" spans="17:17" x14ac:dyDescent="0.35">
      <c r="Q94543" s="1"/>
    </row>
    <row r="94545" spans="17:17" x14ac:dyDescent="0.35">
      <c r="Q94545" s="1"/>
    </row>
    <row r="94547" spans="17:17" x14ac:dyDescent="0.35">
      <c r="Q94547" s="1"/>
    </row>
    <row r="94552" spans="17:17" x14ac:dyDescent="0.35">
      <c r="Q94552" s="1"/>
    </row>
    <row r="94555" spans="17:17" x14ac:dyDescent="0.35">
      <c r="Q94555" s="1"/>
    </row>
    <row r="94573" spans="17:17" x14ac:dyDescent="0.35">
      <c r="Q94573" s="1"/>
    </row>
    <row r="94592" spans="17:17" x14ac:dyDescent="0.35">
      <c r="Q94592" s="1"/>
    </row>
    <row r="94596" spans="17:17" x14ac:dyDescent="0.35">
      <c r="Q94596" s="1"/>
    </row>
    <row r="94599" spans="17:17" x14ac:dyDescent="0.35">
      <c r="Q94599" s="1"/>
    </row>
    <row r="94602" spans="17:17" x14ac:dyDescent="0.35">
      <c r="Q94602" s="1"/>
    </row>
    <row r="94603" spans="17:17" x14ac:dyDescent="0.35">
      <c r="Q94603" s="1"/>
    </row>
    <row r="94605" spans="17:17" x14ac:dyDescent="0.35">
      <c r="Q94605" s="1"/>
    </row>
    <row r="94609" spans="17:17" x14ac:dyDescent="0.35">
      <c r="Q94609" s="1"/>
    </row>
    <row r="94611" spans="17:17" x14ac:dyDescent="0.35">
      <c r="Q94611" s="1"/>
    </row>
    <row r="94616" spans="17:17" x14ac:dyDescent="0.35">
      <c r="Q94616" s="1"/>
    </row>
    <row r="94623" spans="17:17" x14ac:dyDescent="0.35">
      <c r="Q94623" s="1"/>
    </row>
    <row r="94625" spans="17:17" x14ac:dyDescent="0.35">
      <c r="Q94625" s="1"/>
    </row>
    <row r="94633" spans="17:17" x14ac:dyDescent="0.35">
      <c r="Q94633" s="1"/>
    </row>
    <row r="94638" spans="17:17" x14ac:dyDescent="0.35">
      <c r="Q94638" s="1"/>
    </row>
    <row r="94642" spans="6:17" x14ac:dyDescent="0.35">
      <c r="Q94642" s="1"/>
    </row>
    <row r="94647" spans="6:17" x14ac:dyDescent="0.35">
      <c r="Q94647" s="1"/>
    </row>
    <row r="94649" spans="6:17" x14ac:dyDescent="0.35">
      <c r="Q94649" s="1"/>
    </row>
    <row r="94652" spans="6:17" x14ac:dyDescent="0.35">
      <c r="F94652" s="2"/>
    </row>
    <row r="94660" spans="17:17" x14ac:dyDescent="0.35">
      <c r="Q94660" s="1"/>
    </row>
    <row r="94665" spans="17:17" x14ac:dyDescent="0.35">
      <c r="Q94665" s="1"/>
    </row>
    <row r="94669" spans="17:17" x14ac:dyDescent="0.35">
      <c r="Q94669" s="1"/>
    </row>
    <row r="94679" spans="17:17" x14ac:dyDescent="0.35">
      <c r="Q94679" s="1"/>
    </row>
    <row r="94687" spans="17:17" x14ac:dyDescent="0.35">
      <c r="Q94687" s="1"/>
    </row>
    <row r="94690" spans="17:17" x14ac:dyDescent="0.35">
      <c r="Q94690" s="1"/>
    </row>
    <row r="94706" spans="17:17" x14ac:dyDescent="0.35">
      <c r="Q94706" s="1"/>
    </row>
    <row r="94709" spans="17:17" x14ac:dyDescent="0.35">
      <c r="Q94709" s="1"/>
    </row>
    <row r="94713" spans="17:17" x14ac:dyDescent="0.35">
      <c r="Q94713" s="1"/>
    </row>
    <row r="94728" spans="17:17" x14ac:dyDescent="0.35">
      <c r="Q94728" s="1"/>
    </row>
    <row r="94744" spans="17:17" x14ac:dyDescent="0.35">
      <c r="Q94744" s="1"/>
    </row>
    <row r="94751" spans="17:17" x14ac:dyDescent="0.35">
      <c r="Q94751" s="1"/>
    </row>
    <row r="94753" spans="17:17" x14ac:dyDescent="0.35">
      <c r="Q94753" s="1"/>
    </row>
    <row r="94755" spans="17:17" x14ac:dyDescent="0.35">
      <c r="Q94755" s="1"/>
    </row>
    <row r="94763" spans="17:17" x14ac:dyDescent="0.35">
      <c r="Q94763" s="1"/>
    </row>
    <row r="94764" spans="17:17" x14ac:dyDescent="0.35">
      <c r="Q94764" s="1"/>
    </row>
    <row r="94765" spans="17:17" x14ac:dyDescent="0.35">
      <c r="Q94765" s="1"/>
    </row>
    <row r="94779" spans="17:17" x14ac:dyDescent="0.35">
      <c r="Q94779" s="1"/>
    </row>
    <row r="94795" spans="17:17" x14ac:dyDescent="0.35">
      <c r="Q94795" s="1"/>
    </row>
    <row r="94796" spans="17:17" x14ac:dyDescent="0.35">
      <c r="Q94796" s="1"/>
    </row>
    <row r="94808" spans="17:17" x14ac:dyDescent="0.35">
      <c r="Q94808" s="1"/>
    </row>
    <row r="94822" spans="17:17" x14ac:dyDescent="0.35">
      <c r="Q94822" s="1"/>
    </row>
    <row r="94837" spans="17:17" x14ac:dyDescent="0.35">
      <c r="Q94837" s="1"/>
    </row>
    <row r="94842" spans="17:17" x14ac:dyDescent="0.35">
      <c r="Q94842" s="1"/>
    </row>
    <row r="94843" spans="17:17" x14ac:dyDescent="0.35">
      <c r="Q94843" s="1"/>
    </row>
    <row r="94845" spans="17:17" x14ac:dyDescent="0.35">
      <c r="Q94845" s="1"/>
    </row>
    <row r="94846" spans="17:17" x14ac:dyDescent="0.35">
      <c r="Q94846" s="1"/>
    </row>
    <row r="94851" spans="17:17" x14ac:dyDescent="0.35">
      <c r="Q94851" s="1"/>
    </row>
    <row r="94858" spans="17:17" x14ac:dyDescent="0.35">
      <c r="Q94858" s="1"/>
    </row>
    <row r="94866" spans="17:17" x14ac:dyDescent="0.35">
      <c r="Q94866" s="1"/>
    </row>
    <row r="94870" spans="17:17" x14ac:dyDescent="0.35">
      <c r="Q94870" s="1"/>
    </row>
    <row r="94880" spans="17:17" x14ac:dyDescent="0.35">
      <c r="Q94880" s="1"/>
    </row>
    <row r="94888" spans="17:17" x14ac:dyDescent="0.35">
      <c r="Q94888" s="1"/>
    </row>
    <row r="94893" spans="17:17" x14ac:dyDescent="0.35">
      <c r="Q94893" s="1"/>
    </row>
    <row r="94897" spans="17:17" x14ac:dyDescent="0.35">
      <c r="Q94897" s="1"/>
    </row>
    <row r="94909" spans="17:17" x14ac:dyDescent="0.35">
      <c r="Q94909" s="1"/>
    </row>
    <row r="94919" spans="17:17" x14ac:dyDescent="0.35">
      <c r="Q94919" s="1"/>
    </row>
    <row r="94924" spans="17:17" x14ac:dyDescent="0.35">
      <c r="Q94924" s="1"/>
    </row>
    <row r="94926" spans="17:17" x14ac:dyDescent="0.35">
      <c r="Q94926" s="1"/>
    </row>
    <row r="94930" spans="17:17" x14ac:dyDescent="0.35">
      <c r="Q94930" s="1"/>
    </row>
    <row r="94931" spans="17:17" x14ac:dyDescent="0.35">
      <c r="Q94931" s="1"/>
    </row>
    <row r="94937" spans="17:17" x14ac:dyDescent="0.35">
      <c r="Q94937" s="1"/>
    </row>
    <row r="94939" spans="17:17" x14ac:dyDescent="0.35">
      <c r="Q94939" s="1"/>
    </row>
    <row r="94941" spans="17:17" x14ac:dyDescent="0.35">
      <c r="Q94941" s="1"/>
    </row>
    <row r="94949" spans="17:17" x14ac:dyDescent="0.35">
      <c r="Q94949" s="1"/>
    </row>
    <row r="94958" spans="17:17" x14ac:dyDescent="0.35">
      <c r="Q94958" s="1"/>
    </row>
    <row r="94963" spans="17:17" x14ac:dyDescent="0.35">
      <c r="Q94963" s="1"/>
    </row>
    <row r="94965" spans="17:17" x14ac:dyDescent="0.35">
      <c r="Q94965" s="1"/>
    </row>
    <row r="94966" spans="17:17" x14ac:dyDescent="0.35">
      <c r="Q94966" s="1"/>
    </row>
    <row r="94972" spans="17:17" x14ac:dyDescent="0.35">
      <c r="Q94972" s="1"/>
    </row>
    <row r="94973" spans="17:17" x14ac:dyDescent="0.35">
      <c r="Q94973" s="1"/>
    </row>
    <row r="94984" spans="17:17" x14ac:dyDescent="0.35">
      <c r="Q94984" s="1"/>
    </row>
    <row r="95012" spans="17:17" x14ac:dyDescent="0.35">
      <c r="Q95012" s="1"/>
    </row>
    <row r="95013" spans="17:17" x14ac:dyDescent="0.35">
      <c r="Q95013" s="1"/>
    </row>
    <row r="95015" spans="17:17" x14ac:dyDescent="0.35">
      <c r="Q95015" s="1"/>
    </row>
    <row r="95017" spans="17:17" x14ac:dyDescent="0.35">
      <c r="Q95017" s="1"/>
    </row>
    <row r="95019" spans="17:17" x14ac:dyDescent="0.35">
      <c r="Q95019" s="1"/>
    </row>
    <row r="95020" spans="17:17" x14ac:dyDescent="0.35">
      <c r="Q95020" s="1"/>
    </row>
    <row r="95026" spans="17:17" x14ac:dyDescent="0.35">
      <c r="Q95026" s="1"/>
    </row>
    <row r="95029" spans="17:17" x14ac:dyDescent="0.35">
      <c r="Q95029" s="1"/>
    </row>
    <row r="95030" spans="17:17" x14ac:dyDescent="0.35">
      <c r="Q95030" s="1"/>
    </row>
    <row r="95033" spans="17:17" x14ac:dyDescent="0.35">
      <c r="Q95033" s="1"/>
    </row>
    <row r="95034" spans="17:17" x14ac:dyDescent="0.35">
      <c r="Q95034" s="1"/>
    </row>
    <row r="95035" spans="17:17" x14ac:dyDescent="0.35">
      <c r="Q95035" s="1"/>
    </row>
    <row r="95036" spans="17:17" x14ac:dyDescent="0.35">
      <c r="Q95036" s="1"/>
    </row>
    <row r="95041" spans="17:17" x14ac:dyDescent="0.35">
      <c r="Q95041" s="1"/>
    </row>
    <row r="95042" spans="17:17" x14ac:dyDescent="0.35">
      <c r="Q95042" s="1"/>
    </row>
    <row r="95045" spans="17:17" x14ac:dyDescent="0.35">
      <c r="Q95045" s="1"/>
    </row>
    <row r="95048" spans="17:17" x14ac:dyDescent="0.35">
      <c r="Q95048" s="1"/>
    </row>
    <row r="95049" spans="17:17" x14ac:dyDescent="0.35">
      <c r="Q95049" s="1"/>
    </row>
    <row r="95053" spans="17:17" x14ac:dyDescent="0.35">
      <c r="Q95053" s="1"/>
    </row>
    <row r="95054" spans="17:17" x14ac:dyDescent="0.35">
      <c r="Q95054" s="1"/>
    </row>
    <row r="95055" spans="17:17" x14ac:dyDescent="0.35">
      <c r="Q95055" s="1"/>
    </row>
    <row r="95056" spans="17:17" x14ac:dyDescent="0.35">
      <c r="Q95056" s="1"/>
    </row>
    <row r="95057" spans="17:17" x14ac:dyDescent="0.35">
      <c r="Q95057" s="1"/>
    </row>
    <row r="95059" spans="17:17" x14ac:dyDescent="0.35">
      <c r="Q95059" s="1"/>
    </row>
    <row r="95062" spans="17:17" x14ac:dyDescent="0.35">
      <c r="Q95062" s="1"/>
    </row>
    <row r="95063" spans="17:17" x14ac:dyDescent="0.35">
      <c r="Q95063" s="1"/>
    </row>
    <row r="95067" spans="17:17" x14ac:dyDescent="0.35">
      <c r="Q95067" s="1"/>
    </row>
    <row r="95069" spans="17:17" x14ac:dyDescent="0.35">
      <c r="Q95069" s="1"/>
    </row>
    <row r="95070" spans="17:17" x14ac:dyDescent="0.35">
      <c r="Q95070" s="1"/>
    </row>
    <row r="95072" spans="17:17" x14ac:dyDescent="0.35">
      <c r="Q95072" s="1"/>
    </row>
    <row r="95084" spans="17:17" x14ac:dyDescent="0.35">
      <c r="Q95084" s="1"/>
    </row>
    <row r="95087" spans="17:17" x14ac:dyDescent="0.35">
      <c r="Q95087" s="1"/>
    </row>
    <row r="95093" spans="17:17" x14ac:dyDescent="0.35">
      <c r="Q95093" s="1"/>
    </row>
    <row r="95095" spans="17:17" x14ac:dyDescent="0.35">
      <c r="Q95095" s="1"/>
    </row>
    <row r="95097" spans="17:17" x14ac:dyDescent="0.35">
      <c r="Q95097" s="1"/>
    </row>
    <row r="95098" spans="17:17" x14ac:dyDescent="0.35">
      <c r="Q95098" s="1"/>
    </row>
    <row r="95102" spans="17:17" x14ac:dyDescent="0.35">
      <c r="Q95102" s="1"/>
    </row>
    <row r="95103" spans="17:17" x14ac:dyDescent="0.35">
      <c r="Q95103" s="1"/>
    </row>
    <row r="95104" spans="17:17" x14ac:dyDescent="0.35">
      <c r="Q95104" s="1"/>
    </row>
    <row r="95111" spans="17:17" x14ac:dyDescent="0.35">
      <c r="Q95111" s="1"/>
    </row>
    <row r="95113" spans="17:17" x14ac:dyDescent="0.35">
      <c r="Q95113" s="1"/>
    </row>
    <row r="95117" spans="17:17" x14ac:dyDescent="0.35">
      <c r="Q95117" s="1"/>
    </row>
    <row r="95118" spans="17:17" x14ac:dyDescent="0.35">
      <c r="Q95118" s="1"/>
    </row>
    <row r="95120" spans="17:17" x14ac:dyDescent="0.35">
      <c r="Q95120" s="1"/>
    </row>
    <row r="95121" spans="17:17" x14ac:dyDescent="0.35">
      <c r="Q95121" s="1"/>
    </row>
    <row r="95126" spans="17:17" x14ac:dyDescent="0.35">
      <c r="Q95126" s="1"/>
    </row>
    <row r="95128" spans="17:17" x14ac:dyDescent="0.35">
      <c r="Q95128" s="1"/>
    </row>
    <row r="95129" spans="17:17" x14ac:dyDescent="0.35">
      <c r="Q95129" s="1"/>
    </row>
    <row r="95133" spans="17:17" x14ac:dyDescent="0.35">
      <c r="Q95133" s="1"/>
    </row>
    <row r="95140" spans="17:17" x14ac:dyDescent="0.35">
      <c r="Q95140" s="1"/>
    </row>
    <row r="95141" spans="17:17" x14ac:dyDescent="0.35">
      <c r="Q95141" s="1"/>
    </row>
    <row r="95142" spans="17:17" x14ac:dyDescent="0.35">
      <c r="Q95142" s="1"/>
    </row>
    <row r="95145" spans="17:17" x14ac:dyDescent="0.35">
      <c r="Q95145" s="1"/>
    </row>
    <row r="95153" spans="17:17" x14ac:dyDescent="0.35">
      <c r="Q95153" s="1"/>
    </row>
    <row r="95155" spans="17:17" x14ac:dyDescent="0.35">
      <c r="Q95155" s="1"/>
    </row>
    <row r="95160" spans="17:17" x14ac:dyDescent="0.35">
      <c r="Q95160" s="1"/>
    </row>
    <row r="95163" spans="17:17" x14ac:dyDescent="0.35">
      <c r="Q95163" s="1"/>
    </row>
    <row r="95165" spans="17:17" x14ac:dyDescent="0.35">
      <c r="Q95165" s="1"/>
    </row>
    <row r="95169" spans="17:17" x14ac:dyDescent="0.35">
      <c r="Q95169" s="1"/>
    </row>
    <row r="95173" spans="17:17" x14ac:dyDescent="0.35">
      <c r="Q95173" s="1"/>
    </row>
    <row r="95174" spans="17:17" x14ac:dyDescent="0.35">
      <c r="Q95174" s="1"/>
    </row>
    <row r="95177" spans="17:17" x14ac:dyDescent="0.35">
      <c r="Q95177" s="1"/>
    </row>
    <row r="95179" spans="17:17" x14ac:dyDescent="0.35">
      <c r="Q95179" s="1"/>
    </row>
    <row r="95180" spans="17:17" x14ac:dyDescent="0.35">
      <c r="Q95180" s="1"/>
    </row>
    <row r="95184" spans="17:17" x14ac:dyDescent="0.35">
      <c r="Q95184" s="1"/>
    </row>
    <row r="95187" spans="17:17" x14ac:dyDescent="0.35">
      <c r="Q95187" s="1"/>
    </row>
    <row r="95189" spans="17:17" x14ac:dyDescent="0.35">
      <c r="Q95189" s="1"/>
    </row>
    <row r="95190" spans="17:17" x14ac:dyDescent="0.35">
      <c r="Q95190" s="1"/>
    </row>
    <row r="95191" spans="17:17" x14ac:dyDescent="0.35">
      <c r="Q95191" s="1"/>
    </row>
    <row r="95192" spans="17:17" x14ac:dyDescent="0.35">
      <c r="Q95192" s="1"/>
    </row>
    <row r="95196" spans="17:17" x14ac:dyDescent="0.35">
      <c r="Q95196" s="1"/>
    </row>
    <row r="95198" spans="17:17" x14ac:dyDescent="0.35">
      <c r="Q95198" s="1"/>
    </row>
    <row r="95201" spans="17:17" x14ac:dyDescent="0.35">
      <c r="Q95201" s="1"/>
    </row>
    <row r="95208" spans="17:17" x14ac:dyDescent="0.35">
      <c r="Q95208" s="1"/>
    </row>
    <row r="95210" spans="17:17" x14ac:dyDescent="0.35">
      <c r="Q95210" s="1"/>
    </row>
    <row r="95211" spans="17:17" x14ac:dyDescent="0.35">
      <c r="Q95211" s="1"/>
    </row>
    <row r="95212" spans="17:17" x14ac:dyDescent="0.35">
      <c r="Q95212" s="1"/>
    </row>
    <row r="95218" spans="17:17" x14ac:dyDescent="0.35">
      <c r="Q95218" s="1"/>
    </row>
    <row r="95220" spans="17:17" x14ac:dyDescent="0.35">
      <c r="Q95220" s="1"/>
    </row>
    <row r="95223" spans="17:17" x14ac:dyDescent="0.35">
      <c r="Q95223" s="1"/>
    </row>
    <row r="95228" spans="17:17" x14ac:dyDescent="0.35">
      <c r="Q95228" s="1"/>
    </row>
    <row r="95230" spans="17:17" x14ac:dyDescent="0.35">
      <c r="Q95230" s="1"/>
    </row>
    <row r="95235" spans="17:17" x14ac:dyDescent="0.35">
      <c r="Q95235" s="1"/>
    </row>
    <row r="95239" spans="17:17" x14ac:dyDescent="0.35">
      <c r="Q95239" s="1"/>
    </row>
    <row r="95241" spans="17:17" x14ac:dyDescent="0.35">
      <c r="Q95241" s="1"/>
    </row>
    <row r="95245" spans="17:17" x14ac:dyDescent="0.35">
      <c r="Q95245" s="1"/>
    </row>
    <row r="95246" spans="17:17" x14ac:dyDescent="0.35">
      <c r="Q95246" s="1"/>
    </row>
    <row r="95252" spans="17:17" x14ac:dyDescent="0.35">
      <c r="Q95252" s="1"/>
    </row>
    <row r="95253" spans="17:17" x14ac:dyDescent="0.35">
      <c r="Q95253" s="1"/>
    </row>
    <row r="95254" spans="17:17" x14ac:dyDescent="0.35">
      <c r="Q95254" s="1"/>
    </row>
    <row r="95256" spans="17:17" x14ac:dyDescent="0.35">
      <c r="Q95256" s="1"/>
    </row>
    <row r="95257" spans="17:17" x14ac:dyDescent="0.35">
      <c r="Q95257" s="1"/>
    </row>
    <row r="95261" spans="17:17" x14ac:dyDescent="0.35">
      <c r="Q95261" s="1"/>
    </row>
    <row r="95262" spans="17:17" x14ac:dyDescent="0.35">
      <c r="Q95262" s="1"/>
    </row>
    <row r="95270" spans="17:17" x14ac:dyDescent="0.35">
      <c r="Q95270" s="1"/>
    </row>
    <row r="95271" spans="17:17" x14ac:dyDescent="0.35">
      <c r="Q95271" s="1"/>
    </row>
    <row r="95275" spans="17:17" x14ac:dyDescent="0.35">
      <c r="Q95275" s="1"/>
    </row>
    <row r="95279" spans="17:17" x14ac:dyDescent="0.35">
      <c r="Q95279" s="1"/>
    </row>
    <row r="95280" spans="17:17" x14ac:dyDescent="0.35">
      <c r="Q95280" s="1"/>
    </row>
    <row r="95282" spans="17:17" x14ac:dyDescent="0.35">
      <c r="Q95282" s="1"/>
    </row>
    <row r="95284" spans="17:17" x14ac:dyDescent="0.35">
      <c r="Q95284" s="1"/>
    </row>
    <row r="95285" spans="17:17" x14ac:dyDescent="0.35">
      <c r="Q95285" s="1"/>
    </row>
    <row r="95288" spans="17:17" x14ac:dyDescent="0.35">
      <c r="Q95288" s="1"/>
    </row>
    <row r="95296" spans="17:17" x14ac:dyDescent="0.35">
      <c r="Q95296" s="1"/>
    </row>
    <row r="95297" spans="17:17" x14ac:dyDescent="0.35">
      <c r="Q95297" s="1"/>
    </row>
    <row r="95298" spans="17:17" x14ac:dyDescent="0.35">
      <c r="Q95298" s="1"/>
    </row>
    <row r="95299" spans="17:17" x14ac:dyDescent="0.35">
      <c r="Q95299" s="1"/>
    </row>
    <row r="95305" spans="17:17" x14ac:dyDescent="0.35">
      <c r="Q95305" s="1"/>
    </row>
    <row r="95311" spans="17:17" x14ac:dyDescent="0.35">
      <c r="Q95311" s="1"/>
    </row>
    <row r="95315" spans="17:17" x14ac:dyDescent="0.35">
      <c r="Q95315" s="1"/>
    </row>
    <row r="95316" spans="17:17" x14ac:dyDescent="0.35">
      <c r="Q95316" s="1"/>
    </row>
    <row r="95317" spans="17:17" x14ac:dyDescent="0.35">
      <c r="Q95317" s="1"/>
    </row>
    <row r="95318" spans="17:17" x14ac:dyDescent="0.35">
      <c r="Q95318" s="1"/>
    </row>
    <row r="95321" spans="17:17" x14ac:dyDescent="0.35">
      <c r="Q95321" s="1"/>
    </row>
    <row r="95324" spans="17:17" x14ac:dyDescent="0.35">
      <c r="Q95324" s="1"/>
    </row>
    <row r="95326" spans="17:17" x14ac:dyDescent="0.35">
      <c r="Q95326" s="1"/>
    </row>
    <row r="95327" spans="17:17" x14ac:dyDescent="0.35">
      <c r="Q95327" s="1"/>
    </row>
    <row r="95329" spans="17:17" x14ac:dyDescent="0.35">
      <c r="Q95329" s="1"/>
    </row>
    <row r="95331" spans="17:17" x14ac:dyDescent="0.35">
      <c r="Q95331" s="1"/>
    </row>
    <row r="95332" spans="17:17" x14ac:dyDescent="0.35">
      <c r="Q95332" s="1"/>
    </row>
    <row r="95333" spans="17:17" x14ac:dyDescent="0.35">
      <c r="Q95333" s="1"/>
    </row>
    <row r="95339" spans="17:17" x14ac:dyDescent="0.35">
      <c r="Q95339" s="1"/>
    </row>
    <row r="95341" spans="17:17" x14ac:dyDescent="0.35">
      <c r="Q95341" s="1"/>
    </row>
    <row r="95342" spans="17:17" x14ac:dyDescent="0.35">
      <c r="Q95342" s="1"/>
    </row>
    <row r="95348" spans="17:17" x14ac:dyDescent="0.35">
      <c r="Q95348" s="1"/>
    </row>
    <row r="95350" spans="17:17" x14ac:dyDescent="0.35">
      <c r="Q95350" s="1"/>
    </row>
    <row r="95351" spans="17:17" x14ac:dyDescent="0.35">
      <c r="Q95351" s="1"/>
    </row>
    <row r="95353" spans="17:17" x14ac:dyDescent="0.35">
      <c r="Q95353" s="1"/>
    </row>
    <row r="95354" spans="17:17" x14ac:dyDescent="0.35">
      <c r="Q95354" s="1"/>
    </row>
    <row r="95357" spans="17:17" x14ac:dyDescent="0.35">
      <c r="Q95357" s="1"/>
    </row>
    <row r="95358" spans="17:17" x14ac:dyDescent="0.35">
      <c r="Q95358" s="1"/>
    </row>
    <row r="95359" spans="17:17" x14ac:dyDescent="0.35">
      <c r="Q95359" s="1"/>
    </row>
    <row r="95361" spans="17:17" x14ac:dyDescent="0.35">
      <c r="Q95361" s="1"/>
    </row>
    <row r="95365" spans="17:17" x14ac:dyDescent="0.35">
      <c r="Q95365" s="1"/>
    </row>
    <row r="95367" spans="17:17" x14ac:dyDescent="0.35">
      <c r="Q95367" s="1"/>
    </row>
    <row r="95369" spans="17:17" x14ac:dyDescent="0.35">
      <c r="Q95369" s="1"/>
    </row>
    <row r="95371" spans="17:17" x14ac:dyDescent="0.35">
      <c r="Q95371" s="1"/>
    </row>
    <row r="95372" spans="17:17" x14ac:dyDescent="0.35">
      <c r="Q95372" s="1"/>
    </row>
    <row r="95384" spans="17:17" x14ac:dyDescent="0.35">
      <c r="Q95384" s="1"/>
    </row>
    <row r="95387" spans="17:17" x14ac:dyDescent="0.35">
      <c r="Q95387" s="1"/>
    </row>
    <row r="95390" spans="17:17" x14ac:dyDescent="0.35">
      <c r="Q95390" s="1"/>
    </row>
    <row r="95392" spans="17:17" x14ac:dyDescent="0.35">
      <c r="Q95392" s="1"/>
    </row>
    <row r="95398" spans="17:17" x14ac:dyDescent="0.35">
      <c r="Q95398" s="1"/>
    </row>
    <row r="95401" spans="17:17" x14ac:dyDescent="0.35">
      <c r="Q95401" s="1"/>
    </row>
    <row r="95402" spans="17:17" x14ac:dyDescent="0.35">
      <c r="Q95402" s="1"/>
    </row>
    <row r="95409" spans="17:17" x14ac:dyDescent="0.35">
      <c r="Q95409" s="1"/>
    </row>
    <row r="95410" spans="17:17" x14ac:dyDescent="0.35">
      <c r="Q95410" s="1"/>
    </row>
    <row r="95416" spans="17:17" x14ac:dyDescent="0.35">
      <c r="Q95416" s="1"/>
    </row>
    <row r="95418" spans="17:17" x14ac:dyDescent="0.35">
      <c r="Q95418" s="1"/>
    </row>
    <row r="95420" spans="17:17" x14ac:dyDescent="0.35">
      <c r="Q95420" s="1"/>
    </row>
    <row r="95423" spans="17:17" x14ac:dyDescent="0.35">
      <c r="Q95423" s="1"/>
    </row>
    <row r="95424" spans="17:17" x14ac:dyDescent="0.35">
      <c r="Q95424" s="1"/>
    </row>
    <row r="95431" spans="17:17" x14ac:dyDescent="0.35">
      <c r="Q95431" s="1"/>
    </row>
    <row r="95432" spans="17:17" x14ac:dyDescent="0.35">
      <c r="Q95432" s="1"/>
    </row>
    <row r="95438" spans="17:17" x14ac:dyDescent="0.35">
      <c r="Q95438" s="1"/>
    </row>
    <row r="95439" spans="17:17" x14ac:dyDescent="0.35">
      <c r="Q95439" s="1"/>
    </row>
    <row r="95440" spans="17:17" x14ac:dyDescent="0.35">
      <c r="Q95440" s="1"/>
    </row>
    <row r="95442" spans="17:17" x14ac:dyDescent="0.35">
      <c r="Q95442" s="1"/>
    </row>
    <row r="95443" spans="17:17" x14ac:dyDescent="0.35">
      <c r="Q95443" s="1"/>
    </row>
    <row r="95445" spans="17:17" x14ac:dyDescent="0.35">
      <c r="Q95445" s="1"/>
    </row>
    <row r="95449" spans="17:17" x14ac:dyDescent="0.35">
      <c r="Q95449" s="1"/>
    </row>
    <row r="95451" spans="17:17" x14ac:dyDescent="0.35">
      <c r="Q95451" s="1"/>
    </row>
    <row r="95455" spans="17:17" x14ac:dyDescent="0.35">
      <c r="Q95455" s="1"/>
    </row>
    <row r="95456" spans="17:17" x14ac:dyDescent="0.35">
      <c r="Q95456" s="1"/>
    </row>
    <row r="95457" spans="17:17" x14ac:dyDescent="0.35">
      <c r="Q95457" s="1"/>
    </row>
    <row r="95458" spans="17:17" x14ac:dyDescent="0.35">
      <c r="Q95458" s="1"/>
    </row>
    <row r="95459" spans="17:17" x14ac:dyDescent="0.35">
      <c r="Q95459" s="1"/>
    </row>
    <row r="95460" spans="17:17" x14ac:dyDescent="0.35">
      <c r="Q95460" s="1"/>
    </row>
    <row r="95461" spans="17:17" x14ac:dyDescent="0.35">
      <c r="Q95461" s="1"/>
    </row>
    <row r="95464" spans="17:17" x14ac:dyDescent="0.35">
      <c r="Q95464" s="1"/>
    </row>
    <row r="95471" spans="17:17" x14ac:dyDescent="0.35">
      <c r="Q95471" s="1"/>
    </row>
    <row r="95473" spans="17:17" x14ac:dyDescent="0.35">
      <c r="Q95473" s="1"/>
    </row>
    <row r="95474" spans="17:17" x14ac:dyDescent="0.35">
      <c r="Q95474" s="1"/>
    </row>
    <row r="95475" spans="17:17" x14ac:dyDescent="0.35">
      <c r="Q95475" s="1"/>
    </row>
    <row r="95476" spans="17:17" x14ac:dyDescent="0.35">
      <c r="Q95476" s="1"/>
    </row>
    <row r="95478" spans="17:17" x14ac:dyDescent="0.35">
      <c r="Q95478" s="1"/>
    </row>
    <row r="95484" spans="17:17" x14ac:dyDescent="0.35">
      <c r="Q95484" s="1"/>
    </row>
    <row r="95485" spans="17:17" x14ac:dyDescent="0.35">
      <c r="Q95485" s="1"/>
    </row>
    <row r="95486" spans="17:17" x14ac:dyDescent="0.35">
      <c r="Q95486" s="1"/>
    </row>
    <row r="95488" spans="17:17" x14ac:dyDescent="0.35">
      <c r="Q95488" s="1"/>
    </row>
    <row r="95489" spans="17:17" x14ac:dyDescent="0.35">
      <c r="Q95489" s="1"/>
    </row>
    <row r="95494" spans="17:17" x14ac:dyDescent="0.35">
      <c r="Q95494" s="1"/>
    </row>
    <row r="95498" spans="17:17" x14ac:dyDescent="0.35">
      <c r="Q95498" s="1"/>
    </row>
    <row r="95501" spans="17:17" x14ac:dyDescent="0.35">
      <c r="Q95501" s="1"/>
    </row>
    <row r="95502" spans="17:17" x14ac:dyDescent="0.35">
      <c r="Q95502" s="1"/>
    </row>
    <row r="95503" spans="17:17" x14ac:dyDescent="0.35">
      <c r="Q95503" s="1"/>
    </row>
    <row r="95508" spans="17:17" x14ac:dyDescent="0.35">
      <c r="Q95508" s="1"/>
    </row>
    <row r="95510" spans="17:17" x14ac:dyDescent="0.35">
      <c r="Q95510" s="1"/>
    </row>
    <row r="95512" spans="17:17" x14ac:dyDescent="0.35">
      <c r="Q95512" s="1"/>
    </row>
    <row r="95514" spans="17:17" x14ac:dyDescent="0.35">
      <c r="Q95514" s="1"/>
    </row>
    <row r="95518" spans="17:17" x14ac:dyDescent="0.35">
      <c r="Q95518" s="1"/>
    </row>
    <row r="95520" spans="17:17" x14ac:dyDescent="0.35">
      <c r="Q95520" s="1"/>
    </row>
    <row r="95523" spans="17:17" x14ac:dyDescent="0.35">
      <c r="Q95523" s="1"/>
    </row>
    <row r="95524" spans="17:17" x14ac:dyDescent="0.35">
      <c r="Q95524" s="1"/>
    </row>
    <row r="95532" spans="17:17" x14ac:dyDescent="0.35">
      <c r="Q95532" s="1"/>
    </row>
    <row r="95537" spans="17:17" x14ac:dyDescent="0.35">
      <c r="Q95537" s="1"/>
    </row>
    <row r="95538" spans="17:17" x14ac:dyDescent="0.35">
      <c r="Q95538" s="1"/>
    </row>
    <row r="95539" spans="17:17" x14ac:dyDescent="0.35">
      <c r="Q95539" s="1"/>
    </row>
    <row r="95542" spans="17:17" x14ac:dyDescent="0.35">
      <c r="Q95542" s="1"/>
    </row>
    <row r="95543" spans="17:17" x14ac:dyDescent="0.35">
      <c r="Q95543" s="1"/>
    </row>
    <row r="95544" spans="17:17" x14ac:dyDescent="0.35">
      <c r="Q95544" s="1"/>
    </row>
    <row r="95545" spans="17:17" x14ac:dyDescent="0.35">
      <c r="Q95545" s="1"/>
    </row>
    <row r="95547" spans="17:17" x14ac:dyDescent="0.35">
      <c r="Q95547" s="1"/>
    </row>
    <row r="95549" spans="17:17" x14ac:dyDescent="0.35">
      <c r="Q95549" s="1"/>
    </row>
    <row r="95550" spans="17:17" x14ac:dyDescent="0.35">
      <c r="Q95550" s="1"/>
    </row>
    <row r="95552" spans="17:17" x14ac:dyDescent="0.35">
      <c r="Q95552" s="1"/>
    </row>
    <row r="95554" spans="17:17" x14ac:dyDescent="0.35">
      <c r="Q95554" s="1"/>
    </row>
    <row r="95556" spans="17:17" x14ac:dyDescent="0.35">
      <c r="Q95556" s="1"/>
    </row>
    <row r="95558" spans="17:17" x14ac:dyDescent="0.35">
      <c r="Q95558" s="1"/>
    </row>
    <row r="95559" spans="17:17" x14ac:dyDescent="0.35">
      <c r="Q95559" s="1"/>
    </row>
    <row r="95561" spans="17:17" x14ac:dyDescent="0.35">
      <c r="Q95561" s="1"/>
    </row>
    <row r="95565" spans="17:17" x14ac:dyDescent="0.35">
      <c r="Q95565" s="1"/>
    </row>
    <row r="95570" spans="17:17" x14ac:dyDescent="0.35">
      <c r="Q95570" s="1"/>
    </row>
    <row r="95572" spans="17:17" x14ac:dyDescent="0.35">
      <c r="Q95572" s="1"/>
    </row>
    <row r="95577" spans="17:17" x14ac:dyDescent="0.35">
      <c r="Q95577" s="1"/>
    </row>
    <row r="95578" spans="17:17" x14ac:dyDescent="0.35">
      <c r="Q95578" s="1"/>
    </row>
    <row r="95579" spans="17:17" x14ac:dyDescent="0.35">
      <c r="Q95579" s="1"/>
    </row>
    <row r="95583" spans="17:17" x14ac:dyDescent="0.35">
      <c r="Q95583" s="1"/>
    </row>
    <row r="95587" spans="17:17" x14ac:dyDescent="0.35">
      <c r="Q95587" s="1"/>
    </row>
    <row r="95592" spans="17:17" x14ac:dyDescent="0.35">
      <c r="Q95592" s="1"/>
    </row>
    <row r="95593" spans="17:17" x14ac:dyDescent="0.35">
      <c r="Q95593" s="1"/>
    </row>
    <row r="95596" spans="17:17" x14ac:dyDescent="0.35">
      <c r="Q95596" s="1"/>
    </row>
    <row r="95600" spans="17:17" x14ac:dyDescent="0.35">
      <c r="Q95600" s="1"/>
    </row>
    <row r="95603" spans="17:17" x14ac:dyDescent="0.35">
      <c r="Q95603" s="1"/>
    </row>
    <row r="95612" spans="17:17" x14ac:dyDescent="0.35">
      <c r="Q95612" s="1"/>
    </row>
    <row r="95616" spans="17:17" x14ac:dyDescent="0.35">
      <c r="Q95616" s="1"/>
    </row>
    <row r="95617" spans="17:17" x14ac:dyDescent="0.35">
      <c r="Q95617" s="1"/>
    </row>
    <row r="95619" spans="17:17" x14ac:dyDescent="0.35">
      <c r="Q95619" s="1"/>
    </row>
    <row r="95620" spans="17:17" x14ac:dyDescent="0.35">
      <c r="Q95620" s="1"/>
    </row>
    <row r="95621" spans="17:17" x14ac:dyDescent="0.35">
      <c r="Q95621" s="1"/>
    </row>
    <row r="95622" spans="17:17" x14ac:dyDescent="0.35">
      <c r="Q95622" s="1"/>
    </row>
    <row r="95630" spans="17:17" x14ac:dyDescent="0.35">
      <c r="Q95630" s="1"/>
    </row>
    <row r="95632" spans="17:17" x14ac:dyDescent="0.35">
      <c r="Q95632" s="1"/>
    </row>
    <row r="95634" spans="17:17" x14ac:dyDescent="0.35">
      <c r="Q95634" s="1"/>
    </row>
    <row r="95635" spans="17:17" x14ac:dyDescent="0.35">
      <c r="Q95635" s="1"/>
    </row>
    <row r="95636" spans="17:17" x14ac:dyDescent="0.35">
      <c r="Q95636" s="1"/>
    </row>
    <row r="95639" spans="17:17" x14ac:dyDescent="0.35">
      <c r="Q95639" s="1"/>
    </row>
    <row r="95640" spans="17:17" x14ac:dyDescent="0.35">
      <c r="Q95640" s="1"/>
    </row>
    <row r="95643" spans="17:17" x14ac:dyDescent="0.35">
      <c r="Q95643" s="1"/>
    </row>
    <row r="95644" spans="17:17" x14ac:dyDescent="0.35">
      <c r="Q95644" s="1"/>
    </row>
    <row r="95648" spans="17:17" x14ac:dyDescent="0.35">
      <c r="Q95648" s="1"/>
    </row>
    <row r="95650" spans="17:17" x14ac:dyDescent="0.35">
      <c r="Q95650" s="1"/>
    </row>
    <row r="95655" spans="17:17" x14ac:dyDescent="0.35">
      <c r="Q95655" s="1"/>
    </row>
    <row r="95658" spans="17:17" x14ac:dyDescent="0.35">
      <c r="Q95658" s="1"/>
    </row>
    <row r="95663" spans="17:17" x14ac:dyDescent="0.35">
      <c r="Q95663" s="1"/>
    </row>
    <row r="95664" spans="17:17" x14ac:dyDescent="0.35">
      <c r="Q95664" s="1"/>
    </row>
    <row r="95671" spans="17:17" x14ac:dyDescent="0.35">
      <c r="Q95671" s="1"/>
    </row>
    <row r="95673" spans="17:17" x14ac:dyDescent="0.35">
      <c r="Q95673" s="1"/>
    </row>
    <row r="95677" spans="17:17" x14ac:dyDescent="0.35">
      <c r="Q95677" s="1"/>
    </row>
    <row r="95679" spans="17:17" x14ac:dyDescent="0.35">
      <c r="Q95679" s="1"/>
    </row>
    <row r="95680" spans="17:17" x14ac:dyDescent="0.35">
      <c r="Q95680" s="1"/>
    </row>
    <row r="95681" spans="17:17" x14ac:dyDescent="0.35">
      <c r="Q95681" s="1"/>
    </row>
    <row r="95684" spans="17:17" x14ac:dyDescent="0.35">
      <c r="Q95684" s="1"/>
    </row>
    <row r="95686" spans="17:17" x14ac:dyDescent="0.35">
      <c r="Q95686" s="1"/>
    </row>
    <row r="95688" spans="17:17" x14ac:dyDescent="0.35">
      <c r="Q95688" s="1"/>
    </row>
    <row r="95693" spans="17:17" x14ac:dyDescent="0.35">
      <c r="Q95693" s="1"/>
    </row>
    <row r="95695" spans="17:17" x14ac:dyDescent="0.35">
      <c r="Q95695" s="1"/>
    </row>
    <row r="95696" spans="17:17" x14ac:dyDescent="0.35">
      <c r="Q95696" s="1"/>
    </row>
    <row r="95697" spans="17:17" x14ac:dyDescent="0.35">
      <c r="Q95697" s="1"/>
    </row>
    <row r="95701" spans="17:17" x14ac:dyDescent="0.35">
      <c r="Q95701" s="1"/>
    </row>
    <row r="95703" spans="17:17" x14ac:dyDescent="0.35">
      <c r="Q95703" s="1"/>
    </row>
    <row r="95705" spans="17:17" x14ac:dyDescent="0.35">
      <c r="Q95705" s="1"/>
    </row>
    <row r="95707" spans="17:17" x14ac:dyDescent="0.35">
      <c r="Q95707" s="1"/>
    </row>
    <row r="95710" spans="17:17" x14ac:dyDescent="0.35">
      <c r="Q95710" s="1"/>
    </row>
    <row r="95712" spans="17:17" x14ac:dyDescent="0.35">
      <c r="Q95712" s="1"/>
    </row>
    <row r="95714" spans="17:17" x14ac:dyDescent="0.35">
      <c r="Q95714" s="1"/>
    </row>
    <row r="95716" spans="17:17" x14ac:dyDescent="0.35">
      <c r="Q95716" s="1"/>
    </row>
    <row r="95717" spans="17:17" x14ac:dyDescent="0.35">
      <c r="Q95717" s="1"/>
    </row>
    <row r="95718" spans="17:17" x14ac:dyDescent="0.35">
      <c r="Q95718" s="1"/>
    </row>
    <row r="95719" spans="17:17" x14ac:dyDescent="0.35">
      <c r="Q95719" s="1"/>
    </row>
    <row r="95721" spans="17:17" x14ac:dyDescent="0.35">
      <c r="Q95721" s="1"/>
    </row>
    <row r="95722" spans="17:17" x14ac:dyDescent="0.35">
      <c r="Q95722" s="1"/>
    </row>
    <row r="95723" spans="17:17" x14ac:dyDescent="0.35">
      <c r="Q95723" s="1"/>
    </row>
    <row r="95724" spans="17:17" x14ac:dyDescent="0.35">
      <c r="Q95724" s="1"/>
    </row>
    <row r="95728" spans="17:17" x14ac:dyDescent="0.35">
      <c r="Q95728" s="1"/>
    </row>
    <row r="95732" spans="17:17" x14ac:dyDescent="0.35">
      <c r="Q95732" s="1"/>
    </row>
    <row r="95737" spans="17:17" x14ac:dyDescent="0.35">
      <c r="Q95737" s="1"/>
    </row>
    <row r="95739" spans="17:17" x14ac:dyDescent="0.35">
      <c r="Q95739" s="1"/>
    </row>
    <row r="95744" spans="17:17" x14ac:dyDescent="0.35">
      <c r="Q95744" s="1"/>
    </row>
    <row r="95745" spans="17:17" x14ac:dyDescent="0.35">
      <c r="Q95745" s="1"/>
    </row>
    <row r="95746" spans="17:17" x14ac:dyDescent="0.35">
      <c r="Q95746" s="1"/>
    </row>
    <row r="95749" spans="17:17" x14ac:dyDescent="0.35">
      <c r="Q95749" s="1"/>
    </row>
    <row r="95755" spans="17:17" x14ac:dyDescent="0.35">
      <c r="Q95755" s="1"/>
    </row>
    <row r="95757" spans="17:17" x14ac:dyDescent="0.35">
      <c r="Q95757" s="1"/>
    </row>
    <row r="95758" spans="17:17" x14ac:dyDescent="0.35">
      <c r="Q95758" s="1"/>
    </row>
    <row r="95759" spans="17:17" x14ac:dyDescent="0.35">
      <c r="Q95759" s="1"/>
    </row>
    <row r="95761" spans="17:17" x14ac:dyDescent="0.35">
      <c r="Q95761" s="1"/>
    </row>
    <row r="95762" spans="17:17" x14ac:dyDescent="0.35">
      <c r="Q95762" s="1"/>
    </row>
    <row r="95763" spans="17:17" x14ac:dyDescent="0.35">
      <c r="Q95763" s="1"/>
    </row>
    <row r="95765" spans="17:17" x14ac:dyDescent="0.35">
      <c r="Q95765" s="1"/>
    </row>
    <row r="95769" spans="17:17" x14ac:dyDescent="0.35">
      <c r="Q95769" s="1"/>
    </row>
    <row r="95771" spans="17:17" x14ac:dyDescent="0.35">
      <c r="Q95771" s="1"/>
    </row>
    <row r="95772" spans="17:17" x14ac:dyDescent="0.35">
      <c r="Q95772" s="1"/>
    </row>
    <row r="95773" spans="17:17" x14ac:dyDescent="0.35">
      <c r="Q95773" s="1"/>
    </row>
    <row r="95775" spans="17:17" x14ac:dyDescent="0.35">
      <c r="Q95775" s="1"/>
    </row>
    <row r="95776" spans="17:17" x14ac:dyDescent="0.35">
      <c r="Q95776" s="1"/>
    </row>
    <row r="95780" spans="17:17" x14ac:dyDescent="0.35">
      <c r="Q95780" s="1"/>
    </row>
    <row r="95781" spans="17:17" x14ac:dyDescent="0.35">
      <c r="Q95781" s="1"/>
    </row>
    <row r="95784" spans="17:17" x14ac:dyDescent="0.35">
      <c r="Q95784" s="1"/>
    </row>
    <row r="95785" spans="17:17" x14ac:dyDescent="0.35">
      <c r="Q95785" s="1"/>
    </row>
    <row r="95787" spans="17:17" x14ac:dyDescent="0.35">
      <c r="Q95787" s="1"/>
    </row>
    <row r="95790" spans="17:17" x14ac:dyDescent="0.35">
      <c r="Q95790" s="1"/>
    </row>
    <row r="95794" spans="17:17" x14ac:dyDescent="0.35">
      <c r="Q95794" s="1"/>
    </row>
    <row r="95796" spans="17:17" x14ac:dyDescent="0.35">
      <c r="Q95796" s="1"/>
    </row>
    <row r="95797" spans="17:17" x14ac:dyDescent="0.35">
      <c r="Q95797" s="1"/>
    </row>
    <row r="95799" spans="17:17" x14ac:dyDescent="0.35">
      <c r="Q95799" s="1"/>
    </row>
    <row r="95800" spans="17:17" x14ac:dyDescent="0.35">
      <c r="Q95800" s="1"/>
    </row>
    <row r="95802" spans="17:17" x14ac:dyDescent="0.35">
      <c r="Q95802" s="1"/>
    </row>
    <row r="95803" spans="17:17" x14ac:dyDescent="0.35">
      <c r="Q95803" s="1"/>
    </row>
    <row r="95811" spans="17:17" x14ac:dyDescent="0.35">
      <c r="Q95811" s="1"/>
    </row>
    <row r="95812" spans="17:17" x14ac:dyDescent="0.35">
      <c r="Q95812" s="1"/>
    </row>
    <row r="95815" spans="17:17" x14ac:dyDescent="0.35">
      <c r="Q95815" s="1"/>
    </row>
    <row r="95816" spans="17:17" x14ac:dyDescent="0.35">
      <c r="Q95816" s="1"/>
    </row>
    <row r="95828" spans="17:17" x14ac:dyDescent="0.35">
      <c r="Q95828" s="1"/>
    </row>
    <row r="95830" spans="17:17" x14ac:dyDescent="0.35">
      <c r="Q95830" s="1"/>
    </row>
    <row r="95832" spans="17:17" x14ac:dyDescent="0.35">
      <c r="Q95832" s="1"/>
    </row>
    <row r="95834" spans="17:17" x14ac:dyDescent="0.35">
      <c r="Q95834" s="1"/>
    </row>
    <row r="95835" spans="17:17" x14ac:dyDescent="0.35">
      <c r="Q95835" s="1"/>
    </row>
    <row r="95837" spans="17:17" x14ac:dyDescent="0.35">
      <c r="Q95837" s="1"/>
    </row>
    <row r="95838" spans="17:17" x14ac:dyDescent="0.35">
      <c r="Q95838" s="1"/>
    </row>
    <row r="95839" spans="17:17" x14ac:dyDescent="0.35">
      <c r="Q95839" s="1"/>
    </row>
    <row r="95840" spans="17:17" x14ac:dyDescent="0.35">
      <c r="Q95840" s="1"/>
    </row>
    <row r="95841" spans="17:17" x14ac:dyDescent="0.35">
      <c r="Q95841" s="1"/>
    </row>
    <row r="95844" spans="17:17" x14ac:dyDescent="0.35">
      <c r="Q95844" s="1"/>
    </row>
    <row r="95847" spans="17:17" x14ac:dyDescent="0.35">
      <c r="Q95847" s="1"/>
    </row>
    <row r="95848" spans="17:17" x14ac:dyDescent="0.35">
      <c r="Q95848" s="1"/>
    </row>
    <row r="95849" spans="17:17" x14ac:dyDescent="0.35">
      <c r="Q95849" s="1"/>
    </row>
    <row r="95850" spans="17:17" x14ac:dyDescent="0.35">
      <c r="Q95850" s="1"/>
    </row>
    <row r="95853" spans="17:17" x14ac:dyDescent="0.35">
      <c r="Q95853" s="1"/>
    </row>
    <row r="95854" spans="17:17" x14ac:dyDescent="0.35">
      <c r="Q95854" s="1"/>
    </row>
    <row r="95855" spans="17:17" x14ac:dyDescent="0.35">
      <c r="Q95855" s="1"/>
    </row>
    <row r="95863" spans="17:17" x14ac:dyDescent="0.35">
      <c r="Q95863" s="1"/>
    </row>
    <row r="95864" spans="17:17" x14ac:dyDescent="0.35">
      <c r="Q95864" s="1"/>
    </row>
    <row r="95866" spans="17:17" x14ac:dyDescent="0.35">
      <c r="Q95866" s="1"/>
    </row>
    <row r="95867" spans="17:17" x14ac:dyDescent="0.35">
      <c r="Q95867" s="1"/>
    </row>
    <row r="95868" spans="17:17" x14ac:dyDescent="0.35">
      <c r="Q95868" s="1"/>
    </row>
    <row r="95870" spans="17:17" x14ac:dyDescent="0.35">
      <c r="Q95870" s="1"/>
    </row>
    <row r="95871" spans="17:17" x14ac:dyDescent="0.35">
      <c r="Q95871" s="1"/>
    </row>
    <row r="95873" spans="17:17" x14ac:dyDescent="0.35">
      <c r="Q95873" s="1"/>
    </row>
    <row r="95880" spans="17:17" x14ac:dyDescent="0.35">
      <c r="Q95880" s="1"/>
    </row>
    <row r="95883" spans="17:17" x14ac:dyDescent="0.35">
      <c r="Q95883" s="1"/>
    </row>
    <row r="95884" spans="17:17" x14ac:dyDescent="0.35">
      <c r="Q95884" s="1"/>
    </row>
    <row r="95898" spans="17:17" x14ac:dyDescent="0.35">
      <c r="Q95898" s="1"/>
    </row>
    <row r="95899" spans="17:17" x14ac:dyDescent="0.35">
      <c r="Q95899" s="1"/>
    </row>
    <row r="95902" spans="17:17" x14ac:dyDescent="0.35">
      <c r="Q95902" s="1"/>
    </row>
    <row r="95905" spans="17:17" x14ac:dyDescent="0.35">
      <c r="Q95905" s="1"/>
    </row>
    <row r="95907" spans="17:17" x14ac:dyDescent="0.35">
      <c r="Q95907" s="1"/>
    </row>
    <row r="95909" spans="17:17" x14ac:dyDescent="0.35">
      <c r="Q95909" s="1"/>
    </row>
    <row r="95913" spans="17:17" x14ac:dyDescent="0.35">
      <c r="Q95913" s="1"/>
    </row>
    <row r="95917" spans="17:17" x14ac:dyDescent="0.35">
      <c r="Q95917" s="1"/>
    </row>
    <row r="95918" spans="17:17" x14ac:dyDescent="0.35">
      <c r="Q95918" s="1"/>
    </row>
    <row r="95921" spans="17:17" x14ac:dyDescent="0.35">
      <c r="Q95921" s="1"/>
    </row>
    <row r="95923" spans="17:17" x14ac:dyDescent="0.35">
      <c r="Q95923" s="1"/>
    </row>
    <row r="95926" spans="17:17" x14ac:dyDescent="0.35">
      <c r="Q95926" s="1"/>
    </row>
    <row r="95927" spans="17:17" x14ac:dyDescent="0.35">
      <c r="Q95927" s="1"/>
    </row>
    <row r="95929" spans="17:17" x14ac:dyDescent="0.35">
      <c r="Q95929" s="1"/>
    </row>
    <row r="95930" spans="17:17" x14ac:dyDescent="0.35">
      <c r="Q95930" s="1"/>
    </row>
    <row r="95931" spans="17:17" x14ac:dyDescent="0.35">
      <c r="Q95931" s="1"/>
    </row>
    <row r="95933" spans="17:17" x14ac:dyDescent="0.35">
      <c r="Q95933" s="1"/>
    </row>
    <row r="95939" spans="17:17" x14ac:dyDescent="0.35">
      <c r="Q95939" s="1"/>
    </row>
    <row r="95946" spans="17:17" x14ac:dyDescent="0.35">
      <c r="Q95946" s="1"/>
    </row>
    <row r="95948" spans="17:17" x14ac:dyDescent="0.35">
      <c r="Q95948" s="1"/>
    </row>
    <row r="95949" spans="17:17" x14ac:dyDescent="0.35">
      <c r="Q95949" s="1"/>
    </row>
    <row r="95958" spans="17:17" x14ac:dyDescent="0.35">
      <c r="Q95958" s="1"/>
    </row>
    <row r="95959" spans="17:17" x14ac:dyDescent="0.35">
      <c r="Q95959" s="1"/>
    </row>
    <row r="95964" spans="17:17" x14ac:dyDescent="0.35">
      <c r="Q95964" s="1"/>
    </row>
    <row r="95966" spans="17:17" x14ac:dyDescent="0.35">
      <c r="Q95966" s="1"/>
    </row>
    <row r="95971" spans="17:17" x14ac:dyDescent="0.35">
      <c r="Q95971" s="1"/>
    </row>
    <row r="95974" spans="17:17" x14ac:dyDescent="0.35">
      <c r="Q95974" s="1"/>
    </row>
    <row r="95975" spans="17:17" x14ac:dyDescent="0.35">
      <c r="Q95975" s="1"/>
    </row>
    <row r="95981" spans="17:17" x14ac:dyDescent="0.35">
      <c r="Q95981" s="1"/>
    </row>
    <row r="95982" spans="17:17" x14ac:dyDescent="0.35">
      <c r="Q95982" s="1"/>
    </row>
    <row r="95984" spans="17:17" x14ac:dyDescent="0.35">
      <c r="Q95984" s="1"/>
    </row>
    <row r="95986" spans="17:17" x14ac:dyDescent="0.35">
      <c r="Q95986" s="1"/>
    </row>
    <row r="95988" spans="17:17" x14ac:dyDescent="0.35">
      <c r="Q95988" s="1"/>
    </row>
    <row r="95989" spans="17:17" x14ac:dyDescent="0.35">
      <c r="Q95989" s="1"/>
    </row>
    <row r="95990" spans="17:17" x14ac:dyDescent="0.35">
      <c r="Q95990" s="1"/>
    </row>
    <row r="95991" spans="17:17" x14ac:dyDescent="0.35">
      <c r="Q95991" s="1"/>
    </row>
    <row r="95996" spans="17:17" x14ac:dyDescent="0.35">
      <c r="Q95996" s="1"/>
    </row>
    <row r="96006" spans="17:17" x14ac:dyDescent="0.35">
      <c r="Q96006" s="1"/>
    </row>
    <row r="96008" spans="17:17" x14ac:dyDescent="0.35">
      <c r="Q96008" s="1"/>
    </row>
    <row r="96009" spans="17:17" x14ac:dyDescent="0.35">
      <c r="Q96009" s="1"/>
    </row>
    <row r="96010" spans="17:17" x14ac:dyDescent="0.35">
      <c r="Q96010" s="1"/>
    </row>
    <row r="96013" spans="17:17" x14ac:dyDescent="0.35">
      <c r="Q96013" s="1"/>
    </row>
    <row r="96020" spans="17:17" x14ac:dyDescent="0.35">
      <c r="Q96020" s="1"/>
    </row>
    <row r="96028" spans="17:17" x14ac:dyDescent="0.35">
      <c r="Q96028" s="1"/>
    </row>
    <row r="96033" spans="17:17" x14ac:dyDescent="0.35">
      <c r="Q96033" s="1"/>
    </row>
    <row r="96035" spans="17:17" x14ac:dyDescent="0.35">
      <c r="Q96035" s="1"/>
    </row>
    <row r="96045" spans="17:17" x14ac:dyDescent="0.35">
      <c r="Q96045" s="1"/>
    </row>
    <row r="96046" spans="17:17" x14ac:dyDescent="0.35">
      <c r="Q96046" s="1"/>
    </row>
    <row r="96048" spans="17:17" x14ac:dyDescent="0.35">
      <c r="Q96048" s="1"/>
    </row>
    <row r="96052" spans="17:17" x14ac:dyDescent="0.35">
      <c r="Q96052" s="1"/>
    </row>
    <row r="96053" spans="17:17" x14ac:dyDescent="0.35">
      <c r="Q96053" s="1"/>
    </row>
    <row r="96055" spans="17:17" x14ac:dyDescent="0.35">
      <c r="Q96055" s="1"/>
    </row>
    <row r="96069" spans="17:17" x14ac:dyDescent="0.35">
      <c r="Q96069" s="1"/>
    </row>
    <row r="96076" spans="17:17" x14ac:dyDescent="0.35">
      <c r="Q96076" s="1"/>
    </row>
    <row r="96091" spans="17:17" x14ac:dyDescent="0.35">
      <c r="Q96091" s="1"/>
    </row>
    <row r="96095" spans="17:17" x14ac:dyDescent="0.35">
      <c r="Q96095" s="1"/>
    </row>
    <row r="96097" spans="17:17" x14ac:dyDescent="0.35">
      <c r="Q96097" s="1"/>
    </row>
    <row r="96103" spans="17:17" x14ac:dyDescent="0.35">
      <c r="Q96103" s="1"/>
    </row>
    <row r="96108" spans="17:17" x14ac:dyDescent="0.35">
      <c r="Q96108" s="1"/>
    </row>
    <row r="96121" spans="17:17" x14ac:dyDescent="0.35">
      <c r="Q96121" s="1"/>
    </row>
    <row r="96124" spans="17:17" x14ac:dyDescent="0.35">
      <c r="Q96124" s="1"/>
    </row>
    <row r="96125" spans="17:17" x14ac:dyDescent="0.35">
      <c r="Q96125" s="1"/>
    </row>
    <row r="96135" spans="17:17" x14ac:dyDescent="0.35">
      <c r="Q96135" s="1"/>
    </row>
    <row r="96141" spans="17:17" x14ac:dyDescent="0.35">
      <c r="Q96141" s="1"/>
    </row>
    <row r="96148" spans="17:17" x14ac:dyDescent="0.35">
      <c r="Q96148" s="1"/>
    </row>
    <row r="96149" spans="17:17" x14ac:dyDescent="0.35">
      <c r="Q96149" s="1"/>
    </row>
    <row r="96154" spans="17:17" x14ac:dyDescent="0.35">
      <c r="Q96154" s="1"/>
    </row>
    <row r="96159" spans="17:17" x14ac:dyDescent="0.35">
      <c r="Q96159" s="1"/>
    </row>
    <row r="96163" spans="17:17" x14ac:dyDescent="0.35">
      <c r="Q96163" s="1"/>
    </row>
    <row r="96164" spans="17:17" x14ac:dyDescent="0.35">
      <c r="Q96164" s="1"/>
    </row>
    <row r="96172" spans="17:17" x14ac:dyDescent="0.35">
      <c r="Q96172" s="1"/>
    </row>
    <row r="96174" spans="17:17" x14ac:dyDescent="0.35">
      <c r="Q96174" s="1"/>
    </row>
    <row r="96175" spans="17:17" x14ac:dyDescent="0.35">
      <c r="Q96175" s="1"/>
    </row>
    <row r="96177" spans="17:17" x14ac:dyDescent="0.35">
      <c r="Q96177" s="1"/>
    </row>
    <row r="96179" spans="17:17" x14ac:dyDescent="0.35">
      <c r="Q96179" s="1"/>
    </row>
    <row r="96187" spans="17:17" x14ac:dyDescent="0.35">
      <c r="Q96187" s="1"/>
    </row>
    <row r="96190" spans="17:17" x14ac:dyDescent="0.35">
      <c r="Q96190" s="1"/>
    </row>
    <row r="96192" spans="17:17" x14ac:dyDescent="0.35">
      <c r="Q96192" s="1"/>
    </row>
    <row r="96194" spans="17:17" x14ac:dyDescent="0.35">
      <c r="Q96194" s="1"/>
    </row>
    <row r="96198" spans="17:17" x14ac:dyDescent="0.35">
      <c r="Q96198" s="1"/>
    </row>
    <row r="96200" spans="17:17" x14ac:dyDescent="0.35">
      <c r="Q96200" s="1"/>
    </row>
    <row r="96202" spans="17:17" x14ac:dyDescent="0.35">
      <c r="Q96202" s="1"/>
    </row>
    <row r="96206" spans="17:17" x14ac:dyDescent="0.35">
      <c r="Q96206" s="1"/>
    </row>
    <row r="96208" spans="17:17" x14ac:dyDescent="0.35">
      <c r="Q96208" s="1"/>
    </row>
    <row r="96212" spans="17:17" x14ac:dyDescent="0.35">
      <c r="Q96212" s="1"/>
    </row>
    <row r="96213" spans="17:17" x14ac:dyDescent="0.35">
      <c r="Q96213" s="1"/>
    </row>
    <row r="96227" spans="17:17" x14ac:dyDescent="0.35">
      <c r="Q96227" s="1"/>
    </row>
    <row r="96233" spans="17:17" x14ac:dyDescent="0.35">
      <c r="Q96233" s="1"/>
    </row>
    <row r="96235" spans="17:17" x14ac:dyDescent="0.35">
      <c r="Q96235" s="1"/>
    </row>
    <row r="96238" spans="17:17" x14ac:dyDescent="0.35">
      <c r="Q96238" s="1"/>
    </row>
    <row r="96242" spans="17:17" x14ac:dyDescent="0.35">
      <c r="Q96242" s="1"/>
    </row>
    <row r="96246" spans="17:17" x14ac:dyDescent="0.35">
      <c r="Q96246" s="1"/>
    </row>
    <row r="96260" spans="17:17" x14ac:dyDescent="0.35">
      <c r="Q96260" s="1"/>
    </row>
    <row r="96263" spans="17:17" x14ac:dyDescent="0.35">
      <c r="Q96263" s="1"/>
    </row>
    <row r="96282" spans="17:17" x14ac:dyDescent="0.35">
      <c r="Q96282" s="1"/>
    </row>
    <row r="96286" spans="17:17" x14ac:dyDescent="0.35">
      <c r="Q96286" s="1"/>
    </row>
    <row r="96295" spans="17:17" x14ac:dyDescent="0.35">
      <c r="Q96295" s="1"/>
    </row>
    <row r="96298" spans="17:17" x14ac:dyDescent="0.35">
      <c r="Q96298" s="1"/>
    </row>
    <row r="96304" spans="17:17" x14ac:dyDescent="0.35">
      <c r="Q96304" s="1"/>
    </row>
    <row r="96306" spans="17:17" x14ac:dyDescent="0.35">
      <c r="Q96306" s="1"/>
    </row>
    <row r="96318" spans="17:17" x14ac:dyDescent="0.35">
      <c r="Q96318" s="1"/>
    </row>
    <row r="96324" spans="17:17" x14ac:dyDescent="0.35">
      <c r="Q96324" s="1"/>
    </row>
    <row r="96328" spans="17:17" x14ac:dyDescent="0.35">
      <c r="Q96328" s="1"/>
    </row>
    <row r="96331" spans="17:17" x14ac:dyDescent="0.35">
      <c r="Q96331" s="1"/>
    </row>
    <row r="96339" spans="17:17" x14ac:dyDescent="0.35">
      <c r="Q96339" s="1"/>
    </row>
    <row r="96346" spans="17:17" x14ac:dyDescent="0.35">
      <c r="Q96346" s="1"/>
    </row>
    <row r="96347" spans="17:17" x14ac:dyDescent="0.35">
      <c r="Q96347" s="1"/>
    </row>
    <row r="96349" spans="17:17" x14ac:dyDescent="0.35">
      <c r="Q96349" s="1"/>
    </row>
    <row r="96351" spans="17:17" x14ac:dyDescent="0.35">
      <c r="Q96351" s="1"/>
    </row>
    <row r="96352" spans="17:17" x14ac:dyDescent="0.35">
      <c r="Q96352" s="1"/>
    </row>
    <row r="96355" spans="17:17" x14ac:dyDescent="0.35">
      <c r="Q96355" s="1"/>
    </row>
    <row r="96359" spans="17:17" x14ac:dyDescent="0.35">
      <c r="Q96359" s="1"/>
    </row>
    <row r="96361" spans="17:17" x14ac:dyDescent="0.35">
      <c r="Q96361" s="1"/>
    </row>
    <row r="96362" spans="17:17" x14ac:dyDescent="0.35">
      <c r="Q96362" s="1"/>
    </row>
    <row r="96371" spans="17:17" x14ac:dyDescent="0.35">
      <c r="Q96371" s="1"/>
    </row>
    <row r="96377" spans="17:17" x14ac:dyDescent="0.35">
      <c r="Q96377" s="1"/>
    </row>
    <row r="96379" spans="17:17" x14ac:dyDescent="0.35">
      <c r="Q96379" s="1"/>
    </row>
    <row r="96388" spans="17:17" x14ac:dyDescent="0.35">
      <c r="Q96388" s="1"/>
    </row>
    <row r="96391" spans="17:17" x14ac:dyDescent="0.35">
      <c r="Q96391" s="1"/>
    </row>
    <row r="96395" spans="17:17" x14ac:dyDescent="0.35">
      <c r="Q96395" s="1"/>
    </row>
    <row r="96408" spans="17:17" x14ac:dyDescent="0.35">
      <c r="Q96408" s="1"/>
    </row>
    <row r="96417" spans="17:17" x14ac:dyDescent="0.35">
      <c r="Q96417" s="1"/>
    </row>
    <row r="96422" spans="17:17" x14ac:dyDescent="0.35">
      <c r="Q96422" s="1"/>
    </row>
    <row r="96436" spans="17:17" x14ac:dyDescent="0.35">
      <c r="Q96436" s="1"/>
    </row>
    <row r="96445" spans="17:17" x14ac:dyDescent="0.35">
      <c r="Q96445" s="1"/>
    </row>
    <row r="96461" spans="17:17" x14ac:dyDescent="0.35">
      <c r="Q96461" s="1"/>
    </row>
    <row r="96462" spans="17:17" x14ac:dyDescent="0.35">
      <c r="Q96462" s="1"/>
    </row>
    <row r="96465" spans="17:17" x14ac:dyDescent="0.35">
      <c r="Q96465" s="1"/>
    </row>
    <row r="96471" spans="17:17" x14ac:dyDescent="0.35">
      <c r="Q96471" s="1"/>
    </row>
    <row r="96472" spans="17:17" x14ac:dyDescent="0.35">
      <c r="Q96472" s="1"/>
    </row>
    <row r="96475" spans="17:17" x14ac:dyDescent="0.35">
      <c r="Q96475" s="1"/>
    </row>
    <row r="96482" spans="17:17" x14ac:dyDescent="0.35">
      <c r="Q96482" s="1"/>
    </row>
    <row r="96484" spans="17:17" x14ac:dyDescent="0.35">
      <c r="Q96484" s="1"/>
    </row>
    <row r="96487" spans="17:17" x14ac:dyDescent="0.35">
      <c r="Q96487" s="1"/>
    </row>
    <row r="96491" spans="17:17" x14ac:dyDescent="0.35">
      <c r="Q96491" s="1"/>
    </row>
    <row r="96494" spans="17:17" x14ac:dyDescent="0.35">
      <c r="Q96494" s="1"/>
    </row>
    <row r="96498" spans="17:17" x14ac:dyDescent="0.35">
      <c r="Q96498" s="1"/>
    </row>
    <row r="96505" spans="17:17" x14ac:dyDescent="0.35">
      <c r="Q96505" s="1"/>
    </row>
    <row r="96519" spans="17:17" x14ac:dyDescent="0.35">
      <c r="Q96519" s="1"/>
    </row>
    <row r="96522" spans="17:17" x14ac:dyDescent="0.35">
      <c r="Q96522" s="1"/>
    </row>
    <row r="96523" spans="17:17" x14ac:dyDescent="0.35">
      <c r="Q96523" s="1"/>
    </row>
    <row r="96539" spans="17:17" x14ac:dyDescent="0.35">
      <c r="Q96539" s="1"/>
    </row>
    <row r="96540" spans="17:17" x14ac:dyDescent="0.35">
      <c r="Q96540" s="1"/>
    </row>
    <row r="96548" spans="17:17" x14ac:dyDescent="0.35">
      <c r="Q96548" s="1"/>
    </row>
    <row r="96554" spans="17:17" x14ac:dyDescent="0.35">
      <c r="Q96554" s="1"/>
    </row>
    <row r="96556" spans="17:17" x14ac:dyDescent="0.35">
      <c r="Q96556" s="1"/>
    </row>
    <row r="96557" spans="17:17" x14ac:dyDescent="0.35">
      <c r="Q96557" s="1"/>
    </row>
    <row r="96562" spans="17:17" x14ac:dyDescent="0.35">
      <c r="Q96562" s="1"/>
    </row>
    <row r="96566" spans="17:17" x14ac:dyDescent="0.35">
      <c r="Q96566" s="1"/>
    </row>
    <row r="96573" spans="17:17" x14ac:dyDescent="0.35">
      <c r="Q96573" s="1"/>
    </row>
    <row r="96574" spans="17:17" x14ac:dyDescent="0.35">
      <c r="Q96574" s="1"/>
    </row>
    <row r="96576" spans="17:17" x14ac:dyDescent="0.35">
      <c r="Q96576" s="1"/>
    </row>
    <row r="96580" spans="17:17" x14ac:dyDescent="0.35">
      <c r="Q96580" s="1"/>
    </row>
    <row r="96586" spans="17:17" x14ac:dyDescent="0.35">
      <c r="Q96586" s="1"/>
    </row>
    <row r="96588" spans="17:17" x14ac:dyDescent="0.35">
      <c r="Q96588" s="1"/>
    </row>
    <row r="96601" spans="17:17" x14ac:dyDescent="0.35">
      <c r="Q96601" s="1"/>
    </row>
    <row r="96603" spans="17:17" x14ac:dyDescent="0.35">
      <c r="Q96603" s="1"/>
    </row>
    <row r="96609" spans="17:17" x14ac:dyDescent="0.35">
      <c r="Q96609" s="1"/>
    </row>
    <row r="96615" spans="17:17" x14ac:dyDescent="0.35">
      <c r="Q96615" s="1"/>
    </row>
    <row r="96621" spans="17:17" x14ac:dyDescent="0.35">
      <c r="Q96621" s="1"/>
    </row>
    <row r="96631" spans="17:17" x14ac:dyDescent="0.35">
      <c r="Q96631" s="1"/>
    </row>
    <row r="96639" spans="17:17" x14ac:dyDescent="0.35">
      <c r="Q96639" s="1"/>
    </row>
    <row r="96641" spans="17:17" x14ac:dyDescent="0.35">
      <c r="Q96641" s="1"/>
    </row>
    <row r="96644" spans="17:17" x14ac:dyDescent="0.35">
      <c r="Q96644" s="1"/>
    </row>
    <row r="96652" spans="17:17" x14ac:dyDescent="0.35">
      <c r="Q96652" s="1"/>
    </row>
    <row r="96653" spans="17:17" x14ac:dyDescent="0.35">
      <c r="Q96653" s="1"/>
    </row>
    <row r="96654" spans="17:17" x14ac:dyDescent="0.35">
      <c r="Q96654" s="1"/>
    </row>
    <row r="96657" spans="17:17" x14ac:dyDescent="0.35">
      <c r="Q96657" s="1"/>
    </row>
    <row r="96661" spans="17:17" x14ac:dyDescent="0.35">
      <c r="Q96661" s="1"/>
    </row>
    <row r="96667" spans="17:17" x14ac:dyDescent="0.35">
      <c r="Q96667" s="1"/>
    </row>
    <row r="96675" spans="17:17" x14ac:dyDescent="0.35">
      <c r="Q96675" s="1"/>
    </row>
    <row r="96676" spans="17:17" x14ac:dyDescent="0.35">
      <c r="Q96676" s="1"/>
    </row>
    <row r="96682" spans="17:17" x14ac:dyDescent="0.35">
      <c r="Q96682" s="1"/>
    </row>
    <row r="96687" spans="17:17" x14ac:dyDescent="0.35">
      <c r="Q96687" s="1"/>
    </row>
    <row r="96688" spans="17:17" x14ac:dyDescent="0.35">
      <c r="Q96688" s="1"/>
    </row>
    <row r="96689" spans="17:17" x14ac:dyDescent="0.35">
      <c r="Q96689" s="1"/>
    </row>
    <row r="96690" spans="17:17" x14ac:dyDescent="0.35">
      <c r="Q96690" s="1"/>
    </row>
    <row r="96698" spans="17:17" x14ac:dyDescent="0.35">
      <c r="Q96698" s="1"/>
    </row>
    <row r="96700" spans="17:17" x14ac:dyDescent="0.35">
      <c r="Q96700" s="1"/>
    </row>
    <row r="96702" spans="17:17" x14ac:dyDescent="0.35">
      <c r="Q96702" s="1"/>
    </row>
    <row r="96703" spans="17:17" x14ac:dyDescent="0.35">
      <c r="Q96703" s="1"/>
    </row>
    <row r="96704" spans="17:17" x14ac:dyDescent="0.35">
      <c r="Q96704" s="1"/>
    </row>
    <row r="96710" spans="17:17" x14ac:dyDescent="0.35">
      <c r="Q96710" s="1"/>
    </row>
    <row r="96718" spans="17:17" x14ac:dyDescent="0.35">
      <c r="Q96718" s="1"/>
    </row>
    <row r="96720" spans="17:17" x14ac:dyDescent="0.35">
      <c r="Q96720" s="1"/>
    </row>
    <row r="96724" spans="17:17" x14ac:dyDescent="0.35">
      <c r="Q96724" s="1"/>
    </row>
    <row r="96727" spans="17:17" x14ac:dyDescent="0.35">
      <c r="Q96727" s="1"/>
    </row>
    <row r="96730" spans="17:17" x14ac:dyDescent="0.35">
      <c r="Q96730" s="1"/>
    </row>
    <row r="96733" spans="17:17" x14ac:dyDescent="0.35">
      <c r="Q96733" s="1"/>
    </row>
    <row r="96734" spans="17:17" x14ac:dyDescent="0.35">
      <c r="Q96734" s="1"/>
    </row>
    <row r="96743" spans="17:17" x14ac:dyDescent="0.35">
      <c r="Q96743" s="1"/>
    </row>
    <row r="96746" spans="17:17" x14ac:dyDescent="0.35">
      <c r="Q96746" s="1"/>
    </row>
    <row r="96763" spans="17:17" x14ac:dyDescent="0.35">
      <c r="Q96763" s="1"/>
    </row>
    <row r="96764" spans="17:17" x14ac:dyDescent="0.35">
      <c r="Q96764" s="1"/>
    </row>
    <row r="96765" spans="17:17" x14ac:dyDescent="0.35">
      <c r="Q96765" s="1"/>
    </row>
    <row r="96767" spans="17:17" x14ac:dyDescent="0.35">
      <c r="Q96767" s="1"/>
    </row>
    <row r="96771" spans="17:17" x14ac:dyDescent="0.35">
      <c r="Q96771" s="1"/>
    </row>
    <row r="96774" spans="17:17" x14ac:dyDescent="0.35">
      <c r="Q96774" s="1"/>
    </row>
    <row r="96778" spans="17:17" x14ac:dyDescent="0.35">
      <c r="Q96778" s="1"/>
    </row>
    <row r="96780" spans="17:17" x14ac:dyDescent="0.35">
      <c r="Q96780" s="1"/>
    </row>
    <row r="96786" spans="17:17" x14ac:dyDescent="0.35">
      <c r="Q96786" s="1"/>
    </row>
    <row r="96788" spans="17:17" x14ac:dyDescent="0.35">
      <c r="Q96788" s="1"/>
    </row>
    <row r="96789" spans="17:17" x14ac:dyDescent="0.35">
      <c r="Q96789" s="1"/>
    </row>
    <row r="96790" spans="17:17" x14ac:dyDescent="0.35">
      <c r="Q96790" s="1"/>
    </row>
    <row r="96794" spans="17:17" x14ac:dyDescent="0.35">
      <c r="Q96794" s="1"/>
    </row>
    <row r="96797" spans="17:17" x14ac:dyDescent="0.35">
      <c r="Q96797" s="1"/>
    </row>
    <row r="96798" spans="17:17" x14ac:dyDescent="0.35">
      <c r="Q96798" s="1"/>
    </row>
    <row r="96800" spans="17:17" x14ac:dyDescent="0.35">
      <c r="Q96800" s="1"/>
    </row>
    <row r="96802" spans="17:17" x14ac:dyDescent="0.35">
      <c r="Q96802" s="1"/>
    </row>
    <row r="96806" spans="17:17" x14ac:dyDescent="0.35">
      <c r="Q96806" s="1"/>
    </row>
    <row r="96807" spans="17:17" x14ac:dyDescent="0.35">
      <c r="Q96807" s="1"/>
    </row>
    <row r="96808" spans="17:17" x14ac:dyDescent="0.35">
      <c r="Q96808" s="1"/>
    </row>
    <row r="96809" spans="17:17" x14ac:dyDescent="0.35">
      <c r="Q96809" s="1"/>
    </row>
    <row r="96811" spans="17:17" x14ac:dyDescent="0.35">
      <c r="Q96811" s="1"/>
    </row>
    <row r="96812" spans="17:17" x14ac:dyDescent="0.35">
      <c r="Q96812" s="1"/>
    </row>
    <row r="96825" spans="17:17" x14ac:dyDescent="0.35">
      <c r="Q96825" s="1"/>
    </row>
    <row r="96827" spans="17:17" x14ac:dyDescent="0.35">
      <c r="Q96827" s="1"/>
    </row>
    <row r="96833" spans="17:17" x14ac:dyDescent="0.35">
      <c r="Q96833" s="1"/>
    </row>
    <row r="96835" spans="17:17" x14ac:dyDescent="0.35">
      <c r="Q96835" s="1"/>
    </row>
    <row r="96836" spans="17:17" x14ac:dyDescent="0.35">
      <c r="Q96836" s="1"/>
    </row>
    <row r="96840" spans="17:17" x14ac:dyDescent="0.35">
      <c r="Q96840" s="1"/>
    </row>
    <row r="96841" spans="17:17" x14ac:dyDescent="0.35">
      <c r="Q96841" s="1"/>
    </row>
    <row r="96850" spans="17:17" x14ac:dyDescent="0.35">
      <c r="Q96850" s="1"/>
    </row>
    <row r="96858" spans="17:17" x14ac:dyDescent="0.35">
      <c r="Q96858" s="1"/>
    </row>
    <row r="96868" spans="17:17" x14ac:dyDescent="0.35">
      <c r="Q96868" s="1"/>
    </row>
    <row r="96872" spans="17:17" x14ac:dyDescent="0.35">
      <c r="Q96872" s="1"/>
    </row>
    <row r="96873" spans="17:17" x14ac:dyDescent="0.35">
      <c r="Q96873" s="1"/>
    </row>
    <row r="96875" spans="17:17" x14ac:dyDescent="0.35">
      <c r="Q96875" s="1"/>
    </row>
    <row r="96889" spans="17:17" x14ac:dyDescent="0.35">
      <c r="Q96889" s="1"/>
    </row>
    <row r="96896" spans="17:17" x14ac:dyDescent="0.35">
      <c r="Q96896" s="1"/>
    </row>
    <row r="96898" spans="17:17" x14ac:dyDescent="0.35">
      <c r="Q96898" s="1"/>
    </row>
    <row r="96905" spans="17:17" x14ac:dyDescent="0.35">
      <c r="Q96905" s="1"/>
    </row>
    <row r="96907" spans="17:17" x14ac:dyDescent="0.35">
      <c r="Q96907" s="1"/>
    </row>
    <row r="96911" spans="17:17" x14ac:dyDescent="0.35">
      <c r="Q96911" s="1"/>
    </row>
    <row r="96913" spans="17:17" x14ac:dyDescent="0.35">
      <c r="Q96913" s="1"/>
    </row>
    <row r="96915" spans="17:17" x14ac:dyDescent="0.35">
      <c r="Q96915" s="1"/>
    </row>
    <row r="96918" spans="17:17" x14ac:dyDescent="0.35">
      <c r="Q96918" s="1"/>
    </row>
    <row r="96919" spans="17:17" x14ac:dyDescent="0.35">
      <c r="Q96919" s="1"/>
    </row>
    <row r="96942" spans="17:17" x14ac:dyDescent="0.35">
      <c r="Q96942" s="1"/>
    </row>
    <row r="96944" spans="17:17" x14ac:dyDescent="0.35">
      <c r="Q96944" s="1"/>
    </row>
    <row r="96949" spans="17:17" x14ac:dyDescent="0.35">
      <c r="Q96949" s="1"/>
    </row>
    <row r="96951" spans="17:17" x14ac:dyDescent="0.35">
      <c r="Q96951" s="1"/>
    </row>
    <row r="96952" spans="17:17" x14ac:dyDescent="0.35">
      <c r="Q96952" s="1"/>
    </row>
    <row r="96953" spans="17:17" x14ac:dyDescent="0.35">
      <c r="Q96953" s="1"/>
    </row>
    <row r="96954" spans="17:17" x14ac:dyDescent="0.35">
      <c r="Q96954" s="1"/>
    </row>
    <row r="96959" spans="17:17" x14ac:dyDescent="0.35">
      <c r="Q96959" s="1"/>
    </row>
    <row r="96963" spans="17:17" x14ac:dyDescent="0.35">
      <c r="Q96963" s="1"/>
    </row>
    <row r="96965" spans="17:17" x14ac:dyDescent="0.35">
      <c r="Q96965" s="1"/>
    </row>
    <row r="96966" spans="17:17" x14ac:dyDescent="0.35">
      <c r="Q96966" s="1"/>
    </row>
    <row r="96969" spans="17:17" x14ac:dyDescent="0.35">
      <c r="Q96969" s="1"/>
    </row>
    <row r="96971" spans="17:17" x14ac:dyDescent="0.35">
      <c r="Q96971" s="1"/>
    </row>
    <row r="96973" spans="17:17" x14ac:dyDescent="0.35">
      <c r="Q96973" s="1"/>
    </row>
    <row r="96974" spans="17:17" x14ac:dyDescent="0.35">
      <c r="Q96974" s="1"/>
    </row>
    <row r="96976" spans="17:17" x14ac:dyDescent="0.35">
      <c r="Q96976" s="1"/>
    </row>
    <row r="96980" spans="17:17" x14ac:dyDescent="0.35">
      <c r="Q96980" s="1"/>
    </row>
    <row r="96986" spans="17:17" x14ac:dyDescent="0.35">
      <c r="Q96986" s="1"/>
    </row>
    <row r="96992" spans="17:17" x14ac:dyDescent="0.35">
      <c r="Q96992" s="1"/>
    </row>
    <row r="96993" spans="17:17" x14ac:dyDescent="0.35">
      <c r="Q96993" s="1"/>
    </row>
    <row r="96994" spans="17:17" x14ac:dyDescent="0.35">
      <c r="Q96994" s="1"/>
    </row>
    <row r="96998" spans="17:17" x14ac:dyDescent="0.35">
      <c r="Q96998" s="1"/>
    </row>
    <row r="96999" spans="17:17" x14ac:dyDescent="0.35">
      <c r="Q96999" s="1"/>
    </row>
    <row r="97004" spans="17:17" x14ac:dyDescent="0.35">
      <c r="Q97004" s="1"/>
    </row>
    <row r="97019" spans="17:17" x14ac:dyDescent="0.35">
      <c r="Q97019" s="1"/>
    </row>
    <row r="97021" spans="17:17" x14ac:dyDescent="0.35">
      <c r="Q97021" s="1"/>
    </row>
    <row r="97022" spans="17:17" x14ac:dyDescent="0.35">
      <c r="Q97022" s="1"/>
    </row>
    <row r="97050" spans="17:17" x14ac:dyDescent="0.35">
      <c r="Q97050" s="1"/>
    </row>
    <row r="97071" spans="17:17" x14ac:dyDescent="0.35">
      <c r="Q97071" s="1"/>
    </row>
    <row r="97072" spans="17:17" x14ac:dyDescent="0.35">
      <c r="Q97072" s="1"/>
    </row>
    <row r="97074" spans="17:17" x14ac:dyDescent="0.35">
      <c r="Q97074" s="1"/>
    </row>
    <row r="97083" spans="17:17" x14ac:dyDescent="0.35">
      <c r="Q97083" s="1"/>
    </row>
    <row r="97085" spans="17:17" x14ac:dyDescent="0.35">
      <c r="Q97085" s="1"/>
    </row>
    <row r="97109" spans="17:17" x14ac:dyDescent="0.35">
      <c r="Q97109" s="1"/>
    </row>
    <row r="97112" spans="17:17" x14ac:dyDescent="0.35">
      <c r="Q97112" s="1"/>
    </row>
    <row r="97130" spans="17:17" x14ac:dyDescent="0.35">
      <c r="Q97130" s="1"/>
    </row>
    <row r="97134" spans="17:17" x14ac:dyDescent="0.35">
      <c r="Q97134" s="1"/>
    </row>
    <row r="97154" spans="17:17" x14ac:dyDescent="0.35">
      <c r="Q97154" s="1"/>
    </row>
    <row r="97184" spans="17:17" x14ac:dyDescent="0.35">
      <c r="Q97184" s="1"/>
    </row>
    <row r="97186" spans="17:17" x14ac:dyDescent="0.35">
      <c r="Q97186" s="1"/>
    </row>
    <row r="97188" spans="17:17" x14ac:dyDescent="0.35">
      <c r="Q97188" s="1"/>
    </row>
    <row r="97213" spans="17:17" x14ac:dyDescent="0.35">
      <c r="Q97213" s="1"/>
    </row>
    <row r="97214" spans="17:17" x14ac:dyDescent="0.35">
      <c r="Q97214" s="1"/>
    </row>
    <row r="97235" spans="17:17" x14ac:dyDescent="0.35">
      <c r="Q97235" s="1"/>
    </row>
    <row r="97256" spans="17:17" x14ac:dyDescent="0.35">
      <c r="Q97256" s="1"/>
    </row>
    <row r="97259" spans="17:17" x14ac:dyDescent="0.35">
      <c r="Q97259" s="1"/>
    </row>
    <row r="97265" spans="17:17" x14ac:dyDescent="0.35">
      <c r="Q97265" s="1"/>
    </row>
    <row r="97273" spans="17:17" x14ac:dyDescent="0.35">
      <c r="Q97273" s="1"/>
    </row>
    <row r="97309" spans="17:17" x14ac:dyDescent="0.35">
      <c r="Q97309" s="1"/>
    </row>
    <row r="97337" spans="17:17" x14ac:dyDescent="0.35">
      <c r="Q97337" s="1"/>
    </row>
    <row r="97345" spans="17:17" x14ac:dyDescent="0.35">
      <c r="Q97345" s="1"/>
    </row>
    <row r="97346" spans="17:17" x14ac:dyDescent="0.35">
      <c r="Q97346" s="1"/>
    </row>
    <row r="97349" spans="17:17" x14ac:dyDescent="0.35">
      <c r="Q97349" s="1"/>
    </row>
    <row r="97359" spans="17:17" x14ac:dyDescent="0.35">
      <c r="Q97359" s="1"/>
    </row>
    <row r="97374" spans="17:17" x14ac:dyDescent="0.35">
      <c r="Q97374" s="1"/>
    </row>
    <row r="97387" spans="17:17" x14ac:dyDescent="0.35">
      <c r="Q97387" s="1"/>
    </row>
    <row r="97398" spans="17:17" x14ac:dyDescent="0.35">
      <c r="Q97398" s="1"/>
    </row>
    <row r="97403" spans="17:17" x14ac:dyDescent="0.35">
      <c r="Q97403" s="1"/>
    </row>
    <row r="97409" spans="17:17" x14ac:dyDescent="0.35">
      <c r="Q97409" s="1"/>
    </row>
    <row r="97430" spans="17:17" x14ac:dyDescent="0.35">
      <c r="Q97430" s="1"/>
    </row>
    <row r="97444" spans="17:17" x14ac:dyDescent="0.35">
      <c r="Q97444" s="1"/>
    </row>
    <row r="97461" spans="17:17" x14ac:dyDescent="0.35">
      <c r="Q97461" s="1"/>
    </row>
    <row r="97471" spans="17:17" x14ac:dyDescent="0.35">
      <c r="Q97471" s="1"/>
    </row>
    <row r="97489" spans="17:17" x14ac:dyDescent="0.35">
      <c r="Q97489" s="1"/>
    </row>
    <row r="97494" spans="17:17" x14ac:dyDescent="0.35">
      <c r="Q97494" s="1"/>
    </row>
    <row r="97499" spans="17:17" x14ac:dyDescent="0.35">
      <c r="Q97499" s="1"/>
    </row>
    <row r="97504" spans="17:17" x14ac:dyDescent="0.35">
      <c r="Q97504" s="1"/>
    </row>
    <row r="97513" spans="17:17" x14ac:dyDescent="0.35">
      <c r="Q97513" s="1"/>
    </row>
    <row r="97523" spans="17:17" x14ac:dyDescent="0.35">
      <c r="Q97523" s="1"/>
    </row>
    <row r="97529" spans="17:17" x14ac:dyDescent="0.35">
      <c r="Q97529" s="1"/>
    </row>
    <row r="97542" spans="17:17" x14ac:dyDescent="0.35">
      <c r="Q97542" s="1"/>
    </row>
    <row r="97543" spans="17:17" x14ac:dyDescent="0.35">
      <c r="Q97543" s="1"/>
    </row>
    <row r="97546" spans="17:17" x14ac:dyDescent="0.35">
      <c r="Q97546" s="1"/>
    </row>
    <row r="97551" spans="17:17" x14ac:dyDescent="0.35">
      <c r="Q97551" s="1"/>
    </row>
    <row r="97566" spans="17:17" x14ac:dyDescent="0.35">
      <c r="Q97566" s="1"/>
    </row>
    <row r="97597" spans="17:17" x14ac:dyDescent="0.35">
      <c r="Q97597" s="1"/>
    </row>
    <row r="97606" spans="17:17" x14ac:dyDescent="0.35">
      <c r="Q97606" s="1"/>
    </row>
    <row r="97608" spans="17:17" x14ac:dyDescent="0.35">
      <c r="Q97608" s="1"/>
    </row>
    <row r="97630" spans="17:17" x14ac:dyDescent="0.35">
      <c r="Q97630" s="1"/>
    </row>
    <row r="97646" spans="17:17" x14ac:dyDescent="0.35">
      <c r="Q97646" s="1"/>
    </row>
    <row r="97663" spans="17:17" x14ac:dyDescent="0.35">
      <c r="Q97663" s="1"/>
    </row>
    <row r="97680" spans="17:17" x14ac:dyDescent="0.35">
      <c r="Q97680" s="1"/>
    </row>
    <row r="97684" spans="17:17" x14ac:dyDescent="0.35">
      <c r="Q97684" s="1"/>
    </row>
    <row r="97688" spans="17:17" x14ac:dyDescent="0.35">
      <c r="Q97688" s="1"/>
    </row>
    <row r="97692" spans="17:17" x14ac:dyDescent="0.35">
      <c r="Q97692" s="1"/>
    </row>
    <row r="97700" spans="17:17" x14ac:dyDescent="0.35">
      <c r="Q97700" s="1"/>
    </row>
    <row r="97718" spans="17:17" x14ac:dyDescent="0.35">
      <c r="Q97718" s="1"/>
    </row>
    <row r="97719" spans="17:17" x14ac:dyDescent="0.35">
      <c r="Q97719" s="1"/>
    </row>
    <row r="97736" spans="17:17" x14ac:dyDescent="0.35">
      <c r="Q97736" s="1"/>
    </row>
    <row r="97783" spans="17:17" x14ac:dyDescent="0.35">
      <c r="Q97783" s="1"/>
    </row>
    <row r="97801" spans="17:17" x14ac:dyDescent="0.35">
      <c r="Q97801" s="1"/>
    </row>
    <row r="97808" spans="17:17" x14ac:dyDescent="0.35">
      <c r="Q97808" s="1"/>
    </row>
    <row r="97833" spans="17:17" x14ac:dyDescent="0.35">
      <c r="Q97833" s="1"/>
    </row>
    <row r="97834" spans="17:17" x14ac:dyDescent="0.35">
      <c r="Q97834" s="1"/>
    </row>
    <row r="97837" spans="17:17" x14ac:dyDescent="0.35">
      <c r="Q97837" s="1"/>
    </row>
    <row r="97852" spans="17:17" x14ac:dyDescent="0.35">
      <c r="Q97852" s="1"/>
    </row>
    <row r="97854" spans="17:17" x14ac:dyDescent="0.35">
      <c r="Q97854" s="1"/>
    </row>
    <row r="97855" spans="17:17" x14ac:dyDescent="0.35">
      <c r="Q97855" s="1"/>
    </row>
    <row r="97861" spans="17:17" x14ac:dyDescent="0.35">
      <c r="Q97861" s="1"/>
    </row>
    <row r="97863" spans="17:17" x14ac:dyDescent="0.35">
      <c r="Q97863" s="1"/>
    </row>
    <row r="97864" spans="17:17" x14ac:dyDescent="0.35">
      <c r="Q97864" s="1"/>
    </row>
    <row r="97890" spans="17:17" x14ac:dyDescent="0.35">
      <c r="Q97890" s="1"/>
    </row>
    <row r="97897" spans="17:17" x14ac:dyDescent="0.35">
      <c r="Q97897" s="1"/>
    </row>
    <row r="97912" spans="17:17" x14ac:dyDescent="0.35">
      <c r="Q97912" s="1"/>
    </row>
    <row r="97921" spans="17:17" x14ac:dyDescent="0.35">
      <c r="Q97921" s="1"/>
    </row>
    <row r="97924" spans="17:17" x14ac:dyDescent="0.35">
      <c r="Q97924" s="1"/>
    </row>
    <row r="97929" spans="17:17" x14ac:dyDescent="0.35">
      <c r="Q97929" s="1"/>
    </row>
    <row r="97937" spans="17:17" x14ac:dyDescent="0.35">
      <c r="Q97937" s="1"/>
    </row>
    <row r="97945" spans="17:17" x14ac:dyDescent="0.35">
      <c r="Q97945" s="1"/>
    </row>
    <row r="97953" spans="17:17" x14ac:dyDescent="0.35">
      <c r="Q97953" s="1"/>
    </row>
    <row r="97954" spans="17:17" x14ac:dyDescent="0.35">
      <c r="Q97954" s="1"/>
    </row>
    <row r="97958" spans="17:17" x14ac:dyDescent="0.35">
      <c r="Q97958" s="1"/>
    </row>
    <row r="97963" spans="17:17" x14ac:dyDescent="0.35">
      <c r="Q97963" s="1"/>
    </row>
    <row r="97977" spans="17:17" x14ac:dyDescent="0.35">
      <c r="Q97977" s="1"/>
    </row>
    <row r="97985" spans="17:17" x14ac:dyDescent="0.35">
      <c r="Q97985" s="1"/>
    </row>
    <row r="98000" spans="17:17" x14ac:dyDescent="0.35">
      <c r="Q98000" s="1"/>
    </row>
    <row r="98004" spans="17:17" x14ac:dyDescent="0.35">
      <c r="Q98004" s="1"/>
    </row>
    <row r="98011" spans="17:17" x14ac:dyDescent="0.35">
      <c r="Q98011" s="1"/>
    </row>
    <row r="98017" spans="17:17" x14ac:dyDescent="0.35">
      <c r="Q98017" s="1"/>
    </row>
    <row r="98019" spans="17:17" x14ac:dyDescent="0.35">
      <c r="Q98019" s="1"/>
    </row>
    <row r="98042" spans="17:17" x14ac:dyDescent="0.35">
      <c r="Q98042" s="1"/>
    </row>
    <row r="98047" spans="17:17" x14ac:dyDescent="0.35">
      <c r="Q98047" s="1"/>
    </row>
    <row r="98048" spans="17:17" x14ac:dyDescent="0.35">
      <c r="Q98048" s="1"/>
    </row>
    <row r="98058" spans="17:17" x14ac:dyDescent="0.35">
      <c r="Q98058" s="1"/>
    </row>
    <row r="98060" spans="17:17" x14ac:dyDescent="0.35">
      <c r="Q98060" s="1"/>
    </row>
    <row r="98063" spans="17:17" x14ac:dyDescent="0.35">
      <c r="Q98063" s="1"/>
    </row>
    <row r="98064" spans="17:17" x14ac:dyDescent="0.35">
      <c r="Q98064" s="1"/>
    </row>
    <row r="98066" spans="17:17" x14ac:dyDescent="0.35">
      <c r="Q98066" s="1"/>
    </row>
    <row r="98067" spans="17:17" x14ac:dyDescent="0.35">
      <c r="Q98067" s="1"/>
    </row>
    <row r="98077" spans="17:17" x14ac:dyDescent="0.35">
      <c r="Q98077" s="1"/>
    </row>
    <row r="98078" spans="17:17" x14ac:dyDescent="0.35">
      <c r="Q98078" s="1"/>
    </row>
    <row r="98099" spans="17:17" x14ac:dyDescent="0.35">
      <c r="Q98099" s="1"/>
    </row>
    <row r="98103" spans="17:17" x14ac:dyDescent="0.35">
      <c r="Q98103" s="1"/>
    </row>
    <row r="98105" spans="17:17" x14ac:dyDescent="0.35">
      <c r="Q98105" s="1"/>
    </row>
    <row r="98116" spans="17:17" x14ac:dyDescent="0.35">
      <c r="Q98116" s="1"/>
    </row>
    <row r="98130" spans="17:17" x14ac:dyDescent="0.35">
      <c r="Q98130" s="1"/>
    </row>
    <row r="98131" spans="17:17" x14ac:dyDescent="0.35">
      <c r="Q98131" s="1"/>
    </row>
    <row r="98153" spans="17:17" x14ac:dyDescent="0.35">
      <c r="Q98153" s="1"/>
    </row>
    <row r="98165" spans="17:17" x14ac:dyDescent="0.35">
      <c r="Q98165" s="1"/>
    </row>
    <row r="98170" spans="17:17" x14ac:dyDescent="0.35">
      <c r="Q98170" s="1"/>
    </row>
    <row r="98174" spans="17:17" x14ac:dyDescent="0.35">
      <c r="Q98174" s="1"/>
    </row>
    <row r="98178" spans="17:17" x14ac:dyDescent="0.35">
      <c r="Q98178" s="1"/>
    </row>
    <row r="98183" spans="17:17" x14ac:dyDescent="0.35">
      <c r="Q98183" s="1"/>
    </row>
    <row r="98184" spans="17:17" x14ac:dyDescent="0.35">
      <c r="Q98184" s="1"/>
    </row>
    <row r="98188" spans="17:17" x14ac:dyDescent="0.35">
      <c r="Q98188" s="1"/>
    </row>
    <row r="98190" spans="17:17" x14ac:dyDescent="0.35">
      <c r="Q98190" s="1"/>
    </row>
    <row r="98191" spans="17:17" x14ac:dyDescent="0.35">
      <c r="Q98191" s="1"/>
    </row>
    <row r="98192" spans="17:17" x14ac:dyDescent="0.35">
      <c r="Q98192" s="1"/>
    </row>
    <row r="98195" spans="17:17" x14ac:dyDescent="0.35">
      <c r="Q98195" s="1"/>
    </row>
    <row r="98209" spans="17:17" x14ac:dyDescent="0.35">
      <c r="Q98209" s="1"/>
    </row>
    <row r="98222" spans="17:17" x14ac:dyDescent="0.35">
      <c r="Q98222" s="1"/>
    </row>
    <row r="98223" spans="17:17" x14ac:dyDescent="0.35">
      <c r="Q98223" s="1"/>
    </row>
    <row r="98225" spans="17:17" x14ac:dyDescent="0.35">
      <c r="Q98225" s="1"/>
    </row>
    <row r="98234" spans="17:17" x14ac:dyDescent="0.35">
      <c r="Q98234" s="1"/>
    </row>
    <row r="98237" spans="17:17" x14ac:dyDescent="0.35">
      <c r="Q98237" s="1"/>
    </row>
    <row r="98246" spans="17:17" x14ac:dyDescent="0.35">
      <c r="Q98246" s="1"/>
    </row>
    <row r="98247" spans="17:17" x14ac:dyDescent="0.35">
      <c r="Q98247" s="1"/>
    </row>
    <row r="98250" spans="17:17" x14ac:dyDescent="0.35">
      <c r="Q98250" s="1"/>
    </row>
    <row r="98256" spans="17:17" x14ac:dyDescent="0.35">
      <c r="Q98256" s="1"/>
    </row>
    <row r="98268" spans="17:17" x14ac:dyDescent="0.35">
      <c r="Q98268" s="1"/>
    </row>
    <row r="98271" spans="17:17" x14ac:dyDescent="0.35">
      <c r="Q98271" s="1"/>
    </row>
    <row r="98273" spans="17:17" x14ac:dyDescent="0.35">
      <c r="Q98273" s="1"/>
    </row>
    <row r="98274" spans="17:17" x14ac:dyDescent="0.35">
      <c r="Q98274" s="1"/>
    </row>
    <row r="98276" spans="17:17" x14ac:dyDescent="0.35">
      <c r="Q98276" s="1"/>
    </row>
    <row r="98277" spans="17:17" x14ac:dyDescent="0.35">
      <c r="Q98277" s="1"/>
    </row>
    <row r="98279" spans="17:17" x14ac:dyDescent="0.35">
      <c r="Q98279" s="1"/>
    </row>
    <row r="98281" spans="17:17" x14ac:dyDescent="0.35">
      <c r="Q98281" s="1"/>
    </row>
    <row r="98282" spans="17:17" x14ac:dyDescent="0.35">
      <c r="Q98282" s="1"/>
    </row>
    <row r="98290" spans="17:17" x14ac:dyDescent="0.35">
      <c r="Q98290" s="1"/>
    </row>
    <row r="98292" spans="17:17" x14ac:dyDescent="0.35">
      <c r="Q98292" s="1"/>
    </row>
    <row r="98294" spans="17:17" x14ac:dyDescent="0.35">
      <c r="Q98294" s="1"/>
    </row>
    <row r="98299" spans="17:17" x14ac:dyDescent="0.35">
      <c r="Q98299" s="1"/>
    </row>
    <row r="98310" spans="17:17" x14ac:dyDescent="0.35">
      <c r="Q98310" s="1"/>
    </row>
    <row r="98313" spans="17:17" x14ac:dyDescent="0.35">
      <c r="Q98313" s="1"/>
    </row>
    <row r="98316" spans="17:17" x14ac:dyDescent="0.35">
      <c r="Q98316" s="1"/>
    </row>
    <row r="98318" spans="17:17" x14ac:dyDescent="0.35">
      <c r="Q98318" s="1"/>
    </row>
    <row r="98319" spans="17:17" x14ac:dyDescent="0.35">
      <c r="Q98319" s="1"/>
    </row>
    <row r="98323" spans="17:17" x14ac:dyDescent="0.35">
      <c r="Q98323" s="1"/>
    </row>
    <row r="98332" spans="17:17" x14ac:dyDescent="0.35">
      <c r="Q98332" s="1"/>
    </row>
    <row r="98333" spans="17:17" x14ac:dyDescent="0.35">
      <c r="Q98333" s="1"/>
    </row>
    <row r="98334" spans="17:17" x14ac:dyDescent="0.35">
      <c r="Q98334" s="1"/>
    </row>
    <row r="98341" spans="17:17" x14ac:dyDescent="0.35">
      <c r="Q98341" s="1"/>
    </row>
    <row r="98343" spans="17:17" x14ac:dyDescent="0.35">
      <c r="Q98343" s="1"/>
    </row>
    <row r="98346" spans="17:17" x14ac:dyDescent="0.35">
      <c r="Q98346" s="1"/>
    </row>
    <row r="98356" spans="17:17" x14ac:dyDescent="0.35">
      <c r="Q98356" s="1"/>
    </row>
    <row r="98360" spans="17:17" x14ac:dyDescent="0.35">
      <c r="Q98360" s="1"/>
    </row>
    <row r="98366" spans="17:17" x14ac:dyDescent="0.35">
      <c r="Q98366" s="1"/>
    </row>
    <row r="98367" spans="17:17" x14ac:dyDescent="0.35">
      <c r="Q98367" s="1"/>
    </row>
    <row r="98371" spans="17:17" x14ac:dyDescent="0.35">
      <c r="Q98371" s="1"/>
    </row>
    <row r="98376" spans="17:17" x14ac:dyDescent="0.35">
      <c r="Q98376" s="1"/>
    </row>
    <row r="98381" spans="17:17" x14ac:dyDescent="0.35">
      <c r="Q98381" s="1"/>
    </row>
    <row r="98384" spans="17:17" x14ac:dyDescent="0.35">
      <c r="Q98384" s="1"/>
    </row>
    <row r="98386" spans="3:17" x14ac:dyDescent="0.35">
      <c r="Q98386" s="1"/>
    </row>
    <row r="98388" spans="3:17" x14ac:dyDescent="0.35">
      <c r="Q98388" s="1"/>
    </row>
    <row r="98396" spans="3:17" x14ac:dyDescent="0.35">
      <c r="C98396" s="4"/>
    </row>
    <row r="98397" spans="3:17" x14ac:dyDescent="0.35">
      <c r="Q98397" s="1"/>
    </row>
    <row r="98398" spans="3:17" x14ac:dyDescent="0.35">
      <c r="Q98398" s="1"/>
    </row>
    <row r="98403" spans="17:17" x14ac:dyDescent="0.35">
      <c r="Q98403" s="1"/>
    </row>
    <row r="98405" spans="17:17" x14ac:dyDescent="0.35">
      <c r="Q98405" s="1"/>
    </row>
    <row r="98408" spans="17:17" x14ac:dyDescent="0.35">
      <c r="Q98408" s="1"/>
    </row>
    <row r="98413" spans="17:17" x14ac:dyDescent="0.35">
      <c r="Q98413" s="1"/>
    </row>
    <row r="98417" spans="17:17" x14ac:dyDescent="0.35">
      <c r="Q98417" s="1"/>
    </row>
    <row r="98418" spans="17:17" x14ac:dyDescent="0.35">
      <c r="Q98418" s="1"/>
    </row>
    <row r="98421" spans="17:17" x14ac:dyDescent="0.35">
      <c r="Q98421" s="1"/>
    </row>
    <row r="98424" spans="17:17" x14ac:dyDescent="0.35">
      <c r="Q98424" s="1"/>
    </row>
    <row r="98432" spans="17:17" x14ac:dyDescent="0.35">
      <c r="Q98432" s="1"/>
    </row>
    <row r="98433" spans="17:17" x14ac:dyDescent="0.35">
      <c r="Q98433" s="1"/>
    </row>
    <row r="98438" spans="17:17" x14ac:dyDescent="0.35">
      <c r="Q98438" s="1"/>
    </row>
    <row r="98439" spans="17:17" x14ac:dyDescent="0.35">
      <c r="Q98439" s="1"/>
    </row>
    <row r="98440" spans="17:17" x14ac:dyDescent="0.35">
      <c r="Q98440" s="1"/>
    </row>
    <row r="98444" spans="17:17" x14ac:dyDescent="0.35">
      <c r="Q98444" s="1"/>
    </row>
    <row r="98453" spans="17:17" x14ac:dyDescent="0.35">
      <c r="Q98453" s="1"/>
    </row>
    <row r="98459" spans="17:17" x14ac:dyDescent="0.35">
      <c r="Q98459" s="1"/>
    </row>
    <row r="98465" spans="17:17" x14ac:dyDescent="0.35">
      <c r="Q98465" s="1"/>
    </row>
    <row r="98471" spans="17:17" x14ac:dyDescent="0.35">
      <c r="Q98471" s="1"/>
    </row>
    <row r="98473" spans="17:17" x14ac:dyDescent="0.35">
      <c r="Q98473" s="1"/>
    </row>
    <row r="98474" spans="17:17" x14ac:dyDescent="0.35">
      <c r="Q98474" s="1"/>
    </row>
    <row r="98476" spans="17:17" x14ac:dyDescent="0.35">
      <c r="Q98476" s="1"/>
    </row>
    <row r="98483" spans="17:17" x14ac:dyDescent="0.35">
      <c r="Q98483" s="1"/>
    </row>
    <row r="98484" spans="17:17" x14ac:dyDescent="0.35">
      <c r="Q98484" s="1"/>
    </row>
    <row r="98485" spans="17:17" x14ac:dyDescent="0.35">
      <c r="Q98485" s="1"/>
    </row>
    <row r="98489" spans="17:17" x14ac:dyDescent="0.35">
      <c r="Q98489" s="1"/>
    </row>
    <row r="98502" spans="17:17" x14ac:dyDescent="0.35">
      <c r="Q98502" s="1"/>
    </row>
    <row r="98505" spans="17:17" x14ac:dyDescent="0.35">
      <c r="Q98505" s="1"/>
    </row>
    <row r="98509" spans="17:17" x14ac:dyDescent="0.35">
      <c r="Q98509" s="1"/>
    </row>
    <row r="98518" spans="17:17" x14ac:dyDescent="0.35">
      <c r="Q98518" s="1"/>
    </row>
    <row r="98522" spans="17:17" x14ac:dyDescent="0.35">
      <c r="Q98522" s="1"/>
    </row>
    <row r="98530" spans="17:17" x14ac:dyDescent="0.35">
      <c r="Q98530" s="1"/>
    </row>
    <row r="98546" spans="17:17" x14ac:dyDescent="0.35">
      <c r="Q98546" s="1"/>
    </row>
    <row r="98553" spans="17:17" x14ac:dyDescent="0.35">
      <c r="Q98553" s="1"/>
    </row>
    <row r="98568" spans="17:17" x14ac:dyDescent="0.35">
      <c r="Q98568" s="1"/>
    </row>
    <row r="98572" spans="17:17" x14ac:dyDescent="0.35">
      <c r="Q98572" s="1"/>
    </row>
    <row r="98574" spans="17:17" x14ac:dyDescent="0.35">
      <c r="Q98574" s="1"/>
    </row>
    <row r="98576" spans="17:17" x14ac:dyDescent="0.35">
      <c r="Q98576" s="1"/>
    </row>
    <row r="98583" spans="17:17" x14ac:dyDescent="0.35">
      <c r="Q98583" s="1"/>
    </row>
    <row r="98590" spans="17:17" x14ac:dyDescent="0.35">
      <c r="Q98590" s="1"/>
    </row>
    <row r="98592" spans="17:17" x14ac:dyDescent="0.35">
      <c r="Q98592" s="1"/>
    </row>
    <row r="98594" spans="17:17" x14ac:dyDescent="0.35">
      <c r="Q98594" s="1"/>
    </row>
    <row r="98606" spans="17:17" x14ac:dyDescent="0.35">
      <c r="Q98606" s="1"/>
    </row>
    <row r="98610" spans="17:17" x14ac:dyDescent="0.35">
      <c r="Q98610" s="1"/>
    </row>
    <row r="98614" spans="17:17" x14ac:dyDescent="0.35">
      <c r="Q98614" s="1"/>
    </row>
    <row r="98616" spans="17:17" x14ac:dyDescent="0.35">
      <c r="Q98616" s="1"/>
    </row>
    <row r="98617" spans="17:17" x14ac:dyDescent="0.35">
      <c r="Q98617" s="1"/>
    </row>
    <row r="98629" spans="17:17" x14ac:dyDescent="0.35">
      <c r="Q98629" s="1"/>
    </row>
    <row r="98638" spans="17:17" x14ac:dyDescent="0.35">
      <c r="Q98638" s="1"/>
    </row>
    <row r="98640" spans="17:17" x14ac:dyDescent="0.35">
      <c r="Q98640" s="1"/>
    </row>
    <row r="98647" spans="17:17" x14ac:dyDescent="0.35">
      <c r="Q98647" s="1"/>
    </row>
    <row r="98649" spans="17:17" x14ac:dyDescent="0.35">
      <c r="Q98649" s="1"/>
    </row>
    <row r="98651" spans="17:17" x14ac:dyDescent="0.35">
      <c r="Q98651" s="1"/>
    </row>
    <row r="98663" spans="17:17" x14ac:dyDescent="0.35">
      <c r="Q98663" s="1"/>
    </row>
    <row r="98665" spans="17:17" x14ac:dyDescent="0.35">
      <c r="Q98665" s="1"/>
    </row>
    <row r="98672" spans="17:17" x14ac:dyDescent="0.35">
      <c r="Q98672" s="1"/>
    </row>
    <row r="98673" spans="17:17" x14ac:dyDescent="0.35">
      <c r="Q98673" s="1"/>
    </row>
    <row r="98685" spans="17:17" x14ac:dyDescent="0.35">
      <c r="Q98685" s="1"/>
    </row>
    <row r="98686" spans="17:17" x14ac:dyDescent="0.35">
      <c r="Q98686" s="1"/>
    </row>
    <row r="98688" spans="17:17" x14ac:dyDescent="0.35">
      <c r="Q98688" s="1"/>
    </row>
    <row r="98690" spans="17:17" x14ac:dyDescent="0.35">
      <c r="Q98690" s="1"/>
    </row>
    <row r="98691" spans="17:17" x14ac:dyDescent="0.35">
      <c r="Q98691" s="1"/>
    </row>
    <row r="98692" spans="17:17" x14ac:dyDescent="0.35">
      <c r="Q98692" s="1"/>
    </row>
    <row r="98693" spans="17:17" x14ac:dyDescent="0.35">
      <c r="Q98693" s="1"/>
    </row>
    <row r="98694" spans="17:17" x14ac:dyDescent="0.35">
      <c r="Q98694" s="1"/>
    </row>
    <row r="98711" spans="17:17" x14ac:dyDescent="0.35">
      <c r="Q98711" s="1"/>
    </row>
    <row r="98713" spans="17:17" x14ac:dyDescent="0.35">
      <c r="Q98713" s="1"/>
    </row>
    <row r="98716" spans="17:17" x14ac:dyDescent="0.35">
      <c r="Q98716" s="1"/>
    </row>
    <row r="98718" spans="17:17" x14ac:dyDescent="0.35">
      <c r="Q98718" s="1"/>
    </row>
    <row r="98720" spans="17:17" x14ac:dyDescent="0.35">
      <c r="Q98720" s="1"/>
    </row>
    <row r="98721" spans="17:17" x14ac:dyDescent="0.35">
      <c r="Q98721" s="1"/>
    </row>
    <row r="98722" spans="17:17" x14ac:dyDescent="0.35">
      <c r="Q98722" s="1"/>
    </row>
    <row r="98736" spans="17:17" x14ac:dyDescent="0.35">
      <c r="Q98736" s="1"/>
    </row>
    <row r="98741" spans="17:17" x14ac:dyDescent="0.35">
      <c r="Q98741" s="1"/>
    </row>
    <row r="98747" spans="17:17" x14ac:dyDescent="0.35">
      <c r="Q98747" s="1"/>
    </row>
    <row r="98760" spans="17:17" x14ac:dyDescent="0.35">
      <c r="Q98760" s="1"/>
    </row>
    <row r="98762" spans="17:17" x14ac:dyDescent="0.35">
      <c r="Q98762" s="1"/>
    </row>
    <row r="98765" spans="17:17" x14ac:dyDescent="0.35">
      <c r="Q98765" s="1"/>
    </row>
    <row r="98772" spans="17:17" x14ac:dyDescent="0.35">
      <c r="Q98772" s="1"/>
    </row>
    <row r="98777" spans="17:17" x14ac:dyDescent="0.35">
      <c r="Q98777" s="1"/>
    </row>
    <row r="98780" spans="17:17" x14ac:dyDescent="0.35">
      <c r="Q98780" s="1"/>
    </row>
    <row r="98782" spans="17:17" x14ac:dyDescent="0.35">
      <c r="Q98782" s="1"/>
    </row>
    <row r="98784" spans="17:17" x14ac:dyDescent="0.35">
      <c r="Q98784" s="1"/>
    </row>
    <row r="98785" spans="17:17" x14ac:dyDescent="0.35">
      <c r="Q98785" s="1"/>
    </row>
    <row r="98788" spans="17:17" x14ac:dyDescent="0.35">
      <c r="Q98788" s="1"/>
    </row>
    <row r="98790" spans="17:17" x14ac:dyDescent="0.35">
      <c r="Q98790" s="1"/>
    </row>
    <row r="98794" spans="17:17" x14ac:dyDescent="0.35">
      <c r="Q98794" s="1"/>
    </row>
    <row r="98798" spans="17:17" x14ac:dyDescent="0.35">
      <c r="Q98798" s="1"/>
    </row>
    <row r="98801" spans="17:17" x14ac:dyDescent="0.35">
      <c r="Q98801" s="1"/>
    </row>
    <row r="98814" spans="17:17" x14ac:dyDescent="0.35">
      <c r="Q98814" s="1"/>
    </row>
    <row r="98825" spans="17:17" x14ac:dyDescent="0.35">
      <c r="Q98825" s="1"/>
    </row>
    <row r="98827" spans="17:17" x14ac:dyDescent="0.35">
      <c r="Q98827" s="1"/>
    </row>
    <row r="98832" spans="17:17" x14ac:dyDescent="0.35">
      <c r="Q98832" s="1"/>
    </row>
    <row r="98833" spans="17:17" x14ac:dyDescent="0.35">
      <c r="Q98833" s="1"/>
    </row>
    <row r="98838" spans="17:17" x14ac:dyDescent="0.35">
      <c r="Q98838" s="1"/>
    </row>
    <row r="98842" spans="17:17" x14ac:dyDescent="0.35">
      <c r="Q98842" s="1"/>
    </row>
    <row r="98846" spans="17:17" x14ac:dyDescent="0.35">
      <c r="Q98846" s="1"/>
    </row>
    <row r="98848" spans="17:17" x14ac:dyDescent="0.35">
      <c r="Q98848" s="1"/>
    </row>
    <row r="98849" spans="17:17" x14ac:dyDescent="0.35">
      <c r="Q98849" s="1"/>
    </row>
    <row r="98853" spans="17:17" x14ac:dyDescent="0.35">
      <c r="Q98853" s="1"/>
    </row>
    <row r="98857" spans="17:17" x14ac:dyDescent="0.35">
      <c r="Q98857" s="1"/>
    </row>
    <row r="98859" spans="17:17" x14ac:dyDescent="0.35">
      <c r="Q98859" s="1"/>
    </row>
    <row r="98863" spans="17:17" x14ac:dyDescent="0.35">
      <c r="Q98863" s="1"/>
    </row>
    <row r="98866" spans="17:17" x14ac:dyDescent="0.35">
      <c r="Q98866" s="1"/>
    </row>
    <row r="98869" spans="17:17" x14ac:dyDescent="0.35">
      <c r="Q98869" s="1"/>
    </row>
    <row r="98871" spans="17:17" x14ac:dyDescent="0.35">
      <c r="Q98871" s="1"/>
    </row>
    <row r="98873" spans="17:17" x14ac:dyDescent="0.35">
      <c r="Q98873" s="1"/>
    </row>
    <row r="98874" spans="17:17" x14ac:dyDescent="0.35">
      <c r="Q98874" s="1"/>
    </row>
    <row r="98880" spans="17:17" x14ac:dyDescent="0.35">
      <c r="Q98880" s="1"/>
    </row>
    <row r="98885" spans="17:17" x14ac:dyDescent="0.35">
      <c r="Q98885" s="1"/>
    </row>
    <row r="98887" spans="17:17" x14ac:dyDescent="0.35">
      <c r="Q98887" s="1"/>
    </row>
    <row r="98891" spans="17:17" x14ac:dyDescent="0.35">
      <c r="Q98891" s="1"/>
    </row>
    <row r="98899" spans="17:17" x14ac:dyDescent="0.35">
      <c r="Q98899" s="1"/>
    </row>
    <row r="98905" spans="17:17" x14ac:dyDescent="0.35">
      <c r="Q98905" s="1"/>
    </row>
    <row r="98930" spans="16:17" x14ac:dyDescent="0.35">
      <c r="Q98930" s="1"/>
    </row>
    <row r="98931" spans="16:17" x14ac:dyDescent="0.35">
      <c r="Q98931" s="1"/>
    </row>
    <row r="98932" spans="16:17" x14ac:dyDescent="0.35">
      <c r="P98932" s="1"/>
    </row>
    <row r="98938" spans="16:17" x14ac:dyDescent="0.35">
      <c r="Q98938" s="1"/>
    </row>
    <row r="98943" spans="16:17" x14ac:dyDescent="0.35">
      <c r="Q98943" s="1"/>
    </row>
    <row r="98954" spans="17:17" x14ac:dyDescent="0.35">
      <c r="Q98954" s="1"/>
    </row>
    <row r="98955" spans="17:17" x14ac:dyDescent="0.35">
      <c r="Q98955" s="1"/>
    </row>
    <row r="98957" spans="17:17" x14ac:dyDescent="0.35">
      <c r="Q98957" s="1"/>
    </row>
    <row r="98958" spans="17:17" x14ac:dyDescent="0.35">
      <c r="Q98958" s="1"/>
    </row>
    <row r="98963" spans="17:17" x14ac:dyDescent="0.35">
      <c r="Q98963" s="1"/>
    </row>
    <row r="98968" spans="17:17" x14ac:dyDescent="0.35">
      <c r="Q98968" s="1"/>
    </row>
    <row r="98971" spans="17:17" x14ac:dyDescent="0.35">
      <c r="Q98971" s="1"/>
    </row>
    <row r="98975" spans="17:17" x14ac:dyDescent="0.35">
      <c r="Q98975" s="1"/>
    </row>
    <row r="98979" spans="17:17" x14ac:dyDescent="0.35">
      <c r="Q98979" s="1"/>
    </row>
    <row r="98984" spans="17:17" x14ac:dyDescent="0.35">
      <c r="Q98984" s="1"/>
    </row>
    <row r="98985" spans="17:17" x14ac:dyDescent="0.35">
      <c r="Q98985" s="1"/>
    </row>
    <row r="98987" spans="17:17" x14ac:dyDescent="0.35">
      <c r="Q98987" s="1"/>
    </row>
    <row r="98990" spans="17:17" x14ac:dyDescent="0.35">
      <c r="Q98990" s="1"/>
    </row>
    <row r="99003" spans="17:17" x14ac:dyDescent="0.35">
      <c r="Q99003" s="1"/>
    </row>
    <row r="99005" spans="17:17" x14ac:dyDescent="0.35">
      <c r="Q99005" s="1"/>
    </row>
    <row r="99008" spans="17:17" x14ac:dyDescent="0.35">
      <c r="Q99008" s="1"/>
    </row>
    <row r="99014" spans="17:17" x14ac:dyDescent="0.35">
      <c r="Q99014" s="1"/>
    </row>
    <row r="99016" spans="17:17" x14ac:dyDescent="0.35">
      <c r="Q99016" s="1"/>
    </row>
    <row r="99021" spans="17:17" x14ac:dyDescent="0.35">
      <c r="Q99021" s="1"/>
    </row>
    <row r="99026" spans="17:17" x14ac:dyDescent="0.35">
      <c r="Q99026" s="1"/>
    </row>
    <row r="99028" spans="17:17" x14ac:dyDescent="0.35">
      <c r="Q99028" s="1"/>
    </row>
    <row r="99038" spans="17:17" x14ac:dyDescent="0.35">
      <c r="Q99038" s="1"/>
    </row>
    <row r="99039" spans="17:17" x14ac:dyDescent="0.35">
      <c r="Q99039" s="1"/>
    </row>
    <row r="99050" spans="17:17" x14ac:dyDescent="0.35">
      <c r="Q99050" s="1"/>
    </row>
    <row r="99053" spans="17:17" x14ac:dyDescent="0.35">
      <c r="Q99053" s="1"/>
    </row>
    <row r="99067" spans="17:17" x14ac:dyDescent="0.35">
      <c r="Q99067" s="1"/>
    </row>
    <row r="99075" spans="17:17" x14ac:dyDescent="0.35">
      <c r="Q99075" s="1"/>
    </row>
    <row r="99077" spans="17:17" x14ac:dyDescent="0.35">
      <c r="Q99077" s="1"/>
    </row>
    <row r="99079" spans="17:17" x14ac:dyDescent="0.35">
      <c r="Q99079" s="1"/>
    </row>
    <row r="99082" spans="17:17" x14ac:dyDescent="0.35">
      <c r="Q99082" s="1"/>
    </row>
    <row r="99083" spans="17:17" x14ac:dyDescent="0.35">
      <c r="Q99083" s="1"/>
    </row>
    <row r="99095" spans="17:17" x14ac:dyDescent="0.35">
      <c r="Q99095" s="1"/>
    </row>
    <row r="99097" spans="17:17" x14ac:dyDescent="0.35">
      <c r="Q99097" s="1"/>
    </row>
    <row r="99108" spans="17:17" x14ac:dyDescent="0.35">
      <c r="Q99108" s="1"/>
    </row>
    <row r="99109" spans="17:17" x14ac:dyDescent="0.35">
      <c r="Q99109" s="1"/>
    </row>
    <row r="99126" spans="17:17" x14ac:dyDescent="0.35">
      <c r="Q99126" s="1"/>
    </row>
    <row r="99137" spans="17:17" x14ac:dyDescent="0.35">
      <c r="Q99137" s="1"/>
    </row>
    <row r="99154" spans="17:17" x14ac:dyDescent="0.35">
      <c r="Q99154" s="1"/>
    </row>
    <row r="99155" spans="17:17" x14ac:dyDescent="0.35">
      <c r="Q99155" s="1"/>
    </row>
    <row r="99156" spans="17:17" x14ac:dyDescent="0.35">
      <c r="Q99156" s="1"/>
    </row>
    <row r="99157" spans="17:17" x14ac:dyDescent="0.35">
      <c r="Q99157" s="1"/>
    </row>
    <row r="99160" spans="17:17" x14ac:dyDescent="0.35">
      <c r="Q99160" s="1"/>
    </row>
    <row r="99166" spans="17:17" x14ac:dyDescent="0.35">
      <c r="Q99166" s="1"/>
    </row>
    <row r="99170" spans="17:17" x14ac:dyDescent="0.35">
      <c r="Q99170" s="1"/>
    </row>
    <row r="99172" spans="17:17" x14ac:dyDescent="0.35">
      <c r="Q99172" s="1"/>
    </row>
    <row r="99175" spans="17:17" x14ac:dyDescent="0.35">
      <c r="Q99175" s="1"/>
    </row>
    <row r="99179" spans="17:17" x14ac:dyDescent="0.35">
      <c r="Q99179" s="1"/>
    </row>
    <row r="99183" spans="17:17" x14ac:dyDescent="0.35">
      <c r="Q99183" s="1"/>
    </row>
    <row r="99212" spans="17:17" x14ac:dyDescent="0.35">
      <c r="Q99212" s="1"/>
    </row>
    <row r="99242" spans="17:17" x14ac:dyDescent="0.35">
      <c r="Q99242" s="1"/>
    </row>
    <row r="99243" spans="17:17" x14ac:dyDescent="0.35">
      <c r="Q99243" s="1"/>
    </row>
    <row r="99244" spans="17:17" x14ac:dyDescent="0.35">
      <c r="Q99244" s="1"/>
    </row>
    <row r="99250" spans="17:17" x14ac:dyDescent="0.35">
      <c r="Q99250" s="1"/>
    </row>
    <row r="99253" spans="17:17" x14ac:dyDescent="0.35">
      <c r="Q99253" s="1"/>
    </row>
    <row r="99255" spans="17:17" x14ac:dyDescent="0.35">
      <c r="Q99255" s="1"/>
    </row>
    <row r="99261" spans="17:17" x14ac:dyDescent="0.35">
      <c r="Q99261" s="1"/>
    </row>
    <row r="99265" spans="17:17" x14ac:dyDescent="0.35">
      <c r="Q99265" s="1"/>
    </row>
    <row r="99266" spans="17:17" x14ac:dyDescent="0.35">
      <c r="Q99266" s="1"/>
    </row>
    <row r="99268" spans="17:17" x14ac:dyDescent="0.35">
      <c r="Q99268" s="1"/>
    </row>
    <row r="99276" spans="17:17" x14ac:dyDescent="0.35">
      <c r="Q99276" s="1"/>
    </row>
    <row r="99277" spans="17:17" x14ac:dyDescent="0.35">
      <c r="Q99277" s="1"/>
    </row>
    <row r="99281" spans="17:17" x14ac:dyDescent="0.35">
      <c r="Q99281" s="1"/>
    </row>
    <row r="99285" spans="17:17" x14ac:dyDescent="0.35">
      <c r="Q99285" s="1"/>
    </row>
    <row r="99287" spans="17:17" x14ac:dyDescent="0.35">
      <c r="Q99287" s="1"/>
    </row>
    <row r="99297" spans="17:17" x14ac:dyDescent="0.35">
      <c r="Q99297" s="1"/>
    </row>
    <row r="99298" spans="17:17" x14ac:dyDescent="0.35">
      <c r="Q99298" s="1"/>
    </row>
    <row r="99300" spans="17:17" x14ac:dyDescent="0.35">
      <c r="Q99300" s="1"/>
    </row>
    <row r="99301" spans="17:17" x14ac:dyDescent="0.35">
      <c r="Q99301" s="1"/>
    </row>
    <row r="99303" spans="17:17" x14ac:dyDescent="0.35">
      <c r="Q99303" s="1"/>
    </row>
    <row r="99304" spans="17:17" x14ac:dyDescent="0.35">
      <c r="Q99304" s="1"/>
    </row>
    <row r="99308" spans="17:17" x14ac:dyDescent="0.35">
      <c r="Q99308" s="1"/>
    </row>
    <row r="99310" spans="17:17" x14ac:dyDescent="0.35">
      <c r="Q99310" s="1"/>
    </row>
    <row r="99313" spans="17:17" x14ac:dyDescent="0.35">
      <c r="Q99313" s="1"/>
    </row>
    <row r="99314" spans="17:17" x14ac:dyDescent="0.35">
      <c r="Q99314" s="1"/>
    </row>
    <row r="99316" spans="17:17" x14ac:dyDescent="0.35">
      <c r="Q99316" s="1"/>
    </row>
    <row r="99323" spans="17:17" x14ac:dyDescent="0.35">
      <c r="Q99323" s="1"/>
    </row>
    <row r="99329" spans="17:17" x14ac:dyDescent="0.35">
      <c r="Q99329" s="1"/>
    </row>
    <row r="99330" spans="17:17" x14ac:dyDescent="0.35">
      <c r="Q99330" s="1"/>
    </row>
    <row r="99331" spans="17:17" x14ac:dyDescent="0.35">
      <c r="Q99331" s="1"/>
    </row>
    <row r="99333" spans="17:17" x14ac:dyDescent="0.35">
      <c r="Q99333" s="1"/>
    </row>
    <row r="99335" spans="17:17" x14ac:dyDescent="0.35">
      <c r="Q99335" s="1"/>
    </row>
    <row r="99341" spans="17:17" x14ac:dyDescent="0.35">
      <c r="Q99341" s="1"/>
    </row>
    <row r="99342" spans="17:17" x14ac:dyDescent="0.35">
      <c r="Q99342" s="1"/>
    </row>
    <row r="99353" spans="17:17" x14ac:dyDescent="0.35">
      <c r="Q99353" s="1"/>
    </row>
    <row r="99359" spans="17:17" x14ac:dyDescent="0.35">
      <c r="Q99359" s="1"/>
    </row>
    <row r="99361" spans="17:17" x14ac:dyDescent="0.35">
      <c r="Q99361" s="1"/>
    </row>
    <row r="99366" spans="17:17" x14ac:dyDescent="0.35">
      <c r="Q99366" s="1"/>
    </row>
    <row r="99369" spans="17:17" x14ac:dyDescent="0.35">
      <c r="Q99369" s="1"/>
    </row>
    <row r="99373" spans="17:17" x14ac:dyDescent="0.35">
      <c r="Q99373" s="1"/>
    </row>
    <row r="99374" spans="17:17" x14ac:dyDescent="0.35">
      <c r="Q99374" s="1"/>
    </row>
    <row r="99377" spans="17:17" x14ac:dyDescent="0.35">
      <c r="Q99377" s="1"/>
    </row>
    <row r="99378" spans="17:17" x14ac:dyDescent="0.35">
      <c r="Q99378" s="1"/>
    </row>
    <row r="99379" spans="17:17" x14ac:dyDescent="0.35">
      <c r="Q99379" s="1"/>
    </row>
    <row r="99380" spans="17:17" x14ac:dyDescent="0.35">
      <c r="Q99380" s="1"/>
    </row>
    <row r="99385" spans="17:17" x14ac:dyDescent="0.35">
      <c r="Q99385" s="1"/>
    </row>
    <row r="99387" spans="17:17" x14ac:dyDescent="0.35">
      <c r="Q99387" s="1"/>
    </row>
    <row r="99391" spans="17:17" x14ac:dyDescent="0.35">
      <c r="Q99391" s="1"/>
    </row>
    <row r="99396" spans="17:17" x14ac:dyDescent="0.35">
      <c r="Q99396" s="1"/>
    </row>
    <row r="99397" spans="17:17" x14ac:dyDescent="0.35">
      <c r="Q99397" s="1"/>
    </row>
    <row r="99398" spans="17:17" x14ac:dyDescent="0.35">
      <c r="Q99398" s="1"/>
    </row>
    <row r="99399" spans="17:17" x14ac:dyDescent="0.35">
      <c r="Q99399" s="1"/>
    </row>
    <row r="99400" spans="17:17" x14ac:dyDescent="0.35">
      <c r="Q99400" s="1"/>
    </row>
    <row r="99401" spans="17:17" x14ac:dyDescent="0.35">
      <c r="Q99401" s="1"/>
    </row>
    <row r="99405" spans="17:17" x14ac:dyDescent="0.35">
      <c r="Q99405" s="1"/>
    </row>
    <row r="99407" spans="17:17" x14ac:dyDescent="0.35">
      <c r="Q99407" s="1"/>
    </row>
    <row r="99420" spans="17:17" x14ac:dyDescent="0.35">
      <c r="Q99420" s="1"/>
    </row>
    <row r="99422" spans="17:17" x14ac:dyDescent="0.35">
      <c r="Q99422" s="1"/>
    </row>
    <row r="99426" spans="17:17" x14ac:dyDescent="0.35">
      <c r="Q99426" s="1"/>
    </row>
    <row r="99431" spans="17:17" x14ac:dyDescent="0.35">
      <c r="Q99431" s="1"/>
    </row>
    <row r="99433" spans="17:17" x14ac:dyDescent="0.35">
      <c r="Q99433" s="1"/>
    </row>
    <row r="99437" spans="17:17" x14ac:dyDescent="0.35">
      <c r="Q99437" s="1"/>
    </row>
    <row r="99439" spans="17:17" x14ac:dyDescent="0.35">
      <c r="Q99439" s="1"/>
    </row>
    <row r="99454" spans="17:17" x14ac:dyDescent="0.35">
      <c r="Q99454" s="1"/>
    </row>
    <row r="99456" spans="17:17" x14ac:dyDescent="0.35">
      <c r="Q99456" s="1"/>
    </row>
    <row r="99460" spans="17:17" x14ac:dyDescent="0.35">
      <c r="Q99460" s="1"/>
    </row>
    <row r="99461" spans="17:17" x14ac:dyDescent="0.35">
      <c r="Q99461" s="1"/>
    </row>
    <row r="99463" spans="17:17" x14ac:dyDescent="0.35">
      <c r="Q99463" s="1"/>
    </row>
    <row r="99478" spans="17:17" x14ac:dyDescent="0.35">
      <c r="Q99478" s="1"/>
    </row>
    <row r="99480" spans="17:17" x14ac:dyDescent="0.35">
      <c r="Q99480" s="1"/>
    </row>
    <row r="99481" spans="17:17" x14ac:dyDescent="0.35">
      <c r="Q99481" s="1"/>
    </row>
    <row r="99508" spans="17:17" x14ac:dyDescent="0.35">
      <c r="Q99508" s="1"/>
    </row>
    <row r="99511" spans="17:17" x14ac:dyDescent="0.35">
      <c r="Q99511" s="1"/>
    </row>
    <row r="99512" spans="17:17" x14ac:dyDescent="0.35">
      <c r="Q99512" s="1"/>
    </row>
    <row r="99514" spans="17:17" x14ac:dyDescent="0.35">
      <c r="Q99514" s="1"/>
    </row>
    <row r="99517" spans="17:17" x14ac:dyDescent="0.35">
      <c r="Q99517" s="1"/>
    </row>
    <row r="99518" spans="17:17" x14ac:dyDescent="0.35">
      <c r="Q99518" s="1"/>
    </row>
    <row r="99525" spans="17:17" x14ac:dyDescent="0.35">
      <c r="Q99525" s="1"/>
    </row>
    <row r="99529" spans="17:17" x14ac:dyDescent="0.35">
      <c r="Q99529" s="1"/>
    </row>
    <row r="99534" spans="17:17" x14ac:dyDescent="0.35">
      <c r="Q99534" s="1"/>
    </row>
    <row r="99539" spans="17:17" x14ac:dyDescent="0.35">
      <c r="Q99539" s="1"/>
    </row>
    <row r="99540" spans="17:17" x14ac:dyDescent="0.35">
      <c r="Q99540" s="1"/>
    </row>
    <row r="99544" spans="17:17" x14ac:dyDescent="0.35">
      <c r="Q99544" s="1"/>
    </row>
    <row r="99545" spans="17:17" x14ac:dyDescent="0.35">
      <c r="Q99545" s="1"/>
    </row>
    <row r="99547" spans="17:17" x14ac:dyDescent="0.35">
      <c r="Q99547" s="1"/>
    </row>
    <row r="99549" spans="17:17" x14ac:dyDescent="0.35">
      <c r="Q99549" s="1"/>
    </row>
    <row r="99556" spans="17:17" x14ac:dyDescent="0.35">
      <c r="Q99556" s="1"/>
    </row>
    <row r="99559" spans="17:17" x14ac:dyDescent="0.35">
      <c r="Q99559" s="1"/>
    </row>
    <row r="99568" spans="17:17" x14ac:dyDescent="0.35">
      <c r="Q99568" s="1"/>
    </row>
    <row r="99574" spans="17:17" x14ac:dyDescent="0.35">
      <c r="Q99574" s="1"/>
    </row>
    <row r="99575" spans="17:17" x14ac:dyDescent="0.35">
      <c r="Q99575" s="1"/>
    </row>
    <row r="99579" spans="17:17" x14ac:dyDescent="0.35">
      <c r="Q99579" s="1"/>
    </row>
    <row r="99584" spans="17:17" x14ac:dyDescent="0.35">
      <c r="Q99584" s="1"/>
    </row>
    <row r="99589" spans="17:17" x14ac:dyDescent="0.35">
      <c r="Q99589" s="1"/>
    </row>
    <row r="99593" spans="17:17" x14ac:dyDescent="0.35">
      <c r="Q99593" s="1"/>
    </row>
    <row r="99601" spans="17:17" x14ac:dyDescent="0.35">
      <c r="Q99601" s="1"/>
    </row>
    <row r="99602" spans="17:17" x14ac:dyDescent="0.35">
      <c r="Q99602" s="1"/>
    </row>
    <row r="99604" spans="17:17" x14ac:dyDescent="0.35">
      <c r="Q99604" s="1"/>
    </row>
    <row r="99607" spans="17:17" x14ac:dyDescent="0.35">
      <c r="Q99607" s="1"/>
    </row>
    <row r="99613" spans="17:17" x14ac:dyDescent="0.35">
      <c r="Q99613" s="1"/>
    </row>
    <row r="99615" spans="17:17" x14ac:dyDescent="0.35">
      <c r="Q99615" s="1"/>
    </row>
    <row r="99624" spans="17:17" x14ac:dyDescent="0.35">
      <c r="Q99624" s="1"/>
    </row>
    <row r="99631" spans="17:17" x14ac:dyDescent="0.35">
      <c r="Q99631" s="1"/>
    </row>
    <row r="99642" spans="17:17" x14ac:dyDescent="0.35">
      <c r="Q99642" s="1"/>
    </row>
    <row r="99643" spans="17:17" x14ac:dyDescent="0.35">
      <c r="Q99643" s="1"/>
    </row>
    <row r="99646" spans="17:17" x14ac:dyDescent="0.35">
      <c r="Q99646" s="1"/>
    </row>
    <row r="99648" spans="17:17" x14ac:dyDescent="0.35">
      <c r="Q99648" s="1"/>
    </row>
    <row r="99651" spans="17:17" x14ac:dyDescent="0.35">
      <c r="Q99651" s="1"/>
    </row>
    <row r="99652" spans="17:17" x14ac:dyDescent="0.35">
      <c r="Q99652" s="1"/>
    </row>
    <row r="99653" spans="17:17" x14ac:dyDescent="0.35">
      <c r="Q99653" s="1"/>
    </row>
    <row r="99654" spans="17:17" x14ac:dyDescent="0.35">
      <c r="Q99654" s="1"/>
    </row>
    <row r="99660" spans="17:17" x14ac:dyDescent="0.35">
      <c r="Q99660" s="1"/>
    </row>
    <row r="99661" spans="17:17" x14ac:dyDescent="0.35">
      <c r="Q99661" s="1"/>
    </row>
    <row r="99663" spans="17:17" x14ac:dyDescent="0.35">
      <c r="Q99663" s="1"/>
    </row>
    <row r="99666" spans="17:17" x14ac:dyDescent="0.35">
      <c r="Q99666" s="1"/>
    </row>
    <row r="99674" spans="17:17" x14ac:dyDescent="0.35">
      <c r="Q99674" s="1"/>
    </row>
    <row r="99676" spans="17:17" x14ac:dyDescent="0.35">
      <c r="Q99676" s="1"/>
    </row>
    <row r="99680" spans="17:17" x14ac:dyDescent="0.35">
      <c r="Q99680" s="1"/>
    </row>
    <row r="99701" spans="17:17" x14ac:dyDescent="0.35">
      <c r="Q99701" s="1"/>
    </row>
    <row r="99711" spans="17:17" x14ac:dyDescent="0.35">
      <c r="Q99711" s="1"/>
    </row>
    <row r="99712" spans="17:17" x14ac:dyDescent="0.35">
      <c r="Q99712" s="1"/>
    </row>
    <row r="99718" spans="17:17" x14ac:dyDescent="0.35">
      <c r="Q99718" s="1"/>
    </row>
    <row r="99721" spans="17:17" x14ac:dyDescent="0.35">
      <c r="Q99721" s="1"/>
    </row>
    <row r="99722" spans="17:17" x14ac:dyDescent="0.35">
      <c r="Q99722" s="1"/>
    </row>
    <row r="99739" spans="17:17" x14ac:dyDescent="0.35">
      <c r="Q99739" s="1"/>
    </row>
    <row r="99740" spans="17:17" x14ac:dyDescent="0.35">
      <c r="Q99740" s="1"/>
    </row>
    <row r="99741" spans="17:17" x14ac:dyDescent="0.35">
      <c r="Q99741" s="1"/>
    </row>
    <row r="99752" spans="17:17" x14ac:dyDescent="0.35">
      <c r="Q99752" s="1"/>
    </row>
    <row r="99754" spans="17:17" x14ac:dyDescent="0.35">
      <c r="Q99754" s="1"/>
    </row>
    <row r="99768" spans="17:17" x14ac:dyDescent="0.35">
      <c r="Q99768" s="1"/>
    </row>
    <row r="99772" spans="17:17" x14ac:dyDescent="0.35">
      <c r="Q99772" s="1"/>
    </row>
    <row r="99776" spans="17:17" x14ac:dyDescent="0.35">
      <c r="Q99776" s="1"/>
    </row>
    <row r="99784" spans="17:17" x14ac:dyDescent="0.35">
      <c r="Q99784" s="1"/>
    </row>
    <row r="99795" spans="17:17" x14ac:dyDescent="0.35">
      <c r="Q99795" s="1"/>
    </row>
    <row r="99796" spans="17:17" x14ac:dyDescent="0.35">
      <c r="Q99796" s="1"/>
    </row>
    <row r="99797" spans="17:17" x14ac:dyDescent="0.35">
      <c r="Q99797" s="1"/>
    </row>
    <row r="99807" spans="17:17" x14ac:dyDescent="0.35">
      <c r="Q99807" s="1"/>
    </row>
    <row r="99810" spans="17:17" x14ac:dyDescent="0.35">
      <c r="Q99810" s="1"/>
    </row>
    <row r="99813" spans="17:17" x14ac:dyDescent="0.35">
      <c r="Q99813" s="1"/>
    </row>
    <row r="99818" spans="17:17" x14ac:dyDescent="0.35">
      <c r="Q99818" s="1"/>
    </row>
    <row r="99821" spans="17:17" x14ac:dyDescent="0.35">
      <c r="Q99821" s="1"/>
    </row>
    <row r="99824" spans="17:17" x14ac:dyDescent="0.35">
      <c r="Q99824" s="1"/>
    </row>
    <row r="99829" spans="17:17" x14ac:dyDescent="0.35">
      <c r="Q99829" s="1"/>
    </row>
    <row r="99833" spans="17:17" x14ac:dyDescent="0.35">
      <c r="Q99833" s="1"/>
    </row>
    <row r="99835" spans="17:17" x14ac:dyDescent="0.35">
      <c r="Q99835" s="1"/>
    </row>
    <row r="99841" spans="17:17" x14ac:dyDescent="0.35">
      <c r="Q99841" s="1"/>
    </row>
    <row r="99843" spans="17:17" x14ac:dyDescent="0.35">
      <c r="Q99843" s="1"/>
    </row>
    <row r="99845" spans="17:17" x14ac:dyDescent="0.35">
      <c r="Q99845" s="1"/>
    </row>
    <row r="99850" spans="17:17" x14ac:dyDescent="0.35">
      <c r="Q99850" s="1"/>
    </row>
    <row r="99854" spans="17:17" x14ac:dyDescent="0.35">
      <c r="Q99854" s="1"/>
    </row>
    <row r="99856" spans="17:17" x14ac:dyDescent="0.35">
      <c r="Q99856" s="1"/>
    </row>
    <row r="99857" spans="17:17" x14ac:dyDescent="0.35">
      <c r="Q99857" s="1"/>
    </row>
    <row r="99860" spans="17:17" x14ac:dyDescent="0.35">
      <c r="Q99860" s="1"/>
    </row>
    <row r="99871" spans="17:17" x14ac:dyDescent="0.35">
      <c r="Q99871" s="1"/>
    </row>
    <row r="99876" spans="17:17" x14ac:dyDescent="0.35">
      <c r="Q99876" s="1"/>
    </row>
    <row r="99883" spans="17:17" x14ac:dyDescent="0.35">
      <c r="Q99883" s="1"/>
    </row>
    <row r="99887" spans="17:17" x14ac:dyDescent="0.35">
      <c r="Q99887" s="1"/>
    </row>
    <row r="99888" spans="17:17" x14ac:dyDescent="0.35">
      <c r="Q99888" s="1"/>
    </row>
    <row r="99890" spans="17:17" x14ac:dyDescent="0.35">
      <c r="Q99890" s="1"/>
    </row>
    <row r="99891" spans="17:17" x14ac:dyDescent="0.35">
      <c r="Q99891" s="1"/>
    </row>
    <row r="99893" spans="17:17" x14ac:dyDescent="0.35">
      <c r="Q99893" s="1"/>
    </row>
    <row r="99904" spans="17:17" x14ac:dyDescent="0.35">
      <c r="Q99904" s="1"/>
    </row>
    <row r="99905" spans="17:17" x14ac:dyDescent="0.35">
      <c r="Q99905" s="1"/>
    </row>
    <row r="99909" spans="17:17" x14ac:dyDescent="0.35">
      <c r="Q99909" s="1"/>
    </row>
    <row r="99916" spans="17:17" x14ac:dyDescent="0.35">
      <c r="Q99916" s="1"/>
    </row>
    <row r="99922" spans="17:17" x14ac:dyDescent="0.35">
      <c r="Q99922" s="1"/>
    </row>
    <row r="99928" spans="17:17" x14ac:dyDescent="0.35">
      <c r="Q99928" s="1"/>
    </row>
    <row r="99941" spans="17:17" x14ac:dyDescent="0.35">
      <c r="Q99941" s="1"/>
    </row>
    <row r="99944" spans="17:17" x14ac:dyDescent="0.35">
      <c r="Q99944" s="1"/>
    </row>
    <row r="99947" spans="17:17" x14ac:dyDescent="0.35">
      <c r="Q99947" s="1"/>
    </row>
    <row r="99948" spans="17:17" x14ac:dyDescent="0.35">
      <c r="Q99948" s="1"/>
    </row>
    <row r="99949" spans="17:17" x14ac:dyDescent="0.35">
      <c r="Q99949" s="1"/>
    </row>
    <row r="99958" spans="17:17" x14ac:dyDescent="0.35">
      <c r="Q99958" s="1"/>
    </row>
    <row r="99962" spans="17:17" x14ac:dyDescent="0.35">
      <c r="Q99962" s="1"/>
    </row>
    <row r="99969" spans="17:17" x14ac:dyDescent="0.35">
      <c r="Q99969" s="1"/>
    </row>
    <row r="99979" spans="17:17" x14ac:dyDescent="0.35">
      <c r="Q99979" s="1"/>
    </row>
    <row r="99983" spans="17:17" x14ac:dyDescent="0.35">
      <c r="Q99983" s="1"/>
    </row>
    <row r="99984" spans="17:17" x14ac:dyDescent="0.35">
      <c r="Q99984" s="1"/>
    </row>
    <row r="99986" spans="17:17" x14ac:dyDescent="0.35">
      <c r="Q99986" s="1"/>
    </row>
    <row r="99988" spans="17:17" x14ac:dyDescent="0.35">
      <c r="Q99988" s="1"/>
    </row>
    <row r="99989" spans="17:17" x14ac:dyDescent="0.35">
      <c r="Q99989" s="1"/>
    </row>
    <row r="99992" spans="17:17" x14ac:dyDescent="0.35">
      <c r="Q99992" s="1"/>
    </row>
    <row r="99993" spans="17:17" x14ac:dyDescent="0.35">
      <c r="Q99993" s="1"/>
    </row>
    <row r="99994" spans="17:17" x14ac:dyDescent="0.35">
      <c r="Q99994" s="1"/>
    </row>
    <row r="100003" spans="17:17" x14ac:dyDescent="0.35">
      <c r="Q100003" s="1"/>
    </row>
    <row r="100014" spans="17:17" x14ac:dyDescent="0.35">
      <c r="Q100014" s="1"/>
    </row>
    <row r="100018" spans="16:17" x14ac:dyDescent="0.35">
      <c r="Q100018" s="1"/>
    </row>
    <row r="100022" spans="16:17" x14ac:dyDescent="0.35">
      <c r="Q100022" s="1"/>
    </row>
    <row r="100024" spans="16:17" x14ac:dyDescent="0.35">
      <c r="P100024" s="1"/>
    </row>
    <row r="100025" spans="16:17" x14ac:dyDescent="0.35">
      <c r="Q100025" s="1"/>
    </row>
    <row r="100029" spans="16:17" x14ac:dyDescent="0.35">
      <c r="Q100029" s="1"/>
    </row>
    <row r="100035" spans="17:17" x14ac:dyDescent="0.35">
      <c r="Q100035" s="1"/>
    </row>
    <row r="100037" spans="17:17" x14ac:dyDescent="0.35">
      <c r="Q100037" s="1"/>
    </row>
    <row r="100039" spans="17:17" x14ac:dyDescent="0.35">
      <c r="Q100039" s="1"/>
    </row>
    <row r="100041" spans="17:17" x14ac:dyDescent="0.35">
      <c r="Q100041" s="1"/>
    </row>
    <row r="100042" spans="17:17" x14ac:dyDescent="0.35">
      <c r="Q100042" s="1"/>
    </row>
    <row r="100044" spans="17:17" x14ac:dyDescent="0.35">
      <c r="Q100044" s="1"/>
    </row>
    <row r="100046" spans="17:17" x14ac:dyDescent="0.35">
      <c r="Q100046" s="1"/>
    </row>
    <row r="100047" spans="17:17" x14ac:dyDescent="0.35">
      <c r="Q100047" s="1"/>
    </row>
    <row r="100049" spans="16:17" x14ac:dyDescent="0.35">
      <c r="Q100049" s="1"/>
    </row>
    <row r="100050" spans="16:17" x14ac:dyDescent="0.35">
      <c r="Q100050" s="1"/>
    </row>
    <row r="100051" spans="16:17" x14ac:dyDescent="0.35">
      <c r="Q100051" s="1"/>
    </row>
    <row r="100053" spans="16:17" x14ac:dyDescent="0.35">
      <c r="Q100053" s="1"/>
    </row>
    <row r="100054" spans="16:17" x14ac:dyDescent="0.35">
      <c r="Q100054" s="1"/>
    </row>
    <row r="100056" spans="16:17" x14ac:dyDescent="0.35">
      <c r="P100056" s="1"/>
    </row>
    <row r="100059" spans="16:17" x14ac:dyDescent="0.35">
      <c r="Q100059" s="1"/>
    </row>
    <row r="100073" spans="17:17" x14ac:dyDescent="0.35">
      <c r="Q100073" s="1"/>
    </row>
    <row r="100076" spans="17:17" x14ac:dyDescent="0.35">
      <c r="Q100076" s="1"/>
    </row>
    <row r="100079" spans="17:17" x14ac:dyDescent="0.35">
      <c r="Q100079" s="1"/>
    </row>
    <row r="100080" spans="17:17" x14ac:dyDescent="0.35">
      <c r="Q100080" s="1"/>
    </row>
    <row r="100082" spans="17:17" x14ac:dyDescent="0.35">
      <c r="Q100082" s="1"/>
    </row>
    <row r="100086" spans="17:17" x14ac:dyDescent="0.35">
      <c r="Q100086" s="1"/>
    </row>
    <row r="100087" spans="17:17" x14ac:dyDescent="0.35">
      <c r="Q100087" s="1"/>
    </row>
    <row r="100092" spans="17:17" x14ac:dyDescent="0.35">
      <c r="Q100092" s="1"/>
    </row>
    <row r="100098" spans="17:17" x14ac:dyDescent="0.35">
      <c r="Q100098" s="1"/>
    </row>
    <row r="100099" spans="17:17" x14ac:dyDescent="0.35">
      <c r="Q100099" s="1"/>
    </row>
    <row r="100102" spans="17:17" x14ac:dyDescent="0.35">
      <c r="Q100102" s="1"/>
    </row>
    <row r="100106" spans="17:17" x14ac:dyDescent="0.35">
      <c r="Q100106" s="1"/>
    </row>
    <row r="100111" spans="17:17" x14ac:dyDescent="0.35">
      <c r="Q100111" s="1"/>
    </row>
    <row r="100114" spans="17:17" x14ac:dyDescent="0.35">
      <c r="Q100114" s="1"/>
    </row>
    <row r="100115" spans="17:17" x14ac:dyDescent="0.35">
      <c r="Q100115" s="1"/>
    </row>
    <row r="100117" spans="17:17" x14ac:dyDescent="0.35">
      <c r="Q100117" s="1"/>
    </row>
    <row r="100118" spans="17:17" x14ac:dyDescent="0.35">
      <c r="Q100118" s="1"/>
    </row>
    <row r="100126" spans="17:17" x14ac:dyDescent="0.35">
      <c r="Q100126" s="1"/>
    </row>
    <row r="100129" spans="17:17" x14ac:dyDescent="0.35">
      <c r="Q100129" s="1"/>
    </row>
    <row r="100133" spans="17:17" x14ac:dyDescent="0.35">
      <c r="Q100133" s="1"/>
    </row>
    <row r="100138" spans="17:17" x14ac:dyDescent="0.35">
      <c r="Q100138" s="1"/>
    </row>
    <row r="100139" spans="17:17" x14ac:dyDescent="0.35">
      <c r="Q100139" s="1"/>
    </row>
    <row r="100152" spans="17:17" x14ac:dyDescent="0.35">
      <c r="Q100152" s="1"/>
    </row>
    <row r="100164" spans="17:17" x14ac:dyDescent="0.35">
      <c r="Q100164" s="1"/>
    </row>
    <row r="100165" spans="17:17" x14ac:dyDescent="0.35">
      <c r="Q100165" s="1"/>
    </row>
    <row r="100168" spans="17:17" x14ac:dyDescent="0.35">
      <c r="Q100168" s="1"/>
    </row>
    <row r="100171" spans="17:17" x14ac:dyDescent="0.35">
      <c r="Q100171" s="1"/>
    </row>
    <row r="100174" spans="17:17" x14ac:dyDescent="0.35">
      <c r="Q100174" s="1"/>
    </row>
    <row r="100175" spans="17:17" x14ac:dyDescent="0.35">
      <c r="Q100175" s="1"/>
    </row>
    <row r="100179" spans="17:17" x14ac:dyDescent="0.35">
      <c r="Q100179" s="1"/>
    </row>
    <row r="100181" spans="17:17" x14ac:dyDescent="0.35">
      <c r="Q100181" s="1"/>
    </row>
    <row r="100182" spans="17:17" x14ac:dyDescent="0.35">
      <c r="Q100182" s="1"/>
    </row>
    <row r="100184" spans="17:17" x14ac:dyDescent="0.35">
      <c r="Q100184" s="1"/>
    </row>
    <row r="100185" spans="17:17" x14ac:dyDescent="0.35">
      <c r="Q100185" s="1"/>
    </row>
    <row r="100192" spans="17:17" x14ac:dyDescent="0.35">
      <c r="Q100192" s="1"/>
    </row>
    <row r="100197" spans="17:17" x14ac:dyDescent="0.35">
      <c r="Q100197" s="1"/>
    </row>
    <row r="100206" spans="17:17" x14ac:dyDescent="0.35">
      <c r="Q100206" s="1"/>
    </row>
    <row r="100208" spans="17:17" x14ac:dyDescent="0.35">
      <c r="Q100208" s="1"/>
    </row>
    <row r="100210" spans="16:17" x14ac:dyDescent="0.35">
      <c r="Q100210" s="1"/>
    </row>
    <row r="100216" spans="16:17" x14ac:dyDescent="0.35">
      <c r="P100216" s="1"/>
    </row>
    <row r="100217" spans="16:17" x14ac:dyDescent="0.35">
      <c r="Q100217" s="1"/>
    </row>
    <row r="100218" spans="16:17" x14ac:dyDescent="0.35">
      <c r="Q100218" s="1"/>
    </row>
    <row r="100219" spans="16:17" x14ac:dyDescent="0.35">
      <c r="P100219" s="1"/>
    </row>
    <row r="100220" spans="16:17" x14ac:dyDescent="0.35">
      <c r="Q100220" s="1"/>
    </row>
    <row r="100222" spans="16:17" x14ac:dyDescent="0.35">
      <c r="Q100222" s="1"/>
    </row>
    <row r="100230" spans="17:17" x14ac:dyDescent="0.35">
      <c r="Q100230" s="1"/>
    </row>
    <row r="100232" spans="17:17" x14ac:dyDescent="0.35">
      <c r="Q100232" s="1"/>
    </row>
    <row r="100234" spans="17:17" x14ac:dyDescent="0.35">
      <c r="Q100234" s="1"/>
    </row>
    <row r="100237" spans="17:17" x14ac:dyDescent="0.35">
      <c r="Q100237" s="1"/>
    </row>
    <row r="100239" spans="17:17" x14ac:dyDescent="0.35">
      <c r="Q100239" s="1"/>
    </row>
    <row r="100240" spans="17:17" x14ac:dyDescent="0.35">
      <c r="Q100240" s="1"/>
    </row>
    <row r="100242" spans="17:17" x14ac:dyDescent="0.35">
      <c r="Q100242" s="1"/>
    </row>
    <row r="100254" spans="17:17" x14ac:dyDescent="0.35">
      <c r="Q100254" s="1"/>
    </row>
    <row r="100256" spans="17:17" x14ac:dyDescent="0.35">
      <c r="Q100256" s="1"/>
    </row>
    <row r="100258" spans="16:17" x14ac:dyDescent="0.35">
      <c r="Q100258" s="1"/>
    </row>
    <row r="100262" spans="16:17" x14ac:dyDescent="0.35">
      <c r="P100262" s="1"/>
    </row>
    <row r="100263" spans="16:17" x14ac:dyDescent="0.35">
      <c r="Q100263" s="1"/>
    </row>
    <row r="100267" spans="16:17" x14ac:dyDescent="0.35">
      <c r="Q100267" s="1"/>
    </row>
    <row r="100271" spans="16:17" x14ac:dyDescent="0.35">
      <c r="Q100271" s="1"/>
    </row>
    <row r="100273" spans="17:17" x14ac:dyDescent="0.35">
      <c r="Q100273" s="1"/>
    </row>
    <row r="100274" spans="17:17" x14ac:dyDescent="0.35">
      <c r="Q100274" s="1"/>
    </row>
    <row r="100275" spans="17:17" x14ac:dyDescent="0.35">
      <c r="Q100275" s="1"/>
    </row>
    <row r="100276" spans="17:17" x14ac:dyDescent="0.35">
      <c r="Q100276" s="1"/>
    </row>
    <row r="100289" spans="17:17" x14ac:dyDescent="0.35">
      <c r="Q100289" s="1"/>
    </row>
    <row r="100291" spans="17:17" x14ac:dyDescent="0.35">
      <c r="Q100291" s="1"/>
    </row>
    <row r="100294" spans="17:17" x14ac:dyDescent="0.35">
      <c r="Q100294" s="1"/>
    </row>
    <row r="100300" spans="17:17" x14ac:dyDescent="0.35">
      <c r="Q100300" s="1"/>
    </row>
    <row r="100306" spans="17:17" x14ac:dyDescent="0.35">
      <c r="Q100306" s="1"/>
    </row>
    <row r="100310" spans="17:17" x14ac:dyDescent="0.35">
      <c r="Q100310" s="1"/>
    </row>
    <row r="100321" spans="17:17" x14ac:dyDescent="0.35">
      <c r="Q100321" s="1"/>
    </row>
    <row r="100327" spans="17:17" x14ac:dyDescent="0.35">
      <c r="Q100327" s="1"/>
    </row>
    <row r="100332" spans="17:17" x14ac:dyDescent="0.35">
      <c r="Q100332" s="1"/>
    </row>
    <row r="100333" spans="17:17" x14ac:dyDescent="0.35">
      <c r="Q100333" s="1"/>
    </row>
    <row r="100334" spans="17:17" x14ac:dyDescent="0.35">
      <c r="Q100334" s="1"/>
    </row>
    <row r="100335" spans="17:17" x14ac:dyDescent="0.35">
      <c r="Q100335" s="1"/>
    </row>
    <row r="100339" spans="17:17" x14ac:dyDescent="0.35">
      <c r="Q100339" s="1"/>
    </row>
    <row r="100342" spans="17:17" x14ac:dyDescent="0.35">
      <c r="Q100342" s="1"/>
    </row>
    <row r="100344" spans="17:17" x14ac:dyDescent="0.35">
      <c r="Q100344" s="1"/>
    </row>
    <row r="100345" spans="17:17" x14ac:dyDescent="0.35">
      <c r="Q100345" s="1"/>
    </row>
    <row r="100355" spans="16:17" x14ac:dyDescent="0.35">
      <c r="Q100355" s="1"/>
    </row>
    <row r="100357" spans="16:17" x14ac:dyDescent="0.35">
      <c r="Q100357" s="1"/>
    </row>
    <row r="100359" spans="16:17" x14ac:dyDescent="0.35">
      <c r="Q100359" s="1"/>
    </row>
    <row r="100361" spans="16:17" x14ac:dyDescent="0.35">
      <c r="P100361" s="1"/>
      <c r="Q100361" s="1"/>
    </row>
    <row r="100362" spans="16:17" x14ac:dyDescent="0.35">
      <c r="Q100362" s="1"/>
    </row>
    <row r="100363" spans="16:17" x14ac:dyDescent="0.35">
      <c r="Q100363" s="1"/>
    </row>
    <row r="100365" spans="16:17" x14ac:dyDescent="0.35">
      <c r="Q100365" s="1"/>
    </row>
    <row r="100366" spans="16:17" x14ac:dyDescent="0.35">
      <c r="Q100366" s="1"/>
    </row>
    <row r="100371" spans="16:17" x14ac:dyDescent="0.35">
      <c r="Q100371" s="1"/>
    </row>
    <row r="100374" spans="16:17" x14ac:dyDescent="0.35">
      <c r="P100374" s="1"/>
    </row>
    <row r="100378" spans="16:17" x14ac:dyDescent="0.35">
      <c r="Q100378" s="1"/>
    </row>
    <row r="100383" spans="16:17" x14ac:dyDescent="0.35">
      <c r="Q100383" s="1"/>
    </row>
    <row r="100385" spans="16:17" x14ac:dyDescent="0.35">
      <c r="Q100385" s="1"/>
    </row>
    <row r="100386" spans="16:17" x14ac:dyDescent="0.35">
      <c r="P100386" s="1"/>
    </row>
    <row r="100400" spans="16:17" x14ac:dyDescent="0.35">
      <c r="Q100400" s="1"/>
    </row>
    <row r="100409" spans="17:17" x14ac:dyDescent="0.35">
      <c r="Q100409" s="1"/>
    </row>
    <row r="100410" spans="17:17" x14ac:dyDescent="0.35">
      <c r="Q100410" s="1"/>
    </row>
    <row r="100412" spans="17:17" x14ac:dyDescent="0.35">
      <c r="Q100412" s="1"/>
    </row>
    <row r="100413" spans="17:17" x14ac:dyDescent="0.35">
      <c r="Q100413" s="1"/>
    </row>
    <row r="100414" spans="17:17" x14ac:dyDescent="0.35">
      <c r="Q100414" s="1"/>
    </row>
    <row r="100415" spans="17:17" x14ac:dyDescent="0.35">
      <c r="Q100415" s="1"/>
    </row>
    <row r="100425" spans="17:17" x14ac:dyDescent="0.35">
      <c r="Q100425" s="1"/>
    </row>
    <row r="100434" spans="17:17" x14ac:dyDescent="0.35">
      <c r="Q100434" s="1"/>
    </row>
    <row r="100435" spans="17:17" x14ac:dyDescent="0.35">
      <c r="Q100435" s="1"/>
    </row>
    <row r="100442" spans="17:17" x14ac:dyDescent="0.35">
      <c r="Q100442" s="1"/>
    </row>
    <row r="100448" spans="17:17" x14ac:dyDescent="0.35">
      <c r="Q100448" s="1"/>
    </row>
    <row r="100449" spans="16:17" x14ac:dyDescent="0.35">
      <c r="Q100449" s="1"/>
    </row>
    <row r="100451" spans="16:17" x14ac:dyDescent="0.35">
      <c r="Q100451" s="1"/>
    </row>
    <row r="100453" spans="16:17" x14ac:dyDescent="0.35">
      <c r="P100453" s="1"/>
    </row>
    <row r="100458" spans="16:17" x14ac:dyDescent="0.35">
      <c r="Q100458" s="1"/>
    </row>
    <row r="100459" spans="16:17" x14ac:dyDescent="0.35">
      <c r="Q100459" s="1"/>
    </row>
    <row r="100460" spans="16:17" x14ac:dyDescent="0.35">
      <c r="Q100460" s="1"/>
    </row>
    <row r="100464" spans="16:17" x14ac:dyDescent="0.35">
      <c r="Q100464" s="1"/>
    </row>
    <row r="100468" spans="16:17" x14ac:dyDescent="0.35">
      <c r="Q100468" s="1"/>
    </row>
    <row r="100469" spans="16:17" x14ac:dyDescent="0.35">
      <c r="Q100469" s="1"/>
    </row>
    <row r="100471" spans="16:17" x14ac:dyDescent="0.35">
      <c r="Q100471" s="1"/>
    </row>
    <row r="100473" spans="16:17" x14ac:dyDescent="0.35">
      <c r="Q100473" s="1"/>
    </row>
    <row r="100475" spans="16:17" x14ac:dyDescent="0.35">
      <c r="Q100475" s="1"/>
    </row>
    <row r="100477" spans="16:17" x14ac:dyDescent="0.35">
      <c r="P100477" s="1"/>
      <c r="Q100477" s="1"/>
    </row>
    <row r="100478" spans="16:17" x14ac:dyDescent="0.35">
      <c r="Q100478" s="1"/>
    </row>
    <row r="100482" spans="16:17" x14ac:dyDescent="0.35">
      <c r="Q100482" s="1"/>
    </row>
    <row r="100483" spans="16:17" x14ac:dyDescent="0.35">
      <c r="Q100483" s="1"/>
    </row>
    <row r="100486" spans="16:17" x14ac:dyDescent="0.35">
      <c r="Q100486" s="1"/>
    </row>
    <row r="100487" spans="16:17" x14ac:dyDescent="0.35">
      <c r="P100487" s="1"/>
      <c r="Q100487" s="1"/>
    </row>
    <row r="100488" spans="16:17" x14ac:dyDescent="0.35">
      <c r="Q100488" s="1"/>
    </row>
    <row r="100497" spans="16:17" x14ac:dyDescent="0.35">
      <c r="Q100497" s="1"/>
    </row>
    <row r="100503" spans="16:17" x14ac:dyDescent="0.35">
      <c r="Q100503" s="1"/>
    </row>
    <row r="100505" spans="16:17" x14ac:dyDescent="0.35">
      <c r="Q100505" s="1"/>
    </row>
    <row r="100506" spans="16:17" x14ac:dyDescent="0.35">
      <c r="Q100506" s="1"/>
    </row>
    <row r="100507" spans="16:17" x14ac:dyDescent="0.35">
      <c r="Q100507" s="1"/>
    </row>
    <row r="100510" spans="16:17" x14ac:dyDescent="0.35">
      <c r="P100510" s="1"/>
      <c r="Q100510" s="1"/>
    </row>
    <row r="100511" spans="16:17" x14ac:dyDescent="0.35">
      <c r="Q100511" s="1"/>
    </row>
    <row r="100516" spans="16:17" x14ac:dyDescent="0.35">
      <c r="Q100516" s="1"/>
    </row>
    <row r="100517" spans="16:17" x14ac:dyDescent="0.35">
      <c r="Q100517" s="1"/>
    </row>
    <row r="100518" spans="16:17" x14ac:dyDescent="0.35">
      <c r="Q100518" s="1"/>
    </row>
    <row r="100520" spans="16:17" x14ac:dyDescent="0.35">
      <c r="P100520" s="1"/>
    </row>
    <row r="100521" spans="16:17" x14ac:dyDescent="0.35">
      <c r="Q100521" s="1"/>
    </row>
    <row r="100522" spans="16:17" x14ac:dyDescent="0.35">
      <c r="Q100522" s="1"/>
    </row>
    <row r="100523" spans="16:17" x14ac:dyDescent="0.35">
      <c r="Q100523" s="1"/>
    </row>
    <row r="100536" spans="17:17" x14ac:dyDescent="0.35">
      <c r="Q100536" s="1"/>
    </row>
    <row r="100542" spans="17:17" x14ac:dyDescent="0.35">
      <c r="Q100542" s="1"/>
    </row>
    <row r="100547" spans="17:17" x14ac:dyDescent="0.35">
      <c r="Q100547" s="1"/>
    </row>
    <row r="100548" spans="17:17" x14ac:dyDescent="0.35">
      <c r="Q100548" s="1"/>
    </row>
    <row r="100550" spans="17:17" x14ac:dyDescent="0.35">
      <c r="Q100550" s="1"/>
    </row>
    <row r="100552" spans="17:17" x14ac:dyDescent="0.35">
      <c r="Q100552" s="1"/>
    </row>
    <row r="100553" spans="17:17" x14ac:dyDescent="0.35">
      <c r="Q100553" s="1"/>
    </row>
    <row r="100561" spans="17:17" x14ac:dyDescent="0.35">
      <c r="Q100561" s="1"/>
    </row>
    <row r="100564" spans="17:17" x14ac:dyDescent="0.35">
      <c r="Q100564" s="1"/>
    </row>
    <row r="100568" spans="17:17" x14ac:dyDescent="0.35">
      <c r="Q100568" s="1"/>
    </row>
    <row r="100571" spans="17:17" x14ac:dyDescent="0.35">
      <c r="Q100571" s="1"/>
    </row>
    <row r="100572" spans="17:17" x14ac:dyDescent="0.35">
      <c r="Q100572" s="1"/>
    </row>
    <row r="100573" spans="17:17" x14ac:dyDescent="0.35">
      <c r="Q100573" s="1"/>
    </row>
    <row r="100575" spans="17:17" x14ac:dyDescent="0.35">
      <c r="Q100575" s="1"/>
    </row>
    <row r="100577" spans="17:17" x14ac:dyDescent="0.35">
      <c r="Q100577" s="1"/>
    </row>
    <row r="100578" spans="17:17" x14ac:dyDescent="0.35">
      <c r="Q100578" s="1"/>
    </row>
    <row r="100579" spans="17:17" x14ac:dyDescent="0.35">
      <c r="Q100579" s="1"/>
    </row>
    <row r="100585" spans="17:17" x14ac:dyDescent="0.35">
      <c r="Q100585" s="1"/>
    </row>
    <row r="100587" spans="17:17" x14ac:dyDescent="0.35">
      <c r="Q100587" s="1"/>
    </row>
    <row r="100589" spans="17:17" x14ac:dyDescent="0.35">
      <c r="Q100589" s="1"/>
    </row>
    <row r="100597" spans="17:17" x14ac:dyDescent="0.35">
      <c r="Q100597" s="1"/>
    </row>
    <row r="100603" spans="17:17" x14ac:dyDescent="0.35">
      <c r="Q100603" s="1"/>
    </row>
    <row r="100604" spans="17:17" x14ac:dyDescent="0.35">
      <c r="Q100604" s="1"/>
    </row>
    <row r="100605" spans="17:17" x14ac:dyDescent="0.35">
      <c r="Q100605" s="1"/>
    </row>
    <row r="100606" spans="17:17" x14ac:dyDescent="0.35">
      <c r="Q100606" s="1"/>
    </row>
    <row r="100607" spans="17:17" x14ac:dyDescent="0.35">
      <c r="Q100607" s="1"/>
    </row>
    <row r="100611" spans="17:17" x14ac:dyDescent="0.35">
      <c r="Q100611" s="1"/>
    </row>
    <row r="100613" spans="17:17" x14ac:dyDescent="0.35">
      <c r="Q100613" s="1"/>
    </row>
    <row r="100614" spans="17:17" x14ac:dyDescent="0.35">
      <c r="Q100614" s="1"/>
    </row>
    <row r="100622" spans="17:17" x14ac:dyDescent="0.35">
      <c r="Q100622" s="1"/>
    </row>
    <row r="100624" spans="17:17" x14ac:dyDescent="0.35">
      <c r="Q100624" s="1"/>
    </row>
    <row r="100626" spans="17:17" x14ac:dyDescent="0.35">
      <c r="Q100626" s="1"/>
    </row>
    <row r="100628" spans="17:17" x14ac:dyDescent="0.35">
      <c r="Q100628" s="1"/>
    </row>
    <row r="100632" spans="17:17" x14ac:dyDescent="0.35">
      <c r="Q100632" s="1"/>
    </row>
    <row r="100633" spans="17:17" x14ac:dyDescent="0.35">
      <c r="Q100633" s="1"/>
    </row>
    <row r="100634" spans="17:17" x14ac:dyDescent="0.35">
      <c r="Q100634" s="1"/>
    </row>
    <row r="100637" spans="17:17" x14ac:dyDescent="0.35">
      <c r="Q100637" s="1"/>
    </row>
    <row r="100639" spans="17:17" x14ac:dyDescent="0.35">
      <c r="Q100639" s="1"/>
    </row>
    <row r="100640" spans="17:17" x14ac:dyDescent="0.35">
      <c r="Q100640" s="1"/>
    </row>
    <row r="100641" spans="16:17" x14ac:dyDescent="0.35">
      <c r="Q100641" s="1"/>
    </row>
    <row r="100644" spans="16:17" x14ac:dyDescent="0.35">
      <c r="P100644" s="1"/>
    </row>
    <row r="100649" spans="16:17" x14ac:dyDescent="0.35">
      <c r="Q100649" s="1"/>
    </row>
    <row r="100651" spans="16:17" x14ac:dyDescent="0.35">
      <c r="Q100651" s="1"/>
    </row>
    <row r="100652" spans="16:17" x14ac:dyDescent="0.35">
      <c r="Q100652" s="1"/>
    </row>
    <row r="100656" spans="16:17" x14ac:dyDescent="0.35">
      <c r="Q100656" s="1"/>
    </row>
    <row r="100661" spans="6:17" x14ac:dyDescent="0.35">
      <c r="P100661" s="1"/>
    </row>
    <row r="100662" spans="6:17" x14ac:dyDescent="0.35">
      <c r="F100662" s="5"/>
    </row>
    <row r="100666" spans="6:17" x14ac:dyDescent="0.35">
      <c r="Q100666" s="1"/>
    </row>
    <row r="100669" spans="6:17" x14ac:dyDescent="0.35">
      <c r="Q100669" s="1"/>
    </row>
    <row r="100672" spans="6:17" x14ac:dyDescent="0.35">
      <c r="Q100672" s="1"/>
    </row>
    <row r="100677" spans="17:17" x14ac:dyDescent="0.35">
      <c r="Q100677" s="1"/>
    </row>
    <row r="100680" spans="17:17" x14ac:dyDescent="0.35">
      <c r="Q100680" s="1"/>
    </row>
    <row r="100683" spans="17:17" x14ac:dyDescent="0.35">
      <c r="Q100683" s="1"/>
    </row>
    <row r="100694" spans="17:17" x14ac:dyDescent="0.35">
      <c r="Q100694" s="1"/>
    </row>
    <row r="100705" spans="17:17" x14ac:dyDescent="0.35">
      <c r="Q100705" s="1"/>
    </row>
    <row r="100709" spans="17:17" x14ac:dyDescent="0.35">
      <c r="Q100709" s="1"/>
    </row>
    <row r="100712" spans="17:17" x14ac:dyDescent="0.35">
      <c r="Q100712" s="1"/>
    </row>
    <row r="100713" spans="17:17" x14ac:dyDescent="0.35">
      <c r="Q100713" s="1"/>
    </row>
    <row r="100714" spans="17:17" x14ac:dyDescent="0.35">
      <c r="Q100714" s="1"/>
    </row>
    <row r="100732" spans="17:17" x14ac:dyDescent="0.35">
      <c r="Q100732" s="1"/>
    </row>
    <row r="100733" spans="17:17" x14ac:dyDescent="0.35">
      <c r="Q100733" s="1"/>
    </row>
    <row r="100736" spans="17:17" x14ac:dyDescent="0.35">
      <c r="Q100736" s="1"/>
    </row>
    <row r="100737" spans="17:17" x14ac:dyDescent="0.35">
      <c r="Q100737" s="1"/>
    </row>
    <row r="100743" spans="17:17" x14ac:dyDescent="0.35">
      <c r="Q100743" s="1"/>
    </row>
    <row r="100746" spans="17:17" x14ac:dyDescent="0.35">
      <c r="Q100746" s="1"/>
    </row>
    <row r="100753" spans="17:17" x14ac:dyDescent="0.35">
      <c r="Q100753" s="1"/>
    </row>
    <row r="100754" spans="17:17" x14ac:dyDescent="0.35">
      <c r="Q100754" s="1"/>
    </row>
    <row r="100757" spans="17:17" x14ac:dyDescent="0.35">
      <c r="Q100757" s="1"/>
    </row>
    <row r="100762" spans="17:17" x14ac:dyDescent="0.35">
      <c r="Q100762" s="1"/>
    </row>
    <row r="100763" spans="17:17" x14ac:dyDescent="0.35">
      <c r="Q100763" s="1"/>
    </row>
    <row r="100765" spans="17:17" x14ac:dyDescent="0.35">
      <c r="Q100765" s="1"/>
    </row>
    <row r="100766" spans="17:17" x14ac:dyDescent="0.35">
      <c r="Q100766" s="1"/>
    </row>
    <row r="100769" spans="16:17" x14ac:dyDescent="0.35">
      <c r="P100769" s="1"/>
    </row>
    <row r="100771" spans="16:17" x14ac:dyDescent="0.35">
      <c r="P100771" s="1"/>
    </row>
    <row r="100773" spans="16:17" x14ac:dyDescent="0.35">
      <c r="Q100773" s="1"/>
    </row>
    <row r="100781" spans="16:17" x14ac:dyDescent="0.35">
      <c r="Q100781" s="1"/>
    </row>
    <row r="100784" spans="16:17" x14ac:dyDescent="0.35">
      <c r="Q100784" s="1"/>
    </row>
    <row r="100787" spans="17:17" x14ac:dyDescent="0.35">
      <c r="Q100787" s="1"/>
    </row>
    <row r="100794" spans="17:17" x14ac:dyDescent="0.35">
      <c r="Q100794" s="1"/>
    </row>
    <row r="100796" spans="17:17" x14ac:dyDescent="0.35">
      <c r="Q100796" s="1"/>
    </row>
    <row r="100797" spans="17:17" x14ac:dyDescent="0.35">
      <c r="Q100797" s="1"/>
    </row>
    <row r="100801" spans="16:17" x14ac:dyDescent="0.35">
      <c r="Q100801" s="1"/>
    </row>
    <row r="100803" spans="16:17" x14ac:dyDescent="0.35">
      <c r="Q100803" s="1"/>
    </row>
    <row r="100805" spans="16:17" x14ac:dyDescent="0.35">
      <c r="Q100805" s="1"/>
    </row>
    <row r="100811" spans="16:17" x14ac:dyDescent="0.35">
      <c r="P100811" s="1"/>
    </row>
    <row r="100816" spans="16:17" x14ac:dyDescent="0.35">
      <c r="Q100816" s="1"/>
    </row>
    <row r="100822" spans="17:17" x14ac:dyDescent="0.35">
      <c r="Q100822" s="1"/>
    </row>
    <row r="100825" spans="17:17" x14ac:dyDescent="0.35">
      <c r="Q100825" s="1"/>
    </row>
    <row r="100826" spans="17:17" x14ac:dyDescent="0.35">
      <c r="Q100826" s="1"/>
    </row>
    <row r="100833" spans="17:17" x14ac:dyDescent="0.35">
      <c r="Q100833" s="1"/>
    </row>
    <row r="100837" spans="17:17" x14ac:dyDescent="0.35">
      <c r="Q100837" s="1"/>
    </row>
    <row r="100838" spans="17:17" x14ac:dyDescent="0.35">
      <c r="Q100838" s="1"/>
    </row>
    <row r="100847" spans="17:17" x14ac:dyDescent="0.35">
      <c r="Q100847" s="1"/>
    </row>
    <row r="100848" spans="17:17" x14ac:dyDescent="0.35">
      <c r="Q100848" s="1"/>
    </row>
    <row r="100853" spans="17:17" x14ac:dyDescent="0.35">
      <c r="Q100853" s="1"/>
    </row>
    <row r="100854" spans="17:17" x14ac:dyDescent="0.35">
      <c r="Q100854" s="1"/>
    </row>
    <row r="100855" spans="17:17" x14ac:dyDescent="0.35">
      <c r="Q100855" s="1"/>
    </row>
    <row r="100856" spans="17:17" x14ac:dyDescent="0.35">
      <c r="Q100856" s="1"/>
    </row>
    <row r="100858" spans="17:17" x14ac:dyDescent="0.35">
      <c r="Q100858" s="1"/>
    </row>
    <row r="100866" spans="17:17" x14ac:dyDescent="0.35">
      <c r="Q100866" s="1"/>
    </row>
    <row r="100879" spans="17:17" x14ac:dyDescent="0.35">
      <c r="Q100879" s="1"/>
    </row>
    <row r="100882" spans="16:17" x14ac:dyDescent="0.35">
      <c r="Q100882" s="1"/>
    </row>
    <row r="100883" spans="16:17" x14ac:dyDescent="0.35">
      <c r="Q100883" s="1"/>
    </row>
    <row r="100886" spans="16:17" x14ac:dyDescent="0.35">
      <c r="P100886" s="1"/>
      <c r="Q100886" s="1"/>
    </row>
    <row r="100888" spans="16:17" x14ac:dyDescent="0.35">
      <c r="Q100888" s="1"/>
    </row>
    <row r="100896" spans="16:17" x14ac:dyDescent="0.35">
      <c r="Q100896" s="1"/>
    </row>
    <row r="100905" spans="17:17" x14ac:dyDescent="0.35">
      <c r="Q100905" s="1"/>
    </row>
    <row r="100907" spans="17:17" x14ac:dyDescent="0.35">
      <c r="Q100907" s="1"/>
    </row>
    <row r="100910" spans="17:17" x14ac:dyDescent="0.35">
      <c r="Q100910" s="1"/>
    </row>
    <row r="100911" spans="17:17" x14ac:dyDescent="0.35">
      <c r="Q100911" s="1"/>
    </row>
    <row r="100915" spans="16:17" x14ac:dyDescent="0.35">
      <c r="Q100915" s="1"/>
    </row>
    <row r="100919" spans="16:17" x14ac:dyDescent="0.35">
      <c r="P100919" s="1"/>
    </row>
    <row r="100925" spans="16:17" x14ac:dyDescent="0.35">
      <c r="Q100925" s="1"/>
    </row>
    <row r="100927" spans="16:17" x14ac:dyDescent="0.35">
      <c r="Q100927" s="1"/>
    </row>
    <row r="100928" spans="16:17" x14ac:dyDescent="0.35">
      <c r="Q100928" s="1"/>
    </row>
    <row r="100930" spans="16:17" x14ac:dyDescent="0.35">
      <c r="P100930" s="1"/>
    </row>
    <row r="100935" spans="16:17" x14ac:dyDescent="0.35">
      <c r="Q100935" s="1"/>
    </row>
    <row r="100937" spans="16:17" x14ac:dyDescent="0.35">
      <c r="Q100937" s="1"/>
    </row>
    <row r="100943" spans="16:17" x14ac:dyDescent="0.35">
      <c r="Q100943" s="1"/>
    </row>
    <row r="100945" spans="16:17" x14ac:dyDescent="0.35">
      <c r="P100945" s="1"/>
      <c r="Q100945" s="1"/>
    </row>
    <row r="100947" spans="16:17" x14ac:dyDescent="0.35">
      <c r="Q100947" s="1"/>
    </row>
    <row r="100953" spans="16:17" x14ac:dyDescent="0.35">
      <c r="Q100953" s="1"/>
    </row>
    <row r="100957" spans="16:17" x14ac:dyDescent="0.35">
      <c r="Q100957" s="1"/>
    </row>
    <row r="100960" spans="16:17" x14ac:dyDescent="0.35">
      <c r="Q100960" s="1"/>
    </row>
    <row r="100963" spans="16:17" x14ac:dyDescent="0.35">
      <c r="P100963" s="1"/>
    </row>
    <row r="100964" spans="16:17" x14ac:dyDescent="0.35">
      <c r="Q100964" s="1"/>
    </row>
    <row r="100967" spans="16:17" x14ac:dyDescent="0.35">
      <c r="P100967" s="1"/>
    </row>
    <row r="100968" spans="16:17" x14ac:dyDescent="0.35">
      <c r="Q100968" s="1"/>
    </row>
    <row r="100971" spans="16:17" x14ac:dyDescent="0.35">
      <c r="Q100971" s="1"/>
    </row>
    <row r="100974" spans="16:17" x14ac:dyDescent="0.35">
      <c r="Q100974" s="1"/>
    </row>
    <row r="100979" spans="17:17" x14ac:dyDescent="0.35">
      <c r="Q100979" s="1"/>
    </row>
    <row r="100980" spans="17:17" x14ac:dyDescent="0.35">
      <c r="Q100980" s="1"/>
    </row>
    <row r="100984" spans="17:17" x14ac:dyDescent="0.35">
      <c r="Q100984" s="1"/>
    </row>
    <row r="100986" spans="17:17" x14ac:dyDescent="0.35">
      <c r="Q100986" s="1"/>
    </row>
    <row r="100988" spans="17:17" x14ac:dyDescent="0.35">
      <c r="Q100988" s="1"/>
    </row>
    <row r="100996" spans="16:17" x14ac:dyDescent="0.35">
      <c r="Q100996" s="1"/>
    </row>
    <row r="100997" spans="16:17" x14ac:dyDescent="0.35">
      <c r="P100997" s="1"/>
    </row>
    <row r="101039" spans="19:19" x14ac:dyDescent="0.35">
      <c r="S101039" s="1"/>
    </row>
    <row r="101040" spans="19:19" x14ac:dyDescent="0.35">
      <c r="S101040" s="1"/>
    </row>
    <row r="101041" spans="11:19" x14ac:dyDescent="0.35">
      <c r="S101041" s="1"/>
    </row>
    <row r="101045" spans="11:19" x14ac:dyDescent="0.35">
      <c r="K101045" s="1"/>
    </row>
    <row r="101046" spans="11:19" x14ac:dyDescent="0.35">
      <c r="S101046" s="1"/>
    </row>
    <row r="101047" spans="11:19" x14ac:dyDescent="0.35">
      <c r="S101047" s="1"/>
    </row>
    <row r="101048" spans="11:19" x14ac:dyDescent="0.35">
      <c r="K101048" s="1"/>
    </row>
    <row r="101051" spans="11:19" x14ac:dyDescent="0.35">
      <c r="S101051" s="1"/>
    </row>
    <row r="101057" spans="11:19" x14ac:dyDescent="0.35">
      <c r="P101057" s="1"/>
    </row>
    <row r="101058" spans="11:19" x14ac:dyDescent="0.35">
      <c r="S101058" s="1"/>
    </row>
    <row r="101061" spans="11:19" x14ac:dyDescent="0.35">
      <c r="K101061" s="1"/>
    </row>
    <row r="101062" spans="11:19" x14ac:dyDescent="0.35">
      <c r="K101062" s="1"/>
    </row>
    <row r="101063" spans="11:19" x14ac:dyDescent="0.35">
      <c r="K101063" s="1"/>
    </row>
    <row r="101065" spans="11:19" x14ac:dyDescent="0.35">
      <c r="S101065" s="1"/>
    </row>
    <row r="101068" spans="11:19" x14ac:dyDescent="0.35">
      <c r="S101068" s="1"/>
    </row>
    <row r="101069" spans="11:19" x14ac:dyDescent="0.35">
      <c r="P101069" s="1"/>
      <c r="S101069" s="1"/>
    </row>
    <row r="101070" spans="11:19" x14ac:dyDescent="0.35">
      <c r="S101070" s="1"/>
    </row>
    <row r="101071" spans="11:19" x14ac:dyDescent="0.35">
      <c r="S101071" s="1"/>
    </row>
    <row r="101072" spans="11:19" x14ac:dyDescent="0.35">
      <c r="S101072" s="1"/>
    </row>
    <row r="101077" spans="16:19" x14ac:dyDescent="0.35">
      <c r="S101077" s="1"/>
    </row>
    <row r="101078" spans="16:19" x14ac:dyDescent="0.35">
      <c r="S101078" s="1"/>
    </row>
    <row r="101080" spans="16:19" x14ac:dyDescent="0.35">
      <c r="S101080" s="1"/>
    </row>
    <row r="101081" spans="16:19" x14ac:dyDescent="0.35">
      <c r="S101081" s="1"/>
    </row>
    <row r="101082" spans="16:19" x14ac:dyDescent="0.35">
      <c r="S101082" s="1"/>
    </row>
    <row r="101083" spans="16:19" x14ac:dyDescent="0.35">
      <c r="P101083" s="1"/>
    </row>
    <row r="101087" spans="16:19" x14ac:dyDescent="0.35">
      <c r="P101087" s="1"/>
      <c r="S101087" s="1"/>
    </row>
    <row r="101097" spans="11:19" x14ac:dyDescent="0.35">
      <c r="S101097" s="1"/>
    </row>
    <row r="101098" spans="11:19" x14ac:dyDescent="0.35">
      <c r="S101098" s="1"/>
    </row>
    <row r="101099" spans="11:19" x14ac:dyDescent="0.35">
      <c r="K101099" s="1"/>
      <c r="P101099" s="1"/>
    </row>
    <row r="101101" spans="11:19" x14ac:dyDescent="0.35">
      <c r="S101101" s="1"/>
    </row>
    <row r="101122" spans="17:17" x14ac:dyDescent="0.35">
      <c r="Q101122" s="1"/>
    </row>
    <row r="101125" spans="17:17" x14ac:dyDescent="0.35">
      <c r="Q101125" s="1"/>
    </row>
    <row r="101131" spans="17:17" x14ac:dyDescent="0.35">
      <c r="Q101131" s="1"/>
    </row>
    <row r="101151" spans="19:19" x14ac:dyDescent="0.35">
      <c r="S101151" s="1"/>
    </row>
    <row r="101167" spans="17:17" x14ac:dyDescent="0.35">
      <c r="Q101167" s="1"/>
    </row>
    <row r="101184" spans="17:17" x14ac:dyDescent="0.35">
      <c r="Q101184" s="1"/>
    </row>
    <row r="101211" spans="19:19" x14ac:dyDescent="0.35">
      <c r="S101211" s="1"/>
    </row>
    <row r="101217" spans="11:19" x14ac:dyDescent="0.35">
      <c r="Q101217" s="1"/>
    </row>
    <row r="101219" spans="11:19" x14ac:dyDescent="0.35">
      <c r="S101219" s="1"/>
    </row>
    <row r="101224" spans="11:19" x14ac:dyDescent="0.35">
      <c r="S101224" s="1"/>
    </row>
    <row r="101230" spans="11:19" x14ac:dyDescent="0.35">
      <c r="P101230" s="1"/>
    </row>
    <row r="101231" spans="11:19" x14ac:dyDescent="0.35">
      <c r="Q101231" s="1"/>
    </row>
    <row r="101232" spans="11:19" x14ac:dyDescent="0.35">
      <c r="K101232" s="1"/>
    </row>
    <row r="101241" spans="11:19" x14ac:dyDescent="0.35">
      <c r="K101241" s="1"/>
    </row>
    <row r="101242" spans="11:19" x14ac:dyDescent="0.35">
      <c r="K101242" s="1"/>
    </row>
    <row r="101243" spans="11:19" x14ac:dyDescent="0.35">
      <c r="Q101243" s="1"/>
    </row>
    <row r="101245" spans="11:19" x14ac:dyDescent="0.35">
      <c r="S101245" s="1"/>
    </row>
    <row r="101247" spans="11:19" x14ac:dyDescent="0.35">
      <c r="S101247" s="1"/>
    </row>
    <row r="101248" spans="11:19" x14ac:dyDescent="0.35">
      <c r="S101248" s="1"/>
    </row>
    <row r="101249" spans="19:19" x14ac:dyDescent="0.35">
      <c r="S101249" s="1"/>
    </row>
    <row r="101266" spans="11:19" x14ac:dyDescent="0.35">
      <c r="S101266" s="1"/>
    </row>
    <row r="101267" spans="11:19" x14ac:dyDescent="0.35">
      <c r="K101267" s="1"/>
    </row>
    <row r="101270" spans="11:19" x14ac:dyDescent="0.35">
      <c r="K101270" s="1"/>
    </row>
    <row r="101271" spans="11:19" x14ac:dyDescent="0.35">
      <c r="K101271" s="1"/>
    </row>
    <row r="101272" spans="11:19" x14ac:dyDescent="0.35">
      <c r="K101272" s="1"/>
    </row>
    <row r="101275" spans="11:19" x14ac:dyDescent="0.35">
      <c r="S101275" s="1"/>
    </row>
    <row r="101278" spans="11:19" x14ac:dyDescent="0.35">
      <c r="S101278" s="1"/>
    </row>
    <row r="101283" spans="11:19" x14ac:dyDescent="0.35">
      <c r="S101283" s="1"/>
    </row>
    <row r="101285" spans="11:19" x14ac:dyDescent="0.35">
      <c r="S101285" s="1"/>
    </row>
    <row r="101286" spans="11:19" x14ac:dyDescent="0.35">
      <c r="S101286" s="1"/>
    </row>
    <row r="101287" spans="11:19" x14ac:dyDescent="0.35">
      <c r="S101287" s="1"/>
    </row>
    <row r="101288" spans="11:19" x14ac:dyDescent="0.35">
      <c r="K101288" s="1"/>
    </row>
    <row r="101289" spans="11:19" x14ac:dyDescent="0.35">
      <c r="P101289" s="1"/>
    </row>
    <row r="101291" spans="11:19" x14ac:dyDescent="0.35">
      <c r="S101291" s="1"/>
    </row>
    <row r="101295" spans="11:19" x14ac:dyDescent="0.35">
      <c r="S101295" s="1"/>
    </row>
    <row r="101300" spans="16:19" x14ac:dyDescent="0.35">
      <c r="P101300" s="1"/>
    </row>
    <row r="101301" spans="16:19" x14ac:dyDescent="0.35">
      <c r="S101301" s="1"/>
    </row>
    <row r="101321" spans="11:16" x14ac:dyDescent="0.35">
      <c r="P101321" s="1"/>
    </row>
    <row r="101324" spans="11:16" x14ac:dyDescent="0.35">
      <c r="P101324" s="1"/>
    </row>
    <row r="101325" spans="11:16" x14ac:dyDescent="0.35">
      <c r="P101325" s="1"/>
    </row>
    <row r="101328" spans="11:16" x14ac:dyDescent="0.35">
      <c r="K101328" s="1"/>
    </row>
    <row r="101331" spans="11:19" x14ac:dyDescent="0.35">
      <c r="K101331" s="1"/>
    </row>
    <row r="101332" spans="11:19" x14ac:dyDescent="0.35">
      <c r="K101332" s="1"/>
    </row>
    <row r="101336" spans="11:19" x14ac:dyDescent="0.35">
      <c r="S101336" s="1"/>
    </row>
    <row r="101337" spans="11:19" x14ac:dyDescent="0.35">
      <c r="K101337" s="1"/>
    </row>
    <row r="101338" spans="11:19" x14ac:dyDescent="0.35">
      <c r="S101338" s="1"/>
    </row>
    <row r="101349" spans="16:19" x14ac:dyDescent="0.35">
      <c r="P101349" s="1"/>
    </row>
    <row r="101350" spans="16:19" x14ac:dyDescent="0.35">
      <c r="S101350" s="1"/>
    </row>
    <row r="101369" spans="11:19" x14ac:dyDescent="0.35">
      <c r="S101369" s="1"/>
    </row>
    <row r="101370" spans="11:19" x14ac:dyDescent="0.35">
      <c r="P101370" s="1"/>
    </row>
    <row r="101371" spans="11:19" x14ac:dyDescent="0.35">
      <c r="K101371" s="1"/>
    </row>
    <row r="101372" spans="11:19" x14ac:dyDescent="0.35">
      <c r="K101372" s="1"/>
    </row>
    <row r="101375" spans="11:19" x14ac:dyDescent="0.35">
      <c r="S101375" s="1"/>
    </row>
    <row r="101379" spans="11:19" x14ac:dyDescent="0.35">
      <c r="K101379" s="1"/>
    </row>
    <row r="101381" spans="11:19" x14ac:dyDescent="0.35">
      <c r="P101381" s="1"/>
    </row>
    <row r="101382" spans="11:19" x14ac:dyDescent="0.35">
      <c r="Q101382" s="1"/>
    </row>
    <row r="101383" spans="11:19" x14ac:dyDescent="0.35">
      <c r="K101383" s="1"/>
    </row>
    <row r="101387" spans="11:19" x14ac:dyDescent="0.35">
      <c r="P101387" s="1"/>
    </row>
    <row r="101388" spans="11:19" x14ac:dyDescent="0.35">
      <c r="S101388" s="1"/>
    </row>
    <row r="101389" spans="11:19" x14ac:dyDescent="0.35">
      <c r="S101389" s="1"/>
    </row>
    <row r="101392" spans="11:19" x14ac:dyDescent="0.35">
      <c r="S101392" s="1"/>
    </row>
    <row r="101394" spans="11:19" x14ac:dyDescent="0.35">
      <c r="K101394" s="1"/>
    </row>
    <row r="101399" spans="11:19" x14ac:dyDescent="0.35">
      <c r="K101399" s="1"/>
    </row>
    <row r="101400" spans="11:19" x14ac:dyDescent="0.35">
      <c r="P101400" s="1"/>
    </row>
    <row r="101401" spans="11:19" x14ac:dyDescent="0.35">
      <c r="S101401" s="1"/>
    </row>
    <row r="101414" spans="11:19" x14ac:dyDescent="0.35">
      <c r="K101414" s="1"/>
    </row>
    <row r="101422" spans="11:19" x14ac:dyDescent="0.35">
      <c r="S101422" s="1"/>
    </row>
    <row r="101424" spans="11:19" x14ac:dyDescent="0.35">
      <c r="S101424" s="1"/>
    </row>
    <row r="101425" spans="16:19" x14ac:dyDescent="0.35">
      <c r="P101425" s="1"/>
      <c r="Q101425" s="1"/>
    </row>
    <row r="101429" spans="16:19" x14ac:dyDescent="0.35">
      <c r="S101429" s="1"/>
    </row>
    <row r="101432" spans="16:19" x14ac:dyDescent="0.35">
      <c r="P101432" s="1"/>
    </row>
    <row r="101436" spans="16:19" x14ac:dyDescent="0.35">
      <c r="S101436" s="1"/>
    </row>
    <row r="101438" spans="16:19" x14ac:dyDescent="0.35">
      <c r="S101438" s="1"/>
    </row>
    <row r="101441" spans="11:19" x14ac:dyDescent="0.35">
      <c r="P101441" s="1"/>
    </row>
    <row r="101442" spans="11:19" x14ac:dyDescent="0.35">
      <c r="K101442" s="1"/>
    </row>
    <row r="101444" spans="11:19" x14ac:dyDescent="0.35">
      <c r="P101444" s="1"/>
    </row>
    <row r="101445" spans="11:19" x14ac:dyDescent="0.35">
      <c r="K101445" s="1"/>
    </row>
    <row r="101446" spans="11:19" x14ac:dyDescent="0.35">
      <c r="S101446" s="1"/>
    </row>
    <row r="101449" spans="11:19" x14ac:dyDescent="0.35">
      <c r="K101449" s="1"/>
    </row>
    <row r="101451" spans="11:19" x14ac:dyDescent="0.35">
      <c r="S101451" s="1"/>
    </row>
    <row r="101475" spans="11:19" x14ac:dyDescent="0.35">
      <c r="S101475" s="1"/>
    </row>
    <row r="101482" spans="11:19" x14ac:dyDescent="0.35">
      <c r="P101482" s="1"/>
    </row>
    <row r="101485" spans="11:19" x14ac:dyDescent="0.35">
      <c r="K101485" s="1"/>
    </row>
    <row r="101489" spans="11:19" x14ac:dyDescent="0.35">
      <c r="S101489" s="1"/>
    </row>
    <row r="101492" spans="11:19" x14ac:dyDescent="0.35">
      <c r="K101492" s="1"/>
    </row>
    <row r="101497" spans="11:19" x14ac:dyDescent="0.35">
      <c r="P101497" s="1"/>
    </row>
    <row r="101498" spans="11:19" x14ac:dyDescent="0.35">
      <c r="S101498" s="1"/>
    </row>
    <row r="101499" spans="11:19" x14ac:dyDescent="0.35">
      <c r="S101499" s="1"/>
    </row>
    <row r="101500" spans="11:19" x14ac:dyDescent="0.35">
      <c r="S101500" s="1"/>
    </row>
    <row r="101515" spans="11:11" x14ac:dyDescent="0.35">
      <c r="K101515" s="1"/>
    </row>
    <row r="101524" spans="11:19" x14ac:dyDescent="0.35">
      <c r="K101524" s="1"/>
    </row>
    <row r="101526" spans="11:19" x14ac:dyDescent="0.35">
      <c r="S101526" s="1"/>
    </row>
    <row r="101528" spans="11:19" x14ac:dyDescent="0.35">
      <c r="P101528" s="1"/>
    </row>
    <row r="101531" spans="11:19" x14ac:dyDescent="0.35">
      <c r="S101531" s="1"/>
    </row>
    <row r="101537" spans="11:19" x14ac:dyDescent="0.35">
      <c r="K101537" s="1"/>
    </row>
    <row r="101548" spans="11:19" x14ac:dyDescent="0.35">
      <c r="S101548" s="1"/>
    </row>
    <row r="101550" spans="11:19" x14ac:dyDescent="0.35">
      <c r="P101550" s="1"/>
    </row>
    <row r="101551" spans="11:19" x14ac:dyDescent="0.35">
      <c r="S101551" s="1"/>
    </row>
    <row r="101565" spans="11:11" x14ac:dyDescent="0.35">
      <c r="K101565" s="1"/>
    </row>
    <row r="101571" spans="11:19" x14ac:dyDescent="0.35">
      <c r="K101571" s="1"/>
    </row>
    <row r="101572" spans="11:19" x14ac:dyDescent="0.35">
      <c r="S101572" s="1"/>
    </row>
    <row r="101578" spans="11:19" x14ac:dyDescent="0.35">
      <c r="P101578" s="1"/>
    </row>
    <row r="101582" spans="11:19" x14ac:dyDescent="0.35">
      <c r="K101582" s="1"/>
    </row>
    <row r="101587" spans="11:17" x14ac:dyDescent="0.35">
      <c r="K101587" s="1"/>
    </row>
    <row r="101591" spans="11:17" x14ac:dyDescent="0.35">
      <c r="P101591" s="1"/>
    </row>
    <row r="101594" spans="11:17" x14ac:dyDescent="0.35">
      <c r="P101594" s="1"/>
    </row>
    <row r="101595" spans="11:17" x14ac:dyDescent="0.35">
      <c r="P101595" s="1"/>
    </row>
    <row r="101596" spans="11:17" x14ac:dyDescent="0.35">
      <c r="P101596" s="1"/>
      <c r="Q101596" s="1"/>
    </row>
    <row r="101597" spans="11:17" x14ac:dyDescent="0.35">
      <c r="K101597" s="1"/>
    </row>
    <row r="101598" spans="11:17" x14ac:dyDescent="0.35">
      <c r="Q101598" s="1"/>
    </row>
    <row r="101599" spans="11:17" x14ac:dyDescent="0.35">
      <c r="K101599" s="1"/>
    </row>
    <row r="101610" spans="16:19" x14ac:dyDescent="0.35">
      <c r="P101610" s="1"/>
      <c r="S101610" s="1"/>
    </row>
    <row r="101616" spans="16:19" x14ac:dyDescent="0.35">
      <c r="S101616" s="1"/>
    </row>
    <row r="101618" spans="11:19" x14ac:dyDescent="0.35">
      <c r="K101618" s="1"/>
    </row>
    <row r="101619" spans="11:19" x14ac:dyDescent="0.35">
      <c r="K101619" s="1"/>
    </row>
    <row r="101621" spans="11:19" x14ac:dyDescent="0.35">
      <c r="P101621" s="1"/>
    </row>
    <row r="101622" spans="11:19" x14ac:dyDescent="0.35">
      <c r="S101622" s="1"/>
    </row>
    <row r="101623" spans="11:19" x14ac:dyDescent="0.35">
      <c r="K101623" s="1"/>
    </row>
    <row r="101632" spans="11:19" x14ac:dyDescent="0.35">
      <c r="P101632" s="1"/>
    </row>
    <row r="101634" spans="11:19" x14ac:dyDescent="0.35">
      <c r="K101634" s="1"/>
    </row>
    <row r="101635" spans="11:19" x14ac:dyDescent="0.35">
      <c r="K101635" s="1"/>
    </row>
    <row r="101636" spans="11:19" x14ac:dyDescent="0.35">
      <c r="P101636" s="1"/>
    </row>
    <row r="101639" spans="11:19" x14ac:dyDescent="0.35">
      <c r="S101639" s="1"/>
    </row>
    <row r="101641" spans="11:19" x14ac:dyDescent="0.35">
      <c r="S101641" s="1"/>
    </row>
    <row r="101645" spans="11:19" x14ac:dyDescent="0.35">
      <c r="S101645" s="1"/>
    </row>
    <row r="101646" spans="11:19" x14ac:dyDescent="0.35">
      <c r="S101646" s="1"/>
    </row>
    <row r="101648" spans="11:19" x14ac:dyDescent="0.35">
      <c r="K101648" s="1"/>
    </row>
    <row r="101649" spans="19:19" x14ac:dyDescent="0.35">
      <c r="S101649" s="1"/>
    </row>
    <row r="101650" spans="19:19" x14ac:dyDescent="0.35">
      <c r="S101650" s="1"/>
    </row>
    <row r="101651" spans="19:19" x14ac:dyDescent="0.35">
      <c r="S101651" s="1"/>
    </row>
    <row r="101667" spans="11:19" x14ac:dyDescent="0.35">
      <c r="S101667" s="1"/>
    </row>
    <row r="101668" spans="11:19" x14ac:dyDescent="0.35">
      <c r="K101668" s="1"/>
    </row>
    <row r="101669" spans="11:19" x14ac:dyDescent="0.35">
      <c r="K101669" s="1"/>
    </row>
    <row r="101673" spans="11:19" x14ac:dyDescent="0.35">
      <c r="S101673" s="1"/>
    </row>
    <row r="101683" spans="11:19" x14ac:dyDescent="0.35">
      <c r="K101683" s="1"/>
    </row>
    <row r="101688" spans="11:19" x14ac:dyDescent="0.35">
      <c r="S101688" s="1"/>
    </row>
    <row r="101689" spans="11:19" x14ac:dyDescent="0.35">
      <c r="P101689" s="1"/>
    </row>
    <row r="101694" spans="11:19" x14ac:dyDescent="0.35">
      <c r="P101694" s="1"/>
    </row>
    <row r="101696" spans="11:19" x14ac:dyDescent="0.35">
      <c r="S101696" s="1"/>
    </row>
    <row r="101697" spans="19:19" x14ac:dyDescent="0.35">
      <c r="S101697" s="1"/>
    </row>
    <row r="101698" spans="19:19" x14ac:dyDescent="0.35">
      <c r="S101698" s="1"/>
    </row>
    <row r="101699" spans="19:19" x14ac:dyDescent="0.35">
      <c r="S101699" s="1"/>
    </row>
    <row r="101701" spans="19:19" x14ac:dyDescent="0.35">
      <c r="S101701" s="1"/>
    </row>
    <row r="101721" spans="19:19" x14ac:dyDescent="0.35">
      <c r="S101721" s="1"/>
    </row>
    <row r="101729" spans="11:19" x14ac:dyDescent="0.35">
      <c r="S101729" s="1"/>
    </row>
    <row r="101735" spans="11:19" x14ac:dyDescent="0.35">
      <c r="K101735" s="1"/>
    </row>
    <row r="101736" spans="11:19" x14ac:dyDescent="0.35">
      <c r="S101736" s="1"/>
    </row>
    <row r="101740" spans="11:19" x14ac:dyDescent="0.35">
      <c r="P101740" s="1"/>
    </row>
    <row r="101741" spans="11:19" x14ac:dyDescent="0.35">
      <c r="P101741" s="1"/>
    </row>
    <row r="101743" spans="11:19" x14ac:dyDescent="0.35">
      <c r="S101743" s="1"/>
    </row>
    <row r="101747" spans="19:19" x14ac:dyDescent="0.35">
      <c r="S101747" s="1"/>
    </row>
    <row r="101748" spans="19:19" x14ac:dyDescent="0.35">
      <c r="S101748" s="1"/>
    </row>
    <row r="101751" spans="19:19" x14ac:dyDescent="0.35">
      <c r="S101751" s="1"/>
    </row>
    <row r="101771" spans="16:19" x14ac:dyDescent="0.35">
      <c r="S101771" s="1"/>
    </row>
    <row r="101775" spans="16:19" x14ac:dyDescent="0.35">
      <c r="P101775" s="1"/>
    </row>
    <row r="101781" spans="19:19" x14ac:dyDescent="0.35">
      <c r="S101781" s="1"/>
    </row>
    <row r="101783" spans="19:19" x14ac:dyDescent="0.35">
      <c r="S101783" s="1"/>
    </row>
    <row r="101784" spans="19:19" x14ac:dyDescent="0.35">
      <c r="S101784" s="1"/>
    </row>
    <row r="101788" spans="19:19" x14ac:dyDescent="0.35">
      <c r="S101788" s="1"/>
    </row>
    <row r="101793" spans="11:19" x14ac:dyDescent="0.35">
      <c r="S101793" s="1"/>
    </row>
    <row r="101794" spans="11:19" x14ac:dyDescent="0.35">
      <c r="K101794" s="1"/>
    </row>
    <row r="101799" spans="11:19" x14ac:dyDescent="0.35">
      <c r="K101799" s="1"/>
    </row>
    <row r="101800" spans="11:19" x14ac:dyDescent="0.35">
      <c r="P101800" s="1"/>
    </row>
    <row r="101801" spans="11:19" x14ac:dyDescent="0.35">
      <c r="S101801" s="1"/>
    </row>
    <row r="101823" spans="11:19" x14ac:dyDescent="0.35">
      <c r="S101823" s="1"/>
    </row>
    <row r="101824" spans="11:19" x14ac:dyDescent="0.35">
      <c r="K101824" s="1"/>
    </row>
    <row r="101827" spans="11:19" x14ac:dyDescent="0.35">
      <c r="K101827" s="1"/>
    </row>
    <row r="101828" spans="11:19" x14ac:dyDescent="0.35">
      <c r="S101828" s="1"/>
    </row>
    <row r="101831" spans="11:19" x14ac:dyDescent="0.35">
      <c r="S101831" s="1"/>
    </row>
    <row r="101835" spans="11:19" x14ac:dyDescent="0.35">
      <c r="K101835" s="1"/>
    </row>
    <row r="101840" spans="11:19" x14ac:dyDescent="0.35">
      <c r="S101840" s="1"/>
    </row>
    <row r="101848" spans="19:19" x14ac:dyDescent="0.35">
      <c r="S101848" s="1"/>
    </row>
    <row r="101850" spans="19:19" x14ac:dyDescent="0.35">
      <c r="S101850" s="1"/>
    </row>
    <row r="101851" spans="19:19" x14ac:dyDescent="0.35">
      <c r="S101851" s="1"/>
    </row>
    <row r="101876" spans="11:19" x14ac:dyDescent="0.35">
      <c r="S101876" s="1"/>
    </row>
    <row r="101877" spans="11:19" x14ac:dyDescent="0.35">
      <c r="K101877" s="1"/>
    </row>
    <row r="101879" spans="11:19" x14ac:dyDescent="0.35">
      <c r="P101879" s="1"/>
    </row>
    <row r="101882" spans="11:19" x14ac:dyDescent="0.35">
      <c r="S101882" s="1"/>
    </row>
    <row r="101886" spans="11:19" x14ac:dyDescent="0.35">
      <c r="P101886" s="1"/>
    </row>
    <row r="101894" spans="11:19" x14ac:dyDescent="0.35">
      <c r="S101894" s="1"/>
    </row>
    <row r="101895" spans="11:19" x14ac:dyDescent="0.35">
      <c r="P101895" s="1"/>
    </row>
    <row r="101897" spans="11:19" x14ac:dyDescent="0.35">
      <c r="S101897" s="1"/>
    </row>
    <row r="101898" spans="11:19" x14ac:dyDescent="0.35">
      <c r="S101898" s="1"/>
    </row>
    <row r="101899" spans="11:19" x14ac:dyDescent="0.35">
      <c r="S101899" s="1"/>
    </row>
    <row r="101900" spans="11:19" x14ac:dyDescent="0.35">
      <c r="K101900" s="1"/>
    </row>
    <row r="101901" spans="11:19" x14ac:dyDescent="0.35">
      <c r="K101901" s="1"/>
      <c r="P101901" s="1"/>
      <c r="S101901" s="1"/>
    </row>
    <row r="101911" spans="19:19" x14ac:dyDescent="0.35">
      <c r="S101911" s="1"/>
    </row>
    <row r="101923" spans="11:19" x14ac:dyDescent="0.35">
      <c r="K101923" s="1"/>
    </row>
    <row r="101926" spans="11:19" x14ac:dyDescent="0.35">
      <c r="S101926" s="1"/>
    </row>
    <row r="101928" spans="11:19" x14ac:dyDescent="0.35">
      <c r="S101928" s="1"/>
    </row>
    <row r="101929" spans="11:19" x14ac:dyDescent="0.35">
      <c r="S101929" s="1"/>
    </row>
    <row r="101931" spans="11:19" x14ac:dyDescent="0.35">
      <c r="S101931" s="1"/>
    </row>
    <row r="101935" spans="11:19" x14ac:dyDescent="0.35">
      <c r="K101935" s="1"/>
    </row>
    <row r="101948" spans="19:19" x14ac:dyDescent="0.35">
      <c r="S101948" s="1"/>
    </row>
    <row r="101949" spans="19:19" x14ac:dyDescent="0.35">
      <c r="S101949" s="1"/>
    </row>
    <row r="101950" spans="19:19" x14ac:dyDescent="0.35">
      <c r="S101950" s="1"/>
    </row>
    <row r="101956" spans="11:19" x14ac:dyDescent="0.35">
      <c r="K101956" s="1"/>
    </row>
    <row r="101959" spans="11:19" x14ac:dyDescent="0.35">
      <c r="S101959" s="1"/>
    </row>
    <row r="101965" spans="11:19" x14ac:dyDescent="0.35">
      <c r="S101965" s="1"/>
    </row>
    <row r="101966" spans="11:19" x14ac:dyDescent="0.35">
      <c r="S101966" s="1"/>
    </row>
    <row r="101968" spans="11:19" x14ac:dyDescent="0.35">
      <c r="K101968" s="1"/>
    </row>
    <row r="101971" spans="11:16" x14ac:dyDescent="0.35">
      <c r="P101971" s="1"/>
    </row>
    <row r="101973" spans="11:16" x14ac:dyDescent="0.35">
      <c r="K101973" s="1"/>
    </row>
    <row r="101984" spans="11:16" x14ac:dyDescent="0.35">
      <c r="K101984" s="1"/>
    </row>
    <row r="101988" spans="11:19" x14ac:dyDescent="0.35">
      <c r="Q101988" s="1"/>
    </row>
    <row r="101990" spans="11:19" x14ac:dyDescent="0.35">
      <c r="K101990" s="1"/>
    </row>
    <row r="101993" spans="11:19" x14ac:dyDescent="0.35">
      <c r="S101993" s="1"/>
    </row>
    <row r="101994" spans="11:19" x14ac:dyDescent="0.35">
      <c r="S101994" s="1"/>
    </row>
    <row r="101995" spans="11:19" x14ac:dyDescent="0.35">
      <c r="P101995" s="1"/>
    </row>
    <row r="101999" spans="11:19" x14ac:dyDescent="0.35">
      <c r="S101999" s="1"/>
    </row>
    <row r="102000" spans="11:19" x14ac:dyDescent="0.35">
      <c r="S102000" s="1"/>
    </row>
    <row r="102001" spans="17:19" x14ac:dyDescent="0.35">
      <c r="S102001" s="1"/>
    </row>
    <row r="102003" spans="17:19" x14ac:dyDescent="0.35">
      <c r="Q102003" s="1"/>
    </row>
    <row r="102005" spans="17:19" x14ac:dyDescent="0.35">
      <c r="Q102005" s="1"/>
    </row>
    <row r="102008" spans="17:19" x14ac:dyDescent="0.35">
      <c r="Q102008" s="1"/>
    </row>
    <row r="102014" spans="17:19" x14ac:dyDescent="0.35">
      <c r="Q102014" s="1"/>
    </row>
    <row r="102015" spans="17:19" x14ac:dyDescent="0.35">
      <c r="Q102015" s="1"/>
    </row>
    <row r="102019" spans="17:17" x14ac:dyDescent="0.35">
      <c r="Q102019" s="1"/>
    </row>
    <row r="102022" spans="17:17" x14ac:dyDescent="0.35">
      <c r="Q102022" s="1"/>
    </row>
    <row r="102028" spans="17:17" x14ac:dyDescent="0.35">
      <c r="Q102028" s="1"/>
    </row>
    <row r="102036" spans="17:17" x14ac:dyDescent="0.35">
      <c r="Q102036" s="1"/>
    </row>
    <row r="102040" spans="17:17" x14ac:dyDescent="0.35">
      <c r="Q102040" s="1"/>
    </row>
    <row r="102042" spans="17:17" x14ac:dyDescent="0.35">
      <c r="Q102042" s="1"/>
    </row>
    <row r="102053" spans="17:17" x14ac:dyDescent="0.35">
      <c r="Q102053" s="1"/>
    </row>
    <row r="102067" spans="17:17" x14ac:dyDescent="0.35">
      <c r="Q102067" s="1"/>
    </row>
    <row r="102074" spans="17:17" x14ac:dyDescent="0.35">
      <c r="Q102074" s="1"/>
    </row>
    <row r="102076" spans="17:17" x14ac:dyDescent="0.35">
      <c r="Q102076" s="1"/>
    </row>
    <row r="102078" spans="17:17" x14ac:dyDescent="0.35">
      <c r="Q102078" s="1"/>
    </row>
    <row r="102082" spans="17:17" x14ac:dyDescent="0.35">
      <c r="Q102082" s="1"/>
    </row>
    <row r="102086" spans="17:17" x14ac:dyDescent="0.35">
      <c r="Q102086" s="1"/>
    </row>
    <row r="102095" spans="17:17" x14ac:dyDescent="0.35">
      <c r="Q102095" s="1"/>
    </row>
    <row r="102096" spans="17:17" x14ac:dyDescent="0.35">
      <c r="Q102096" s="1"/>
    </row>
    <row r="102108" spans="17:17" x14ac:dyDescent="0.35">
      <c r="Q102108" s="1"/>
    </row>
    <row r="102109" spans="17:17" x14ac:dyDescent="0.35">
      <c r="Q102109" s="1"/>
    </row>
    <row r="102120" spans="17:17" x14ac:dyDescent="0.35">
      <c r="Q102120" s="1"/>
    </row>
    <row r="102125" spans="17:17" x14ac:dyDescent="0.35">
      <c r="Q102125" s="1"/>
    </row>
    <row r="102153" spans="17:17" x14ac:dyDescent="0.35">
      <c r="Q102153" s="1"/>
    </row>
    <row r="102155" spans="17:17" x14ac:dyDescent="0.35">
      <c r="Q102155" s="1"/>
    </row>
    <row r="102156" spans="17:17" x14ac:dyDescent="0.35">
      <c r="Q102156" s="1"/>
    </row>
    <row r="102157" spans="17:17" x14ac:dyDescent="0.35">
      <c r="Q102157" s="1"/>
    </row>
    <row r="102161" spans="17:17" x14ac:dyDescent="0.35">
      <c r="Q102161" s="1"/>
    </row>
    <row r="102162" spans="17:17" x14ac:dyDescent="0.35">
      <c r="Q102162" s="1"/>
    </row>
    <row r="102169" spans="17:17" x14ac:dyDescent="0.35">
      <c r="Q102169" s="1"/>
    </row>
    <row r="102174" spans="17:17" x14ac:dyDescent="0.35">
      <c r="Q102174" s="1"/>
    </row>
    <row r="102176" spans="17:17" x14ac:dyDescent="0.35">
      <c r="Q102176" s="1"/>
    </row>
    <row r="102178" spans="17:17" x14ac:dyDescent="0.35">
      <c r="Q102178" s="1"/>
    </row>
    <row r="102182" spans="17:17" x14ac:dyDescent="0.35">
      <c r="Q102182" s="1"/>
    </row>
    <row r="102208" spans="17:17" x14ac:dyDescent="0.35">
      <c r="Q102208" s="1"/>
    </row>
    <row r="102242" spans="17:17" x14ac:dyDescent="0.35">
      <c r="Q102242" s="1"/>
    </row>
    <row r="102243" spans="17:17" x14ac:dyDescent="0.35">
      <c r="Q102243" s="1"/>
    </row>
    <row r="102244" spans="17:17" x14ac:dyDescent="0.35">
      <c r="Q102244" s="1"/>
    </row>
    <row r="102247" spans="17:17" x14ac:dyDescent="0.35">
      <c r="Q102247" s="1"/>
    </row>
    <row r="102253" spans="17:17" x14ac:dyDescent="0.35">
      <c r="Q102253" s="1"/>
    </row>
    <row r="102256" spans="17:17" x14ac:dyDescent="0.35">
      <c r="Q102256" s="1"/>
    </row>
    <row r="102262" spans="17:17" x14ac:dyDescent="0.35">
      <c r="Q102262" s="1"/>
    </row>
    <row r="102263" spans="17:17" x14ac:dyDescent="0.35">
      <c r="Q102263" s="1"/>
    </row>
    <row r="102268" spans="17:17" x14ac:dyDescent="0.35">
      <c r="Q102268" s="1"/>
    </row>
    <row r="102269" spans="17:17" x14ac:dyDescent="0.35">
      <c r="Q102269" s="1"/>
    </row>
    <row r="102276" spans="17:17" x14ac:dyDescent="0.35">
      <c r="Q102276" s="1"/>
    </row>
    <row r="102278" spans="17:17" x14ac:dyDescent="0.35">
      <c r="Q102278" s="1"/>
    </row>
    <row r="102280" spans="17:17" x14ac:dyDescent="0.35">
      <c r="Q102280" s="1"/>
    </row>
    <row r="102285" spans="17:17" x14ac:dyDescent="0.35">
      <c r="Q102285" s="1"/>
    </row>
    <row r="102286" spans="17:17" x14ac:dyDescent="0.35">
      <c r="Q102286" s="1"/>
    </row>
    <row r="102296" spans="17:17" x14ac:dyDescent="0.35">
      <c r="Q102296" s="1"/>
    </row>
    <row r="102298" spans="17:17" x14ac:dyDescent="0.35">
      <c r="Q102298" s="1"/>
    </row>
    <row r="102300" spans="17:17" x14ac:dyDescent="0.35">
      <c r="Q102300" s="1"/>
    </row>
    <row r="102301" spans="17:17" x14ac:dyDescent="0.35">
      <c r="Q102301" s="1"/>
    </row>
    <row r="102303" spans="17:17" x14ac:dyDescent="0.35">
      <c r="Q102303" s="1"/>
    </row>
    <row r="102305" spans="17:17" x14ac:dyDescent="0.35">
      <c r="Q102305" s="1"/>
    </row>
    <row r="102308" spans="17:17" x14ac:dyDescent="0.35">
      <c r="Q102308" s="1"/>
    </row>
    <row r="102309" spans="17:17" x14ac:dyDescent="0.35">
      <c r="Q102309" s="1"/>
    </row>
    <row r="102314" spans="17:17" x14ac:dyDescent="0.35">
      <c r="Q102314" s="1"/>
    </row>
    <row r="102315" spans="17:17" x14ac:dyDescent="0.35">
      <c r="Q102315" s="1"/>
    </row>
    <row r="102316" spans="17:17" x14ac:dyDescent="0.35">
      <c r="Q102316" s="1"/>
    </row>
    <row r="102323" spans="17:17" x14ac:dyDescent="0.35">
      <c r="Q102323" s="1"/>
    </row>
    <row r="102330" spans="17:17" x14ac:dyDescent="0.35">
      <c r="Q102330" s="1"/>
    </row>
    <row r="102331" spans="17:17" x14ac:dyDescent="0.35">
      <c r="Q102331" s="1"/>
    </row>
    <row r="102332" spans="17:17" x14ac:dyDescent="0.35">
      <c r="Q102332" s="1"/>
    </row>
    <row r="102333" spans="17:17" x14ac:dyDescent="0.35">
      <c r="Q102333" s="1"/>
    </row>
    <row r="102339" spans="17:17" x14ac:dyDescent="0.35">
      <c r="Q102339" s="1"/>
    </row>
    <row r="102343" spans="17:17" x14ac:dyDescent="0.35">
      <c r="Q102343" s="1"/>
    </row>
    <row r="102344" spans="17:17" x14ac:dyDescent="0.35">
      <c r="Q102344" s="1"/>
    </row>
    <row r="102353" spans="17:17" x14ac:dyDescent="0.35">
      <c r="Q102353" s="1"/>
    </row>
    <row r="102357" spans="17:17" x14ac:dyDescent="0.35">
      <c r="Q102357" s="1"/>
    </row>
    <row r="102359" spans="17:17" x14ac:dyDescent="0.35">
      <c r="Q102359" s="1"/>
    </row>
    <row r="102364" spans="17:17" x14ac:dyDescent="0.35">
      <c r="Q102364" s="1"/>
    </row>
    <row r="102366" spans="17:17" x14ac:dyDescent="0.35">
      <c r="Q102366" s="1"/>
    </row>
    <row r="102371" spans="17:17" x14ac:dyDescent="0.35">
      <c r="Q102371" s="1"/>
    </row>
    <row r="102372" spans="17:17" x14ac:dyDescent="0.35">
      <c r="Q102372" s="1"/>
    </row>
    <row r="102373" spans="17:17" x14ac:dyDescent="0.35">
      <c r="Q102373" s="1"/>
    </row>
    <row r="102376" spans="17:17" x14ac:dyDescent="0.35">
      <c r="Q102376" s="1"/>
    </row>
    <row r="102377" spans="17:17" x14ac:dyDescent="0.35">
      <c r="Q102377" s="1"/>
    </row>
    <row r="102381" spans="17:17" x14ac:dyDescent="0.35">
      <c r="Q102381" s="1"/>
    </row>
    <row r="102386" spans="17:17" x14ac:dyDescent="0.35">
      <c r="Q102386" s="1"/>
    </row>
    <row r="102387" spans="17:17" x14ac:dyDescent="0.35">
      <c r="Q102387" s="1"/>
    </row>
    <row r="102392" spans="17:17" x14ac:dyDescent="0.35">
      <c r="Q102392" s="1"/>
    </row>
    <row r="102395" spans="17:17" x14ac:dyDescent="0.35">
      <c r="Q102395" s="1"/>
    </row>
    <row r="102397" spans="17:17" x14ac:dyDescent="0.35">
      <c r="Q102397" s="1"/>
    </row>
    <row r="102398" spans="17:17" x14ac:dyDescent="0.35">
      <c r="Q102398" s="1"/>
    </row>
    <row r="102399" spans="17:17" x14ac:dyDescent="0.35">
      <c r="Q102399" s="1"/>
    </row>
    <row r="102400" spans="17:17" x14ac:dyDescent="0.35">
      <c r="Q102400" s="1"/>
    </row>
    <row r="102401" spans="17:17" x14ac:dyDescent="0.35">
      <c r="Q102401" s="1"/>
    </row>
    <row r="102405" spans="17:17" x14ac:dyDescent="0.35">
      <c r="Q102405" s="1"/>
    </row>
    <row r="102410" spans="17:17" x14ac:dyDescent="0.35">
      <c r="Q102410" s="1"/>
    </row>
    <row r="102422" spans="17:17" x14ac:dyDescent="0.35">
      <c r="Q102422" s="1"/>
    </row>
    <row r="102424" spans="17:17" x14ac:dyDescent="0.35">
      <c r="Q102424" s="1"/>
    </row>
    <row r="102426" spans="17:17" x14ac:dyDescent="0.35">
      <c r="Q102426" s="1"/>
    </row>
    <row r="102433" spans="17:17" x14ac:dyDescent="0.35">
      <c r="Q102433" s="1"/>
    </row>
    <row r="102434" spans="17:17" x14ac:dyDescent="0.35">
      <c r="Q102434" s="1"/>
    </row>
    <row r="102436" spans="17:17" x14ac:dyDescent="0.35">
      <c r="Q102436" s="1"/>
    </row>
    <row r="102438" spans="17:17" x14ac:dyDescent="0.35">
      <c r="Q102438" s="1"/>
    </row>
    <row r="102454" spans="17:17" x14ac:dyDescent="0.35">
      <c r="Q102454" s="1"/>
    </row>
    <row r="102456" spans="17:17" x14ac:dyDescent="0.35">
      <c r="Q102456" s="1"/>
    </row>
    <row r="102460" spans="17:17" x14ac:dyDescent="0.35">
      <c r="Q102460" s="1"/>
    </row>
    <row r="102462" spans="17:17" x14ac:dyDescent="0.35">
      <c r="Q102462" s="1"/>
    </row>
    <row r="102463" spans="17:17" x14ac:dyDescent="0.35">
      <c r="Q102463" s="1"/>
    </row>
    <row r="102477" spans="17:17" x14ac:dyDescent="0.35">
      <c r="Q102477" s="1"/>
    </row>
    <row r="102479" spans="17:17" x14ac:dyDescent="0.35">
      <c r="Q102479" s="1"/>
    </row>
    <row r="102481" spans="17:17" x14ac:dyDescent="0.35">
      <c r="Q102481" s="1"/>
    </row>
    <row r="102509" spans="17:17" x14ac:dyDescent="0.35">
      <c r="Q102509" s="1"/>
    </row>
    <row r="102511" spans="17:17" x14ac:dyDescent="0.35">
      <c r="Q102511" s="1"/>
    </row>
    <row r="102513" spans="17:17" x14ac:dyDescent="0.35">
      <c r="Q102513" s="1"/>
    </row>
    <row r="102514" spans="17:17" x14ac:dyDescent="0.35">
      <c r="Q102514" s="1"/>
    </row>
    <row r="102517" spans="17:17" x14ac:dyDescent="0.35">
      <c r="Q102517" s="1"/>
    </row>
    <row r="102519" spans="17:17" x14ac:dyDescent="0.35">
      <c r="Q102519" s="1"/>
    </row>
    <row r="102526" spans="17:17" x14ac:dyDescent="0.35">
      <c r="Q102526" s="1"/>
    </row>
    <row r="102528" spans="17:17" x14ac:dyDescent="0.35">
      <c r="Q102528" s="1"/>
    </row>
    <row r="102533" spans="17:17" x14ac:dyDescent="0.35">
      <c r="Q102533" s="1"/>
    </row>
    <row r="102537" spans="17:17" x14ac:dyDescent="0.35">
      <c r="Q102537" s="1"/>
    </row>
    <row r="102541" spans="17:17" x14ac:dyDescent="0.35">
      <c r="Q102541" s="1"/>
    </row>
    <row r="102544" spans="17:17" x14ac:dyDescent="0.35">
      <c r="Q102544" s="1"/>
    </row>
    <row r="102545" spans="17:17" x14ac:dyDescent="0.35">
      <c r="Q102545" s="1"/>
    </row>
    <row r="102547" spans="17:17" x14ac:dyDescent="0.35">
      <c r="Q102547" s="1"/>
    </row>
    <row r="102550" spans="17:17" x14ac:dyDescent="0.35">
      <c r="Q102550" s="1"/>
    </row>
    <row r="102556" spans="17:17" x14ac:dyDescent="0.35">
      <c r="Q102556" s="1"/>
    </row>
    <row r="102562" spans="17:17" x14ac:dyDescent="0.35">
      <c r="Q102562" s="1"/>
    </row>
    <row r="102569" spans="17:17" x14ac:dyDescent="0.35">
      <c r="Q102569" s="1"/>
    </row>
    <row r="102576" spans="17:17" x14ac:dyDescent="0.35">
      <c r="Q102576" s="1"/>
    </row>
    <row r="102578" spans="17:17" x14ac:dyDescent="0.35">
      <c r="Q102578" s="1"/>
    </row>
    <row r="102579" spans="17:17" x14ac:dyDescent="0.35">
      <c r="Q102579" s="1"/>
    </row>
    <row r="102586" spans="17:17" x14ac:dyDescent="0.35">
      <c r="Q102586" s="1"/>
    </row>
    <row r="102588" spans="17:17" x14ac:dyDescent="0.35">
      <c r="Q102588" s="1"/>
    </row>
    <row r="102593" spans="17:17" x14ac:dyDescent="0.35">
      <c r="Q102593" s="1"/>
    </row>
    <row r="102601" spans="17:17" x14ac:dyDescent="0.35">
      <c r="Q102601" s="1"/>
    </row>
    <row r="102602" spans="17:17" x14ac:dyDescent="0.35">
      <c r="Q102602" s="1"/>
    </row>
    <row r="102604" spans="17:17" x14ac:dyDescent="0.35">
      <c r="Q102604" s="1"/>
    </row>
    <row r="102609" spans="17:17" x14ac:dyDescent="0.35">
      <c r="Q102609" s="1"/>
    </row>
    <row r="102612" spans="17:17" x14ac:dyDescent="0.35">
      <c r="Q102612" s="1"/>
    </row>
    <row r="102615" spans="17:17" x14ac:dyDescent="0.35">
      <c r="Q102615" s="1"/>
    </row>
    <row r="102626" spans="17:17" x14ac:dyDescent="0.35">
      <c r="Q102626" s="1"/>
    </row>
    <row r="102636" spans="17:17" x14ac:dyDescent="0.35">
      <c r="Q102636" s="1"/>
    </row>
    <row r="102641" spans="17:17" x14ac:dyDescent="0.35">
      <c r="Q102641" s="1"/>
    </row>
    <row r="102642" spans="17:17" x14ac:dyDescent="0.35">
      <c r="Q102642" s="1"/>
    </row>
    <row r="102644" spans="17:17" x14ac:dyDescent="0.35">
      <c r="Q102644" s="1"/>
    </row>
    <row r="102648" spans="17:17" x14ac:dyDescent="0.35">
      <c r="Q102648" s="1"/>
    </row>
    <row r="102651" spans="17:17" x14ac:dyDescent="0.35">
      <c r="Q102651" s="1"/>
    </row>
    <row r="102652" spans="17:17" x14ac:dyDescent="0.35">
      <c r="Q102652" s="1"/>
    </row>
    <row r="102653" spans="17:17" x14ac:dyDescent="0.35">
      <c r="Q102653" s="1"/>
    </row>
    <row r="102654" spans="17:17" x14ac:dyDescent="0.35">
      <c r="Q102654" s="1"/>
    </row>
    <row r="102661" spans="17:17" x14ac:dyDescent="0.35">
      <c r="Q102661" s="1"/>
    </row>
    <row r="102662" spans="17:17" x14ac:dyDescent="0.35">
      <c r="Q102662" s="1"/>
    </row>
    <row r="102665" spans="17:17" x14ac:dyDescent="0.35">
      <c r="Q102665" s="1"/>
    </row>
    <row r="102666" spans="17:17" x14ac:dyDescent="0.35">
      <c r="Q102666" s="1"/>
    </row>
    <row r="102676" spans="17:17" x14ac:dyDescent="0.35">
      <c r="Q102676" s="1"/>
    </row>
    <row r="102678" spans="17:17" x14ac:dyDescent="0.35">
      <c r="Q102678" s="1"/>
    </row>
    <row r="102680" spans="17:17" x14ac:dyDescent="0.35">
      <c r="Q102680" s="1"/>
    </row>
    <row r="102701" spans="17:17" x14ac:dyDescent="0.35">
      <c r="Q102701" s="1"/>
    </row>
    <row r="102709" spans="17:17" x14ac:dyDescent="0.35">
      <c r="Q102709" s="1"/>
    </row>
    <row r="102714" spans="17:17" x14ac:dyDescent="0.35">
      <c r="Q102714" s="1"/>
    </row>
    <row r="102718" spans="17:17" x14ac:dyDescent="0.35">
      <c r="Q102718" s="1"/>
    </row>
    <row r="102719" spans="17:17" x14ac:dyDescent="0.35">
      <c r="Q102719" s="1"/>
    </row>
    <row r="102722" spans="17:17" x14ac:dyDescent="0.35">
      <c r="Q102722" s="1"/>
    </row>
    <row r="102738" spans="17:17" x14ac:dyDescent="0.35">
      <c r="Q102738" s="1"/>
    </row>
    <row r="102741" spans="17:17" x14ac:dyDescent="0.35">
      <c r="Q102741" s="1"/>
    </row>
    <row r="102752" spans="17:17" x14ac:dyDescent="0.35">
      <c r="Q102752" s="1"/>
    </row>
    <row r="102755" spans="17:17" x14ac:dyDescent="0.35">
      <c r="Q102755" s="1"/>
    </row>
    <row r="102768" spans="17:17" x14ac:dyDescent="0.35">
      <c r="Q102768" s="1"/>
    </row>
    <row r="102773" spans="17:17" x14ac:dyDescent="0.35">
      <c r="Q102773" s="1"/>
    </row>
    <row r="102780" spans="17:17" x14ac:dyDescent="0.35">
      <c r="Q102780" s="1"/>
    </row>
    <row r="102782" spans="17:17" x14ac:dyDescent="0.35">
      <c r="Q102782" s="1"/>
    </row>
    <row r="102785" spans="17:17" x14ac:dyDescent="0.35">
      <c r="Q102785" s="1"/>
    </row>
    <row r="102795" spans="17:17" x14ac:dyDescent="0.35">
      <c r="Q102795" s="1"/>
    </row>
    <row r="102796" spans="17:17" x14ac:dyDescent="0.35">
      <c r="Q102796" s="1"/>
    </row>
    <row r="102797" spans="17:17" x14ac:dyDescent="0.35">
      <c r="Q102797" s="1"/>
    </row>
    <row r="102806" spans="17:17" x14ac:dyDescent="0.35">
      <c r="Q102806" s="1"/>
    </row>
    <row r="102807" spans="17:17" x14ac:dyDescent="0.35">
      <c r="Q102807" s="1"/>
    </row>
    <row r="102815" spans="17:17" x14ac:dyDescent="0.35">
      <c r="Q102815" s="1"/>
    </row>
    <row r="102819" spans="17:17" x14ac:dyDescent="0.35">
      <c r="Q102819" s="1"/>
    </row>
    <row r="102823" spans="17:17" x14ac:dyDescent="0.35">
      <c r="Q102823" s="1"/>
    </row>
    <row r="102828" spans="17:17" x14ac:dyDescent="0.35">
      <c r="Q102828" s="1"/>
    </row>
    <row r="102831" spans="17:17" x14ac:dyDescent="0.35">
      <c r="Q102831" s="1"/>
    </row>
    <row r="102834" spans="17:17" x14ac:dyDescent="0.35">
      <c r="Q102834" s="1"/>
    </row>
    <row r="102835" spans="17:17" x14ac:dyDescent="0.35">
      <c r="Q102835" s="1"/>
    </row>
    <row r="102840" spans="17:17" x14ac:dyDescent="0.35">
      <c r="Q102840" s="1"/>
    </row>
    <row r="102844" spans="17:17" x14ac:dyDescent="0.35">
      <c r="Q102844" s="1"/>
    </row>
    <row r="102846" spans="17:17" x14ac:dyDescent="0.35">
      <c r="Q102846" s="1"/>
    </row>
    <row r="102850" spans="17:17" x14ac:dyDescent="0.35">
      <c r="Q102850" s="1"/>
    </row>
    <row r="102854" spans="17:17" x14ac:dyDescent="0.35">
      <c r="Q102854" s="1"/>
    </row>
    <row r="102857" spans="17:17" x14ac:dyDescent="0.35">
      <c r="Q102857" s="1"/>
    </row>
    <row r="102858" spans="17:17" x14ac:dyDescent="0.35">
      <c r="Q102858" s="1"/>
    </row>
    <row r="102864" spans="17:17" x14ac:dyDescent="0.35">
      <c r="Q102864" s="1"/>
    </row>
    <row r="102875" spans="17:17" x14ac:dyDescent="0.35">
      <c r="Q102875" s="1"/>
    </row>
    <row r="102876" spans="17:17" x14ac:dyDescent="0.35">
      <c r="Q102876" s="1"/>
    </row>
    <row r="102885" spans="17:17" x14ac:dyDescent="0.35">
      <c r="Q102885" s="1"/>
    </row>
    <row r="102887" spans="17:17" x14ac:dyDescent="0.35">
      <c r="Q102887" s="1"/>
    </row>
    <row r="102888" spans="17:17" x14ac:dyDescent="0.35">
      <c r="Q102888" s="1"/>
    </row>
    <row r="102890" spans="17:17" x14ac:dyDescent="0.35">
      <c r="Q102890" s="1"/>
    </row>
    <row r="102891" spans="17:17" x14ac:dyDescent="0.35">
      <c r="Q102891" s="1"/>
    </row>
    <row r="102892" spans="17:17" x14ac:dyDescent="0.35">
      <c r="Q102892" s="1"/>
    </row>
    <row r="102905" spans="17:17" x14ac:dyDescent="0.35">
      <c r="Q102905" s="1"/>
    </row>
    <row r="102906" spans="17:17" x14ac:dyDescent="0.35">
      <c r="Q102906" s="1"/>
    </row>
    <row r="102912" spans="17:17" x14ac:dyDescent="0.35">
      <c r="Q102912" s="1"/>
    </row>
    <row r="102917" spans="17:17" x14ac:dyDescent="0.35">
      <c r="Q102917" s="1"/>
    </row>
    <row r="102919" spans="17:17" x14ac:dyDescent="0.35">
      <c r="Q102919" s="1"/>
    </row>
    <row r="102932" spans="17:17" x14ac:dyDescent="0.35">
      <c r="Q102932" s="1"/>
    </row>
    <row r="102937" spans="17:17" x14ac:dyDescent="0.35">
      <c r="Q102937" s="1"/>
    </row>
    <row r="102943" spans="17:17" x14ac:dyDescent="0.35">
      <c r="Q102943" s="1"/>
    </row>
    <row r="102945" spans="17:17" x14ac:dyDescent="0.35">
      <c r="Q102945" s="1"/>
    </row>
    <row r="102948" spans="17:17" x14ac:dyDescent="0.35">
      <c r="Q102948" s="1"/>
    </row>
    <row r="102949" spans="17:17" x14ac:dyDescent="0.35">
      <c r="Q102949" s="1"/>
    </row>
    <row r="102960" spans="17:17" x14ac:dyDescent="0.35">
      <c r="Q102960" s="1"/>
    </row>
    <row r="102963" spans="17:17" x14ac:dyDescent="0.35">
      <c r="Q102963" s="1"/>
    </row>
    <row r="102973" spans="17:17" x14ac:dyDescent="0.35">
      <c r="Q102973" s="1"/>
    </row>
    <row r="102979" spans="17:17" x14ac:dyDescent="0.35">
      <c r="Q102979" s="1"/>
    </row>
    <row r="102981" spans="17:17" x14ac:dyDescent="0.35">
      <c r="Q102981" s="1"/>
    </row>
    <row r="102984" spans="17:17" x14ac:dyDescent="0.35">
      <c r="Q102984" s="1"/>
    </row>
    <row r="102985" spans="17:17" x14ac:dyDescent="0.35">
      <c r="Q102985" s="1"/>
    </row>
    <row r="102986" spans="17:17" x14ac:dyDescent="0.35">
      <c r="Q102986" s="1"/>
    </row>
    <row r="102987" spans="17:17" x14ac:dyDescent="0.35">
      <c r="Q102987" s="1"/>
    </row>
    <row r="102988" spans="17:17" x14ac:dyDescent="0.35">
      <c r="Q102988" s="1"/>
    </row>
    <row r="102995" spans="17:17" x14ac:dyDescent="0.35">
      <c r="Q102995" s="1"/>
    </row>
    <row r="102996" spans="17:17" x14ac:dyDescent="0.35">
      <c r="Q102996" s="1"/>
    </row>
    <row r="103004" spans="17:17" x14ac:dyDescent="0.35">
      <c r="Q103004" s="1"/>
    </row>
    <row r="103006" spans="17:17" x14ac:dyDescent="0.35">
      <c r="Q103006" s="1"/>
    </row>
    <row r="103010" spans="17:17" x14ac:dyDescent="0.35">
      <c r="Q103010" s="1"/>
    </row>
    <row r="103023" spans="17:17" x14ac:dyDescent="0.35">
      <c r="Q103023" s="1"/>
    </row>
    <row r="103027" spans="17:17" x14ac:dyDescent="0.35">
      <c r="Q103027" s="1"/>
    </row>
    <row r="103028" spans="17:17" x14ac:dyDescent="0.35">
      <c r="Q103028" s="1"/>
    </row>
    <row r="103030" spans="17:17" x14ac:dyDescent="0.35">
      <c r="Q103030" s="1"/>
    </row>
    <row r="103052" spans="17:17" x14ac:dyDescent="0.35">
      <c r="Q103052" s="1"/>
    </row>
    <row r="103059" spans="17:17" x14ac:dyDescent="0.35">
      <c r="Q103059" s="1"/>
    </row>
    <row r="103065" spans="17:17" x14ac:dyDescent="0.35">
      <c r="Q103065" s="1"/>
    </row>
    <row r="103066" spans="17:17" x14ac:dyDescent="0.35">
      <c r="Q103066" s="1"/>
    </row>
    <row r="103067" spans="17:17" x14ac:dyDescent="0.35">
      <c r="Q103067" s="1"/>
    </row>
    <row r="103068" spans="17:17" x14ac:dyDescent="0.35">
      <c r="Q103068" s="1"/>
    </row>
    <row r="103069" spans="17:17" x14ac:dyDescent="0.35">
      <c r="Q103069" s="1"/>
    </row>
    <row r="103072" spans="17:17" x14ac:dyDescent="0.35">
      <c r="Q103072" s="1"/>
    </row>
    <row r="103074" spans="17:17" x14ac:dyDescent="0.35">
      <c r="Q103074" s="1"/>
    </row>
    <row r="103076" spans="17:17" x14ac:dyDescent="0.35">
      <c r="Q103076" s="1"/>
    </row>
    <row r="103077" spans="17:17" x14ac:dyDescent="0.35">
      <c r="Q103077" s="1"/>
    </row>
    <row r="103140" spans="17:17" x14ac:dyDescent="0.35">
      <c r="Q103140" s="1"/>
    </row>
    <row r="103150" spans="17:17" x14ac:dyDescent="0.35">
      <c r="Q103150" s="1"/>
    </row>
    <row r="103160" spans="17:17" x14ac:dyDescent="0.35">
      <c r="Q103160" s="1"/>
    </row>
    <row r="103164" spans="17:17" x14ac:dyDescent="0.35">
      <c r="Q103164" s="1"/>
    </row>
    <row r="103165" spans="17:17" x14ac:dyDescent="0.35">
      <c r="Q103165" s="1"/>
    </row>
    <row r="103166" spans="17:17" x14ac:dyDescent="0.35">
      <c r="Q103166" s="1"/>
    </row>
    <row r="103167" spans="17:17" x14ac:dyDescent="0.35">
      <c r="Q103167" s="1"/>
    </row>
    <row r="103172" spans="17:17" x14ac:dyDescent="0.35">
      <c r="Q103172" s="1"/>
    </row>
    <row r="103180" spans="17:17" x14ac:dyDescent="0.35">
      <c r="Q103180" s="1"/>
    </row>
    <row r="103181" spans="17:17" x14ac:dyDescent="0.35">
      <c r="Q103181" s="1"/>
    </row>
    <row r="103182" spans="17:17" x14ac:dyDescent="0.35">
      <c r="Q103182" s="1"/>
    </row>
    <row r="103186" spans="17:17" x14ac:dyDescent="0.35">
      <c r="Q103186" s="1"/>
    </row>
    <row r="103196" spans="17:17" x14ac:dyDescent="0.35">
      <c r="Q103196" s="1"/>
    </row>
    <row r="103198" spans="17:17" x14ac:dyDescent="0.35">
      <c r="Q103198" s="1"/>
    </row>
    <row r="103203" spans="17:17" x14ac:dyDescent="0.35">
      <c r="Q103203" s="1"/>
    </row>
    <row r="103206" spans="17:17" x14ac:dyDescent="0.35">
      <c r="Q103206" s="1"/>
    </row>
    <row r="103207" spans="17:17" x14ac:dyDescent="0.35">
      <c r="Q103207" s="1"/>
    </row>
    <row r="103210" spans="17:17" x14ac:dyDescent="0.35">
      <c r="Q103210" s="1"/>
    </row>
    <row r="103211" spans="17:17" x14ac:dyDescent="0.35">
      <c r="Q103211" s="1"/>
    </row>
    <row r="103213" spans="17:17" x14ac:dyDescent="0.35">
      <c r="Q103213" s="1"/>
    </row>
    <row r="103218" spans="17:17" x14ac:dyDescent="0.35">
      <c r="Q103218" s="1"/>
    </row>
    <row r="103220" spans="17:17" x14ac:dyDescent="0.35">
      <c r="Q103220" s="1"/>
    </row>
    <row r="103221" spans="17:17" x14ac:dyDescent="0.35">
      <c r="Q103221" s="1"/>
    </row>
    <row r="103222" spans="17:17" x14ac:dyDescent="0.35">
      <c r="Q103222" s="1"/>
    </row>
    <row r="103225" spans="17:17" x14ac:dyDescent="0.35">
      <c r="Q103225" s="1"/>
    </row>
    <row r="103228" spans="17:17" x14ac:dyDescent="0.35">
      <c r="Q103228" s="1"/>
    </row>
    <row r="103229" spans="17:17" x14ac:dyDescent="0.35">
      <c r="Q103229" s="1"/>
    </row>
    <row r="103230" spans="17:17" x14ac:dyDescent="0.35">
      <c r="Q103230" s="1"/>
    </row>
    <row r="103231" spans="17:17" x14ac:dyDescent="0.35">
      <c r="Q103231" s="1"/>
    </row>
    <row r="103232" spans="17:17" x14ac:dyDescent="0.35">
      <c r="Q103232" s="1"/>
    </row>
    <row r="103235" spans="17:17" x14ac:dyDescent="0.35">
      <c r="Q103235" s="1"/>
    </row>
    <row r="103247" spans="17:17" x14ac:dyDescent="0.35">
      <c r="Q103247" s="1"/>
    </row>
    <row r="103254" spans="17:17" x14ac:dyDescent="0.35">
      <c r="Q103254" s="1"/>
    </row>
    <row r="103255" spans="17:17" x14ac:dyDescent="0.35">
      <c r="Q103255" s="1"/>
    </row>
    <row r="103256" spans="17:17" x14ac:dyDescent="0.35">
      <c r="Q103256" s="1"/>
    </row>
    <row r="103260" spans="17:17" x14ac:dyDescent="0.35">
      <c r="Q103260" s="1"/>
    </row>
    <row r="103261" spans="17:17" x14ac:dyDescent="0.35">
      <c r="Q103261" s="1"/>
    </row>
    <row r="103275" spans="17:17" x14ac:dyDescent="0.35">
      <c r="Q103275" s="1"/>
    </row>
    <row r="103276" spans="17:17" x14ac:dyDescent="0.35">
      <c r="Q103276" s="1"/>
    </row>
    <row r="103279" spans="17:17" x14ac:dyDescent="0.35">
      <c r="Q103279" s="1"/>
    </row>
    <row r="103280" spans="17:17" x14ac:dyDescent="0.35">
      <c r="Q103280" s="1"/>
    </row>
    <row r="103282" spans="17:17" x14ac:dyDescent="0.35">
      <c r="Q103282" s="1"/>
    </row>
    <row r="103283" spans="17:17" x14ac:dyDescent="0.35">
      <c r="Q103283" s="1"/>
    </row>
    <row r="103284" spans="17:17" x14ac:dyDescent="0.35">
      <c r="Q103284" s="1"/>
    </row>
    <row r="103286" spans="17:17" x14ac:dyDescent="0.35">
      <c r="Q103286" s="1"/>
    </row>
    <row r="103287" spans="17:17" x14ac:dyDescent="0.35">
      <c r="Q103287" s="1"/>
    </row>
    <row r="103289" spans="17:17" x14ac:dyDescent="0.35">
      <c r="Q103289" s="1"/>
    </row>
    <row r="103292" spans="17:17" x14ac:dyDescent="0.35">
      <c r="Q103292" s="1"/>
    </row>
    <row r="103300" spans="6:17" x14ac:dyDescent="0.35">
      <c r="Q103300" s="1"/>
    </row>
    <row r="103301" spans="6:17" x14ac:dyDescent="0.35">
      <c r="Q103301" s="1"/>
    </row>
    <row r="103302" spans="6:17" x14ac:dyDescent="0.35">
      <c r="F103302" s="1"/>
    </row>
    <row r="103311" spans="6:17" x14ac:dyDescent="0.35">
      <c r="Q103311" s="1"/>
    </row>
    <row r="103316" spans="17:17" x14ac:dyDescent="0.35">
      <c r="Q103316" s="1"/>
    </row>
    <row r="103317" spans="17:17" x14ac:dyDescent="0.35">
      <c r="Q103317" s="1"/>
    </row>
    <row r="103320" spans="17:17" x14ac:dyDescent="0.35">
      <c r="Q103320" s="1"/>
    </row>
    <row r="103321" spans="17:17" x14ac:dyDescent="0.35">
      <c r="Q103321" s="1"/>
    </row>
    <row r="103322" spans="17:17" x14ac:dyDescent="0.35">
      <c r="Q103322" s="1"/>
    </row>
    <row r="103323" spans="17:17" x14ac:dyDescent="0.35">
      <c r="Q103323" s="1"/>
    </row>
    <row r="103325" spans="17:17" x14ac:dyDescent="0.35">
      <c r="Q103325" s="1"/>
    </row>
    <row r="103326" spans="17:17" x14ac:dyDescent="0.35">
      <c r="Q103326" s="1"/>
    </row>
    <row r="103327" spans="17:17" x14ac:dyDescent="0.35">
      <c r="Q103327" s="1"/>
    </row>
    <row r="103329" spans="17:17" x14ac:dyDescent="0.35">
      <c r="Q103329" s="1"/>
    </row>
    <row r="103333" spans="17:17" x14ac:dyDescent="0.35">
      <c r="Q103333" s="1"/>
    </row>
    <row r="103334" spans="17:17" x14ac:dyDescent="0.35">
      <c r="Q103334" s="1"/>
    </row>
    <row r="103335" spans="17:17" x14ac:dyDescent="0.35">
      <c r="Q103335" s="1"/>
    </row>
    <row r="103337" spans="17:17" x14ac:dyDescent="0.35">
      <c r="Q103337" s="1"/>
    </row>
    <row r="103339" spans="17:17" x14ac:dyDescent="0.35">
      <c r="Q103339" s="1"/>
    </row>
    <row r="103340" spans="17:17" x14ac:dyDescent="0.35">
      <c r="Q103340" s="1"/>
    </row>
    <row r="103341" spans="17:17" x14ac:dyDescent="0.35">
      <c r="Q103341" s="1"/>
    </row>
    <row r="103343" spans="17:17" x14ac:dyDescent="0.35">
      <c r="Q103343" s="1"/>
    </row>
    <row r="103344" spans="17:17" x14ac:dyDescent="0.35">
      <c r="Q103344" s="1"/>
    </row>
    <row r="103345" spans="17:17" x14ac:dyDescent="0.35">
      <c r="Q103345" s="1"/>
    </row>
    <row r="103346" spans="17:17" x14ac:dyDescent="0.35">
      <c r="Q103346" s="1"/>
    </row>
    <row r="103347" spans="17:17" x14ac:dyDescent="0.35">
      <c r="Q103347" s="1"/>
    </row>
    <row r="103350" spans="17:17" x14ac:dyDescent="0.35">
      <c r="Q103350" s="1"/>
    </row>
    <row r="103351" spans="17:17" x14ac:dyDescent="0.35">
      <c r="Q103351" s="1"/>
    </row>
    <row r="103354" spans="17:17" x14ac:dyDescent="0.35">
      <c r="Q103354" s="1"/>
    </row>
    <row r="103356" spans="17:17" x14ac:dyDescent="0.35">
      <c r="Q103356" s="1"/>
    </row>
    <row r="103357" spans="17:17" x14ac:dyDescent="0.35">
      <c r="Q103357" s="1"/>
    </row>
    <row r="103359" spans="17:17" x14ac:dyDescent="0.35">
      <c r="Q103359" s="1"/>
    </row>
    <row r="103361" spans="17:17" x14ac:dyDescent="0.35">
      <c r="Q103361" s="1"/>
    </row>
    <row r="103362" spans="17:17" x14ac:dyDescent="0.35">
      <c r="Q103362" s="1"/>
    </row>
    <row r="103363" spans="17:17" x14ac:dyDescent="0.35">
      <c r="Q103363" s="1"/>
    </row>
    <row r="103364" spans="17:17" x14ac:dyDescent="0.35">
      <c r="Q103364" s="1"/>
    </row>
    <row r="103365" spans="17:17" x14ac:dyDescent="0.35">
      <c r="Q103365" s="1"/>
    </row>
    <row r="103367" spans="17:17" x14ac:dyDescent="0.35">
      <c r="Q103367" s="1"/>
    </row>
    <row r="103368" spans="17:17" x14ac:dyDescent="0.35">
      <c r="Q103368" s="1"/>
    </row>
    <row r="103370" spans="17:17" x14ac:dyDescent="0.35">
      <c r="Q103370" s="1"/>
    </row>
    <row r="103372" spans="17:17" x14ac:dyDescent="0.35">
      <c r="Q103372" s="1"/>
    </row>
    <row r="103373" spans="17:17" x14ac:dyDescent="0.35">
      <c r="Q103373" s="1"/>
    </row>
    <row r="103374" spans="17:17" x14ac:dyDescent="0.35">
      <c r="Q103374" s="1"/>
    </row>
    <row r="103375" spans="17:17" x14ac:dyDescent="0.35">
      <c r="Q103375" s="1"/>
    </row>
    <row r="103378" spans="17:17" x14ac:dyDescent="0.35">
      <c r="Q103378" s="1"/>
    </row>
    <row r="103379" spans="17:17" x14ac:dyDescent="0.35">
      <c r="Q103379" s="1"/>
    </row>
    <row r="103380" spans="17:17" x14ac:dyDescent="0.35">
      <c r="Q103380" s="1"/>
    </row>
    <row r="103382" spans="17:17" x14ac:dyDescent="0.35">
      <c r="Q103382" s="1"/>
    </row>
    <row r="103383" spans="17:17" x14ac:dyDescent="0.35">
      <c r="Q103383" s="1"/>
    </row>
    <row r="103384" spans="17:17" x14ac:dyDescent="0.35">
      <c r="Q103384" s="1"/>
    </row>
    <row r="103385" spans="17:17" x14ac:dyDescent="0.35">
      <c r="Q103385" s="1"/>
    </row>
    <row r="103387" spans="17:17" x14ac:dyDescent="0.35">
      <c r="Q103387" s="1"/>
    </row>
    <row r="103388" spans="17:17" x14ac:dyDescent="0.35">
      <c r="Q103388" s="1"/>
    </row>
    <row r="103389" spans="17:17" x14ac:dyDescent="0.35">
      <c r="Q103389" s="1"/>
    </row>
    <row r="103390" spans="17:17" x14ac:dyDescent="0.35">
      <c r="Q103390" s="1"/>
    </row>
    <row r="103391" spans="17:17" x14ac:dyDescent="0.35">
      <c r="Q103391" s="1"/>
    </row>
    <row r="103392" spans="17:17" x14ac:dyDescent="0.35">
      <c r="Q103392" s="1"/>
    </row>
    <row r="103393" spans="16:17" x14ac:dyDescent="0.35">
      <c r="Q103393" s="1"/>
    </row>
    <row r="103395" spans="16:17" x14ac:dyDescent="0.35">
      <c r="Q103395" s="1"/>
    </row>
    <row r="103396" spans="16:17" x14ac:dyDescent="0.35">
      <c r="Q103396" s="1"/>
    </row>
    <row r="103397" spans="16:17" x14ac:dyDescent="0.35">
      <c r="Q103397" s="1"/>
    </row>
    <row r="103398" spans="16:17" x14ac:dyDescent="0.35">
      <c r="Q103398" s="1"/>
    </row>
    <row r="103399" spans="16:17" x14ac:dyDescent="0.35">
      <c r="Q103399" s="1"/>
    </row>
    <row r="103408" spans="16:17" x14ac:dyDescent="0.35">
      <c r="P103408" s="1"/>
      <c r="Q103408" s="1"/>
    </row>
    <row r="103411" spans="17:17" x14ac:dyDescent="0.35">
      <c r="Q103411" s="1"/>
    </row>
    <row r="103413" spans="17:17" x14ac:dyDescent="0.35">
      <c r="Q103413" s="1"/>
    </row>
    <row r="103414" spans="17:17" x14ac:dyDescent="0.35">
      <c r="Q103414" s="1"/>
    </row>
    <row r="103415" spans="17:17" x14ac:dyDescent="0.35">
      <c r="Q103415" s="1"/>
    </row>
    <row r="103417" spans="17:17" x14ac:dyDescent="0.35">
      <c r="Q103417" s="1"/>
    </row>
    <row r="103418" spans="17:17" x14ac:dyDescent="0.35">
      <c r="Q103418" s="1"/>
    </row>
    <row r="103419" spans="17:17" x14ac:dyDescent="0.35">
      <c r="Q103419" s="1"/>
    </row>
    <row r="103421" spans="17:17" x14ac:dyDescent="0.35">
      <c r="Q103421" s="1"/>
    </row>
    <row r="103424" spans="17:17" x14ac:dyDescent="0.35">
      <c r="Q103424" s="1"/>
    </row>
    <row r="103425" spans="17:17" x14ac:dyDescent="0.35">
      <c r="Q103425" s="1"/>
    </row>
    <row r="103426" spans="17:17" x14ac:dyDescent="0.35">
      <c r="Q103426" s="1"/>
    </row>
    <row r="103428" spans="17:17" x14ac:dyDescent="0.35">
      <c r="Q103428" s="1"/>
    </row>
    <row r="103429" spans="17:17" x14ac:dyDescent="0.35">
      <c r="Q103429" s="1"/>
    </row>
    <row r="103430" spans="17:17" x14ac:dyDescent="0.35">
      <c r="Q103430" s="1"/>
    </row>
    <row r="103432" spans="17:17" x14ac:dyDescent="0.35">
      <c r="Q103432" s="1"/>
    </row>
    <row r="103442" spans="17:17" x14ac:dyDescent="0.35">
      <c r="Q103442" s="1"/>
    </row>
    <row r="103456" spans="17:17" x14ac:dyDescent="0.35">
      <c r="Q103456" s="1"/>
    </row>
    <row r="103468" spans="17:17" x14ac:dyDescent="0.35">
      <c r="Q103468" s="1"/>
    </row>
    <row r="103469" spans="17:17" x14ac:dyDescent="0.35">
      <c r="Q103469" s="1"/>
    </row>
    <row r="103474" spans="17:17" x14ac:dyDescent="0.35">
      <c r="Q103474" s="1"/>
    </row>
    <row r="103477" spans="17:17" x14ac:dyDescent="0.35">
      <c r="Q103477" s="1"/>
    </row>
    <row r="103478" spans="17:17" x14ac:dyDescent="0.35">
      <c r="Q103478" s="1"/>
    </row>
    <row r="103484" spans="17:17" x14ac:dyDescent="0.35">
      <c r="Q103484" s="1"/>
    </row>
    <row r="103485" spans="17:17" x14ac:dyDescent="0.35">
      <c r="Q103485" s="1"/>
    </row>
    <row r="103486" spans="17:17" x14ac:dyDescent="0.35">
      <c r="Q103486" s="1"/>
    </row>
    <row r="103492" spans="17:17" x14ac:dyDescent="0.35">
      <c r="Q103492" s="1"/>
    </row>
    <row r="103493" spans="17:17" x14ac:dyDescent="0.35">
      <c r="Q103493" s="1"/>
    </row>
    <row r="103494" spans="17:17" x14ac:dyDescent="0.35">
      <c r="Q103494" s="1"/>
    </row>
    <row r="103502" spans="17:17" x14ac:dyDescent="0.35">
      <c r="Q103502" s="1"/>
    </row>
    <row r="103503" spans="17:17" x14ac:dyDescent="0.35">
      <c r="Q103503" s="1"/>
    </row>
    <row r="103507" spans="17:17" x14ac:dyDescent="0.35">
      <c r="Q103507" s="1"/>
    </row>
    <row r="103514" spans="17:17" x14ac:dyDescent="0.35">
      <c r="Q103514" s="1"/>
    </row>
    <row r="103516" spans="17:17" x14ac:dyDescent="0.35">
      <c r="Q103516" s="1"/>
    </row>
    <row r="103517" spans="17:17" x14ac:dyDescent="0.35">
      <c r="Q103517" s="1"/>
    </row>
    <row r="103523" spans="17:17" x14ac:dyDescent="0.35">
      <c r="Q103523" s="1"/>
    </row>
    <row r="103531" spans="17:17" x14ac:dyDescent="0.35">
      <c r="Q103531" s="1"/>
    </row>
    <row r="103539" spans="17:17" x14ac:dyDescent="0.35">
      <c r="Q103539" s="1"/>
    </row>
    <row r="103545" spans="17:17" x14ac:dyDescent="0.35">
      <c r="Q103545" s="1"/>
    </row>
    <row r="103550" spans="17:17" x14ac:dyDescent="0.35">
      <c r="Q103550" s="1"/>
    </row>
    <row r="103553" spans="17:17" x14ac:dyDescent="0.35">
      <c r="Q103553" s="1"/>
    </row>
    <row r="103554" spans="17:17" x14ac:dyDescent="0.35">
      <c r="Q103554" s="1"/>
    </row>
    <row r="103555" spans="17:17" x14ac:dyDescent="0.35">
      <c r="Q103555" s="1"/>
    </row>
    <row r="103557" spans="17:17" x14ac:dyDescent="0.35">
      <c r="Q103557" s="1"/>
    </row>
    <row r="103559" spans="17:17" x14ac:dyDescent="0.35">
      <c r="Q103559" s="1"/>
    </row>
    <row r="103562" spans="17:17" x14ac:dyDescent="0.35">
      <c r="Q103562" s="1"/>
    </row>
    <row r="103563" spans="17:17" x14ac:dyDescent="0.35">
      <c r="Q103563" s="1"/>
    </row>
    <row r="103568" spans="17:17" x14ac:dyDescent="0.35">
      <c r="Q103568" s="1"/>
    </row>
    <row r="103571" spans="17:17" x14ac:dyDescent="0.35">
      <c r="Q103571" s="1"/>
    </row>
    <row r="103572" spans="17:17" x14ac:dyDescent="0.35">
      <c r="Q103572" s="1"/>
    </row>
    <row r="103573" spans="17:17" x14ac:dyDescent="0.35">
      <c r="Q103573" s="1"/>
    </row>
    <row r="103579" spans="17:17" x14ac:dyDescent="0.35">
      <c r="Q103579" s="1"/>
    </row>
    <row r="103580" spans="17:17" x14ac:dyDescent="0.35">
      <c r="Q103580" s="1"/>
    </row>
    <row r="103585" spans="17:17" x14ac:dyDescent="0.35">
      <c r="Q103585" s="1"/>
    </row>
    <row r="103596" spans="17:17" x14ac:dyDescent="0.35">
      <c r="Q103596" s="1"/>
    </row>
    <row r="103597" spans="17:17" x14ac:dyDescent="0.35">
      <c r="Q103597" s="1"/>
    </row>
    <row r="103599" spans="17:17" x14ac:dyDescent="0.35">
      <c r="Q103599" s="1"/>
    </row>
    <row r="103601" spans="17:17" x14ac:dyDescent="0.35">
      <c r="Q103601" s="1"/>
    </row>
    <row r="103607" spans="17:17" x14ac:dyDescent="0.35">
      <c r="Q103607" s="1"/>
    </row>
    <row r="103611" spans="17:17" x14ac:dyDescent="0.35">
      <c r="Q103611" s="1"/>
    </row>
    <row r="103612" spans="17:17" x14ac:dyDescent="0.35">
      <c r="Q103612" s="1"/>
    </row>
    <row r="103614" spans="17:17" x14ac:dyDescent="0.35">
      <c r="Q103614" s="1"/>
    </row>
    <row r="103615" spans="17:17" x14ac:dyDescent="0.35">
      <c r="Q103615" s="1"/>
    </row>
    <row r="103628" spans="17:17" x14ac:dyDescent="0.35">
      <c r="Q103628" s="1"/>
    </row>
    <row r="103632" spans="17:17" x14ac:dyDescent="0.35">
      <c r="Q103632" s="1"/>
    </row>
    <row r="103639" spans="17:17" x14ac:dyDescent="0.35">
      <c r="Q103639" s="1"/>
    </row>
    <row r="103641" spans="17:17" x14ac:dyDescent="0.35">
      <c r="Q103641" s="1"/>
    </row>
    <row r="103642" spans="17:17" x14ac:dyDescent="0.35">
      <c r="Q103642" s="1"/>
    </row>
    <row r="103644" spans="17:17" x14ac:dyDescent="0.35">
      <c r="Q103644" s="1"/>
    </row>
    <row r="103646" spans="17:17" x14ac:dyDescent="0.35">
      <c r="Q103646" s="1"/>
    </row>
    <row r="103649" spans="17:17" x14ac:dyDescent="0.35">
      <c r="Q103649" s="1"/>
    </row>
    <row r="103653" spans="17:17" x14ac:dyDescent="0.35">
      <c r="Q103653" s="1"/>
    </row>
    <row r="103654" spans="17:17" x14ac:dyDescent="0.35">
      <c r="Q103654" s="1"/>
    </row>
    <row r="103656" spans="17:17" x14ac:dyDescent="0.35">
      <c r="Q103656" s="1"/>
    </row>
    <row r="103659" spans="17:17" x14ac:dyDescent="0.35">
      <c r="Q103659" s="1"/>
    </row>
    <row r="103660" spans="17:17" x14ac:dyDescent="0.35">
      <c r="Q103660" s="1"/>
    </row>
    <row r="103662" spans="17:17" x14ac:dyDescent="0.35">
      <c r="Q103662" s="1"/>
    </row>
    <row r="103671" spans="17:17" x14ac:dyDescent="0.35">
      <c r="Q103671" s="1"/>
    </row>
    <row r="103686" spans="17:17" x14ac:dyDescent="0.35">
      <c r="Q103686" s="1"/>
    </row>
    <row r="103694" spans="17:17" x14ac:dyDescent="0.35">
      <c r="Q103694" s="1"/>
    </row>
    <row r="103699" spans="17:17" x14ac:dyDescent="0.35">
      <c r="Q103699" s="1"/>
    </row>
    <row r="103701" spans="17:17" x14ac:dyDescent="0.35">
      <c r="Q103701" s="1"/>
    </row>
    <row r="103705" spans="17:17" x14ac:dyDescent="0.35">
      <c r="Q103705" s="1"/>
    </row>
    <row r="103706" spans="17:17" x14ac:dyDescent="0.35">
      <c r="Q103706" s="1"/>
    </row>
    <row r="103710" spans="17:17" x14ac:dyDescent="0.35">
      <c r="Q103710" s="1"/>
    </row>
    <row r="103714" spans="17:17" x14ac:dyDescent="0.35">
      <c r="Q103714" s="1"/>
    </row>
    <row r="103717" spans="17:17" x14ac:dyDescent="0.35">
      <c r="Q103717" s="1"/>
    </row>
    <row r="103719" spans="17:17" x14ac:dyDescent="0.35">
      <c r="Q103719" s="1"/>
    </row>
    <row r="103720" spans="17:17" x14ac:dyDescent="0.35">
      <c r="Q103720" s="1"/>
    </row>
    <row r="103723" spans="17:17" x14ac:dyDescent="0.35">
      <c r="Q103723" s="1"/>
    </row>
    <row r="103724" spans="17:17" x14ac:dyDescent="0.35">
      <c r="Q103724" s="1"/>
    </row>
    <row r="103726" spans="17:17" x14ac:dyDescent="0.35">
      <c r="Q103726" s="1"/>
    </row>
    <row r="103727" spans="17:17" x14ac:dyDescent="0.35">
      <c r="Q103727" s="1"/>
    </row>
    <row r="103728" spans="17:17" x14ac:dyDescent="0.35">
      <c r="Q103728" s="1"/>
    </row>
    <row r="103730" spans="17:17" x14ac:dyDescent="0.35">
      <c r="Q103730" s="1"/>
    </row>
    <row r="103731" spans="17:17" x14ac:dyDescent="0.35">
      <c r="Q103731" s="1"/>
    </row>
    <row r="103736" spans="17:17" x14ac:dyDescent="0.35">
      <c r="Q103736" s="1"/>
    </row>
    <row r="103745" spans="17:17" x14ac:dyDescent="0.35">
      <c r="Q103745" s="1"/>
    </row>
    <row r="103747" spans="17:17" x14ac:dyDescent="0.35">
      <c r="Q103747" s="1"/>
    </row>
    <row r="103748" spans="17:17" x14ac:dyDescent="0.35">
      <c r="Q103748" s="1"/>
    </row>
    <row r="103749" spans="17:17" x14ac:dyDescent="0.35">
      <c r="Q103749" s="1"/>
    </row>
    <row r="103750" spans="17:17" x14ac:dyDescent="0.35">
      <c r="Q103750" s="1"/>
    </row>
    <row r="103751" spans="17:17" x14ac:dyDescent="0.35">
      <c r="Q103751" s="1"/>
    </row>
    <row r="103764" spans="17:17" x14ac:dyDescent="0.35">
      <c r="Q103764" s="1"/>
    </row>
    <row r="103767" spans="17:17" x14ac:dyDescent="0.35">
      <c r="Q103767" s="1"/>
    </row>
    <row r="103768" spans="17:17" x14ac:dyDescent="0.35">
      <c r="Q103768" s="1"/>
    </row>
    <row r="103770" spans="17:17" x14ac:dyDescent="0.35">
      <c r="Q103770" s="1"/>
    </row>
    <row r="103773" spans="17:17" x14ac:dyDescent="0.35">
      <c r="Q103773" s="1"/>
    </row>
    <row r="103776" spans="17:17" x14ac:dyDescent="0.35">
      <c r="Q103776" s="1"/>
    </row>
    <row r="103777" spans="17:17" x14ac:dyDescent="0.35">
      <c r="Q103777" s="1"/>
    </row>
    <row r="103782" spans="17:17" x14ac:dyDescent="0.35">
      <c r="Q103782" s="1"/>
    </row>
    <row r="103783" spans="17:17" x14ac:dyDescent="0.35">
      <c r="Q103783" s="1"/>
    </row>
    <row r="103784" spans="17:17" x14ac:dyDescent="0.35">
      <c r="Q103784" s="1"/>
    </row>
    <row r="103785" spans="17:17" x14ac:dyDescent="0.35">
      <c r="Q103785" s="1"/>
    </row>
    <row r="103787" spans="17:17" x14ac:dyDescent="0.35">
      <c r="Q103787" s="1"/>
    </row>
    <row r="103788" spans="17:17" x14ac:dyDescent="0.35">
      <c r="Q103788" s="1"/>
    </row>
    <row r="103789" spans="17:17" x14ac:dyDescent="0.35">
      <c r="Q103789" s="1"/>
    </row>
    <row r="103790" spans="17:17" x14ac:dyDescent="0.35">
      <c r="Q103790" s="1"/>
    </row>
    <row r="103791" spans="17:17" x14ac:dyDescent="0.35">
      <c r="Q103791" s="1"/>
    </row>
    <row r="103792" spans="17:17" x14ac:dyDescent="0.35">
      <c r="Q103792" s="1"/>
    </row>
    <row r="103793" spans="17:17" x14ac:dyDescent="0.35">
      <c r="Q103793" s="1"/>
    </row>
    <row r="103794" spans="17:17" x14ac:dyDescent="0.35">
      <c r="Q103794" s="1"/>
    </row>
    <row r="103795" spans="17:17" x14ac:dyDescent="0.35">
      <c r="Q103795" s="1"/>
    </row>
    <row r="103796" spans="17:17" x14ac:dyDescent="0.35">
      <c r="Q103796" s="1"/>
    </row>
    <row r="103797" spans="17:17" x14ac:dyDescent="0.35">
      <c r="Q103797" s="1"/>
    </row>
    <row r="103798" spans="17:17" x14ac:dyDescent="0.35">
      <c r="Q103798" s="1"/>
    </row>
    <row r="103799" spans="17:17" x14ac:dyDescent="0.35">
      <c r="Q103799" s="1"/>
    </row>
    <row r="103801" spans="17:17" x14ac:dyDescent="0.35">
      <c r="Q103801" s="1"/>
    </row>
    <row r="103806" spans="17:17" x14ac:dyDescent="0.35">
      <c r="Q103806" s="1"/>
    </row>
    <row r="103808" spans="17:17" x14ac:dyDescent="0.35">
      <c r="Q103808" s="1"/>
    </row>
    <row r="103810" spans="17:17" x14ac:dyDescent="0.35">
      <c r="Q103810" s="1"/>
    </row>
    <row r="103815" spans="17:17" x14ac:dyDescent="0.35">
      <c r="Q103815" s="1"/>
    </row>
    <row r="103818" spans="17:17" x14ac:dyDescent="0.35">
      <c r="Q103818" s="1"/>
    </row>
    <row r="103819" spans="17:17" x14ac:dyDescent="0.35">
      <c r="Q103819" s="1"/>
    </row>
    <row r="103822" spans="17:17" x14ac:dyDescent="0.35">
      <c r="Q103822" s="1"/>
    </row>
    <row r="103825" spans="17:17" x14ac:dyDescent="0.35">
      <c r="Q103825" s="1"/>
    </row>
    <row r="103826" spans="17:17" x14ac:dyDescent="0.35">
      <c r="Q103826" s="1"/>
    </row>
    <row r="103828" spans="17:17" x14ac:dyDescent="0.35">
      <c r="Q103828" s="1"/>
    </row>
    <row r="103829" spans="17:17" x14ac:dyDescent="0.35">
      <c r="Q103829" s="1"/>
    </row>
    <row r="103830" spans="17:17" x14ac:dyDescent="0.35">
      <c r="Q103830" s="1"/>
    </row>
    <row r="103831" spans="17:17" x14ac:dyDescent="0.35">
      <c r="Q103831" s="1"/>
    </row>
    <row r="103832" spans="17:17" x14ac:dyDescent="0.35">
      <c r="Q103832" s="1"/>
    </row>
    <row r="103833" spans="17:17" x14ac:dyDescent="0.35">
      <c r="Q103833" s="1"/>
    </row>
    <row r="103834" spans="17:17" x14ac:dyDescent="0.35">
      <c r="Q103834" s="1"/>
    </row>
    <row r="103835" spans="17:17" x14ac:dyDescent="0.35">
      <c r="Q103835" s="1"/>
    </row>
    <row r="103838" spans="17:17" x14ac:dyDescent="0.35">
      <c r="Q103838" s="1"/>
    </row>
    <row r="103843" spans="17:17" x14ac:dyDescent="0.35">
      <c r="Q103843" s="1"/>
    </row>
    <row r="103848" spans="17:17" x14ac:dyDescent="0.35">
      <c r="Q103848" s="1"/>
    </row>
    <row r="103849" spans="17:17" x14ac:dyDescent="0.35">
      <c r="Q103849" s="1"/>
    </row>
    <row r="103854" spans="17:17" x14ac:dyDescent="0.35">
      <c r="Q103854" s="1"/>
    </row>
    <row r="103860" spans="17:17" x14ac:dyDescent="0.35">
      <c r="Q103860" s="1"/>
    </row>
    <row r="103861" spans="17:17" x14ac:dyDescent="0.35">
      <c r="Q103861" s="1"/>
    </row>
    <row r="103862" spans="17:17" x14ac:dyDescent="0.35">
      <c r="Q103862" s="1"/>
    </row>
    <row r="103866" spans="17:17" x14ac:dyDescent="0.35">
      <c r="Q103866" s="1"/>
    </row>
    <row r="103871" spans="17:17" x14ac:dyDescent="0.35">
      <c r="Q103871" s="1"/>
    </row>
    <row r="103876" spans="16:17" x14ac:dyDescent="0.35">
      <c r="P103876" s="1"/>
    </row>
    <row r="103879" spans="16:17" x14ac:dyDescent="0.35">
      <c r="Q103879" s="1"/>
    </row>
    <row r="103881" spans="16:17" x14ac:dyDescent="0.35">
      <c r="Q103881" s="1"/>
    </row>
    <row r="103882" spans="16:17" x14ac:dyDescent="0.35">
      <c r="Q103882" s="1"/>
    </row>
    <row r="103883" spans="16:17" x14ac:dyDescent="0.35">
      <c r="Q103883" s="1"/>
    </row>
    <row r="103885" spans="16:17" x14ac:dyDescent="0.35">
      <c r="Q103885" s="1"/>
    </row>
    <row r="103887" spans="16:17" x14ac:dyDescent="0.35">
      <c r="Q103887" s="1"/>
    </row>
    <row r="103893" spans="17:17" x14ac:dyDescent="0.35">
      <c r="Q103893" s="1"/>
    </row>
    <row r="103895" spans="17:17" x14ac:dyDescent="0.35">
      <c r="Q103895" s="1"/>
    </row>
    <row r="103898" spans="17:17" x14ac:dyDescent="0.35">
      <c r="Q103898" s="1"/>
    </row>
    <row r="103902" spans="17:17" x14ac:dyDescent="0.35">
      <c r="Q103902" s="1"/>
    </row>
    <row r="103907" spans="17:17" x14ac:dyDescent="0.35">
      <c r="Q103907" s="1"/>
    </row>
    <row r="103908" spans="17:17" x14ac:dyDescent="0.35">
      <c r="Q103908" s="1"/>
    </row>
    <row r="103910" spans="17:17" x14ac:dyDescent="0.35">
      <c r="Q103910" s="1"/>
    </row>
    <row r="103911" spans="17:17" x14ac:dyDescent="0.35">
      <c r="Q103911" s="1"/>
    </row>
    <row r="103916" spans="17:17" x14ac:dyDescent="0.35">
      <c r="Q103916" s="1"/>
    </row>
    <row r="103921" spans="17:17" x14ac:dyDescent="0.35">
      <c r="Q103921" s="1"/>
    </row>
    <row r="103924" spans="17:17" x14ac:dyDescent="0.35">
      <c r="Q103924" s="1"/>
    </row>
    <row r="103925" spans="17:17" x14ac:dyDescent="0.35">
      <c r="Q103925" s="1"/>
    </row>
    <row r="103926" spans="17:17" x14ac:dyDescent="0.35">
      <c r="Q103926" s="1"/>
    </row>
    <row r="103930" spans="17:17" x14ac:dyDescent="0.35">
      <c r="Q103930" s="1"/>
    </row>
    <row r="103932" spans="17:17" x14ac:dyDescent="0.35">
      <c r="Q103932" s="1"/>
    </row>
    <row r="103938" spans="17:17" x14ac:dyDescent="0.35">
      <c r="Q103938" s="1"/>
    </row>
    <row r="103940" spans="17:17" x14ac:dyDescent="0.35">
      <c r="Q103940" s="1"/>
    </row>
    <row r="103941" spans="17:17" x14ac:dyDescent="0.35">
      <c r="Q103941" s="1"/>
    </row>
    <row r="103944" spans="17:17" x14ac:dyDescent="0.35">
      <c r="Q103944" s="1"/>
    </row>
    <row r="103958" spans="17:17" x14ac:dyDescent="0.35">
      <c r="Q103958" s="1"/>
    </row>
    <row r="103959" spans="17:17" x14ac:dyDescent="0.35">
      <c r="Q103959" s="1"/>
    </row>
    <row r="103960" spans="17:17" x14ac:dyDescent="0.35">
      <c r="Q103960" s="1"/>
    </row>
    <row r="103967" spans="17:17" x14ac:dyDescent="0.35">
      <c r="Q103967" s="1"/>
    </row>
    <row r="103971" spans="17:17" x14ac:dyDescent="0.35">
      <c r="Q103971" s="1"/>
    </row>
    <row r="103973" spans="17:17" x14ac:dyDescent="0.35">
      <c r="Q103973" s="1"/>
    </row>
    <row r="103976" spans="17:17" x14ac:dyDescent="0.35">
      <c r="Q103976" s="1"/>
    </row>
    <row r="103982" spans="17:17" x14ac:dyDescent="0.35">
      <c r="Q103982" s="1"/>
    </row>
    <row r="103984" spans="17:17" x14ac:dyDescent="0.35">
      <c r="Q103984" s="1"/>
    </row>
    <row r="103987" spans="17:17" x14ac:dyDescent="0.35">
      <c r="Q103987" s="1"/>
    </row>
    <row r="103991" spans="17:17" x14ac:dyDescent="0.35">
      <c r="Q103991" s="1"/>
    </row>
    <row r="103997" spans="17:17" x14ac:dyDescent="0.35">
      <c r="Q103997" s="1"/>
    </row>
    <row r="103999" spans="17:17" x14ac:dyDescent="0.35">
      <c r="Q103999" s="1"/>
    </row>
    <row r="104000" spans="17:17" x14ac:dyDescent="0.35">
      <c r="Q104000" s="1"/>
    </row>
    <row r="104002" spans="17:17" x14ac:dyDescent="0.35">
      <c r="Q104002" s="1"/>
    </row>
    <row r="104003" spans="17:17" x14ac:dyDescent="0.35">
      <c r="Q104003" s="1"/>
    </row>
    <row r="104004" spans="17:17" x14ac:dyDescent="0.35">
      <c r="Q104004" s="1"/>
    </row>
    <row r="104006" spans="17:17" x14ac:dyDescent="0.35">
      <c r="Q104006" s="1"/>
    </row>
    <row r="104008" spans="17:17" x14ac:dyDescent="0.35">
      <c r="Q104008" s="1"/>
    </row>
    <row r="104010" spans="17:17" x14ac:dyDescent="0.35">
      <c r="Q104010" s="1"/>
    </row>
    <row r="104011" spans="17:17" x14ac:dyDescent="0.35">
      <c r="Q104011" s="1"/>
    </row>
    <row r="104015" spans="17:17" x14ac:dyDescent="0.35">
      <c r="Q104015" s="1"/>
    </row>
    <row r="104018" spans="17:17" x14ac:dyDescent="0.35">
      <c r="Q104018" s="1"/>
    </row>
    <row r="104021" spans="17:17" x14ac:dyDescent="0.35">
      <c r="Q104021" s="1"/>
    </row>
    <row r="104024" spans="17:17" x14ac:dyDescent="0.35">
      <c r="Q104024" s="1"/>
    </row>
    <row r="104029" spans="17:17" x14ac:dyDescent="0.35">
      <c r="Q104029" s="1"/>
    </row>
    <row r="104042" spans="17:17" x14ac:dyDescent="0.35">
      <c r="Q104042" s="1"/>
    </row>
    <row r="104045" spans="17:17" x14ac:dyDescent="0.35">
      <c r="Q104045" s="1"/>
    </row>
    <row r="104049" spans="17:17" x14ac:dyDescent="0.35">
      <c r="Q104049" s="1"/>
    </row>
    <row r="104060" spans="17:17" x14ac:dyDescent="0.35">
      <c r="Q104060" s="1"/>
    </row>
    <row r="104081" spans="17:17" x14ac:dyDescent="0.35">
      <c r="Q104081" s="1"/>
    </row>
    <row r="104090" spans="17:17" x14ac:dyDescent="0.35">
      <c r="Q104090" s="1"/>
    </row>
    <row r="104091" spans="17:17" x14ac:dyDescent="0.35">
      <c r="Q104091" s="1"/>
    </row>
    <row r="104093" spans="17:17" x14ac:dyDescent="0.35">
      <c r="Q104093" s="1"/>
    </row>
    <row r="104094" spans="17:17" x14ac:dyDescent="0.35">
      <c r="Q104094" s="1"/>
    </row>
    <row r="104096" spans="17:17" x14ac:dyDescent="0.35">
      <c r="Q104096" s="1"/>
    </row>
    <row r="104097" spans="17:17" x14ac:dyDescent="0.35">
      <c r="Q104097" s="1"/>
    </row>
    <row r="104099" spans="17:17" x14ac:dyDescent="0.35">
      <c r="Q104099" s="1"/>
    </row>
    <row r="104103" spans="17:17" x14ac:dyDescent="0.35">
      <c r="Q104103" s="1"/>
    </row>
    <row r="104104" spans="17:17" x14ac:dyDescent="0.35">
      <c r="Q104104" s="1"/>
    </row>
    <row r="104106" spans="17:17" x14ac:dyDescent="0.35">
      <c r="Q104106" s="1"/>
    </row>
    <row r="104107" spans="17:17" x14ac:dyDescent="0.35">
      <c r="Q104107" s="1"/>
    </row>
    <row r="104110" spans="17:17" x14ac:dyDescent="0.35">
      <c r="Q104110" s="1"/>
    </row>
    <row r="104111" spans="17:17" x14ac:dyDescent="0.35">
      <c r="Q104111" s="1"/>
    </row>
    <row r="104112" spans="17:17" x14ac:dyDescent="0.35">
      <c r="Q104112" s="1"/>
    </row>
    <row r="104113" spans="17:17" x14ac:dyDescent="0.35">
      <c r="Q104113" s="1"/>
    </row>
    <row r="104114" spans="17:17" x14ac:dyDescent="0.35">
      <c r="Q104114" s="1"/>
    </row>
    <row r="104119" spans="17:17" x14ac:dyDescent="0.35">
      <c r="Q104119" s="1"/>
    </row>
    <row r="104121" spans="17:17" x14ac:dyDescent="0.35">
      <c r="Q104121" s="1"/>
    </row>
    <row r="104122" spans="17:17" x14ac:dyDescent="0.35">
      <c r="Q104122" s="1"/>
    </row>
    <row r="104130" spans="17:17" x14ac:dyDescent="0.35">
      <c r="Q104130" s="1"/>
    </row>
    <row r="104138" spans="17:17" x14ac:dyDescent="0.35">
      <c r="Q104138" s="1"/>
    </row>
    <row r="104146" spans="17:17" x14ac:dyDescent="0.35">
      <c r="Q104146" s="1"/>
    </row>
    <row r="104151" spans="17:17" x14ac:dyDescent="0.35">
      <c r="Q104151" s="1"/>
    </row>
    <row r="104159" spans="17:17" x14ac:dyDescent="0.35">
      <c r="Q104159" s="1"/>
    </row>
    <row r="104164" spans="17:17" x14ac:dyDescent="0.35">
      <c r="Q104164" s="1"/>
    </row>
    <row r="104170" spans="17:17" x14ac:dyDescent="0.35">
      <c r="Q104170" s="1"/>
    </row>
    <row r="104177" spans="17:17" x14ac:dyDescent="0.35">
      <c r="Q104177" s="1"/>
    </row>
    <row r="104180" spans="17:17" x14ac:dyDescent="0.35">
      <c r="Q104180" s="1"/>
    </row>
    <row r="104182" spans="17:17" x14ac:dyDescent="0.35">
      <c r="Q104182" s="1"/>
    </row>
    <row r="104183" spans="17:17" x14ac:dyDescent="0.35">
      <c r="Q104183" s="1"/>
    </row>
    <row r="104184" spans="17:17" x14ac:dyDescent="0.35">
      <c r="Q104184" s="1"/>
    </row>
    <row r="104190" spans="17:17" x14ac:dyDescent="0.35">
      <c r="Q104190" s="1"/>
    </row>
    <row r="104194" spans="16:17" x14ac:dyDescent="0.35">
      <c r="Q104194" s="1"/>
    </row>
    <row r="104199" spans="16:17" x14ac:dyDescent="0.35">
      <c r="Q104199" s="1"/>
    </row>
    <row r="104201" spans="16:17" x14ac:dyDescent="0.35">
      <c r="P104201" s="1"/>
    </row>
    <row r="104203" spans="16:17" x14ac:dyDescent="0.35">
      <c r="Q104203" s="1"/>
    </row>
    <row r="104205" spans="16:17" x14ac:dyDescent="0.35">
      <c r="Q104205" s="1"/>
    </row>
    <row r="104212" spans="17:17" x14ac:dyDescent="0.35">
      <c r="Q104212" s="1"/>
    </row>
    <row r="104214" spans="17:17" x14ac:dyDescent="0.35">
      <c r="Q104214" s="1"/>
    </row>
    <row r="104218" spans="17:17" x14ac:dyDescent="0.35">
      <c r="Q104218" s="1"/>
    </row>
    <row r="104220" spans="17:17" x14ac:dyDescent="0.35">
      <c r="Q104220" s="1"/>
    </row>
    <row r="104225" spans="17:17" x14ac:dyDescent="0.35">
      <c r="Q104225" s="1"/>
    </row>
    <row r="104226" spans="17:17" x14ac:dyDescent="0.35">
      <c r="Q104226" s="1"/>
    </row>
    <row r="104231" spans="17:17" x14ac:dyDescent="0.35">
      <c r="Q104231" s="1"/>
    </row>
    <row r="104234" spans="17:17" x14ac:dyDescent="0.35">
      <c r="Q104234" s="1"/>
    </row>
    <row r="104238" spans="17:17" x14ac:dyDescent="0.35">
      <c r="Q104238" s="1"/>
    </row>
    <row r="104240" spans="17:17" x14ac:dyDescent="0.35">
      <c r="Q104240" s="1"/>
    </row>
    <row r="104241" spans="17:17" x14ac:dyDescent="0.35">
      <c r="Q104241" s="1"/>
    </row>
    <row r="104250" spans="17:17" x14ac:dyDescent="0.35">
      <c r="Q104250" s="1"/>
    </row>
    <row r="104257" spans="16:17" x14ac:dyDescent="0.35">
      <c r="Q104257" s="1"/>
    </row>
    <row r="104259" spans="16:17" x14ac:dyDescent="0.35">
      <c r="Q104259" s="1"/>
    </row>
    <row r="104260" spans="16:17" x14ac:dyDescent="0.35">
      <c r="Q104260" s="1"/>
    </row>
    <row r="104261" spans="16:17" x14ac:dyDescent="0.35">
      <c r="Q104261" s="1"/>
    </row>
    <row r="104267" spans="16:17" x14ac:dyDescent="0.35">
      <c r="P104267" s="1"/>
    </row>
    <row r="104268" spans="16:17" x14ac:dyDescent="0.35">
      <c r="Q104268" s="1"/>
    </row>
    <row r="104280" spans="17:17" x14ac:dyDescent="0.35">
      <c r="Q104280" s="1"/>
    </row>
    <row r="104282" spans="17:17" x14ac:dyDescent="0.35">
      <c r="Q104282" s="1"/>
    </row>
    <row r="104286" spans="17:17" x14ac:dyDescent="0.35">
      <c r="Q104286" s="1"/>
    </row>
    <row r="104292" spans="17:17" x14ac:dyDescent="0.35">
      <c r="Q104292" s="1"/>
    </row>
    <row r="104296" spans="17:17" x14ac:dyDescent="0.35">
      <c r="Q104296" s="1"/>
    </row>
    <row r="104297" spans="17:17" x14ac:dyDescent="0.35">
      <c r="Q104297" s="1"/>
    </row>
    <row r="104303" spans="17:17" x14ac:dyDescent="0.35">
      <c r="Q104303" s="1"/>
    </row>
    <row r="104305" spans="17:17" x14ac:dyDescent="0.35">
      <c r="Q104305" s="1"/>
    </row>
    <row r="104309" spans="17:17" x14ac:dyDescent="0.35">
      <c r="Q104309" s="1"/>
    </row>
    <row r="104315" spans="17:17" x14ac:dyDescent="0.35">
      <c r="Q104315" s="1"/>
    </row>
    <row r="104317" spans="17:17" x14ac:dyDescent="0.35">
      <c r="Q104317" s="1"/>
    </row>
    <row r="104320" spans="17:17" x14ac:dyDescent="0.35">
      <c r="Q104320" s="1"/>
    </row>
    <row r="104325" spans="17:17" x14ac:dyDescent="0.35">
      <c r="Q104325" s="1"/>
    </row>
    <row r="104327" spans="17:17" x14ac:dyDescent="0.35">
      <c r="Q104327" s="1"/>
    </row>
    <row r="104329" spans="17:17" x14ac:dyDescent="0.35">
      <c r="Q104329" s="1"/>
    </row>
    <row r="104330" spans="17:17" x14ac:dyDescent="0.35">
      <c r="Q104330" s="1"/>
    </row>
    <row r="104333" spans="17:17" x14ac:dyDescent="0.35">
      <c r="Q104333" s="1"/>
    </row>
    <row r="104336" spans="17:17" x14ac:dyDescent="0.35">
      <c r="Q104336" s="1"/>
    </row>
    <row r="104337" spans="17:17" x14ac:dyDescent="0.35">
      <c r="Q104337" s="1"/>
    </row>
    <row r="104338" spans="17:17" x14ac:dyDescent="0.35">
      <c r="Q104338" s="1"/>
    </row>
    <row r="104339" spans="17:17" x14ac:dyDescent="0.35">
      <c r="Q104339" s="1"/>
    </row>
    <row r="104340" spans="17:17" x14ac:dyDescent="0.35">
      <c r="Q104340" s="1"/>
    </row>
    <row r="104341" spans="17:17" x14ac:dyDescent="0.35">
      <c r="Q104341" s="1"/>
    </row>
    <row r="104342" spans="17:17" x14ac:dyDescent="0.35">
      <c r="Q104342" s="1"/>
    </row>
    <row r="104344" spans="17:17" x14ac:dyDescent="0.35">
      <c r="Q104344" s="1"/>
    </row>
    <row r="104345" spans="17:17" x14ac:dyDescent="0.35">
      <c r="Q104345" s="1"/>
    </row>
    <row r="104348" spans="17:17" x14ac:dyDescent="0.35">
      <c r="Q104348" s="1"/>
    </row>
    <row r="104361" spans="17:17" x14ac:dyDescent="0.35">
      <c r="Q104361" s="1"/>
    </row>
    <row r="104367" spans="17:17" x14ac:dyDescent="0.35">
      <c r="Q104367" s="1"/>
    </row>
    <row r="104373" spans="17:17" x14ac:dyDescent="0.35">
      <c r="Q104373" s="1"/>
    </row>
    <row r="104374" spans="17:17" x14ac:dyDescent="0.35">
      <c r="Q104374" s="1"/>
    </row>
    <row r="104381" spans="17:17" x14ac:dyDescent="0.35">
      <c r="Q104381" s="1"/>
    </row>
    <row r="104388" spans="16:17" x14ac:dyDescent="0.35">
      <c r="Q104388" s="1"/>
    </row>
    <row r="104390" spans="16:17" x14ac:dyDescent="0.35">
      <c r="Q104390" s="1"/>
    </row>
    <row r="104392" spans="16:17" x14ac:dyDescent="0.35">
      <c r="Q104392" s="1"/>
    </row>
    <row r="104396" spans="16:17" x14ac:dyDescent="0.35">
      <c r="P104396" s="1"/>
    </row>
    <row r="104397" spans="16:17" x14ac:dyDescent="0.35">
      <c r="Q104397" s="1"/>
    </row>
    <row r="104399" spans="16:17" x14ac:dyDescent="0.35">
      <c r="Q104399" s="1"/>
    </row>
    <row r="104401" spans="17:17" x14ac:dyDescent="0.35">
      <c r="Q104401" s="1"/>
    </row>
    <row r="104403" spans="17:17" x14ac:dyDescent="0.35">
      <c r="Q104403" s="1"/>
    </row>
    <row r="104404" spans="17:17" x14ac:dyDescent="0.35">
      <c r="Q104404" s="1"/>
    </row>
    <row r="104406" spans="17:17" x14ac:dyDescent="0.35">
      <c r="Q104406" s="1"/>
    </row>
    <row r="104410" spans="17:17" x14ac:dyDescent="0.35">
      <c r="Q104410" s="1"/>
    </row>
    <row r="104413" spans="17:17" x14ac:dyDescent="0.35">
      <c r="Q104413" s="1"/>
    </row>
    <row r="104417" spans="17:17" x14ac:dyDescent="0.35">
      <c r="Q104417" s="1"/>
    </row>
    <row r="104425" spans="17:17" x14ac:dyDescent="0.35">
      <c r="Q104425" s="1"/>
    </row>
    <row r="104426" spans="17:17" x14ac:dyDescent="0.35">
      <c r="Q104426" s="1"/>
    </row>
    <row r="104431" spans="17:17" x14ac:dyDescent="0.35">
      <c r="Q104431" s="1"/>
    </row>
    <row r="104434" spans="17:17" x14ac:dyDescent="0.35">
      <c r="Q104434" s="1"/>
    </row>
    <row r="104437" spans="17:17" x14ac:dyDescent="0.35">
      <c r="Q104437" s="1"/>
    </row>
    <row r="104441" spans="17:17" x14ac:dyDescent="0.35">
      <c r="Q104441" s="1"/>
    </row>
    <row r="104444" spans="17:17" x14ac:dyDescent="0.35">
      <c r="Q104444" s="1"/>
    </row>
    <row r="104445" spans="17:17" x14ac:dyDescent="0.35">
      <c r="Q104445" s="1"/>
    </row>
    <row r="104446" spans="17:17" x14ac:dyDescent="0.35">
      <c r="Q104446" s="1"/>
    </row>
    <row r="104448" spans="17:17" x14ac:dyDescent="0.35">
      <c r="Q104448" s="1"/>
    </row>
    <row r="104450" spans="17:17" x14ac:dyDescent="0.35">
      <c r="Q104450" s="1"/>
    </row>
    <row r="104454" spans="17:17" x14ac:dyDescent="0.35">
      <c r="Q104454" s="1"/>
    </row>
    <row r="104460" spans="17:17" x14ac:dyDescent="0.35">
      <c r="Q104460" s="1"/>
    </row>
    <row r="104465" spans="17:17" x14ac:dyDescent="0.35">
      <c r="Q104465" s="1"/>
    </row>
    <row r="104473" spans="17:17" x14ac:dyDescent="0.35">
      <c r="Q104473" s="1"/>
    </row>
    <row r="104484" spans="17:17" x14ac:dyDescent="0.35">
      <c r="Q104484" s="1"/>
    </row>
    <row r="104486" spans="17:17" x14ac:dyDescent="0.35">
      <c r="Q104486" s="1"/>
    </row>
    <row r="104490" spans="17:17" x14ac:dyDescent="0.35">
      <c r="Q104490" s="1"/>
    </row>
    <row r="104493" spans="17:17" x14ac:dyDescent="0.35">
      <c r="Q104493" s="1"/>
    </row>
    <row r="104497" spans="16:17" x14ac:dyDescent="0.35">
      <c r="Q104497" s="1"/>
    </row>
    <row r="104502" spans="16:17" x14ac:dyDescent="0.35">
      <c r="Q104502" s="1"/>
    </row>
    <row r="104504" spans="16:17" x14ac:dyDescent="0.35">
      <c r="P104504" s="1"/>
    </row>
    <row r="104505" spans="16:17" x14ac:dyDescent="0.35">
      <c r="Q104505" s="1"/>
    </row>
    <row r="104516" spans="17:17" x14ac:dyDescent="0.35">
      <c r="Q104516" s="1"/>
    </row>
    <row r="104524" spans="17:17" x14ac:dyDescent="0.35">
      <c r="Q104524" s="1"/>
    </row>
    <row r="104527" spans="17:17" x14ac:dyDescent="0.35">
      <c r="Q104527" s="1"/>
    </row>
    <row r="104528" spans="17:17" x14ac:dyDescent="0.35">
      <c r="Q104528" s="1"/>
    </row>
    <row r="104531" spans="17:17" x14ac:dyDescent="0.35">
      <c r="Q104531" s="1"/>
    </row>
    <row r="104534" spans="17:17" x14ac:dyDescent="0.35">
      <c r="Q104534" s="1"/>
    </row>
    <row r="104537" spans="17:17" x14ac:dyDescent="0.35">
      <c r="Q104537" s="1"/>
    </row>
    <row r="104542" spans="17:17" x14ac:dyDescent="0.35">
      <c r="Q104542" s="1"/>
    </row>
    <row r="104545" spans="17:17" x14ac:dyDescent="0.35">
      <c r="Q104545" s="1"/>
    </row>
    <row r="104546" spans="17:17" x14ac:dyDescent="0.35">
      <c r="Q104546" s="1"/>
    </row>
    <row r="104547" spans="17:17" x14ac:dyDescent="0.35">
      <c r="Q104547" s="1"/>
    </row>
    <row r="104551" spans="17:17" x14ac:dyDescent="0.35">
      <c r="Q104551" s="1"/>
    </row>
    <row r="104553" spans="17:17" x14ac:dyDescent="0.35">
      <c r="Q104553" s="1"/>
    </row>
    <row r="104558" spans="17:17" x14ac:dyDescent="0.35">
      <c r="Q104558" s="1"/>
    </row>
    <row r="104562" spans="17:17" x14ac:dyDescent="0.35">
      <c r="Q104562" s="1"/>
    </row>
    <row r="104571" spans="17:17" x14ac:dyDescent="0.35">
      <c r="Q104571" s="1"/>
    </row>
    <row r="104574" spans="17:17" x14ac:dyDescent="0.35">
      <c r="Q104574" s="1"/>
    </row>
    <row r="104575" spans="17:17" x14ac:dyDescent="0.35">
      <c r="Q104575" s="1"/>
    </row>
    <row r="104577" spans="5:17" x14ac:dyDescent="0.35">
      <c r="E104577" s="2"/>
      <c r="F104577" s="2"/>
    </row>
    <row r="104583" spans="5:17" x14ac:dyDescent="0.35">
      <c r="Q104583" s="1"/>
    </row>
    <row r="104586" spans="5:17" x14ac:dyDescent="0.35">
      <c r="Q104586" s="1"/>
    </row>
    <row r="104587" spans="5:17" x14ac:dyDescent="0.35">
      <c r="Q104587" s="1"/>
    </row>
    <row r="104591" spans="5:17" x14ac:dyDescent="0.35">
      <c r="Q104591" s="1"/>
    </row>
    <row r="104593" spans="17:17" x14ac:dyDescent="0.35">
      <c r="Q104593" s="1"/>
    </row>
    <row r="104595" spans="17:17" x14ac:dyDescent="0.35">
      <c r="Q104595" s="1"/>
    </row>
    <row r="104613" spans="17:17" x14ac:dyDescent="0.35">
      <c r="Q104613" s="1"/>
    </row>
    <row r="104614" spans="17:17" x14ac:dyDescent="0.35">
      <c r="Q104614" s="1"/>
    </row>
    <row r="104625" spans="16:17" x14ac:dyDescent="0.35">
      <c r="Q104625" s="1"/>
    </row>
    <row r="104632" spans="16:17" x14ac:dyDescent="0.35">
      <c r="Q104632" s="1"/>
    </row>
    <row r="104634" spans="16:17" x14ac:dyDescent="0.35">
      <c r="Q104634" s="1"/>
    </row>
    <row r="104635" spans="16:17" x14ac:dyDescent="0.35">
      <c r="Q104635" s="1"/>
    </row>
    <row r="104636" spans="16:17" x14ac:dyDescent="0.35">
      <c r="P104636" s="1"/>
    </row>
    <row r="104637" spans="16:17" x14ac:dyDescent="0.35">
      <c r="Q104637" s="1"/>
    </row>
    <row r="104638" spans="16:17" x14ac:dyDescent="0.35">
      <c r="Q104638" s="1"/>
    </row>
    <row r="104645" spans="17:17" x14ac:dyDescent="0.35">
      <c r="Q104645" s="1"/>
    </row>
    <row r="104647" spans="17:17" x14ac:dyDescent="0.35">
      <c r="Q104647" s="1"/>
    </row>
    <row r="104650" spans="17:17" x14ac:dyDescent="0.35">
      <c r="Q104650" s="1"/>
    </row>
    <row r="104652" spans="17:17" x14ac:dyDescent="0.35">
      <c r="Q104652" s="1"/>
    </row>
    <row r="104656" spans="17:17" x14ac:dyDescent="0.35">
      <c r="Q104656" s="1"/>
    </row>
    <row r="104660" spans="16:17" x14ac:dyDescent="0.35">
      <c r="P104660" s="1"/>
    </row>
    <row r="104661" spans="16:17" x14ac:dyDescent="0.35">
      <c r="Q104661" s="1"/>
    </row>
    <row r="104664" spans="16:17" x14ac:dyDescent="0.35">
      <c r="Q104664" s="1"/>
    </row>
    <row r="104667" spans="16:17" x14ac:dyDescent="0.35">
      <c r="Q104667" s="1"/>
    </row>
    <row r="104668" spans="16:17" x14ac:dyDescent="0.35">
      <c r="Q104668" s="1"/>
    </row>
    <row r="104672" spans="16:17" x14ac:dyDescent="0.35">
      <c r="Q104672" s="1"/>
    </row>
    <row r="104674" spans="17:17" x14ac:dyDescent="0.35">
      <c r="Q104674" s="1"/>
    </row>
    <row r="104678" spans="17:17" x14ac:dyDescent="0.35">
      <c r="Q104678" s="1"/>
    </row>
    <row r="104688" spans="17:17" x14ac:dyDescent="0.35">
      <c r="Q104688" s="1"/>
    </row>
    <row r="104692" spans="17:17" x14ac:dyDescent="0.35">
      <c r="Q104692" s="1"/>
    </row>
    <row r="104699" spans="17:17" x14ac:dyDescent="0.35">
      <c r="Q104699" s="1"/>
    </row>
    <row r="104702" spans="17:17" x14ac:dyDescent="0.35">
      <c r="Q104702" s="1"/>
    </row>
    <row r="104704" spans="17:17" x14ac:dyDescent="0.35">
      <c r="Q104704" s="1"/>
    </row>
    <row r="104711" spans="16:17" x14ac:dyDescent="0.35">
      <c r="Q104711" s="1"/>
    </row>
    <row r="104715" spans="16:17" x14ac:dyDescent="0.35">
      <c r="P104715" s="1"/>
    </row>
    <row r="104717" spans="16:17" x14ac:dyDescent="0.35">
      <c r="Q104717" s="1"/>
    </row>
    <row r="104726" spans="17:17" x14ac:dyDescent="0.35">
      <c r="Q104726" s="1"/>
    </row>
    <row r="104736" spans="17:17" x14ac:dyDescent="0.35">
      <c r="Q104736" s="1"/>
    </row>
    <row r="104737" spans="17:17" x14ac:dyDescent="0.35">
      <c r="Q104737" s="1"/>
    </row>
    <row r="104756" spans="17:17" x14ac:dyDescent="0.35">
      <c r="Q104756" s="1"/>
    </row>
    <row r="104759" spans="17:17" x14ac:dyDescent="0.35">
      <c r="Q104759" s="1"/>
    </row>
    <row r="104768" spans="17:17" x14ac:dyDescent="0.35">
      <c r="Q104768" s="1"/>
    </row>
    <row r="104770" spans="17:17" x14ac:dyDescent="0.35">
      <c r="Q104770" s="1"/>
    </row>
    <row r="104772" spans="17:17" x14ac:dyDescent="0.35">
      <c r="Q104772" s="1"/>
    </row>
    <row r="104776" spans="17:17" x14ac:dyDescent="0.35">
      <c r="Q104776" s="1"/>
    </row>
    <row r="104779" spans="17:17" x14ac:dyDescent="0.35">
      <c r="Q104779" s="1"/>
    </row>
    <row r="104780" spans="17:17" x14ac:dyDescent="0.35">
      <c r="Q104780" s="1"/>
    </row>
    <row r="104781" spans="17:17" x14ac:dyDescent="0.35">
      <c r="Q104781" s="1"/>
    </row>
    <row r="104782" spans="17:17" x14ac:dyDescent="0.35">
      <c r="Q104782" s="1"/>
    </row>
    <row r="104790" spans="17:17" x14ac:dyDescent="0.35">
      <c r="Q104790" s="1"/>
    </row>
    <row r="104791" spans="17:17" x14ac:dyDescent="0.35">
      <c r="Q104791" s="1"/>
    </row>
    <row r="104792" spans="17:17" x14ac:dyDescent="0.35">
      <c r="Q104792" s="1"/>
    </row>
    <row r="104795" spans="17:17" x14ac:dyDescent="0.35">
      <c r="Q104795" s="1"/>
    </row>
    <row r="104796" spans="17:17" x14ac:dyDescent="0.35">
      <c r="Q104796" s="1"/>
    </row>
    <row r="104798" spans="17:17" x14ac:dyDescent="0.35">
      <c r="Q104798" s="1"/>
    </row>
    <row r="104799" spans="17:17" x14ac:dyDescent="0.35">
      <c r="Q104799" s="1"/>
    </row>
    <row r="104800" spans="17:17" x14ac:dyDescent="0.35">
      <c r="Q104800" s="1"/>
    </row>
    <row r="104804" spans="17:17" x14ac:dyDescent="0.35">
      <c r="Q104804" s="1"/>
    </row>
    <row r="104806" spans="17:17" x14ac:dyDescent="0.35">
      <c r="Q104806" s="1"/>
    </row>
    <row r="104807" spans="17:17" x14ac:dyDescent="0.35">
      <c r="Q104807" s="1"/>
    </row>
    <row r="104828" spans="17:17" x14ac:dyDescent="0.35">
      <c r="Q104828" s="1"/>
    </row>
    <row r="104830" spans="17:17" x14ac:dyDescent="0.35">
      <c r="Q104830" s="1"/>
    </row>
    <row r="104831" spans="17:17" x14ac:dyDescent="0.35">
      <c r="Q104831" s="1"/>
    </row>
    <row r="104834" spans="17:17" x14ac:dyDescent="0.35">
      <c r="Q104834" s="1"/>
    </row>
    <row r="104835" spans="17:17" x14ac:dyDescent="0.35">
      <c r="Q104835" s="1"/>
    </row>
    <row r="104839" spans="17:17" x14ac:dyDescent="0.35">
      <c r="Q104839" s="1"/>
    </row>
    <row r="104850" spans="17:17" x14ac:dyDescent="0.35">
      <c r="Q104850" s="1"/>
    </row>
    <row r="104860" spans="17:17" x14ac:dyDescent="0.35">
      <c r="Q104860" s="1"/>
    </row>
    <row r="104873" spans="16:17" x14ac:dyDescent="0.35">
      <c r="Q104873" s="1"/>
    </row>
    <row r="104878" spans="16:17" x14ac:dyDescent="0.35">
      <c r="P104878" s="1"/>
    </row>
    <row r="104887" spans="17:17" x14ac:dyDescent="0.35">
      <c r="Q104887" s="1"/>
    </row>
    <row r="104889" spans="17:17" x14ac:dyDescent="0.35">
      <c r="Q104889" s="1"/>
    </row>
    <row r="104893" spans="17:17" x14ac:dyDescent="0.35">
      <c r="Q104893" s="1"/>
    </row>
    <row r="104900" spans="17:17" x14ac:dyDescent="0.35">
      <c r="Q104900" s="1"/>
    </row>
    <row r="104902" spans="17:17" x14ac:dyDescent="0.35">
      <c r="Q104902" s="1"/>
    </row>
    <row r="104912" spans="17:17" x14ac:dyDescent="0.35">
      <c r="Q104912" s="1"/>
    </row>
    <row r="104915" spans="16:17" x14ac:dyDescent="0.35">
      <c r="Q104915" s="1"/>
    </row>
    <row r="104925" spans="16:17" x14ac:dyDescent="0.35">
      <c r="Q104925" s="1"/>
    </row>
    <row r="104928" spans="16:17" x14ac:dyDescent="0.35">
      <c r="P104928" s="1"/>
    </row>
    <row r="104931" spans="17:17" x14ac:dyDescent="0.35">
      <c r="Q104931" s="1"/>
    </row>
    <row r="104934" spans="17:17" x14ac:dyDescent="0.35">
      <c r="Q104934" s="1"/>
    </row>
    <row r="104937" spans="17:17" x14ac:dyDescent="0.35">
      <c r="Q104937" s="1"/>
    </row>
    <row r="104942" spans="17:17" x14ac:dyDescent="0.35">
      <c r="Q104942" s="1"/>
    </row>
    <row r="104943" spans="17:17" x14ac:dyDescent="0.35">
      <c r="Q104943" s="1"/>
    </row>
    <row r="104951" spans="17:17" x14ac:dyDescent="0.35">
      <c r="Q104951" s="1"/>
    </row>
    <row r="104952" spans="17:17" x14ac:dyDescent="0.35">
      <c r="Q104952" s="1"/>
    </row>
    <row r="104953" spans="17:17" x14ac:dyDescent="0.35">
      <c r="Q104953" s="1"/>
    </row>
    <row r="104955" spans="17:17" x14ac:dyDescent="0.35">
      <c r="Q104955" s="1"/>
    </row>
    <row r="104962" spans="16:17" x14ac:dyDescent="0.35">
      <c r="Q104962" s="1"/>
    </row>
    <row r="104963" spans="16:17" x14ac:dyDescent="0.35">
      <c r="P104963" s="1"/>
    </row>
    <row r="104964" spans="16:17" x14ac:dyDescent="0.35">
      <c r="Q104964" s="1"/>
    </row>
    <row r="104971" spans="16:17" x14ac:dyDescent="0.35">
      <c r="Q104971" s="1"/>
    </row>
    <row r="104984" spans="16:17" x14ac:dyDescent="0.35">
      <c r="P104984" s="1"/>
      <c r="Q104984" s="1"/>
    </row>
    <row r="104990" spans="16:17" x14ac:dyDescent="0.35">
      <c r="Q104990" s="1"/>
    </row>
    <row r="104991" spans="16:17" x14ac:dyDescent="0.35">
      <c r="Q104991" s="1"/>
    </row>
    <row r="104995" spans="17:17" x14ac:dyDescent="0.35">
      <c r="Q104995" s="1"/>
    </row>
    <row r="104996" spans="17:17" x14ac:dyDescent="0.35">
      <c r="Q104996" s="1"/>
    </row>
    <row r="104997" spans="17:17" x14ac:dyDescent="0.35">
      <c r="Q104997" s="1"/>
    </row>
    <row r="104998" spans="17:17" x14ac:dyDescent="0.35">
      <c r="Q104998" s="1"/>
    </row>
    <row r="104999" spans="17:17" x14ac:dyDescent="0.35">
      <c r="Q104999" s="1"/>
    </row>
    <row r="105001" spans="17:17" x14ac:dyDescent="0.35">
      <c r="Q105001" s="1"/>
    </row>
    <row r="105346" spans="17:17" x14ac:dyDescent="0.35">
      <c r="Q105346" s="1"/>
    </row>
    <row r="105361" spans="6:6" x14ac:dyDescent="0.35">
      <c r="F105361" s="8"/>
    </row>
    <row r="105659" spans="17:17" x14ac:dyDescent="0.35">
      <c r="Q105659" s="1"/>
    </row>
    <row r="105714" spans="17:17" x14ac:dyDescent="0.35">
      <c r="Q105714" s="1"/>
    </row>
    <row r="106002" spans="17:17" x14ac:dyDescent="0.35">
      <c r="Q106002" s="1"/>
    </row>
    <row r="106003" spans="17:17" x14ac:dyDescent="0.35">
      <c r="Q106003" s="1"/>
    </row>
    <row r="106006" spans="17:17" x14ac:dyDescent="0.35">
      <c r="Q106006" s="1"/>
    </row>
    <row r="106012" spans="17:17" x14ac:dyDescent="0.35">
      <c r="Q106012" s="1"/>
    </row>
    <row r="106017" spans="17:17" x14ac:dyDescent="0.35">
      <c r="Q106017" s="1"/>
    </row>
    <row r="106018" spans="17:17" x14ac:dyDescent="0.35">
      <c r="Q106018" s="1"/>
    </row>
    <row r="106037" spans="17:17" x14ac:dyDescent="0.35">
      <c r="Q106037" s="1"/>
    </row>
    <row r="106038" spans="17:17" x14ac:dyDescent="0.35">
      <c r="Q106038" s="1"/>
    </row>
    <row r="106047" spans="17:17" x14ac:dyDescent="0.35">
      <c r="Q106047" s="1"/>
    </row>
    <row r="106049" spans="17:17" x14ac:dyDescent="0.35">
      <c r="Q106049" s="1"/>
    </row>
    <row r="106052" spans="17:17" x14ac:dyDescent="0.35">
      <c r="Q106052" s="1"/>
    </row>
    <row r="106054" spans="17:17" x14ac:dyDescent="0.35">
      <c r="Q106054" s="1"/>
    </row>
    <row r="106057" spans="17:17" x14ac:dyDescent="0.35">
      <c r="Q106057" s="1"/>
    </row>
    <row r="106059" spans="17:17" x14ac:dyDescent="0.35">
      <c r="Q106059" s="1"/>
    </row>
    <row r="106078" spans="17:17" x14ac:dyDescent="0.35">
      <c r="Q106078" s="1"/>
    </row>
    <row r="106081" spans="17:17" x14ac:dyDescent="0.35">
      <c r="Q106081" s="1"/>
    </row>
    <row r="106087" spans="17:17" x14ac:dyDescent="0.35">
      <c r="Q106087" s="1"/>
    </row>
    <row r="106094" spans="17:17" x14ac:dyDescent="0.35">
      <c r="Q106094" s="1"/>
    </row>
    <row r="106096" spans="17:17" x14ac:dyDescent="0.35">
      <c r="Q106096" s="1"/>
    </row>
    <row r="106103" spans="17:17" x14ac:dyDescent="0.35">
      <c r="Q106103" s="1"/>
    </row>
    <row r="106111" spans="17:17" x14ac:dyDescent="0.35">
      <c r="Q106111" s="1"/>
    </row>
    <row r="106112" spans="17:17" x14ac:dyDescent="0.35">
      <c r="Q106112" s="1"/>
    </row>
    <row r="106113" spans="17:17" x14ac:dyDescent="0.35">
      <c r="Q106113" s="1"/>
    </row>
    <row r="106114" spans="17:17" x14ac:dyDescent="0.35">
      <c r="Q106114" s="1"/>
    </row>
    <row r="106117" spans="17:17" x14ac:dyDescent="0.35">
      <c r="Q106117" s="1"/>
    </row>
    <row r="106121" spans="17:17" x14ac:dyDescent="0.35">
      <c r="Q106121" s="1"/>
    </row>
    <row r="106128" spans="17:17" x14ac:dyDescent="0.35">
      <c r="Q106128" s="1"/>
    </row>
    <row r="106132" spans="17:17" x14ac:dyDescent="0.35">
      <c r="Q106132" s="1"/>
    </row>
    <row r="106134" spans="17:17" x14ac:dyDescent="0.35">
      <c r="Q106134" s="1"/>
    </row>
    <row r="106142" spans="17:17" x14ac:dyDescent="0.35">
      <c r="Q106142" s="1"/>
    </row>
    <row r="106143" spans="17:17" x14ac:dyDescent="0.35">
      <c r="Q106143" s="1"/>
    </row>
    <row r="106144" spans="17:17" x14ac:dyDescent="0.35">
      <c r="Q106144" s="1"/>
    </row>
    <row r="106145" spans="17:17" x14ac:dyDescent="0.35">
      <c r="Q106145" s="1"/>
    </row>
    <row r="106147" spans="17:17" x14ac:dyDescent="0.35">
      <c r="Q106147" s="1"/>
    </row>
    <row r="106148" spans="17:17" x14ac:dyDescent="0.35">
      <c r="Q106148" s="1"/>
    </row>
    <row r="106149" spans="17:17" x14ac:dyDescent="0.35">
      <c r="Q106149" s="1"/>
    </row>
    <row r="106151" spans="17:17" x14ac:dyDescent="0.35">
      <c r="Q106151" s="1"/>
    </row>
    <row r="106156" spans="17:17" x14ac:dyDescent="0.35">
      <c r="Q106156" s="1"/>
    </row>
    <row r="106162" spans="17:17" x14ac:dyDescent="0.35">
      <c r="Q106162" s="1"/>
    </row>
    <row r="106163" spans="17:17" x14ac:dyDescent="0.35">
      <c r="Q106163" s="1"/>
    </row>
    <row r="106167" spans="17:17" x14ac:dyDescent="0.35">
      <c r="Q106167" s="1"/>
    </row>
    <row r="106171" spans="17:17" x14ac:dyDescent="0.35">
      <c r="Q106171" s="1"/>
    </row>
    <row r="106174" spans="17:17" x14ac:dyDescent="0.35">
      <c r="Q106174" s="1"/>
    </row>
    <row r="106176" spans="17:17" x14ac:dyDescent="0.35">
      <c r="Q106176" s="1"/>
    </row>
    <row r="106178" spans="17:17" x14ac:dyDescent="0.35">
      <c r="Q106178" s="1"/>
    </row>
    <row r="106189" spans="17:17" x14ac:dyDescent="0.35">
      <c r="Q106189" s="1"/>
    </row>
    <row r="106196" spans="16:17" x14ac:dyDescent="0.35">
      <c r="Q106196" s="1"/>
    </row>
    <row r="106197" spans="16:17" x14ac:dyDescent="0.35">
      <c r="P106197" s="1"/>
    </row>
    <row r="106198" spans="16:17" x14ac:dyDescent="0.35">
      <c r="Q106198" s="1"/>
    </row>
    <row r="106201" spans="16:17" x14ac:dyDescent="0.35">
      <c r="Q106201" s="1"/>
    </row>
    <row r="106202" spans="16:17" x14ac:dyDescent="0.35">
      <c r="Q106202" s="1"/>
    </row>
    <row r="106203" spans="16:17" x14ac:dyDescent="0.35">
      <c r="Q106203" s="1"/>
    </row>
    <row r="106209" spans="17:17" x14ac:dyDescent="0.35">
      <c r="Q106209" s="1"/>
    </row>
    <row r="106222" spans="17:17" x14ac:dyDescent="0.35">
      <c r="Q106222" s="1"/>
    </row>
    <row r="106227" spans="17:17" x14ac:dyDescent="0.35">
      <c r="Q106227" s="1"/>
    </row>
    <row r="106228" spans="17:17" x14ac:dyDescent="0.35">
      <c r="Q106228" s="1"/>
    </row>
    <row r="106229" spans="17:17" x14ac:dyDescent="0.35">
      <c r="Q106229" s="1"/>
    </row>
    <row r="106230" spans="17:17" x14ac:dyDescent="0.35">
      <c r="Q106230" s="1"/>
    </row>
    <row r="106231" spans="17:17" x14ac:dyDescent="0.35">
      <c r="Q106231" s="1"/>
    </row>
    <row r="106241" spans="17:17" x14ac:dyDescent="0.35">
      <c r="Q106241" s="1"/>
    </row>
    <row r="106250" spans="17:17" x14ac:dyDescent="0.35">
      <c r="Q106250" s="1"/>
    </row>
    <row r="106255" spans="17:17" x14ac:dyDescent="0.35">
      <c r="Q106255" s="1"/>
    </row>
    <row r="106267" spans="17:17" x14ac:dyDescent="0.35">
      <c r="Q106267" s="1"/>
    </row>
    <row r="106270" spans="17:17" x14ac:dyDescent="0.35">
      <c r="Q106270" s="1"/>
    </row>
    <row r="106271" spans="17:17" x14ac:dyDescent="0.35">
      <c r="Q106271" s="1"/>
    </row>
    <row r="106276" spans="17:17" x14ac:dyDescent="0.35">
      <c r="Q106276" s="1"/>
    </row>
    <row r="106281" spans="17:17" x14ac:dyDescent="0.35">
      <c r="Q106281" s="1"/>
    </row>
    <row r="106286" spans="17:17" x14ac:dyDescent="0.35">
      <c r="Q106286" s="1"/>
    </row>
    <row r="106288" spans="17:17" x14ac:dyDescent="0.35">
      <c r="Q106288" s="1"/>
    </row>
    <row r="106298" spans="17:17" x14ac:dyDescent="0.35">
      <c r="Q106298" s="1"/>
    </row>
    <row r="106305" spans="17:17" x14ac:dyDescent="0.35">
      <c r="Q106305" s="1"/>
    </row>
    <row r="106310" spans="17:17" x14ac:dyDescent="0.35">
      <c r="Q106310" s="1"/>
    </row>
    <row r="106312" spans="17:17" x14ac:dyDescent="0.35">
      <c r="Q106312" s="1"/>
    </row>
    <row r="106314" spans="17:17" x14ac:dyDescent="0.35">
      <c r="Q106314" s="1"/>
    </row>
    <row r="106317" spans="17:17" x14ac:dyDescent="0.35">
      <c r="Q106317" s="1"/>
    </row>
    <row r="106320" spans="17:17" x14ac:dyDescent="0.35">
      <c r="Q106320" s="1"/>
    </row>
    <row r="106322" spans="17:17" x14ac:dyDescent="0.35">
      <c r="Q106322" s="1"/>
    </row>
    <row r="106325" spans="17:17" x14ac:dyDescent="0.35">
      <c r="Q106325" s="1"/>
    </row>
    <row r="106329" spans="17:17" x14ac:dyDescent="0.35">
      <c r="Q106329" s="1"/>
    </row>
    <row r="106332" spans="17:17" x14ac:dyDescent="0.35">
      <c r="Q106332" s="1"/>
    </row>
    <row r="106336" spans="17:17" x14ac:dyDescent="0.35">
      <c r="Q106336" s="1"/>
    </row>
    <row r="106338" spans="16:17" x14ac:dyDescent="0.35">
      <c r="Q106338" s="1"/>
    </row>
    <row r="106341" spans="16:17" x14ac:dyDescent="0.35">
      <c r="P106341" s="1"/>
    </row>
    <row r="106345" spans="16:17" x14ac:dyDescent="0.35">
      <c r="Q106345" s="1"/>
    </row>
    <row r="106350" spans="16:17" x14ac:dyDescent="0.35">
      <c r="Q106350" s="1"/>
    </row>
    <row r="106355" spans="17:17" x14ac:dyDescent="0.35">
      <c r="Q106355" s="1"/>
    </row>
    <row r="106357" spans="17:17" x14ac:dyDescent="0.35">
      <c r="Q106357" s="1"/>
    </row>
    <row r="106360" spans="17:17" x14ac:dyDescent="0.35">
      <c r="Q106360" s="1"/>
    </row>
    <row r="106362" spans="17:17" x14ac:dyDescent="0.35">
      <c r="Q106362" s="1"/>
    </row>
    <row r="106364" spans="17:17" x14ac:dyDescent="0.35">
      <c r="Q106364" s="1"/>
    </row>
    <row r="106374" spans="17:17" x14ac:dyDescent="0.35">
      <c r="Q106374" s="1"/>
    </row>
    <row r="106377" spans="17:17" x14ac:dyDescent="0.35">
      <c r="Q106377" s="1"/>
    </row>
    <row r="106379" spans="17:17" x14ac:dyDescent="0.35">
      <c r="Q106379" s="1"/>
    </row>
    <row r="106382" spans="17:17" x14ac:dyDescent="0.35">
      <c r="Q106382" s="1"/>
    </row>
    <row r="106390" spans="17:17" x14ac:dyDescent="0.35">
      <c r="Q106390" s="1"/>
    </row>
    <row r="106393" spans="17:17" x14ac:dyDescent="0.35">
      <c r="Q106393" s="1"/>
    </row>
    <row r="106396" spans="17:17" x14ac:dyDescent="0.35">
      <c r="Q106396" s="1"/>
    </row>
    <row r="106398" spans="17:17" x14ac:dyDescent="0.35">
      <c r="Q106398" s="1"/>
    </row>
    <row r="106409" spans="17:17" x14ac:dyDescent="0.35">
      <c r="Q106409" s="1"/>
    </row>
    <row r="106414" spans="17:17" x14ac:dyDescent="0.35">
      <c r="Q106414" s="1"/>
    </row>
    <row r="106420" spans="17:17" x14ac:dyDescent="0.35">
      <c r="Q106420" s="1"/>
    </row>
    <row r="106426" spans="17:17" x14ac:dyDescent="0.35">
      <c r="Q106426" s="1"/>
    </row>
    <row r="106427" spans="17:17" x14ac:dyDescent="0.35">
      <c r="Q106427" s="1"/>
    </row>
    <row r="106430" spans="17:17" x14ac:dyDescent="0.35">
      <c r="Q106430" s="1"/>
    </row>
    <row r="106432" spans="17:17" x14ac:dyDescent="0.35">
      <c r="Q106432" s="1"/>
    </row>
    <row r="106436" spans="17:17" x14ac:dyDescent="0.35">
      <c r="Q106436" s="1"/>
    </row>
    <row r="106445" spans="17:17" x14ac:dyDescent="0.35">
      <c r="Q106445" s="1"/>
    </row>
    <row r="106446" spans="17:17" x14ac:dyDescent="0.35">
      <c r="Q106446" s="1"/>
    </row>
    <row r="106449" spans="17:17" x14ac:dyDescent="0.35">
      <c r="Q106449" s="1"/>
    </row>
    <row r="106450" spans="17:17" x14ac:dyDescent="0.35">
      <c r="Q106450" s="1"/>
    </row>
    <row r="106452" spans="17:17" x14ac:dyDescent="0.35">
      <c r="Q106452" s="1"/>
    </row>
    <row r="106458" spans="17:17" x14ac:dyDescent="0.35">
      <c r="Q106458" s="1"/>
    </row>
    <row r="106465" spans="17:17" x14ac:dyDescent="0.35">
      <c r="Q106465" s="1"/>
    </row>
    <row r="106472" spans="17:17" x14ac:dyDescent="0.35">
      <c r="Q106472" s="1"/>
    </row>
    <row r="106476" spans="17:17" x14ac:dyDescent="0.35">
      <c r="Q106476" s="1"/>
    </row>
    <row r="106481" spans="16:17" x14ac:dyDescent="0.35">
      <c r="Q106481" s="1"/>
    </row>
    <row r="106484" spans="16:17" x14ac:dyDescent="0.35">
      <c r="Q106484" s="1"/>
    </row>
    <row r="106490" spans="16:17" x14ac:dyDescent="0.35">
      <c r="Q106490" s="1"/>
    </row>
    <row r="106494" spans="16:17" x14ac:dyDescent="0.35">
      <c r="Q106494" s="1"/>
    </row>
    <row r="106495" spans="16:17" x14ac:dyDescent="0.35">
      <c r="P106495" s="1"/>
    </row>
    <row r="106505" spans="17:17" x14ac:dyDescent="0.35">
      <c r="Q106505" s="1"/>
    </row>
    <row r="106507" spans="17:17" x14ac:dyDescent="0.35">
      <c r="Q106507" s="1"/>
    </row>
    <row r="106517" spans="17:17" x14ac:dyDescent="0.35">
      <c r="Q106517" s="1"/>
    </row>
    <row r="106518" spans="17:17" x14ac:dyDescent="0.35">
      <c r="Q106518" s="1"/>
    </row>
    <row r="106520" spans="17:17" x14ac:dyDescent="0.35">
      <c r="Q106520" s="1"/>
    </row>
    <row r="106529" spans="17:17" x14ac:dyDescent="0.35">
      <c r="Q106529" s="1"/>
    </row>
    <row r="106534" spans="17:17" x14ac:dyDescent="0.35">
      <c r="Q106534" s="1"/>
    </row>
    <row r="106537" spans="17:17" x14ac:dyDescent="0.35">
      <c r="Q106537" s="1"/>
    </row>
    <row r="106540" spans="17:17" x14ac:dyDescent="0.35">
      <c r="Q106540" s="1"/>
    </row>
    <row r="106543" spans="17:17" x14ac:dyDescent="0.35">
      <c r="Q106543" s="1"/>
    </row>
    <row r="106544" spans="17:17" x14ac:dyDescent="0.35">
      <c r="Q106544" s="1"/>
    </row>
    <row r="106546" spans="17:17" x14ac:dyDescent="0.35">
      <c r="Q106546" s="1"/>
    </row>
    <row r="106548" spans="17:17" x14ac:dyDescent="0.35">
      <c r="Q106548" s="1"/>
    </row>
    <row r="106560" spans="17:17" x14ac:dyDescent="0.35">
      <c r="Q106560" s="1"/>
    </row>
    <row r="106562" spans="17:17" x14ac:dyDescent="0.35">
      <c r="Q106562" s="1"/>
    </row>
    <row r="106563" spans="17:17" x14ac:dyDescent="0.35">
      <c r="Q106563" s="1"/>
    </row>
    <row r="106567" spans="17:17" x14ac:dyDescent="0.35">
      <c r="Q106567" s="1"/>
    </row>
    <row r="106570" spans="17:17" x14ac:dyDescent="0.35">
      <c r="Q106570" s="1"/>
    </row>
    <row r="106584" spans="5:17" x14ac:dyDescent="0.35">
      <c r="Q106584" s="1"/>
    </row>
    <row r="106589" spans="5:17" x14ac:dyDescent="0.35">
      <c r="Q106589" s="1"/>
    </row>
    <row r="106591" spans="5:17" x14ac:dyDescent="0.35">
      <c r="E106591" s="5"/>
    </row>
    <row r="106595" spans="17:17" x14ac:dyDescent="0.35">
      <c r="Q106595" s="1"/>
    </row>
    <row r="106597" spans="17:17" x14ac:dyDescent="0.35">
      <c r="Q106597" s="1"/>
    </row>
    <row r="106606" spans="17:17" x14ac:dyDescent="0.35">
      <c r="Q106606" s="1"/>
    </row>
    <row r="106608" spans="17:17" x14ac:dyDescent="0.35">
      <c r="Q106608" s="1"/>
    </row>
    <row r="106611" spans="17:17" x14ac:dyDescent="0.35">
      <c r="Q106611" s="1"/>
    </row>
    <row r="106612" spans="17:17" x14ac:dyDescent="0.35">
      <c r="Q106612" s="1"/>
    </row>
    <row r="106621" spans="17:17" x14ac:dyDescent="0.35">
      <c r="Q106621" s="1"/>
    </row>
    <row r="106622" spans="17:17" x14ac:dyDescent="0.35">
      <c r="Q106622" s="1"/>
    </row>
    <row r="106631" spans="17:17" x14ac:dyDescent="0.35">
      <c r="Q106631" s="1"/>
    </row>
    <row r="106635" spans="17:17" x14ac:dyDescent="0.35">
      <c r="Q106635" s="1"/>
    </row>
    <row r="106648" spans="17:17" x14ac:dyDescent="0.35">
      <c r="Q106648" s="1"/>
    </row>
    <row r="106649" spans="17:17" x14ac:dyDescent="0.35">
      <c r="Q106649" s="1"/>
    </row>
    <row r="106650" spans="17:17" x14ac:dyDescent="0.35">
      <c r="Q106650" s="1"/>
    </row>
    <row r="106652" spans="17:17" x14ac:dyDescent="0.35">
      <c r="Q106652" s="1"/>
    </row>
    <row r="106653" spans="17:17" x14ac:dyDescent="0.35">
      <c r="Q106653" s="1"/>
    </row>
    <row r="106654" spans="17:17" x14ac:dyDescent="0.35">
      <c r="Q106654" s="1"/>
    </row>
    <row r="106656" spans="17:17" x14ac:dyDescent="0.35">
      <c r="Q106656" s="1"/>
    </row>
    <row r="106657" spans="17:17" x14ac:dyDescent="0.35">
      <c r="Q106657" s="1"/>
    </row>
    <row r="106677" spans="17:17" x14ac:dyDescent="0.35">
      <c r="Q106677" s="1"/>
    </row>
    <row r="106678" spans="17:17" x14ac:dyDescent="0.35">
      <c r="Q106678" s="1"/>
    </row>
    <row r="106681" spans="17:17" x14ac:dyDescent="0.35">
      <c r="Q106681" s="1"/>
    </row>
    <row r="106700" spans="17:17" x14ac:dyDescent="0.35">
      <c r="Q106700" s="1"/>
    </row>
    <row r="106707" spans="17:17" x14ac:dyDescent="0.35">
      <c r="Q106707" s="1"/>
    </row>
    <row r="106709" spans="17:17" x14ac:dyDescent="0.35">
      <c r="Q106709" s="1"/>
    </row>
    <row r="106716" spans="17:17" x14ac:dyDescent="0.35">
      <c r="Q106716" s="1"/>
    </row>
    <row r="106717" spans="17:17" x14ac:dyDescent="0.35">
      <c r="Q106717" s="1"/>
    </row>
    <row r="106719" spans="17:17" x14ac:dyDescent="0.35">
      <c r="Q106719" s="1"/>
    </row>
    <row r="106722" spans="17:17" x14ac:dyDescent="0.35">
      <c r="Q106722" s="1"/>
    </row>
    <row r="106728" spans="17:17" x14ac:dyDescent="0.35">
      <c r="Q106728" s="1"/>
    </row>
    <row r="106733" spans="17:17" x14ac:dyDescent="0.35">
      <c r="Q106733" s="1"/>
    </row>
    <row r="106734" spans="17:17" x14ac:dyDescent="0.35">
      <c r="Q106734" s="1"/>
    </row>
    <row r="106739" spans="17:17" x14ac:dyDescent="0.35">
      <c r="Q106739" s="1"/>
    </row>
    <row r="106743" spans="17:17" x14ac:dyDescent="0.35">
      <c r="Q106743" s="1"/>
    </row>
    <row r="106746" spans="17:17" x14ac:dyDescent="0.35">
      <c r="Q106746" s="1"/>
    </row>
    <row r="106756" spans="16:17" x14ac:dyDescent="0.35">
      <c r="Q106756" s="1"/>
    </row>
    <row r="106758" spans="16:17" x14ac:dyDescent="0.35">
      <c r="Q106758" s="1"/>
    </row>
    <row r="106759" spans="16:17" x14ac:dyDescent="0.35">
      <c r="Q106759" s="1"/>
    </row>
    <row r="106760" spans="16:17" x14ac:dyDescent="0.35">
      <c r="P106760" s="1"/>
    </row>
    <row r="106761" spans="16:17" x14ac:dyDescent="0.35">
      <c r="Q106761" s="1"/>
    </row>
    <row r="106762" spans="16:17" x14ac:dyDescent="0.35">
      <c r="Q106762" s="1"/>
    </row>
    <row r="106768" spans="16:17" x14ac:dyDescent="0.35">
      <c r="Q106768" s="1"/>
    </row>
    <row r="106771" spans="17:17" x14ac:dyDescent="0.35">
      <c r="Q106771" s="1"/>
    </row>
    <row r="106772" spans="17:17" x14ac:dyDescent="0.35">
      <c r="Q106772" s="1"/>
    </row>
    <row r="106775" spans="17:17" x14ac:dyDescent="0.35">
      <c r="Q106775" s="1"/>
    </row>
    <row r="106776" spans="17:17" x14ac:dyDescent="0.35">
      <c r="Q106776" s="1"/>
    </row>
    <row r="106788" spans="16:17" x14ac:dyDescent="0.35">
      <c r="Q106788" s="1"/>
    </row>
    <row r="106789" spans="16:17" x14ac:dyDescent="0.35">
      <c r="Q106789" s="1"/>
    </row>
    <row r="106790" spans="16:17" x14ac:dyDescent="0.35">
      <c r="Q106790" s="1"/>
    </row>
    <row r="106791" spans="16:17" x14ac:dyDescent="0.35">
      <c r="Q106791" s="1"/>
    </row>
    <row r="106793" spans="16:17" x14ac:dyDescent="0.35">
      <c r="Q106793" s="1"/>
    </row>
    <row r="106794" spans="16:17" x14ac:dyDescent="0.35">
      <c r="P106794" s="1"/>
    </row>
    <row r="106796" spans="16:17" x14ac:dyDescent="0.35">
      <c r="Q106796" s="1"/>
    </row>
    <row r="106800" spans="16:17" x14ac:dyDescent="0.35">
      <c r="Q106800" s="1"/>
    </row>
    <row r="106807" spans="17:17" x14ac:dyDescent="0.35">
      <c r="Q106807" s="1"/>
    </row>
    <row r="106808" spans="17:17" x14ac:dyDescent="0.35">
      <c r="Q106808" s="1"/>
    </row>
    <row r="106809" spans="17:17" x14ac:dyDescent="0.35">
      <c r="Q106809" s="1"/>
    </row>
    <row r="106817" spans="17:17" x14ac:dyDescent="0.35">
      <c r="Q106817" s="1"/>
    </row>
    <row r="106820" spans="17:17" x14ac:dyDescent="0.35">
      <c r="Q106820" s="1"/>
    </row>
    <row r="106822" spans="17:17" x14ac:dyDescent="0.35">
      <c r="Q106822" s="1"/>
    </row>
    <row r="106831" spans="17:17" x14ac:dyDescent="0.35">
      <c r="Q106831" s="1"/>
    </row>
    <row r="106834" spans="17:17" x14ac:dyDescent="0.35">
      <c r="Q106834" s="1"/>
    </row>
    <row r="106841" spans="17:17" x14ac:dyDescent="0.35">
      <c r="Q106841" s="1"/>
    </row>
    <row r="106852" spans="17:17" x14ac:dyDescent="0.35">
      <c r="Q106852" s="1"/>
    </row>
    <row r="106855" spans="17:17" x14ac:dyDescent="0.35">
      <c r="Q106855" s="1"/>
    </row>
    <row r="106861" spans="17:17" x14ac:dyDescent="0.35">
      <c r="Q106861" s="1"/>
    </row>
    <row r="106865" spans="17:17" x14ac:dyDescent="0.35">
      <c r="Q106865" s="1"/>
    </row>
    <row r="106869" spans="17:17" x14ac:dyDescent="0.35">
      <c r="Q106869" s="1"/>
    </row>
    <row r="106870" spans="17:17" x14ac:dyDescent="0.35">
      <c r="Q106870" s="1"/>
    </row>
    <row r="106871" spans="17:17" x14ac:dyDescent="0.35">
      <c r="Q106871" s="1"/>
    </row>
    <row r="106891" spans="17:17" x14ac:dyDescent="0.35">
      <c r="Q106891" s="1"/>
    </row>
    <row r="106896" spans="17:17" x14ac:dyDescent="0.35">
      <c r="Q106896" s="1"/>
    </row>
    <row r="106900" spans="17:17" x14ac:dyDescent="0.35">
      <c r="Q106900" s="1"/>
    </row>
    <row r="106905" spans="17:17" x14ac:dyDescent="0.35">
      <c r="Q106905" s="1"/>
    </row>
    <row r="106909" spans="17:17" x14ac:dyDescent="0.35">
      <c r="Q106909" s="1"/>
    </row>
    <row r="106910" spans="17:17" x14ac:dyDescent="0.35">
      <c r="Q106910" s="1"/>
    </row>
    <row r="106912" spans="17:17" x14ac:dyDescent="0.35">
      <c r="Q106912" s="1"/>
    </row>
    <row r="106913" spans="16:17" x14ac:dyDescent="0.35">
      <c r="Q106913" s="1"/>
    </row>
    <row r="106914" spans="16:17" x14ac:dyDescent="0.35">
      <c r="Q106914" s="1"/>
    </row>
    <row r="106921" spans="16:17" x14ac:dyDescent="0.35">
      <c r="Q106921" s="1"/>
    </row>
    <row r="106925" spans="16:17" x14ac:dyDescent="0.35">
      <c r="Q106925" s="1"/>
    </row>
    <row r="106928" spans="16:17" x14ac:dyDescent="0.35">
      <c r="P106928" s="1"/>
    </row>
    <row r="106936" spans="5:17" x14ac:dyDescent="0.35">
      <c r="Q106936" s="1"/>
    </row>
    <row r="106938" spans="5:17" x14ac:dyDescent="0.35">
      <c r="E106938" s="5"/>
    </row>
    <row r="106947" spans="17:17" x14ac:dyDescent="0.35">
      <c r="Q106947" s="1"/>
    </row>
    <row r="106949" spans="17:17" x14ac:dyDescent="0.35">
      <c r="Q106949" s="1"/>
    </row>
    <row r="106952" spans="17:17" x14ac:dyDescent="0.35">
      <c r="Q106952" s="1"/>
    </row>
    <row r="106953" spans="17:17" x14ac:dyDescent="0.35">
      <c r="Q106953" s="1"/>
    </row>
    <row r="106957" spans="17:17" x14ac:dyDescent="0.35">
      <c r="Q106957" s="1"/>
    </row>
    <row r="106959" spans="17:17" x14ac:dyDescent="0.35">
      <c r="Q106959" s="1"/>
    </row>
    <row r="106964" spans="5:17" x14ac:dyDescent="0.35">
      <c r="E106964" s="2"/>
    </row>
    <row r="106965" spans="5:17" x14ac:dyDescent="0.35">
      <c r="Q106965" s="1"/>
    </row>
    <row r="106967" spans="5:17" x14ac:dyDescent="0.35">
      <c r="Q106967" s="1"/>
    </row>
    <row r="106973" spans="5:17" x14ac:dyDescent="0.35">
      <c r="P106973" s="1"/>
    </row>
    <row r="106974" spans="5:17" x14ac:dyDescent="0.35">
      <c r="Q106974" s="1"/>
    </row>
    <row r="106981" spans="17:17" x14ac:dyDescent="0.35">
      <c r="Q106981" s="1"/>
    </row>
    <row r="106983" spans="17:17" x14ac:dyDescent="0.35">
      <c r="Q106983" s="1"/>
    </row>
    <row r="106987" spans="17:17" x14ac:dyDescent="0.35">
      <c r="Q106987" s="1"/>
    </row>
    <row r="106988" spans="17:17" x14ac:dyDescent="0.35">
      <c r="Q106988" s="1"/>
    </row>
    <row r="106989" spans="17:17" x14ac:dyDescent="0.35">
      <c r="Q106989" s="1"/>
    </row>
    <row r="106995" spans="17:17" x14ac:dyDescent="0.35">
      <c r="Q106995" s="1"/>
    </row>
    <row r="107002" spans="17:17" x14ac:dyDescent="0.35">
      <c r="Q107002" s="1"/>
    </row>
    <row r="107004" spans="17:17" x14ac:dyDescent="0.35">
      <c r="Q107004" s="1"/>
    </row>
    <row r="107008" spans="17:17" x14ac:dyDescent="0.35">
      <c r="Q107008" s="1"/>
    </row>
    <row r="107009" spans="17:17" x14ac:dyDescent="0.35">
      <c r="Q107009" s="1"/>
    </row>
    <row r="107016" spans="17:17" x14ac:dyDescent="0.35">
      <c r="Q107016" s="1"/>
    </row>
    <row r="107017" spans="17:17" x14ac:dyDescent="0.35">
      <c r="Q107017" s="1"/>
    </row>
    <row r="107018" spans="17:17" x14ac:dyDescent="0.35">
      <c r="Q107018" s="1"/>
    </row>
    <row r="107019" spans="17:17" x14ac:dyDescent="0.35">
      <c r="Q107019" s="1"/>
    </row>
    <row r="107020" spans="17:17" x14ac:dyDescent="0.35">
      <c r="Q107020" s="1"/>
    </row>
    <row r="107026" spans="17:17" x14ac:dyDescent="0.35">
      <c r="Q107026" s="1"/>
    </row>
    <row r="107030" spans="17:17" x14ac:dyDescent="0.35">
      <c r="Q107030" s="1"/>
    </row>
    <row r="107036" spans="17:17" x14ac:dyDescent="0.35">
      <c r="Q107036" s="1"/>
    </row>
    <row r="107038" spans="17:17" x14ac:dyDescent="0.35">
      <c r="Q107038" s="1"/>
    </row>
    <row r="107040" spans="17:17" x14ac:dyDescent="0.35">
      <c r="Q107040" s="1"/>
    </row>
    <row r="107049" spans="17:17" x14ac:dyDescent="0.35">
      <c r="Q107049" s="1"/>
    </row>
    <row r="107054" spans="17:17" x14ac:dyDescent="0.35">
      <c r="Q107054" s="1"/>
    </row>
    <row r="107061" spans="17:17" x14ac:dyDescent="0.35">
      <c r="Q107061" s="1"/>
    </row>
    <row r="107062" spans="17:17" x14ac:dyDescent="0.35">
      <c r="Q107062" s="1"/>
    </row>
    <row r="107063" spans="17:17" x14ac:dyDescent="0.35">
      <c r="Q107063" s="1"/>
    </row>
    <row r="107069" spans="17:17" x14ac:dyDescent="0.35">
      <c r="Q107069" s="1"/>
    </row>
    <row r="107072" spans="17:17" x14ac:dyDescent="0.35">
      <c r="Q107072" s="1"/>
    </row>
    <row r="107081" spans="17:17" x14ac:dyDescent="0.35">
      <c r="Q107081" s="1"/>
    </row>
    <row r="107083" spans="17:17" x14ac:dyDescent="0.35">
      <c r="Q107083" s="1"/>
    </row>
    <row r="107089" spans="17:17" x14ac:dyDescent="0.35">
      <c r="Q107089" s="1"/>
    </row>
    <row r="107090" spans="17:17" x14ac:dyDescent="0.35">
      <c r="Q107090" s="1"/>
    </row>
    <row r="107093" spans="17:17" x14ac:dyDescent="0.35">
      <c r="Q107093" s="1"/>
    </row>
    <row r="107094" spans="17:17" x14ac:dyDescent="0.35">
      <c r="Q107094" s="1"/>
    </row>
    <row r="107096" spans="17:17" x14ac:dyDescent="0.35">
      <c r="Q107096" s="1"/>
    </row>
    <row r="107097" spans="17:17" x14ac:dyDescent="0.35">
      <c r="Q107097" s="1"/>
    </row>
    <row r="107099" spans="17:17" x14ac:dyDescent="0.35">
      <c r="Q107099" s="1"/>
    </row>
    <row r="107101" spans="17:17" x14ac:dyDescent="0.35">
      <c r="Q107101" s="1"/>
    </row>
    <row r="107107" spans="17:17" x14ac:dyDescent="0.35">
      <c r="Q107107" s="1"/>
    </row>
    <row r="107111" spans="17:17" x14ac:dyDescent="0.35">
      <c r="Q107111" s="1"/>
    </row>
    <row r="107114" spans="17:17" x14ac:dyDescent="0.35">
      <c r="Q107114" s="1"/>
    </row>
    <row r="107119" spans="17:17" x14ac:dyDescent="0.35">
      <c r="Q107119" s="1"/>
    </row>
    <row r="107125" spans="17:17" x14ac:dyDescent="0.35">
      <c r="Q107125" s="1"/>
    </row>
    <row r="107126" spans="17:17" x14ac:dyDescent="0.35">
      <c r="Q107126" s="1"/>
    </row>
    <row r="107127" spans="17:17" x14ac:dyDescent="0.35">
      <c r="Q107127" s="1"/>
    </row>
    <row r="107128" spans="17:17" x14ac:dyDescent="0.35">
      <c r="Q107128" s="1"/>
    </row>
    <row r="107138" spans="17:17" x14ac:dyDescent="0.35">
      <c r="Q107138" s="1"/>
    </row>
    <row r="107141" spans="17:17" x14ac:dyDescent="0.35">
      <c r="Q107141" s="1"/>
    </row>
    <row r="107143" spans="17:17" x14ac:dyDescent="0.35">
      <c r="Q107143" s="1"/>
    </row>
    <row r="107146" spans="17:17" x14ac:dyDescent="0.35">
      <c r="Q107146" s="1"/>
    </row>
    <row r="107147" spans="17:17" x14ac:dyDescent="0.35">
      <c r="Q107147" s="1"/>
    </row>
    <row r="107149" spans="17:17" x14ac:dyDescent="0.35">
      <c r="Q107149" s="1"/>
    </row>
    <row r="107150" spans="17:17" x14ac:dyDescent="0.35">
      <c r="Q107150" s="1"/>
    </row>
    <row r="107151" spans="17:17" x14ac:dyDescent="0.35">
      <c r="Q107151" s="1"/>
    </row>
    <row r="107153" spans="17:17" x14ac:dyDescent="0.35">
      <c r="Q107153" s="1"/>
    </row>
    <row r="107155" spans="17:17" x14ac:dyDescent="0.35">
      <c r="Q107155" s="1"/>
    </row>
    <row r="107163" spans="17:17" x14ac:dyDescent="0.35">
      <c r="Q107163" s="1"/>
    </row>
    <row r="107166" spans="17:17" x14ac:dyDescent="0.35">
      <c r="Q107166" s="1"/>
    </row>
    <row r="107168" spans="17:17" x14ac:dyDescent="0.35">
      <c r="Q107168" s="1"/>
    </row>
    <row r="107171" spans="17:17" x14ac:dyDescent="0.35">
      <c r="Q107171" s="1"/>
    </row>
    <row r="107172" spans="17:17" x14ac:dyDescent="0.35">
      <c r="Q107172" s="1"/>
    </row>
    <row r="107175" spans="17:17" x14ac:dyDescent="0.35">
      <c r="Q107175" s="1"/>
    </row>
    <row r="107176" spans="17:17" x14ac:dyDescent="0.35">
      <c r="Q107176" s="1"/>
    </row>
    <row r="107181" spans="17:17" x14ac:dyDescent="0.35">
      <c r="Q107181" s="1"/>
    </row>
    <row r="107182" spans="17:17" x14ac:dyDescent="0.35">
      <c r="Q107182" s="1"/>
    </row>
    <row r="107183" spans="17:17" x14ac:dyDescent="0.35">
      <c r="Q107183" s="1"/>
    </row>
    <row r="107184" spans="17:17" x14ac:dyDescent="0.35">
      <c r="Q107184" s="1"/>
    </row>
    <row r="107185" spans="17:17" x14ac:dyDescent="0.35">
      <c r="Q107185" s="1"/>
    </row>
    <row r="107195" spans="17:17" x14ac:dyDescent="0.35">
      <c r="Q107195" s="1"/>
    </row>
    <row r="107196" spans="17:17" x14ac:dyDescent="0.35">
      <c r="Q107196" s="1"/>
    </row>
    <row r="107198" spans="17:17" x14ac:dyDescent="0.35">
      <c r="Q107198" s="1"/>
    </row>
    <row r="107200" spans="17:17" x14ac:dyDescent="0.35">
      <c r="Q107200" s="1"/>
    </row>
    <row r="107201" spans="17:17" x14ac:dyDescent="0.35">
      <c r="Q107201" s="1"/>
    </row>
    <row r="107202" spans="17:17" x14ac:dyDescent="0.35">
      <c r="Q107202" s="1"/>
    </row>
    <row r="107203" spans="17:17" x14ac:dyDescent="0.35">
      <c r="Q107203" s="1"/>
    </row>
    <row r="107217" spans="16:17" x14ac:dyDescent="0.35">
      <c r="P107217" s="1"/>
    </row>
    <row r="107218" spans="16:17" x14ac:dyDescent="0.35">
      <c r="Q107218" s="1"/>
    </row>
    <row r="107219" spans="16:17" x14ac:dyDescent="0.35">
      <c r="Q107219" s="1"/>
    </row>
    <row r="107223" spans="16:17" x14ac:dyDescent="0.35">
      <c r="Q107223" s="1"/>
    </row>
    <row r="107224" spans="16:17" x14ac:dyDescent="0.35">
      <c r="Q107224" s="1"/>
    </row>
    <row r="107225" spans="16:17" x14ac:dyDescent="0.35">
      <c r="Q107225" s="1"/>
    </row>
    <row r="107226" spans="16:17" x14ac:dyDescent="0.35">
      <c r="Q107226" s="1"/>
    </row>
    <row r="107231" spans="16:17" x14ac:dyDescent="0.35">
      <c r="Q107231" s="1"/>
    </row>
    <row r="107237" spans="17:17" x14ac:dyDescent="0.35">
      <c r="Q107237" s="1"/>
    </row>
    <row r="107239" spans="17:17" x14ac:dyDescent="0.35">
      <c r="Q107239" s="1"/>
    </row>
    <row r="107243" spans="17:17" x14ac:dyDescent="0.35">
      <c r="Q107243" s="1"/>
    </row>
    <row r="107246" spans="17:17" x14ac:dyDescent="0.35">
      <c r="Q107246" s="1"/>
    </row>
    <row r="107248" spans="17:17" x14ac:dyDescent="0.35">
      <c r="Q107248" s="1"/>
    </row>
    <row r="107252" spans="17:17" x14ac:dyDescent="0.35">
      <c r="Q107252" s="1"/>
    </row>
    <row r="107262" spans="17:17" x14ac:dyDescent="0.35">
      <c r="Q107262" s="1"/>
    </row>
    <row r="107263" spans="17:17" x14ac:dyDescent="0.35">
      <c r="Q107263" s="1"/>
    </row>
    <row r="107266" spans="17:17" x14ac:dyDescent="0.35">
      <c r="Q107266" s="1"/>
    </row>
    <row r="107270" spans="17:17" x14ac:dyDescent="0.35">
      <c r="Q107270" s="1"/>
    </row>
    <row r="107279" spans="17:17" x14ac:dyDescent="0.35">
      <c r="Q107279" s="1"/>
    </row>
    <row r="107280" spans="17:17" x14ac:dyDescent="0.35">
      <c r="Q107280" s="1"/>
    </row>
    <row r="107284" spans="17:17" x14ac:dyDescent="0.35">
      <c r="Q107284" s="1"/>
    </row>
    <row r="107288" spans="17:17" x14ac:dyDescent="0.35">
      <c r="Q107288" s="1"/>
    </row>
    <row r="107289" spans="17:17" x14ac:dyDescent="0.35">
      <c r="Q107289" s="1"/>
    </row>
    <row r="107302" spans="17:17" x14ac:dyDescent="0.35">
      <c r="Q107302" s="1"/>
    </row>
    <row r="107304" spans="17:17" x14ac:dyDescent="0.35">
      <c r="Q107304" s="1"/>
    </row>
    <row r="107305" spans="17:17" x14ac:dyDescent="0.35">
      <c r="Q107305" s="1"/>
    </row>
    <row r="107309" spans="17:17" x14ac:dyDescent="0.35">
      <c r="Q107309" s="1"/>
    </row>
    <row r="107312" spans="17:17" x14ac:dyDescent="0.35">
      <c r="Q107312" s="1"/>
    </row>
    <row r="107314" spans="16:17" x14ac:dyDescent="0.35">
      <c r="Q107314" s="1"/>
    </row>
    <row r="107315" spans="16:17" x14ac:dyDescent="0.35">
      <c r="Q107315" s="1"/>
    </row>
    <row r="107321" spans="16:17" x14ac:dyDescent="0.35">
      <c r="Q107321" s="1"/>
    </row>
    <row r="107322" spans="16:17" x14ac:dyDescent="0.35">
      <c r="P107322" s="1"/>
    </row>
    <row r="107324" spans="16:17" x14ac:dyDescent="0.35">
      <c r="P107324" s="1"/>
    </row>
    <row r="107325" spans="16:17" x14ac:dyDescent="0.35">
      <c r="Q107325" s="1"/>
    </row>
    <row r="107333" spans="17:17" x14ac:dyDescent="0.35">
      <c r="Q107333" s="1"/>
    </row>
    <row r="107336" spans="17:17" x14ac:dyDescent="0.35">
      <c r="Q107336" s="1"/>
    </row>
    <row r="107342" spans="17:17" x14ac:dyDescent="0.35">
      <c r="Q107342" s="1"/>
    </row>
    <row r="107353" spans="17:17" x14ac:dyDescent="0.35">
      <c r="Q107353" s="1"/>
    </row>
    <row r="107355" spans="17:17" x14ac:dyDescent="0.35">
      <c r="Q107355" s="1"/>
    </row>
    <row r="107356" spans="17:17" x14ac:dyDescent="0.35">
      <c r="Q107356" s="1"/>
    </row>
    <row r="107367" spans="17:17" x14ac:dyDescent="0.35">
      <c r="Q107367" s="1"/>
    </row>
    <row r="107369" spans="17:17" x14ac:dyDescent="0.35">
      <c r="Q107369" s="1"/>
    </row>
    <row r="107372" spans="17:17" x14ac:dyDescent="0.35">
      <c r="Q107372" s="1"/>
    </row>
    <row r="107377" spans="17:17" x14ac:dyDescent="0.35">
      <c r="Q107377" s="1"/>
    </row>
    <row r="107379" spans="17:17" x14ac:dyDescent="0.35">
      <c r="Q107379" s="1"/>
    </row>
    <row r="107401" spans="17:17" x14ac:dyDescent="0.35">
      <c r="Q107401" s="1"/>
    </row>
    <row r="107403" spans="17:17" x14ac:dyDescent="0.35">
      <c r="Q107403" s="1"/>
    </row>
    <row r="107412" spans="17:17" x14ac:dyDescent="0.35">
      <c r="Q107412" s="1"/>
    </row>
    <row r="107413" spans="17:17" x14ac:dyDescent="0.35">
      <c r="Q107413" s="1"/>
    </row>
    <row r="107416" spans="17:17" x14ac:dyDescent="0.35">
      <c r="Q107416" s="1"/>
    </row>
    <row r="107417" spans="17:17" x14ac:dyDescent="0.35">
      <c r="Q107417" s="1"/>
    </row>
    <row r="107419" spans="17:17" x14ac:dyDescent="0.35">
      <c r="Q107419" s="1"/>
    </row>
    <row r="107420" spans="17:17" x14ac:dyDescent="0.35">
      <c r="Q107420" s="1"/>
    </row>
    <row r="107428" spans="17:17" x14ac:dyDescent="0.35">
      <c r="Q107428" s="1"/>
    </row>
    <row r="107434" spans="17:17" x14ac:dyDescent="0.35">
      <c r="Q107434" s="1"/>
    </row>
    <row r="107436" spans="17:17" x14ac:dyDescent="0.35">
      <c r="Q107436" s="1"/>
    </row>
    <row r="107437" spans="17:17" x14ac:dyDescent="0.35">
      <c r="Q107437" s="1"/>
    </row>
    <row r="107438" spans="17:17" x14ac:dyDescent="0.35">
      <c r="Q107438" s="1"/>
    </row>
    <row r="107446" spans="17:17" x14ac:dyDescent="0.35">
      <c r="Q107446" s="1"/>
    </row>
    <row r="107449" spans="17:17" x14ac:dyDescent="0.35">
      <c r="Q107449" s="1"/>
    </row>
    <row r="107451" spans="17:17" x14ac:dyDescent="0.35">
      <c r="Q107451" s="1"/>
    </row>
    <row r="107457" spans="17:17" x14ac:dyDescent="0.35">
      <c r="Q107457" s="1"/>
    </row>
    <row r="107462" spans="17:17" x14ac:dyDescent="0.35">
      <c r="Q107462" s="1"/>
    </row>
    <row r="107463" spans="17:17" x14ac:dyDescent="0.35">
      <c r="Q107463" s="1"/>
    </row>
    <row r="107466" spans="17:17" x14ac:dyDescent="0.35">
      <c r="Q107466" s="1"/>
    </row>
    <row r="107479" spans="17:17" x14ac:dyDescent="0.35">
      <c r="Q107479" s="1"/>
    </row>
    <row r="107490" spans="17:17" x14ac:dyDescent="0.35">
      <c r="Q107490" s="1"/>
    </row>
    <row r="107491" spans="17:17" x14ac:dyDescent="0.35">
      <c r="Q107491" s="1"/>
    </row>
    <row r="107493" spans="17:17" x14ac:dyDescent="0.35">
      <c r="Q107493" s="1"/>
    </row>
    <row r="107496" spans="17:17" x14ac:dyDescent="0.35">
      <c r="Q107496" s="1"/>
    </row>
    <row r="107507" spans="17:17" x14ac:dyDescent="0.35">
      <c r="Q107507" s="1"/>
    </row>
    <row r="107508" spans="17:17" x14ac:dyDescent="0.35">
      <c r="Q107508" s="1"/>
    </row>
    <row r="107511" spans="17:17" x14ac:dyDescent="0.35">
      <c r="Q107511" s="1"/>
    </row>
    <row r="107514" spans="17:17" x14ac:dyDescent="0.35">
      <c r="Q107514" s="1"/>
    </row>
    <row r="107515" spans="17:17" x14ac:dyDescent="0.35">
      <c r="Q107515" s="1"/>
    </row>
    <row r="107517" spans="17:17" x14ac:dyDescent="0.35">
      <c r="Q107517" s="1"/>
    </row>
    <row r="107518" spans="17:17" x14ac:dyDescent="0.35">
      <c r="Q107518" s="1"/>
    </row>
    <row r="107521" spans="16:17" x14ac:dyDescent="0.35">
      <c r="Q107521" s="1"/>
    </row>
    <row r="107524" spans="16:17" x14ac:dyDescent="0.35">
      <c r="Q107524" s="1"/>
    </row>
    <row r="107525" spans="16:17" x14ac:dyDescent="0.35">
      <c r="P107525" s="1"/>
      <c r="Q107525" s="1"/>
    </row>
    <row r="107527" spans="16:17" x14ac:dyDescent="0.35">
      <c r="Q107527" s="1"/>
    </row>
    <row r="107529" spans="16:17" x14ac:dyDescent="0.35">
      <c r="Q107529" s="1"/>
    </row>
    <row r="107533" spans="16:17" x14ac:dyDescent="0.35">
      <c r="Q107533" s="1"/>
    </row>
    <row r="107542" spans="17:17" x14ac:dyDescent="0.35">
      <c r="Q107542" s="1"/>
    </row>
    <row r="107545" spans="17:17" x14ac:dyDescent="0.35">
      <c r="Q107545" s="1"/>
    </row>
    <row r="107546" spans="17:17" x14ac:dyDescent="0.35">
      <c r="Q107546" s="1"/>
    </row>
    <row r="107547" spans="17:17" x14ac:dyDescent="0.35">
      <c r="Q107547" s="1"/>
    </row>
    <row r="107550" spans="17:17" x14ac:dyDescent="0.35">
      <c r="Q107550" s="1"/>
    </row>
    <row r="107555" spans="17:17" x14ac:dyDescent="0.35">
      <c r="Q107555" s="1"/>
    </row>
    <row r="107557" spans="17:17" x14ac:dyDescent="0.35">
      <c r="Q107557" s="1"/>
    </row>
    <row r="107558" spans="17:17" x14ac:dyDescent="0.35">
      <c r="Q107558" s="1"/>
    </row>
    <row r="107566" spans="17:17" x14ac:dyDescent="0.35">
      <c r="Q107566" s="1"/>
    </row>
    <row r="107573" spans="16:17" x14ac:dyDescent="0.35">
      <c r="Q107573" s="1"/>
    </row>
    <row r="107577" spans="16:17" x14ac:dyDescent="0.35">
      <c r="Q107577" s="1"/>
    </row>
    <row r="107578" spans="16:17" x14ac:dyDescent="0.35">
      <c r="Q107578" s="1"/>
    </row>
    <row r="107581" spans="16:17" x14ac:dyDescent="0.35">
      <c r="P107581" s="1"/>
    </row>
    <row r="107583" spans="16:17" x14ac:dyDescent="0.35">
      <c r="Q107583" s="1"/>
    </row>
    <row r="107584" spans="16:17" x14ac:dyDescent="0.35">
      <c r="Q107584" s="1"/>
    </row>
    <row r="107585" spans="17:17" x14ac:dyDescent="0.35">
      <c r="Q107585" s="1"/>
    </row>
    <row r="107592" spans="17:17" x14ac:dyDescent="0.35">
      <c r="Q107592" s="1"/>
    </row>
    <row r="107598" spans="17:17" x14ac:dyDescent="0.35">
      <c r="Q107598" s="1"/>
    </row>
    <row r="107599" spans="17:17" x14ac:dyDescent="0.35">
      <c r="Q107599" s="1"/>
    </row>
    <row r="107613" spans="17:17" x14ac:dyDescent="0.35">
      <c r="Q107613" s="1"/>
    </row>
    <row r="107624" spans="17:17" x14ac:dyDescent="0.35">
      <c r="Q107624" s="1"/>
    </row>
    <row r="107626" spans="17:17" x14ac:dyDescent="0.35">
      <c r="Q107626" s="1"/>
    </row>
    <row r="107628" spans="17:17" x14ac:dyDescent="0.35">
      <c r="Q107628" s="1"/>
    </row>
    <row r="107629" spans="17:17" x14ac:dyDescent="0.35">
      <c r="Q107629" s="1"/>
    </row>
    <row r="107630" spans="17:17" x14ac:dyDescent="0.35">
      <c r="Q107630" s="1"/>
    </row>
    <row r="107631" spans="17:17" x14ac:dyDescent="0.35">
      <c r="Q107631" s="1"/>
    </row>
    <row r="107632" spans="17:17" x14ac:dyDescent="0.35">
      <c r="Q107632" s="1"/>
    </row>
    <row r="107634" spans="17:17" x14ac:dyDescent="0.35">
      <c r="Q107634" s="1"/>
    </row>
    <row r="107638" spans="17:17" x14ac:dyDescent="0.35">
      <c r="Q107638" s="1"/>
    </row>
    <row r="107643" spans="17:17" x14ac:dyDescent="0.35">
      <c r="Q107643" s="1"/>
    </row>
    <row r="107646" spans="17:17" x14ac:dyDescent="0.35">
      <c r="Q107646" s="1"/>
    </row>
    <row r="107649" spans="17:17" x14ac:dyDescent="0.35">
      <c r="Q107649" s="1"/>
    </row>
    <row r="107663" spans="17:17" x14ac:dyDescent="0.35">
      <c r="Q107663" s="1"/>
    </row>
    <row r="107669" spans="17:17" x14ac:dyDescent="0.35">
      <c r="Q107669" s="1"/>
    </row>
    <row r="107670" spans="17:17" x14ac:dyDescent="0.35">
      <c r="Q107670" s="1"/>
    </row>
    <row r="107675" spans="17:17" x14ac:dyDescent="0.35">
      <c r="Q107675" s="1"/>
    </row>
    <row r="107677" spans="17:17" x14ac:dyDescent="0.35">
      <c r="Q107677" s="1"/>
    </row>
    <row r="107678" spans="17:17" x14ac:dyDescent="0.35">
      <c r="Q107678" s="1"/>
    </row>
    <row r="107696" spans="17:17" x14ac:dyDescent="0.35">
      <c r="Q107696" s="1"/>
    </row>
    <row r="107697" spans="17:17" x14ac:dyDescent="0.35">
      <c r="Q107697" s="1"/>
    </row>
    <row r="107711" spans="17:17" x14ac:dyDescent="0.35">
      <c r="Q107711" s="1"/>
    </row>
    <row r="107715" spans="17:17" x14ac:dyDescent="0.35">
      <c r="Q107715" s="1"/>
    </row>
    <row r="107717" spans="17:17" x14ac:dyDescent="0.35">
      <c r="Q107717" s="1"/>
    </row>
    <row r="107719" spans="17:17" x14ac:dyDescent="0.35">
      <c r="Q107719" s="1"/>
    </row>
    <row r="107725" spans="17:17" x14ac:dyDescent="0.35">
      <c r="Q107725" s="1"/>
    </row>
    <row r="107730" spans="17:17" x14ac:dyDescent="0.35">
      <c r="Q107730" s="1"/>
    </row>
    <row r="107742" spans="17:17" x14ac:dyDescent="0.35">
      <c r="Q107742" s="1"/>
    </row>
    <row r="107743" spans="17:17" x14ac:dyDescent="0.35">
      <c r="Q107743" s="1"/>
    </row>
    <row r="107746" spans="17:17" x14ac:dyDescent="0.35">
      <c r="Q107746" s="1"/>
    </row>
    <row r="107748" spans="17:17" x14ac:dyDescent="0.35">
      <c r="Q107748" s="1"/>
    </row>
    <row r="107753" spans="17:17" x14ac:dyDescent="0.35">
      <c r="Q107753" s="1"/>
    </row>
    <row r="107757" spans="17:17" x14ac:dyDescent="0.35">
      <c r="Q107757" s="1"/>
    </row>
    <row r="107760" spans="17:17" x14ac:dyDescent="0.35">
      <c r="Q107760" s="1"/>
    </row>
    <row r="107766" spans="16:17" x14ac:dyDescent="0.35">
      <c r="Q107766" s="1"/>
    </row>
    <row r="107775" spans="16:17" x14ac:dyDescent="0.35">
      <c r="P107775" s="1"/>
    </row>
    <row r="107780" spans="16:17" x14ac:dyDescent="0.35">
      <c r="Q107780" s="1"/>
    </row>
    <row r="107784" spans="16:17" x14ac:dyDescent="0.35">
      <c r="P107784" s="1"/>
    </row>
    <row r="107795" spans="17:17" x14ac:dyDescent="0.35">
      <c r="Q107795" s="1"/>
    </row>
    <row r="107796" spans="17:17" x14ac:dyDescent="0.35">
      <c r="Q107796" s="1"/>
    </row>
    <row r="107806" spans="17:17" x14ac:dyDescent="0.35">
      <c r="Q107806" s="1"/>
    </row>
    <row r="107812" spans="16:17" x14ac:dyDescent="0.35">
      <c r="Q107812" s="1"/>
    </row>
    <row r="107814" spans="16:17" x14ac:dyDescent="0.35">
      <c r="Q107814" s="1"/>
    </row>
    <row r="107815" spans="16:17" x14ac:dyDescent="0.35">
      <c r="Q107815" s="1"/>
    </row>
    <row r="107816" spans="16:17" x14ac:dyDescent="0.35">
      <c r="Q107816" s="1"/>
    </row>
    <row r="107817" spans="16:17" x14ac:dyDescent="0.35">
      <c r="Q107817" s="1"/>
    </row>
    <row r="107822" spans="16:17" x14ac:dyDescent="0.35">
      <c r="P107822" s="1"/>
    </row>
    <row r="107838" spans="17:17" x14ac:dyDescent="0.35">
      <c r="Q107838" s="1"/>
    </row>
    <row r="107844" spans="17:17" x14ac:dyDescent="0.35">
      <c r="Q107844" s="1"/>
    </row>
    <row r="107845" spans="17:17" x14ac:dyDescent="0.35">
      <c r="Q107845" s="1"/>
    </row>
    <row r="107861" spans="17:17" x14ac:dyDescent="0.35">
      <c r="Q107861" s="1"/>
    </row>
    <row r="107866" spans="17:17" x14ac:dyDescent="0.35">
      <c r="Q107866" s="1"/>
    </row>
    <row r="107874" spans="17:17" x14ac:dyDescent="0.35">
      <c r="Q107874" s="1"/>
    </row>
    <row r="107875" spans="17:17" x14ac:dyDescent="0.35">
      <c r="Q107875" s="1"/>
    </row>
    <row r="107878" spans="17:17" x14ac:dyDescent="0.35">
      <c r="Q107878" s="1"/>
    </row>
    <row r="107883" spans="17:17" x14ac:dyDescent="0.35">
      <c r="Q107883" s="1"/>
    </row>
    <row r="107884" spans="17:17" x14ac:dyDescent="0.35">
      <c r="Q107884" s="1"/>
    </row>
    <row r="107885" spans="17:17" x14ac:dyDescent="0.35">
      <c r="Q107885" s="1"/>
    </row>
    <row r="107888" spans="17:17" x14ac:dyDescent="0.35">
      <c r="Q107888" s="1"/>
    </row>
    <row r="107892" spans="17:17" x14ac:dyDescent="0.35">
      <c r="Q107892" s="1"/>
    </row>
    <row r="107895" spans="17:17" x14ac:dyDescent="0.35">
      <c r="Q107895" s="1"/>
    </row>
    <row r="107901" spans="17:17" x14ac:dyDescent="0.35">
      <c r="Q107901" s="1"/>
    </row>
    <row r="107913" spans="17:17" x14ac:dyDescent="0.35">
      <c r="Q107913" s="1"/>
    </row>
    <row r="107914" spans="17:17" x14ac:dyDescent="0.35">
      <c r="Q107914" s="1"/>
    </row>
    <row r="107920" spans="17:17" x14ac:dyDescent="0.35">
      <c r="Q107920" s="1"/>
    </row>
    <row r="107923" spans="17:17" x14ac:dyDescent="0.35">
      <c r="Q107923" s="1"/>
    </row>
    <row r="107928" spans="17:17" x14ac:dyDescent="0.35">
      <c r="Q107928" s="1"/>
    </row>
    <row r="107930" spans="17:17" x14ac:dyDescent="0.35">
      <c r="Q107930" s="1"/>
    </row>
    <row r="107932" spans="17:17" x14ac:dyDescent="0.35">
      <c r="Q107932" s="1"/>
    </row>
    <row r="107934" spans="17:17" x14ac:dyDescent="0.35">
      <c r="Q107934" s="1"/>
    </row>
    <row r="107937" spans="17:17" x14ac:dyDescent="0.35">
      <c r="Q107937" s="1"/>
    </row>
    <row r="107940" spans="17:17" x14ac:dyDescent="0.35">
      <c r="Q107940" s="1"/>
    </row>
    <row r="107949" spans="17:17" x14ac:dyDescent="0.35">
      <c r="Q107949" s="1"/>
    </row>
    <row r="107950" spans="17:17" x14ac:dyDescent="0.35">
      <c r="Q107950" s="1"/>
    </row>
    <row r="107952" spans="17:17" x14ac:dyDescent="0.35">
      <c r="Q107952" s="1"/>
    </row>
    <row r="107956" spans="16:17" x14ac:dyDescent="0.35">
      <c r="Q107956" s="1"/>
    </row>
    <row r="107961" spans="16:17" x14ac:dyDescent="0.35">
      <c r="Q107961" s="1"/>
    </row>
    <row r="107968" spans="16:17" x14ac:dyDescent="0.35">
      <c r="P107968" s="1"/>
    </row>
    <row r="107971" spans="17:17" x14ac:dyDescent="0.35">
      <c r="Q107971" s="1"/>
    </row>
    <row r="107998" spans="16:16" x14ac:dyDescent="0.35">
      <c r="P107998" s="1"/>
    </row>
    <row r="108004" spans="17:17" x14ac:dyDescent="0.35">
      <c r="Q108004" s="1"/>
    </row>
    <row r="108008" spans="17:17" x14ac:dyDescent="0.35">
      <c r="Q108008" s="1"/>
    </row>
    <row r="108016" spans="17:17" x14ac:dyDescent="0.35">
      <c r="Q108016" s="1"/>
    </row>
    <row r="108017" spans="17:17" x14ac:dyDescent="0.35">
      <c r="Q108017" s="1"/>
    </row>
    <row r="108025" spans="17:17" x14ac:dyDescent="0.35">
      <c r="Q108025" s="1"/>
    </row>
    <row r="108030" spans="17:17" x14ac:dyDescent="0.35">
      <c r="Q108030" s="1"/>
    </row>
    <row r="108032" spans="17:17" x14ac:dyDescent="0.35">
      <c r="Q108032" s="1"/>
    </row>
    <row r="108035" spans="17:17" x14ac:dyDescent="0.35">
      <c r="Q108035" s="1"/>
    </row>
    <row r="108041" spans="17:17" x14ac:dyDescent="0.35">
      <c r="Q108041" s="1"/>
    </row>
    <row r="108042" spans="17:17" x14ac:dyDescent="0.35">
      <c r="Q108042" s="1"/>
    </row>
    <row r="108043" spans="17:17" x14ac:dyDescent="0.35">
      <c r="Q108043" s="1"/>
    </row>
    <row r="108046" spans="17:17" x14ac:dyDescent="0.35">
      <c r="Q108046" s="1"/>
    </row>
    <row r="108047" spans="17:17" x14ac:dyDescent="0.35">
      <c r="Q108047" s="1"/>
    </row>
    <row r="108051" spans="17:17" x14ac:dyDescent="0.35">
      <c r="Q108051" s="1"/>
    </row>
    <row r="108052" spans="17:17" x14ac:dyDescent="0.35">
      <c r="Q108052" s="1"/>
    </row>
    <row r="108054" spans="17:17" x14ac:dyDescent="0.35">
      <c r="Q108054" s="1"/>
    </row>
    <row r="108056" spans="17:17" x14ac:dyDescent="0.35">
      <c r="Q108056" s="1"/>
    </row>
    <row r="108061" spans="17:17" x14ac:dyDescent="0.35">
      <c r="Q108061" s="1"/>
    </row>
    <row r="108062" spans="17:17" x14ac:dyDescent="0.35">
      <c r="Q108062" s="1"/>
    </row>
    <row r="108064" spans="17:17" x14ac:dyDescent="0.35">
      <c r="Q108064" s="1"/>
    </row>
    <row r="108070" spans="17:17" x14ac:dyDescent="0.35">
      <c r="Q108070" s="1"/>
    </row>
    <row r="108072" spans="17:17" x14ac:dyDescent="0.35">
      <c r="Q108072" s="1"/>
    </row>
    <row r="108075" spans="17:17" x14ac:dyDescent="0.35">
      <c r="Q108075" s="1"/>
    </row>
    <row r="108076" spans="17:17" x14ac:dyDescent="0.35">
      <c r="Q108076" s="1"/>
    </row>
    <row r="108077" spans="17:17" x14ac:dyDescent="0.35">
      <c r="Q108077" s="1"/>
    </row>
    <row r="108079" spans="17:17" x14ac:dyDescent="0.35">
      <c r="Q108079" s="1"/>
    </row>
    <row r="108083" spans="17:17" x14ac:dyDescent="0.35">
      <c r="Q108083" s="1"/>
    </row>
    <row r="108085" spans="17:17" x14ac:dyDescent="0.35">
      <c r="Q108085" s="1"/>
    </row>
    <row r="108093" spans="17:17" x14ac:dyDescent="0.35">
      <c r="Q108093" s="1"/>
    </row>
    <row r="108096" spans="17:17" x14ac:dyDescent="0.35">
      <c r="Q108096" s="1"/>
    </row>
    <row r="108101" spans="17:17" x14ac:dyDescent="0.35">
      <c r="Q108101" s="1"/>
    </row>
    <row r="108107" spans="17:17" x14ac:dyDescent="0.35">
      <c r="Q108107" s="1"/>
    </row>
    <row r="108108" spans="17:17" x14ac:dyDescent="0.35">
      <c r="Q108108" s="1"/>
    </row>
    <row r="108109" spans="17:17" x14ac:dyDescent="0.35">
      <c r="Q108109" s="1"/>
    </row>
    <row r="108110" spans="17:17" x14ac:dyDescent="0.35">
      <c r="Q108110" s="1"/>
    </row>
    <row r="108113" spans="17:17" x14ac:dyDescent="0.35">
      <c r="Q108113" s="1"/>
    </row>
    <row r="108122" spans="17:17" x14ac:dyDescent="0.35">
      <c r="Q108122" s="1"/>
    </row>
    <row r="108123" spans="17:17" x14ac:dyDescent="0.35">
      <c r="Q108123" s="1"/>
    </row>
    <row r="108125" spans="17:17" x14ac:dyDescent="0.35">
      <c r="Q108125" s="1"/>
    </row>
    <row r="108129" spans="17:17" x14ac:dyDescent="0.35">
      <c r="Q108129" s="1"/>
    </row>
    <row r="108131" spans="17:17" x14ac:dyDescent="0.35">
      <c r="Q108131" s="1"/>
    </row>
    <row r="108132" spans="17:17" x14ac:dyDescent="0.35">
      <c r="Q108132" s="1"/>
    </row>
    <row r="108140" spans="17:17" x14ac:dyDescent="0.35">
      <c r="Q108140" s="1"/>
    </row>
    <row r="108145" spans="17:17" x14ac:dyDescent="0.35">
      <c r="Q108145" s="1"/>
    </row>
    <row r="108146" spans="17:17" x14ac:dyDescent="0.35">
      <c r="Q108146" s="1"/>
    </row>
    <row r="108148" spans="17:17" x14ac:dyDescent="0.35">
      <c r="Q108148" s="1"/>
    </row>
    <row r="108152" spans="17:17" x14ac:dyDescent="0.35">
      <c r="Q108152" s="1"/>
    </row>
    <row r="108158" spans="17:17" x14ac:dyDescent="0.35">
      <c r="Q108158" s="1"/>
    </row>
    <row r="108162" spans="17:17" x14ac:dyDescent="0.35">
      <c r="Q108162" s="1"/>
    </row>
    <row r="108165" spans="17:17" x14ac:dyDescent="0.35">
      <c r="Q108165" s="1"/>
    </row>
    <row r="108167" spans="17:17" x14ac:dyDescent="0.35">
      <c r="Q108167" s="1"/>
    </row>
    <row r="108168" spans="17:17" x14ac:dyDescent="0.35">
      <c r="Q108168" s="1"/>
    </row>
    <row r="108171" spans="17:17" x14ac:dyDescent="0.35">
      <c r="Q108171" s="1"/>
    </row>
    <row r="108174" spans="17:17" x14ac:dyDescent="0.35">
      <c r="Q108174" s="1"/>
    </row>
    <row r="108180" spans="17:17" x14ac:dyDescent="0.35">
      <c r="Q108180" s="1"/>
    </row>
    <row r="108184" spans="17:17" x14ac:dyDescent="0.35">
      <c r="Q108184" s="1"/>
    </row>
    <row r="108186" spans="17:17" x14ac:dyDescent="0.35">
      <c r="Q108186" s="1"/>
    </row>
    <row r="108193" spans="17:17" x14ac:dyDescent="0.35">
      <c r="Q108193" s="1"/>
    </row>
    <row r="108196" spans="17:17" x14ac:dyDescent="0.35">
      <c r="Q108196" s="1"/>
    </row>
    <row r="108204" spans="17:17" x14ac:dyDescent="0.35">
      <c r="Q108204" s="1"/>
    </row>
    <row r="108209" spans="17:17" x14ac:dyDescent="0.35">
      <c r="Q108209" s="1"/>
    </row>
    <row r="108215" spans="17:17" x14ac:dyDescent="0.35">
      <c r="Q108215" s="1"/>
    </row>
    <row r="108218" spans="17:17" x14ac:dyDescent="0.35">
      <c r="Q108218" s="1"/>
    </row>
    <row r="108219" spans="17:17" x14ac:dyDescent="0.35">
      <c r="Q108219" s="1"/>
    </row>
    <row r="108220" spans="17:17" x14ac:dyDescent="0.35">
      <c r="Q108220" s="1"/>
    </row>
    <row r="108223" spans="17:17" x14ac:dyDescent="0.35">
      <c r="Q108223" s="1"/>
    </row>
    <row r="108228" spans="17:17" x14ac:dyDescent="0.35">
      <c r="Q108228" s="1"/>
    </row>
    <row r="108232" spans="17:17" x14ac:dyDescent="0.35">
      <c r="Q108232" s="1"/>
    </row>
    <row r="108234" spans="17:17" x14ac:dyDescent="0.35">
      <c r="Q108234" s="1"/>
    </row>
    <row r="108239" spans="17:17" x14ac:dyDescent="0.35">
      <c r="Q108239" s="1"/>
    </row>
    <row r="108240" spans="17:17" x14ac:dyDescent="0.35">
      <c r="Q108240" s="1"/>
    </row>
    <row r="108248" spans="17:17" x14ac:dyDescent="0.35">
      <c r="Q108248" s="1"/>
    </row>
    <row r="108267" spans="17:17" x14ac:dyDescent="0.35">
      <c r="Q108267" s="1"/>
    </row>
    <row r="108269" spans="17:17" x14ac:dyDescent="0.35">
      <c r="Q108269" s="1"/>
    </row>
    <row r="108270" spans="17:17" x14ac:dyDescent="0.35">
      <c r="Q108270" s="1"/>
    </row>
    <row r="108278" spans="17:17" x14ac:dyDescent="0.35">
      <c r="Q108278" s="1"/>
    </row>
    <row r="108279" spans="17:17" x14ac:dyDescent="0.35">
      <c r="Q108279" s="1"/>
    </row>
    <row r="108283" spans="17:17" x14ac:dyDescent="0.35">
      <c r="Q108283" s="1"/>
    </row>
    <row r="108286" spans="17:17" x14ac:dyDescent="0.35">
      <c r="Q108286" s="1"/>
    </row>
    <row r="108287" spans="17:17" x14ac:dyDescent="0.35">
      <c r="Q108287" s="1"/>
    </row>
    <row r="108288" spans="17:17" x14ac:dyDescent="0.35">
      <c r="Q108288" s="1"/>
    </row>
    <row r="108297" spans="17:17" x14ac:dyDescent="0.35">
      <c r="Q108297" s="1"/>
    </row>
    <row r="108315" spans="17:17" x14ac:dyDescent="0.35">
      <c r="Q108315" s="1"/>
    </row>
    <row r="108320" spans="17:17" x14ac:dyDescent="0.35">
      <c r="Q108320" s="1"/>
    </row>
    <row r="108327" spans="17:17" x14ac:dyDescent="0.35">
      <c r="Q108327" s="1"/>
    </row>
    <row r="108337" spans="17:17" x14ac:dyDescent="0.35">
      <c r="Q108337" s="1"/>
    </row>
    <row r="108342" spans="17:17" x14ac:dyDescent="0.35">
      <c r="Q108342" s="1"/>
    </row>
    <row r="108343" spans="17:17" x14ac:dyDescent="0.35">
      <c r="Q108343" s="1"/>
    </row>
    <row r="108344" spans="17:17" x14ac:dyDescent="0.35">
      <c r="Q108344" s="1"/>
    </row>
    <row r="108345" spans="17:17" x14ac:dyDescent="0.35">
      <c r="Q108345" s="1"/>
    </row>
    <row r="108346" spans="17:17" x14ac:dyDescent="0.35">
      <c r="Q108346" s="1"/>
    </row>
    <row r="108348" spans="17:17" x14ac:dyDescent="0.35">
      <c r="Q108348" s="1"/>
    </row>
    <row r="108349" spans="17:17" x14ac:dyDescent="0.35">
      <c r="Q108349" s="1"/>
    </row>
    <row r="108361" spans="17:17" x14ac:dyDescent="0.35">
      <c r="Q108361" s="1"/>
    </row>
    <row r="108366" spans="17:17" x14ac:dyDescent="0.35">
      <c r="Q108366" s="1"/>
    </row>
    <row r="108369" spans="17:17" x14ac:dyDescent="0.35">
      <c r="Q108369" s="1"/>
    </row>
    <row r="108373" spans="17:17" x14ac:dyDescent="0.35">
      <c r="Q108373" s="1"/>
    </row>
    <row r="108374" spans="17:17" x14ac:dyDescent="0.35">
      <c r="Q108374" s="1"/>
    </row>
    <row r="108391" spans="17:17" x14ac:dyDescent="0.35">
      <c r="Q108391" s="1"/>
    </row>
    <row r="108393" spans="17:17" x14ac:dyDescent="0.35">
      <c r="Q108393" s="1"/>
    </row>
    <row r="108394" spans="17:17" x14ac:dyDescent="0.35">
      <c r="Q108394" s="1"/>
    </row>
    <row r="108416" spans="17:17" x14ac:dyDescent="0.35">
      <c r="Q108416" s="1"/>
    </row>
    <row r="108419" spans="17:17" x14ac:dyDescent="0.35">
      <c r="Q108419" s="1"/>
    </row>
    <row r="108423" spans="17:17" x14ac:dyDescent="0.35">
      <c r="Q108423" s="1"/>
    </row>
    <row r="108424" spans="17:17" x14ac:dyDescent="0.35">
      <c r="Q108424" s="1"/>
    </row>
    <row r="108427" spans="17:17" x14ac:dyDescent="0.35">
      <c r="Q108427" s="1"/>
    </row>
    <row r="108432" spans="17:17" x14ac:dyDescent="0.35">
      <c r="Q108432" s="1"/>
    </row>
    <row r="108433" spans="17:17" x14ac:dyDescent="0.35">
      <c r="Q108433" s="1"/>
    </row>
    <row r="108439" spans="17:17" x14ac:dyDescent="0.35">
      <c r="Q108439" s="1"/>
    </row>
    <row r="108447" spans="17:17" x14ac:dyDescent="0.35">
      <c r="Q108447" s="1"/>
    </row>
    <row r="108457" spans="17:17" x14ac:dyDescent="0.35">
      <c r="Q108457" s="1"/>
    </row>
    <row r="108476" spans="17:17" x14ac:dyDescent="0.35">
      <c r="Q108476" s="1"/>
    </row>
    <row r="108493" spans="17:17" x14ac:dyDescent="0.35">
      <c r="Q108493" s="1"/>
    </row>
    <row r="108494" spans="17:17" x14ac:dyDescent="0.35">
      <c r="Q108494" s="1"/>
    </row>
    <row r="108497" spans="17:17" x14ac:dyDescent="0.35">
      <c r="Q108497" s="1"/>
    </row>
    <row r="108498" spans="17:17" x14ac:dyDescent="0.35">
      <c r="Q108498" s="1"/>
    </row>
    <row r="108508" spans="17:17" x14ac:dyDescent="0.35">
      <c r="Q108508" s="1"/>
    </row>
    <row r="108520" spans="17:17" x14ac:dyDescent="0.35">
      <c r="Q108520" s="1"/>
    </row>
    <row r="108523" spans="17:17" x14ac:dyDescent="0.35">
      <c r="Q108523" s="1"/>
    </row>
    <row r="108527" spans="17:17" x14ac:dyDescent="0.35">
      <c r="Q108527" s="1"/>
    </row>
    <row r="108531" spans="17:17" x14ac:dyDescent="0.35">
      <c r="Q108531" s="1"/>
    </row>
    <row r="108535" spans="17:17" x14ac:dyDescent="0.35">
      <c r="Q108535" s="1"/>
    </row>
    <row r="108539" spans="17:17" x14ac:dyDescent="0.35">
      <c r="Q108539" s="1"/>
    </row>
    <row r="108541" spans="17:17" x14ac:dyDescent="0.35">
      <c r="Q108541" s="1"/>
    </row>
    <row r="108548" spans="17:17" x14ac:dyDescent="0.35">
      <c r="Q108548" s="1"/>
    </row>
    <row r="108549" spans="17:17" x14ac:dyDescent="0.35">
      <c r="Q108549" s="1"/>
    </row>
    <row r="108554" spans="17:17" x14ac:dyDescent="0.35">
      <c r="Q108554" s="1"/>
    </row>
    <row r="108563" spans="17:17" x14ac:dyDescent="0.35">
      <c r="Q108563" s="1"/>
    </row>
    <row r="108569" spans="17:17" x14ac:dyDescent="0.35">
      <c r="Q108569" s="1"/>
    </row>
    <row r="108573" spans="17:17" x14ac:dyDescent="0.35">
      <c r="Q108573" s="1"/>
    </row>
    <row r="108575" spans="17:17" x14ac:dyDescent="0.35">
      <c r="Q108575" s="1"/>
    </row>
    <row r="108585" spans="17:17" x14ac:dyDescent="0.35">
      <c r="Q108585" s="1"/>
    </row>
    <row r="108597" spans="17:17" x14ac:dyDescent="0.35">
      <c r="Q108597" s="1"/>
    </row>
    <row r="108598" spans="17:17" x14ac:dyDescent="0.35">
      <c r="Q108598" s="1"/>
    </row>
    <row r="108601" spans="17:17" x14ac:dyDescent="0.35">
      <c r="Q108601" s="1"/>
    </row>
    <row r="108607" spans="17:17" x14ac:dyDescent="0.35">
      <c r="Q108607" s="1"/>
    </row>
    <row r="108612" spans="17:17" x14ac:dyDescent="0.35">
      <c r="Q108612" s="1"/>
    </row>
    <row r="108624" spans="17:17" x14ac:dyDescent="0.35">
      <c r="Q108624" s="1"/>
    </row>
    <row r="108630" spans="17:17" x14ac:dyDescent="0.35">
      <c r="Q108630" s="1"/>
    </row>
    <row r="108634" spans="17:17" x14ac:dyDescent="0.35">
      <c r="Q108634" s="1"/>
    </row>
    <row r="108639" spans="17:17" x14ac:dyDescent="0.35">
      <c r="Q108639" s="1"/>
    </row>
    <row r="108642" spans="17:17" x14ac:dyDescent="0.35">
      <c r="Q108642" s="1"/>
    </row>
    <row r="108645" spans="17:17" x14ac:dyDescent="0.35">
      <c r="Q108645" s="1"/>
    </row>
    <row r="108647" spans="17:17" x14ac:dyDescent="0.35">
      <c r="Q108647" s="1"/>
    </row>
    <row r="108649" spans="17:17" x14ac:dyDescent="0.35">
      <c r="Q108649" s="1"/>
    </row>
    <row r="108656" spans="17:17" x14ac:dyDescent="0.35">
      <c r="Q108656" s="1"/>
    </row>
    <row r="108658" spans="17:17" x14ac:dyDescent="0.35">
      <c r="Q108658" s="1"/>
    </row>
    <row r="108664" spans="17:17" x14ac:dyDescent="0.35">
      <c r="Q108664" s="1"/>
    </row>
    <row r="108685" spans="17:17" x14ac:dyDescent="0.35">
      <c r="Q108685" s="1"/>
    </row>
    <row r="108687" spans="17:17" x14ac:dyDescent="0.35">
      <c r="Q108687" s="1"/>
    </row>
    <row r="108689" spans="17:17" x14ac:dyDescent="0.35">
      <c r="Q108689" s="1"/>
    </row>
    <row r="108693" spans="17:17" x14ac:dyDescent="0.35">
      <c r="Q108693" s="1"/>
    </row>
    <row r="108700" spans="17:17" x14ac:dyDescent="0.35">
      <c r="Q108700" s="1"/>
    </row>
    <row r="108704" spans="17:17" x14ac:dyDescent="0.35">
      <c r="Q108704" s="1"/>
    </row>
    <row r="108710" spans="17:17" x14ac:dyDescent="0.35">
      <c r="Q108710" s="1"/>
    </row>
    <row r="108712" spans="17:17" x14ac:dyDescent="0.35">
      <c r="Q108712" s="1"/>
    </row>
    <row r="108714" spans="17:17" x14ac:dyDescent="0.35">
      <c r="Q108714" s="1"/>
    </row>
    <row r="108716" spans="17:17" x14ac:dyDescent="0.35">
      <c r="Q108716" s="1"/>
    </row>
    <row r="108729" spans="17:17" x14ac:dyDescent="0.35">
      <c r="Q108729" s="1"/>
    </row>
    <row r="108736" spans="17:17" x14ac:dyDescent="0.35">
      <c r="Q108736" s="1"/>
    </row>
    <row r="108738" spans="17:17" x14ac:dyDescent="0.35">
      <c r="Q108738" s="1"/>
    </row>
    <row r="108756" spans="17:17" x14ac:dyDescent="0.35">
      <c r="Q108756" s="1"/>
    </row>
    <row r="108762" spans="17:17" x14ac:dyDescent="0.35">
      <c r="Q108762" s="1"/>
    </row>
    <row r="108765" spans="17:17" x14ac:dyDescent="0.35">
      <c r="Q108765" s="1"/>
    </row>
    <row r="108770" spans="17:17" x14ac:dyDescent="0.35">
      <c r="Q108770" s="1"/>
    </row>
    <row r="108771" spans="17:17" x14ac:dyDescent="0.35">
      <c r="Q108771" s="1"/>
    </row>
    <row r="108779" spans="17:17" x14ac:dyDescent="0.35">
      <c r="Q108779" s="1"/>
    </row>
    <row r="108796" spans="17:17" x14ac:dyDescent="0.35">
      <c r="Q108796" s="1"/>
    </row>
    <row r="108798" spans="17:17" x14ac:dyDescent="0.35">
      <c r="Q108798" s="1"/>
    </row>
    <row r="108801" spans="17:17" x14ac:dyDescent="0.35">
      <c r="Q108801" s="1"/>
    </row>
    <row r="108802" spans="17:17" x14ac:dyDescent="0.35">
      <c r="Q108802" s="1"/>
    </row>
    <row r="108808" spans="17:17" x14ac:dyDescent="0.35">
      <c r="Q108808" s="1"/>
    </row>
    <row r="108812" spans="17:17" x14ac:dyDescent="0.35">
      <c r="Q108812" s="1"/>
    </row>
    <row r="108817" spans="17:17" x14ac:dyDescent="0.35">
      <c r="Q108817" s="1"/>
    </row>
    <row r="108828" spans="17:17" x14ac:dyDescent="0.35">
      <c r="Q108828" s="1"/>
    </row>
    <row r="108830" spans="17:17" x14ac:dyDescent="0.35">
      <c r="Q108830" s="1"/>
    </row>
    <row r="108839" spans="17:17" x14ac:dyDescent="0.35">
      <c r="Q108839" s="1"/>
    </row>
    <row r="108843" spans="17:17" x14ac:dyDescent="0.35">
      <c r="Q108843" s="1"/>
    </row>
    <row r="108844" spans="17:17" x14ac:dyDescent="0.35">
      <c r="Q108844" s="1"/>
    </row>
    <row r="108847" spans="17:17" x14ac:dyDescent="0.35">
      <c r="Q108847" s="1"/>
    </row>
    <row r="108850" spans="17:17" x14ac:dyDescent="0.35">
      <c r="Q108850" s="1"/>
    </row>
    <row r="108851" spans="17:17" x14ac:dyDescent="0.35">
      <c r="Q108851" s="1"/>
    </row>
    <row r="108855" spans="17:17" x14ac:dyDescent="0.35">
      <c r="Q108855" s="1"/>
    </row>
    <row r="108862" spans="17:17" x14ac:dyDescent="0.35">
      <c r="Q108862" s="1"/>
    </row>
    <row r="108864" spans="17:17" x14ac:dyDescent="0.35">
      <c r="Q108864" s="1"/>
    </row>
    <row r="108867" spans="17:17" x14ac:dyDescent="0.35">
      <c r="Q108867" s="1"/>
    </row>
    <row r="108869" spans="17:17" x14ac:dyDescent="0.35">
      <c r="Q108869" s="1"/>
    </row>
    <row r="108877" spans="17:17" x14ac:dyDescent="0.35">
      <c r="Q108877" s="1"/>
    </row>
    <row r="108881" spans="17:17" x14ac:dyDescent="0.35">
      <c r="Q108881" s="1"/>
    </row>
    <row r="108885" spans="17:17" x14ac:dyDescent="0.35">
      <c r="Q108885" s="1"/>
    </row>
    <row r="108895" spans="17:17" x14ac:dyDescent="0.35">
      <c r="Q108895" s="1"/>
    </row>
    <row r="108899" spans="17:17" x14ac:dyDescent="0.35">
      <c r="Q108899" s="1"/>
    </row>
    <row r="108903" spans="17:17" x14ac:dyDescent="0.35">
      <c r="Q108903" s="1"/>
    </row>
    <row r="108906" spans="17:17" x14ac:dyDescent="0.35">
      <c r="Q108906" s="1"/>
    </row>
    <row r="108909" spans="17:17" x14ac:dyDescent="0.35">
      <c r="Q108909" s="1"/>
    </row>
    <row r="108921" spans="17:17" x14ac:dyDescent="0.35">
      <c r="Q108921" s="1"/>
    </row>
    <row r="108927" spans="17:17" x14ac:dyDescent="0.35">
      <c r="Q108927" s="1"/>
    </row>
    <row r="108929" spans="17:17" x14ac:dyDescent="0.35">
      <c r="Q108929" s="1"/>
    </row>
    <row r="108930" spans="17:17" x14ac:dyDescent="0.35">
      <c r="Q108930" s="1"/>
    </row>
    <row r="108937" spans="17:17" x14ac:dyDescent="0.35">
      <c r="Q108937" s="1"/>
    </row>
    <row r="108939" spans="17:17" x14ac:dyDescent="0.35">
      <c r="Q108939" s="1"/>
    </row>
    <row r="108942" spans="17:17" x14ac:dyDescent="0.35">
      <c r="Q108942" s="1"/>
    </row>
    <row r="108944" spans="17:17" x14ac:dyDescent="0.35">
      <c r="Q108944" s="1"/>
    </row>
    <row r="108945" spans="17:17" x14ac:dyDescent="0.35">
      <c r="Q108945" s="1"/>
    </row>
    <row r="108949" spans="17:17" x14ac:dyDescent="0.35">
      <c r="Q108949" s="1"/>
    </row>
    <row r="108951" spans="17:17" x14ac:dyDescent="0.35">
      <c r="Q108951" s="1"/>
    </row>
    <row r="108953" spans="17:17" x14ac:dyDescent="0.35">
      <c r="Q108953" s="1"/>
    </row>
    <row r="108955" spans="17:17" x14ac:dyDescent="0.35">
      <c r="Q108955" s="1"/>
    </row>
    <row r="108963" spans="17:17" x14ac:dyDescent="0.35">
      <c r="Q108963" s="1"/>
    </row>
    <row r="108967" spans="17:17" x14ac:dyDescent="0.35">
      <c r="Q108967" s="1"/>
    </row>
    <row r="108983" spans="17:17" x14ac:dyDescent="0.35">
      <c r="Q108983" s="1"/>
    </row>
    <row r="108984" spans="17:17" x14ac:dyDescent="0.35">
      <c r="Q108984" s="1"/>
    </row>
    <row r="108985" spans="17:17" x14ac:dyDescent="0.35">
      <c r="Q108985" s="1"/>
    </row>
    <row r="108992" spans="17:17" x14ac:dyDescent="0.35">
      <c r="Q108992" s="1"/>
    </row>
    <row r="108999" spans="17:17" x14ac:dyDescent="0.35">
      <c r="Q108999" s="1"/>
    </row>
    <row r="109011" spans="17:17" x14ac:dyDescent="0.35">
      <c r="Q109011" s="1"/>
    </row>
    <row r="109013" spans="17:17" x14ac:dyDescent="0.35">
      <c r="Q109013" s="1"/>
    </row>
    <row r="109017" spans="17:17" x14ac:dyDescent="0.35">
      <c r="Q109017" s="1"/>
    </row>
    <row r="109019" spans="17:17" x14ac:dyDescent="0.35">
      <c r="Q109019" s="1"/>
    </row>
    <row r="109026" spans="17:17" x14ac:dyDescent="0.35">
      <c r="Q109026" s="1"/>
    </row>
    <row r="109029" spans="17:17" x14ac:dyDescent="0.35">
      <c r="Q109029" s="1"/>
    </row>
    <row r="109032" spans="17:17" x14ac:dyDescent="0.35">
      <c r="Q109032" s="1"/>
    </row>
    <row r="109077" spans="17:17" x14ac:dyDescent="0.35">
      <c r="Q109077" s="1"/>
    </row>
    <row r="109083" spans="17:17" x14ac:dyDescent="0.35">
      <c r="Q109083" s="1"/>
    </row>
    <row r="109090" spans="17:17" x14ac:dyDescent="0.35">
      <c r="Q109090" s="1"/>
    </row>
    <row r="109185" spans="16:17" x14ac:dyDescent="0.35">
      <c r="Q109185" s="1"/>
    </row>
    <row r="109188" spans="16:17" x14ac:dyDescent="0.35">
      <c r="Q109188" s="1"/>
    </row>
    <row r="109190" spans="16:17" x14ac:dyDescent="0.35">
      <c r="P109190" s="1"/>
    </row>
    <row r="109202" spans="17:17" x14ac:dyDescent="0.35">
      <c r="Q109202" s="1"/>
    </row>
    <row r="109219" spans="16:17" x14ac:dyDescent="0.35">
      <c r="P109219" s="1"/>
    </row>
    <row r="109232" spans="16:17" x14ac:dyDescent="0.35">
      <c r="Q109232" s="1"/>
    </row>
    <row r="109235" spans="16:17" x14ac:dyDescent="0.35">
      <c r="Q109235" s="1"/>
    </row>
    <row r="109237" spans="16:17" x14ac:dyDescent="0.35">
      <c r="P109237" s="1"/>
    </row>
    <row r="109239" spans="16:17" x14ac:dyDescent="0.35">
      <c r="Q109239" s="1"/>
    </row>
    <row r="109241" spans="16:17" x14ac:dyDescent="0.35">
      <c r="P109241" s="1"/>
    </row>
    <row r="109246" spans="16:17" x14ac:dyDescent="0.35">
      <c r="P109246" s="1"/>
    </row>
    <row r="109259" spans="17:17" x14ac:dyDescent="0.35">
      <c r="Q109259" s="1"/>
    </row>
    <row r="109276" spans="17:17" x14ac:dyDescent="0.35">
      <c r="Q109276" s="1"/>
    </row>
    <row r="109290" spans="16:16" x14ac:dyDescent="0.35">
      <c r="P109290" s="1"/>
    </row>
    <row r="109300" spans="16:16" x14ac:dyDescent="0.35">
      <c r="P109300" s="1"/>
    </row>
    <row r="109324" spans="17:17" x14ac:dyDescent="0.35">
      <c r="Q109324" s="1"/>
    </row>
    <row r="109334" spans="5:17" x14ac:dyDescent="0.35">
      <c r="E109334" s="1"/>
      <c r="F109334" s="1"/>
      <c r="P109334" s="1"/>
    </row>
    <row r="109337" spans="5:17" x14ac:dyDescent="0.35">
      <c r="Q109337" s="1"/>
    </row>
    <row r="109339" spans="5:17" x14ac:dyDescent="0.35">
      <c r="Q109339" s="1"/>
    </row>
    <row r="109342" spans="5:17" x14ac:dyDescent="0.35">
      <c r="Q109342" s="1"/>
    </row>
    <row r="109346" spans="16:17" x14ac:dyDescent="0.35">
      <c r="P109346" s="1"/>
    </row>
    <row r="109350" spans="16:17" x14ac:dyDescent="0.35">
      <c r="Q109350" s="1"/>
    </row>
    <row r="109352" spans="16:17" x14ac:dyDescent="0.35">
      <c r="P109352" s="1"/>
    </row>
    <row r="109356" spans="16:17" x14ac:dyDescent="0.35">
      <c r="P109356" s="1"/>
    </row>
    <row r="109357" spans="16:17" x14ac:dyDescent="0.35">
      <c r="P109357" s="1"/>
    </row>
    <row r="109378" spans="16:17" x14ac:dyDescent="0.35">
      <c r="P109378" s="1"/>
    </row>
    <row r="109384" spans="16:17" x14ac:dyDescent="0.35">
      <c r="Q109384" s="1"/>
    </row>
    <row r="109409" spans="17:17" x14ac:dyDescent="0.35">
      <c r="Q109409" s="1"/>
    </row>
    <row r="109436" spans="17:17" x14ac:dyDescent="0.35">
      <c r="Q109436" s="1"/>
    </row>
    <row r="109444" spans="16:17" x14ac:dyDescent="0.35">
      <c r="Q109444" s="1"/>
    </row>
    <row r="109447" spans="16:17" x14ac:dyDescent="0.35">
      <c r="P109447" s="1"/>
    </row>
    <row r="109448" spans="16:17" x14ac:dyDescent="0.35">
      <c r="Q109448" s="1"/>
    </row>
    <row r="109449" spans="16:17" x14ac:dyDescent="0.35">
      <c r="Q109449" s="1"/>
    </row>
    <row r="109460" spans="16:16" x14ac:dyDescent="0.35">
      <c r="P109460" s="1"/>
    </row>
    <row r="109545" spans="17:17" x14ac:dyDescent="0.35">
      <c r="Q109545" s="1"/>
    </row>
    <row r="109565" spans="16:16" x14ac:dyDescent="0.35">
      <c r="P109565" s="1"/>
    </row>
    <row r="109572" spans="16:17" x14ac:dyDescent="0.35">
      <c r="P109572" s="1"/>
    </row>
    <row r="109575" spans="16:17" x14ac:dyDescent="0.35">
      <c r="Q109575" s="1"/>
    </row>
    <row r="109579" spans="16:17" x14ac:dyDescent="0.35">
      <c r="Q109579" s="1"/>
    </row>
    <row r="109586" spans="16:17" x14ac:dyDescent="0.35">
      <c r="Q109586" s="1"/>
    </row>
    <row r="109587" spans="16:17" x14ac:dyDescent="0.35">
      <c r="Q109587" s="1"/>
    </row>
    <row r="109595" spans="16:17" x14ac:dyDescent="0.35">
      <c r="P109595" s="1"/>
    </row>
    <row r="109596" spans="16:17" x14ac:dyDescent="0.35">
      <c r="Q109596" s="1"/>
    </row>
    <row r="109610" spans="17:17" x14ac:dyDescent="0.35">
      <c r="Q109610" s="1"/>
    </row>
    <row r="109620" spans="3:3" x14ac:dyDescent="0.35">
      <c r="C109620" s="4"/>
    </row>
    <row r="109660" spans="16:16" x14ac:dyDescent="0.35">
      <c r="P109660" s="1"/>
    </row>
    <row r="109674" spans="16:17" x14ac:dyDescent="0.35">
      <c r="Q109674" s="1"/>
    </row>
    <row r="109676" spans="16:17" x14ac:dyDescent="0.35">
      <c r="P109676" s="1"/>
    </row>
    <row r="109678" spans="16:17" x14ac:dyDescent="0.35">
      <c r="P109678" s="1"/>
    </row>
    <row r="109680" spans="16:17" x14ac:dyDescent="0.35">
      <c r="Q109680" s="1"/>
    </row>
    <row r="109681" spans="17:17" x14ac:dyDescent="0.35">
      <c r="Q109681" s="1"/>
    </row>
    <row r="109687" spans="17:17" x14ac:dyDescent="0.35">
      <c r="Q109687" s="1"/>
    </row>
    <row r="109696" spans="17:17" x14ac:dyDescent="0.35">
      <c r="Q109696" s="1"/>
    </row>
    <row r="109729" spans="17:17" x14ac:dyDescent="0.35">
      <c r="Q109729" s="1"/>
    </row>
    <row r="109736" spans="17:17" x14ac:dyDescent="0.35">
      <c r="Q109736" s="1"/>
    </row>
    <row r="109762" spans="3:16" x14ac:dyDescent="0.35">
      <c r="P109762" s="1"/>
    </row>
    <row r="109763" spans="3:16" x14ac:dyDescent="0.35">
      <c r="C109763" s="4"/>
    </row>
    <row r="109769" spans="3:16" x14ac:dyDescent="0.35">
      <c r="P109769" s="1"/>
    </row>
    <row r="109777" spans="16:17" x14ac:dyDescent="0.35">
      <c r="P109777" s="1"/>
    </row>
    <row r="109782" spans="16:17" x14ac:dyDescent="0.35">
      <c r="Q109782" s="1"/>
    </row>
    <row r="109791" spans="16:17" x14ac:dyDescent="0.35">
      <c r="P109791" s="1"/>
    </row>
    <row r="109793" spans="17:17" x14ac:dyDescent="0.35">
      <c r="Q109793" s="1"/>
    </row>
    <row r="109798" spans="17:17" x14ac:dyDescent="0.35">
      <c r="Q109798" s="1"/>
    </row>
    <row r="109821" spans="17:17" x14ac:dyDescent="0.35">
      <c r="Q109821" s="1"/>
    </row>
    <row r="109825" spans="16:17" x14ac:dyDescent="0.35">
      <c r="Q109825" s="1"/>
    </row>
    <row r="109828" spans="16:17" x14ac:dyDescent="0.35">
      <c r="P109828" s="1"/>
    </row>
    <row r="109833" spans="16:17" x14ac:dyDescent="0.35">
      <c r="Q109833" s="1"/>
    </row>
    <row r="109836" spans="16:17" x14ac:dyDescent="0.35">
      <c r="Q109836" s="1"/>
    </row>
    <row r="109846" spans="17:17" x14ac:dyDescent="0.35">
      <c r="Q109846" s="1"/>
    </row>
    <row r="109848" spans="17:17" x14ac:dyDescent="0.35">
      <c r="Q109848" s="1"/>
    </row>
    <row r="109872" spans="17:17" x14ac:dyDescent="0.35">
      <c r="Q109872" s="1"/>
    </row>
    <row r="109883" spans="17:17" x14ac:dyDescent="0.35">
      <c r="Q109883" s="1"/>
    </row>
    <row r="109889" spans="16:17" x14ac:dyDescent="0.35">
      <c r="P109889" s="1"/>
    </row>
    <row r="109891" spans="16:17" x14ac:dyDescent="0.35">
      <c r="Q109891" s="1"/>
    </row>
    <row r="109898" spans="16:17" x14ac:dyDescent="0.35">
      <c r="P109898" s="1"/>
    </row>
    <row r="109914" spans="16:16" x14ac:dyDescent="0.35">
      <c r="P109914" s="1"/>
    </row>
    <row r="109927" spans="17:17" x14ac:dyDescent="0.35">
      <c r="Q109927" s="1"/>
    </row>
    <row r="109951" spans="16:16" x14ac:dyDescent="0.35">
      <c r="P109951" s="1"/>
    </row>
    <row r="109955" spans="17:17" x14ac:dyDescent="0.35">
      <c r="Q109955" s="1"/>
    </row>
    <row r="109970" spans="16:17" x14ac:dyDescent="0.35">
      <c r="P109970" s="1"/>
    </row>
    <row r="109972" spans="16:17" x14ac:dyDescent="0.35">
      <c r="Q109972" s="1"/>
    </row>
    <row r="109978" spans="16:17" x14ac:dyDescent="0.35">
      <c r="Q109978" s="1"/>
    </row>
    <row r="109987" spans="16:17" x14ac:dyDescent="0.35">
      <c r="Q109987" s="1"/>
    </row>
    <row r="109988" spans="16:17" x14ac:dyDescent="0.35">
      <c r="Q109988" s="1"/>
    </row>
    <row r="109994" spans="16:17" x14ac:dyDescent="0.35">
      <c r="P109994" s="1"/>
    </row>
    <row r="109999" spans="16:17" x14ac:dyDescent="0.35">
      <c r="P109999" s="1"/>
    </row>
    <row r="110005" spans="17:17" x14ac:dyDescent="0.35">
      <c r="Q110005" s="1"/>
    </row>
    <row r="110007" spans="17:17" x14ac:dyDescent="0.35">
      <c r="Q110007" s="1"/>
    </row>
    <row r="110008" spans="17:17" x14ac:dyDescent="0.35">
      <c r="Q110008" s="1"/>
    </row>
    <row r="110011" spans="17:17" x14ac:dyDescent="0.35">
      <c r="Q110011" s="1"/>
    </row>
    <row r="110013" spans="17:17" x14ac:dyDescent="0.35">
      <c r="Q110013" s="1"/>
    </row>
    <row r="110014" spans="17:17" x14ac:dyDescent="0.35">
      <c r="Q110014" s="1"/>
    </row>
    <row r="110015" spans="17:17" x14ac:dyDescent="0.35">
      <c r="Q110015" s="1"/>
    </row>
    <row r="110016" spans="17:17" x14ac:dyDescent="0.35">
      <c r="Q110016" s="1"/>
    </row>
    <row r="110017" spans="17:17" x14ac:dyDescent="0.35">
      <c r="Q110017" s="1"/>
    </row>
    <row r="110019" spans="17:17" x14ac:dyDescent="0.35">
      <c r="Q110019" s="1"/>
    </row>
    <row r="110020" spans="17:17" x14ac:dyDescent="0.35">
      <c r="Q110020" s="1"/>
    </row>
    <row r="110021" spans="17:17" x14ac:dyDescent="0.35">
      <c r="Q110021" s="1"/>
    </row>
    <row r="110022" spans="17:17" x14ac:dyDescent="0.35">
      <c r="Q110022" s="1"/>
    </row>
    <row r="110023" spans="17:17" x14ac:dyDescent="0.35">
      <c r="Q110023" s="1"/>
    </row>
    <row r="110024" spans="17:17" x14ac:dyDescent="0.35">
      <c r="Q110024" s="1"/>
    </row>
    <row r="110025" spans="17:17" x14ac:dyDescent="0.35">
      <c r="Q110025" s="1"/>
    </row>
    <row r="110027" spans="17:17" x14ac:dyDescent="0.35">
      <c r="Q110027" s="1"/>
    </row>
    <row r="110028" spans="17:17" x14ac:dyDescent="0.35">
      <c r="Q110028" s="1"/>
    </row>
    <row r="110029" spans="17:17" x14ac:dyDescent="0.35">
      <c r="Q110029" s="1"/>
    </row>
    <row r="110030" spans="17:17" x14ac:dyDescent="0.35">
      <c r="Q110030" s="1"/>
    </row>
    <row r="110032" spans="17:17" x14ac:dyDescent="0.35">
      <c r="Q110032" s="1"/>
    </row>
    <row r="110036" spans="17:17" x14ac:dyDescent="0.35">
      <c r="Q110036" s="1"/>
    </row>
    <row r="110038" spans="17:17" x14ac:dyDescent="0.35">
      <c r="Q110038" s="1"/>
    </row>
    <row r="110039" spans="17:17" x14ac:dyDescent="0.35">
      <c r="Q110039" s="1"/>
    </row>
    <row r="110041" spans="17:17" x14ac:dyDescent="0.35">
      <c r="Q110041" s="1"/>
    </row>
    <row r="110042" spans="17:17" x14ac:dyDescent="0.35">
      <c r="Q110042" s="1"/>
    </row>
    <row r="110043" spans="17:17" x14ac:dyDescent="0.35">
      <c r="Q110043" s="1"/>
    </row>
    <row r="110044" spans="17:17" x14ac:dyDescent="0.35">
      <c r="Q110044" s="1"/>
    </row>
    <row r="110047" spans="17:17" x14ac:dyDescent="0.35">
      <c r="Q110047" s="1"/>
    </row>
    <row r="110048" spans="17:17" x14ac:dyDescent="0.35">
      <c r="Q110048" s="1"/>
    </row>
    <row r="110049" spans="16:17" x14ac:dyDescent="0.35">
      <c r="Q110049" s="1"/>
    </row>
    <row r="110057" spans="16:17" x14ac:dyDescent="0.35">
      <c r="Q110057" s="1"/>
    </row>
    <row r="110059" spans="16:17" x14ac:dyDescent="0.35">
      <c r="P110059" s="1"/>
    </row>
    <row r="110081" spans="16:17" x14ac:dyDescent="0.35">
      <c r="P110081" s="1"/>
    </row>
    <row r="110085" spans="16:17" x14ac:dyDescent="0.35">
      <c r="Q110085" s="1"/>
    </row>
    <row r="110089" spans="16:17" x14ac:dyDescent="0.35">
      <c r="P110089" s="1"/>
    </row>
    <row r="110090" spans="16:17" x14ac:dyDescent="0.35">
      <c r="P110090" s="1"/>
    </row>
    <row r="110093" spans="16:17" x14ac:dyDescent="0.35">
      <c r="P110093" s="1"/>
    </row>
    <row r="110095" spans="16:17" x14ac:dyDescent="0.35">
      <c r="P110095" s="1"/>
    </row>
    <row r="110104" spans="17:17" x14ac:dyDescent="0.35">
      <c r="Q110104" s="1"/>
    </row>
    <row r="110109" spans="17:17" x14ac:dyDescent="0.35">
      <c r="Q110109" s="1"/>
    </row>
    <row r="110111" spans="17:17" x14ac:dyDescent="0.35">
      <c r="Q110111" s="1"/>
    </row>
    <row r="110116" spans="17:17" x14ac:dyDescent="0.35">
      <c r="Q110116" s="1"/>
    </row>
    <row r="110117" spans="17:17" x14ac:dyDescent="0.35">
      <c r="Q110117" s="1"/>
    </row>
    <row r="110118" spans="17:17" x14ac:dyDescent="0.35">
      <c r="Q110118" s="1"/>
    </row>
    <row r="110122" spans="17:17" x14ac:dyDescent="0.35">
      <c r="Q110122" s="1"/>
    </row>
    <row r="110126" spans="17:17" x14ac:dyDescent="0.35">
      <c r="Q110126" s="1"/>
    </row>
    <row r="110130" spans="17:17" x14ac:dyDescent="0.35">
      <c r="Q110130" s="1"/>
    </row>
    <row r="110134" spans="17:17" x14ac:dyDescent="0.35">
      <c r="Q110134" s="1"/>
    </row>
    <row r="110152" spans="16:17" x14ac:dyDescent="0.35">
      <c r="Q110152" s="1"/>
    </row>
    <row r="110158" spans="16:17" x14ac:dyDescent="0.35">
      <c r="P110158" s="1"/>
    </row>
    <row r="110168" spans="17:17" x14ac:dyDescent="0.35">
      <c r="Q110168" s="1"/>
    </row>
    <row r="110185" spans="16:17" x14ac:dyDescent="0.35">
      <c r="Q110185" s="1"/>
    </row>
    <row r="110189" spans="16:17" x14ac:dyDescent="0.35">
      <c r="P110189" s="1"/>
    </row>
    <row r="110190" spans="16:17" x14ac:dyDescent="0.35">
      <c r="Q110190" s="1"/>
    </row>
    <row r="110191" spans="16:17" x14ac:dyDescent="0.35">
      <c r="P110191" s="1"/>
    </row>
    <row r="110197" spans="16:17" x14ac:dyDescent="0.35">
      <c r="Q110197" s="1"/>
    </row>
    <row r="110198" spans="16:17" x14ac:dyDescent="0.35">
      <c r="P110198" s="1"/>
    </row>
    <row r="110207" spans="16:17" x14ac:dyDescent="0.35">
      <c r="P110207" s="1"/>
    </row>
    <row r="110226" spans="17:17" x14ac:dyDescent="0.35">
      <c r="Q110226" s="1"/>
    </row>
    <row r="110227" spans="17:17" x14ac:dyDescent="0.35">
      <c r="Q110227" s="1"/>
    </row>
    <row r="110229" spans="17:17" x14ac:dyDescent="0.35">
      <c r="Q110229" s="1"/>
    </row>
    <row r="110230" spans="17:17" x14ac:dyDescent="0.35">
      <c r="Q110230" s="1"/>
    </row>
    <row r="110239" spans="17:17" x14ac:dyDescent="0.35">
      <c r="Q110239" s="1"/>
    </row>
    <row r="110250" spans="17:17" x14ac:dyDescent="0.35">
      <c r="Q110250" s="1"/>
    </row>
    <row r="110269" spans="17:17" x14ac:dyDescent="0.35">
      <c r="Q110269" s="1"/>
    </row>
    <row r="110278" spans="16:16" x14ac:dyDescent="0.35">
      <c r="P110278" s="1"/>
    </row>
    <row r="110289" spans="17:17" x14ac:dyDescent="0.35">
      <c r="Q110289" s="1"/>
    </row>
    <row r="110292" spans="17:17" x14ac:dyDescent="0.35">
      <c r="Q110292" s="1"/>
    </row>
    <row r="110319" spans="17:17" x14ac:dyDescent="0.35">
      <c r="Q110319" s="1"/>
    </row>
    <row r="110321" spans="16:16" x14ac:dyDescent="0.35">
      <c r="P110321" s="1"/>
    </row>
    <row r="110327" spans="16:16" x14ac:dyDescent="0.35">
      <c r="P110327" s="1"/>
    </row>
    <row r="110328" spans="16:16" x14ac:dyDescent="0.35">
      <c r="P110328" s="1"/>
    </row>
    <row r="110335" spans="16:16" x14ac:dyDescent="0.35">
      <c r="P110335" s="1"/>
    </row>
    <row r="110353" spans="17:17" x14ac:dyDescent="0.35">
      <c r="Q110353" s="1"/>
    </row>
    <row r="110388" spans="16:16" x14ac:dyDescent="0.35">
      <c r="P110388" s="1"/>
    </row>
    <row r="110390" spans="16:16" x14ac:dyDescent="0.35">
      <c r="P110390" s="1"/>
    </row>
    <row r="110392" spans="16:16" x14ac:dyDescent="0.35">
      <c r="P110392" s="1"/>
    </row>
    <row r="110401" spans="16:16" x14ac:dyDescent="0.35">
      <c r="P110401" s="1"/>
    </row>
    <row r="110435" spans="16:16" x14ac:dyDescent="0.35">
      <c r="P110435" s="1"/>
    </row>
    <row r="110458" spans="16:16" x14ac:dyDescent="0.35">
      <c r="P110458" s="1"/>
    </row>
    <row r="110473" spans="16:16" x14ac:dyDescent="0.35">
      <c r="P110473" s="1"/>
    </row>
    <row r="110491" spans="16:16" x14ac:dyDescent="0.35">
      <c r="P110491" s="1"/>
    </row>
    <row r="110507" spans="16:16" x14ac:dyDescent="0.35">
      <c r="P110507" s="1"/>
    </row>
    <row r="110513" spans="17:17" x14ac:dyDescent="0.35">
      <c r="Q110513" s="1"/>
    </row>
    <row r="110515" spans="17:17" x14ac:dyDescent="0.35">
      <c r="Q110515" s="1"/>
    </row>
    <row r="110526" spans="17:17" x14ac:dyDescent="0.35">
      <c r="Q110526" s="1"/>
    </row>
    <row r="110538" spans="16:16" x14ac:dyDescent="0.35">
      <c r="P110538" s="1"/>
    </row>
    <row r="110540" spans="16:16" x14ac:dyDescent="0.35">
      <c r="P110540" s="1"/>
    </row>
    <row r="110545" spans="16:17" x14ac:dyDescent="0.35">
      <c r="P110545" s="1"/>
    </row>
    <row r="110560" spans="16:17" x14ac:dyDescent="0.35">
      <c r="Q110560" s="1"/>
    </row>
    <row r="110583" spans="16:16" x14ac:dyDescent="0.35">
      <c r="P110583" s="1"/>
    </row>
    <row r="110602" spans="17:17" x14ac:dyDescent="0.35">
      <c r="Q110602" s="1"/>
    </row>
    <row r="110605" spans="17:17" x14ac:dyDescent="0.35">
      <c r="Q110605" s="1"/>
    </row>
    <row r="110619" spans="17:17" x14ac:dyDescent="0.35">
      <c r="Q110619" s="1"/>
    </row>
    <row r="110642" spans="16:17" x14ac:dyDescent="0.35">
      <c r="P110642" s="1"/>
    </row>
    <row r="110644" spans="16:17" x14ac:dyDescent="0.35">
      <c r="Q110644" s="1"/>
    </row>
    <row r="110662" spans="16:16" x14ac:dyDescent="0.35">
      <c r="P110662" s="1"/>
    </row>
    <row r="110667" spans="16:16" x14ac:dyDescent="0.35">
      <c r="P110667" s="1"/>
    </row>
    <row r="110671" spans="16:16" x14ac:dyDescent="0.35">
      <c r="P110671" s="1"/>
    </row>
    <row r="110680" spans="17:17" x14ac:dyDescent="0.35">
      <c r="Q110680" s="1"/>
    </row>
    <row r="110696" spans="16:17" x14ac:dyDescent="0.35">
      <c r="Q110696" s="1"/>
    </row>
    <row r="110697" spans="16:17" x14ac:dyDescent="0.35">
      <c r="Q110697" s="1"/>
    </row>
    <row r="110698" spans="16:17" x14ac:dyDescent="0.35">
      <c r="P110698" s="1"/>
      <c r="Q110698" s="1"/>
    </row>
    <row r="110701" spans="16:17" x14ac:dyDescent="0.35">
      <c r="Q110701" s="1"/>
    </row>
    <row r="110716" spans="16:16" x14ac:dyDescent="0.35">
      <c r="P110716" s="1"/>
    </row>
    <row r="110722" spans="16:17" x14ac:dyDescent="0.35">
      <c r="Q110722" s="1"/>
    </row>
    <row r="110730" spans="16:17" x14ac:dyDescent="0.35">
      <c r="Q110730" s="1"/>
    </row>
    <row r="110736" spans="16:17" x14ac:dyDescent="0.35">
      <c r="P110736" s="1"/>
    </row>
    <row r="110741" spans="16:17" x14ac:dyDescent="0.35">
      <c r="Q110741" s="1"/>
    </row>
    <row r="110751" spans="16:17" x14ac:dyDescent="0.35">
      <c r="P110751" s="1"/>
    </row>
    <row r="110755" spans="17:17" x14ac:dyDescent="0.35">
      <c r="Q110755" s="1"/>
    </row>
    <row r="110760" spans="17:17" x14ac:dyDescent="0.35">
      <c r="Q110760" s="1"/>
    </row>
    <row r="110766" spans="17:17" x14ac:dyDescent="0.35">
      <c r="Q110766" s="1"/>
    </row>
    <row r="110768" spans="17:17" x14ac:dyDescent="0.35">
      <c r="Q110768" s="1"/>
    </row>
    <row r="110775" spans="16:17" x14ac:dyDescent="0.35">
      <c r="P110775" s="1"/>
    </row>
    <row r="110784" spans="16:17" x14ac:dyDescent="0.35">
      <c r="Q110784" s="1"/>
    </row>
    <row r="110785" spans="16:17" x14ac:dyDescent="0.35">
      <c r="P110785" s="1"/>
    </row>
    <row r="110789" spans="16:17" x14ac:dyDescent="0.35">
      <c r="Q110789" s="1"/>
    </row>
    <row r="110803" spans="16:17" x14ac:dyDescent="0.35">
      <c r="P110803" s="1"/>
    </row>
    <row r="110813" spans="16:17" x14ac:dyDescent="0.35">
      <c r="Q110813" s="1"/>
    </row>
    <row r="110819" spans="16:17" x14ac:dyDescent="0.35">
      <c r="Q110819" s="1"/>
    </row>
    <row r="110831" spans="16:17" x14ac:dyDescent="0.35">
      <c r="P110831" s="1"/>
    </row>
    <row r="110837" spans="16:16" x14ac:dyDescent="0.35">
      <c r="P110837" s="1"/>
    </row>
    <row r="110845" spans="16:16" x14ac:dyDescent="0.35">
      <c r="P110845" s="1"/>
    </row>
    <row r="110847" spans="16:16" x14ac:dyDescent="0.35">
      <c r="P110847" s="1"/>
    </row>
    <row r="110851" spans="16:17" x14ac:dyDescent="0.35">
      <c r="P110851" s="1"/>
    </row>
    <row r="110853" spans="16:17" x14ac:dyDescent="0.35">
      <c r="Q110853" s="1"/>
    </row>
    <row r="110861" spans="16:17" x14ac:dyDescent="0.35">
      <c r="P110861" s="1"/>
    </row>
    <row r="110881" spans="16:16" x14ac:dyDescent="0.35">
      <c r="P110881" s="1"/>
    </row>
    <row r="110883" spans="16:16" x14ac:dyDescent="0.35">
      <c r="P110883" s="1"/>
    </row>
    <row r="110885" spans="16:16" x14ac:dyDescent="0.35">
      <c r="P110885" s="1"/>
    </row>
    <row r="110887" spans="16:16" x14ac:dyDescent="0.35">
      <c r="P110887" s="1"/>
    </row>
    <row r="110891" spans="16:16" x14ac:dyDescent="0.35">
      <c r="P110891" s="1"/>
    </row>
    <row r="110906" spans="16:17" x14ac:dyDescent="0.35">
      <c r="P110906" s="1"/>
    </row>
    <row r="110909" spans="16:17" x14ac:dyDescent="0.35">
      <c r="Q110909" s="1"/>
    </row>
    <row r="110913" spans="5:17" x14ac:dyDescent="0.35">
      <c r="E110913" s="2"/>
      <c r="F110913" s="2"/>
    </row>
    <row r="110921" spans="5:17" x14ac:dyDescent="0.35">
      <c r="Q110921" s="1"/>
    </row>
    <row r="110925" spans="5:17" x14ac:dyDescent="0.35">
      <c r="P110925" s="1"/>
      <c r="Q110925" s="1"/>
    </row>
    <row r="110934" spans="16:17" x14ac:dyDescent="0.35">
      <c r="Q110934" s="1"/>
    </row>
    <row r="110937" spans="16:17" x14ac:dyDescent="0.35">
      <c r="Q110937" s="1"/>
    </row>
    <row r="110939" spans="16:17" x14ac:dyDescent="0.35">
      <c r="Q110939" s="1"/>
    </row>
    <row r="110943" spans="16:17" x14ac:dyDescent="0.35">
      <c r="P110943" s="1"/>
    </row>
    <row r="110958" spans="17:17" x14ac:dyDescent="0.35">
      <c r="Q110958" s="1"/>
    </row>
    <row r="110971" spans="17:17" x14ac:dyDescent="0.35">
      <c r="Q110971" s="1"/>
    </row>
    <row r="110988" spans="17:17" x14ac:dyDescent="0.35">
      <c r="Q110988" s="1"/>
    </row>
    <row r="110993" spans="16:17" x14ac:dyDescent="0.35">
      <c r="P110993" s="1"/>
    </row>
    <row r="111000" spans="16:17" x14ac:dyDescent="0.35">
      <c r="P111000" s="1"/>
    </row>
    <row r="111001" spans="16:17" x14ac:dyDescent="0.35">
      <c r="P111001" s="1"/>
    </row>
    <row r="111007" spans="16:17" x14ac:dyDescent="0.35">
      <c r="Q111007" s="1"/>
    </row>
    <row r="111012" spans="17:17" x14ac:dyDescent="0.35">
      <c r="Q111012" s="1"/>
    </row>
    <row r="111016" spans="17:17" x14ac:dyDescent="0.35">
      <c r="Q111016" s="1"/>
    </row>
    <row r="111019" spans="17:17" x14ac:dyDescent="0.35">
      <c r="Q111019" s="1"/>
    </row>
    <row r="111021" spans="17:17" x14ac:dyDescent="0.35">
      <c r="Q111021" s="1"/>
    </row>
    <row r="111022" spans="17:17" x14ac:dyDescent="0.35">
      <c r="Q111022" s="1"/>
    </row>
    <row r="111029" spans="17:17" x14ac:dyDescent="0.35">
      <c r="Q111029" s="1"/>
    </row>
    <row r="111033" spans="17:17" x14ac:dyDescent="0.35">
      <c r="Q111033" s="1"/>
    </row>
    <row r="111047" spans="17:17" x14ac:dyDescent="0.35">
      <c r="Q111047" s="1"/>
    </row>
    <row r="111062" spans="17:17" x14ac:dyDescent="0.35">
      <c r="Q111062" s="1"/>
    </row>
    <row r="111104" spans="17:17" x14ac:dyDescent="0.35">
      <c r="Q111104" s="1"/>
    </row>
    <row r="111120" spans="17:17" x14ac:dyDescent="0.35">
      <c r="Q111120" s="1"/>
    </row>
    <row r="111159" spans="17:17" x14ac:dyDescent="0.35">
      <c r="Q111159" s="1"/>
    </row>
    <row r="111178" spans="17:17" x14ac:dyDescent="0.35">
      <c r="Q111178" s="1"/>
    </row>
    <row r="111188" spans="17:17" x14ac:dyDescent="0.35">
      <c r="Q111188" s="1"/>
    </row>
    <row r="111195" spans="17:17" x14ac:dyDescent="0.35">
      <c r="Q111195" s="1"/>
    </row>
    <row r="111201" spans="17:17" x14ac:dyDescent="0.35">
      <c r="Q111201" s="1"/>
    </row>
    <row r="111222" spans="17:17" x14ac:dyDescent="0.35">
      <c r="Q111222" s="1"/>
    </row>
    <row r="111226" spans="17:17" x14ac:dyDescent="0.35">
      <c r="Q111226" s="1"/>
    </row>
    <row r="111232" spans="17:17" x14ac:dyDescent="0.35">
      <c r="Q111232" s="1"/>
    </row>
    <row r="111247" spans="17:17" x14ac:dyDescent="0.35">
      <c r="Q111247" s="1"/>
    </row>
    <row r="111248" spans="17:17" x14ac:dyDescent="0.35">
      <c r="Q111248" s="1"/>
    </row>
    <row r="111258" spans="17:17" x14ac:dyDescent="0.35">
      <c r="Q111258" s="1"/>
    </row>
    <row r="111282" spans="16:16" x14ac:dyDescent="0.35">
      <c r="P111282" s="1"/>
    </row>
    <row r="111305" spans="17:17" x14ac:dyDescent="0.35">
      <c r="Q111305" s="1"/>
    </row>
    <row r="111330" spans="17:17" x14ac:dyDescent="0.35">
      <c r="Q111330" s="1"/>
    </row>
    <row r="111337" spans="17:17" x14ac:dyDescent="0.35">
      <c r="Q111337" s="1"/>
    </row>
    <row r="111385" spans="5:16" x14ac:dyDescent="0.35">
      <c r="E111385" s="5"/>
    </row>
    <row r="111387" spans="5:16" x14ac:dyDescent="0.35">
      <c r="P111387" s="1"/>
    </row>
    <row r="111430" spans="17:17" x14ac:dyDescent="0.35">
      <c r="Q111430" s="1"/>
    </row>
    <row r="111433" spans="17:17" x14ac:dyDescent="0.35">
      <c r="Q111433" s="1"/>
    </row>
    <row r="111437" spans="17:17" x14ac:dyDescent="0.35">
      <c r="Q111437" s="1"/>
    </row>
    <row r="111441" spans="16:17" x14ac:dyDescent="0.35">
      <c r="Q111441" s="1"/>
    </row>
    <row r="111443" spans="16:17" x14ac:dyDescent="0.35">
      <c r="P111443" s="1"/>
    </row>
    <row r="111450" spans="16:17" x14ac:dyDescent="0.35">
      <c r="Q111450" s="1"/>
    </row>
    <row r="111467" spans="16:16" x14ac:dyDescent="0.35">
      <c r="P111467" s="1"/>
    </row>
    <row r="111491" spans="16:17" x14ac:dyDescent="0.35">
      <c r="Q111491" s="1"/>
    </row>
    <row r="111496" spans="16:17" x14ac:dyDescent="0.35">
      <c r="Q111496" s="1"/>
    </row>
    <row r="111500" spans="16:17" x14ac:dyDescent="0.35">
      <c r="P111500" s="1"/>
    </row>
    <row r="111517" spans="17:17" x14ac:dyDescent="0.35">
      <c r="Q111517" s="1"/>
    </row>
    <row r="111518" spans="17:17" x14ac:dyDescent="0.35">
      <c r="Q111518" s="1"/>
    </row>
    <row r="111539" spans="17:17" x14ac:dyDescent="0.35">
      <c r="Q111539" s="1"/>
    </row>
    <row r="111540" spans="17:17" x14ac:dyDescent="0.35">
      <c r="Q111540" s="1"/>
    </row>
    <row r="111542" spans="17:17" x14ac:dyDescent="0.35">
      <c r="Q111542" s="1"/>
    </row>
    <row r="111546" spans="17:17" x14ac:dyDescent="0.35">
      <c r="Q111546" s="1"/>
    </row>
    <row r="111560" spans="17:17" x14ac:dyDescent="0.35">
      <c r="Q111560" s="1"/>
    </row>
    <row r="111565" spans="17:17" x14ac:dyDescent="0.35">
      <c r="Q111565" s="1"/>
    </row>
    <row r="111566" spans="17:17" x14ac:dyDescent="0.35">
      <c r="Q111566" s="1"/>
    </row>
    <row r="111588" spans="17:17" x14ac:dyDescent="0.35">
      <c r="Q111588" s="1"/>
    </row>
    <row r="111593" spans="17:17" x14ac:dyDescent="0.35">
      <c r="Q111593" s="1"/>
    </row>
    <row r="111629" spans="16:17" x14ac:dyDescent="0.35">
      <c r="Q111629" s="1"/>
    </row>
    <row r="111630" spans="16:17" x14ac:dyDescent="0.35">
      <c r="P111630" s="1"/>
    </row>
    <row r="111636" spans="17:17" x14ac:dyDescent="0.35">
      <c r="Q111636" s="1"/>
    </row>
    <row r="111641" spans="17:17" x14ac:dyDescent="0.35">
      <c r="Q111641" s="1"/>
    </row>
    <row r="111644" spans="17:17" x14ac:dyDescent="0.35">
      <c r="Q111644" s="1"/>
    </row>
    <row r="111688" spans="17:17" x14ac:dyDescent="0.35">
      <c r="Q111688" s="1"/>
    </row>
    <row r="111697" spans="16:17" x14ac:dyDescent="0.35">
      <c r="P111697" s="1"/>
    </row>
    <row r="111700" spans="16:17" x14ac:dyDescent="0.35">
      <c r="Q111700" s="1"/>
    </row>
    <row r="111709" spans="16:17" x14ac:dyDescent="0.35">
      <c r="Q111709" s="1"/>
    </row>
    <row r="111734" spans="16:17" x14ac:dyDescent="0.35">
      <c r="Q111734" s="1"/>
    </row>
    <row r="111740" spans="16:17" x14ac:dyDescent="0.35">
      <c r="P111740" s="1"/>
    </row>
    <row r="111744" spans="16:17" x14ac:dyDescent="0.35">
      <c r="Q111744" s="1"/>
    </row>
    <row r="111777" spans="17:17" x14ac:dyDescent="0.35">
      <c r="Q111777" s="1"/>
    </row>
    <row r="111780" spans="17:17" x14ac:dyDescent="0.35">
      <c r="Q111780" s="1"/>
    </row>
    <row r="111782" spans="17:17" x14ac:dyDescent="0.35">
      <c r="Q111782" s="1"/>
    </row>
    <row r="111797" spans="17:17" x14ac:dyDescent="0.35">
      <c r="Q111797" s="1"/>
    </row>
    <row r="111826" spans="16:17" x14ac:dyDescent="0.35">
      <c r="Q111826" s="1"/>
    </row>
    <row r="111829" spans="16:17" x14ac:dyDescent="0.35">
      <c r="Q111829" s="1"/>
    </row>
    <row r="111831" spans="16:17" x14ac:dyDescent="0.35">
      <c r="P111831" s="1"/>
    </row>
    <row r="111848" spans="17:17" x14ac:dyDescent="0.35">
      <c r="Q111848" s="1"/>
    </row>
    <row r="111853" spans="17:17" x14ac:dyDescent="0.35">
      <c r="Q111853" s="1"/>
    </row>
    <row r="111860" spans="17:17" x14ac:dyDescent="0.35">
      <c r="Q111860" s="1"/>
    </row>
    <row r="111868" spans="17:17" x14ac:dyDescent="0.35">
      <c r="Q111868" s="1"/>
    </row>
    <row r="111889" spans="17:17" x14ac:dyDescent="0.35">
      <c r="Q111889" s="1"/>
    </row>
    <row r="111910" spans="17:17" x14ac:dyDescent="0.35">
      <c r="Q111910" s="1"/>
    </row>
    <row r="111912" spans="17:17" x14ac:dyDescent="0.35">
      <c r="Q111912" s="1"/>
    </row>
    <row r="111917" spans="17:17" x14ac:dyDescent="0.35">
      <c r="Q111917" s="1"/>
    </row>
    <row r="111949" spans="17:17" x14ac:dyDescent="0.35">
      <c r="Q111949" s="1"/>
    </row>
    <row r="111952" spans="17:17" x14ac:dyDescent="0.35">
      <c r="Q111952" s="1"/>
    </row>
    <row r="111964" spans="17:17" x14ac:dyDescent="0.35">
      <c r="Q111964" s="1"/>
    </row>
    <row r="111986" spans="16:17" x14ac:dyDescent="0.35">
      <c r="P111986" s="1"/>
    </row>
    <row r="111987" spans="16:17" x14ac:dyDescent="0.35">
      <c r="Q111987" s="1"/>
    </row>
    <row r="111998" spans="16:17" x14ac:dyDescent="0.35">
      <c r="Q111998" s="1"/>
    </row>
    <row r="112007" spans="17:17" x14ac:dyDescent="0.35">
      <c r="Q112007" s="1"/>
    </row>
    <row r="112013" spans="17:17" x14ac:dyDescent="0.35">
      <c r="Q112013" s="1"/>
    </row>
    <row r="112015" spans="17:17" x14ac:dyDescent="0.35">
      <c r="Q112015" s="1"/>
    </row>
    <row r="112020" spans="17:17" x14ac:dyDescent="0.35">
      <c r="Q112020" s="1"/>
    </row>
    <row r="112039" spans="17:17" x14ac:dyDescent="0.35">
      <c r="Q112039" s="1"/>
    </row>
    <row r="112044" spans="17:17" x14ac:dyDescent="0.35">
      <c r="Q112044" s="1"/>
    </row>
    <row r="112045" spans="17:17" x14ac:dyDescent="0.35">
      <c r="Q112045" s="1"/>
    </row>
    <row r="112046" spans="17:17" x14ac:dyDescent="0.35">
      <c r="Q112046" s="1"/>
    </row>
    <row r="112047" spans="17:17" x14ac:dyDescent="0.35">
      <c r="Q112047" s="1"/>
    </row>
    <row r="112048" spans="17:17" x14ac:dyDescent="0.35">
      <c r="Q112048" s="1"/>
    </row>
    <row r="112049" spans="17:17" x14ac:dyDescent="0.35">
      <c r="Q112049" s="1"/>
    </row>
    <row r="112060" spans="17:17" x14ac:dyDescent="0.35">
      <c r="Q112060" s="1"/>
    </row>
    <row r="112074" spans="17:17" x14ac:dyDescent="0.35">
      <c r="Q112074" s="1"/>
    </row>
    <row r="112076" spans="17:17" x14ac:dyDescent="0.35">
      <c r="Q112076" s="1"/>
    </row>
    <row r="112078" spans="17:17" x14ac:dyDescent="0.35">
      <c r="Q112078" s="1"/>
    </row>
    <row r="112079" spans="17:17" x14ac:dyDescent="0.35">
      <c r="Q112079" s="1"/>
    </row>
    <row r="112083" spans="5:17" x14ac:dyDescent="0.35">
      <c r="Q112083" s="1"/>
    </row>
    <row r="112086" spans="5:17" x14ac:dyDescent="0.35">
      <c r="E112086" s="3"/>
    </row>
    <row r="112087" spans="5:17" x14ac:dyDescent="0.35">
      <c r="Q112087" s="1"/>
    </row>
    <row r="112088" spans="5:17" x14ac:dyDescent="0.35">
      <c r="Q112088" s="1"/>
    </row>
    <row r="112092" spans="5:17" x14ac:dyDescent="0.35">
      <c r="Q112092" s="1"/>
    </row>
    <row r="112095" spans="5:17" x14ac:dyDescent="0.35">
      <c r="E112095" s="3"/>
    </row>
    <row r="112096" spans="5:17" x14ac:dyDescent="0.35">
      <c r="Q112096" s="1"/>
    </row>
    <row r="112111" spans="17:17" x14ac:dyDescent="0.35">
      <c r="Q112111" s="1"/>
    </row>
    <row r="112112" spans="17:17" x14ac:dyDescent="0.35">
      <c r="Q112112" s="1"/>
    </row>
    <row r="112115" spans="17:17" x14ac:dyDescent="0.35">
      <c r="Q112115" s="1"/>
    </row>
    <row r="112117" spans="17:17" x14ac:dyDescent="0.35">
      <c r="Q112117" s="1"/>
    </row>
    <row r="112118" spans="17:17" x14ac:dyDescent="0.35">
      <c r="Q112118" s="1"/>
    </row>
    <row r="112121" spans="17:17" x14ac:dyDescent="0.35">
      <c r="Q112121" s="1"/>
    </row>
    <row r="112123" spans="17:17" x14ac:dyDescent="0.35">
      <c r="Q112123" s="1"/>
    </row>
    <row r="112124" spans="17:17" x14ac:dyDescent="0.35">
      <c r="Q112124" s="1"/>
    </row>
    <row r="112125" spans="17:17" x14ac:dyDescent="0.35">
      <c r="Q112125" s="1"/>
    </row>
    <row r="112126" spans="17:17" x14ac:dyDescent="0.35">
      <c r="Q112126" s="1"/>
    </row>
    <row r="112129" spans="17:17" x14ac:dyDescent="0.35">
      <c r="Q112129" s="1"/>
    </row>
    <row r="112144" spans="17:17" x14ac:dyDescent="0.35">
      <c r="Q112144" s="1"/>
    </row>
    <row r="112149" spans="17:17" x14ac:dyDescent="0.35">
      <c r="Q112149" s="1"/>
    </row>
    <row r="112150" spans="17:17" x14ac:dyDescent="0.35">
      <c r="Q112150" s="1"/>
    </row>
    <row r="112152" spans="17:17" x14ac:dyDescent="0.35">
      <c r="Q112152" s="1"/>
    </row>
    <row r="112156" spans="17:17" x14ac:dyDescent="0.35">
      <c r="Q112156" s="1"/>
    </row>
    <row r="112159" spans="17:17" x14ac:dyDescent="0.35">
      <c r="Q112159" s="1"/>
    </row>
    <row r="112160" spans="17:17" x14ac:dyDescent="0.35">
      <c r="Q112160" s="1"/>
    </row>
    <row r="112162" spans="17:17" x14ac:dyDescent="0.35">
      <c r="Q112162" s="1"/>
    </row>
    <row r="112164" spans="17:17" x14ac:dyDescent="0.35">
      <c r="Q112164" s="1"/>
    </row>
    <row r="112166" spans="17:17" x14ac:dyDescent="0.35">
      <c r="Q112166" s="1"/>
    </row>
    <row r="112168" spans="17:17" x14ac:dyDescent="0.35">
      <c r="Q112168" s="1"/>
    </row>
    <row r="112171" spans="17:17" x14ac:dyDescent="0.35">
      <c r="Q112171" s="1"/>
    </row>
    <row r="112172" spans="17:17" x14ac:dyDescent="0.35">
      <c r="Q112172" s="1"/>
    </row>
    <row r="112175" spans="17:17" x14ac:dyDescent="0.35">
      <c r="Q112175" s="1"/>
    </row>
    <row r="112190" spans="17:17" x14ac:dyDescent="0.35">
      <c r="Q112190" s="1"/>
    </row>
    <row r="112194" spans="17:17" x14ac:dyDescent="0.35">
      <c r="Q112194" s="1"/>
    </row>
    <row r="112200" spans="17:17" x14ac:dyDescent="0.35">
      <c r="Q112200" s="1"/>
    </row>
    <row r="112201" spans="17:17" x14ac:dyDescent="0.35">
      <c r="Q112201" s="1"/>
    </row>
    <row r="112208" spans="17:17" x14ac:dyDescent="0.35">
      <c r="Q112208" s="1"/>
    </row>
    <row r="112210" spans="17:17" x14ac:dyDescent="0.35">
      <c r="Q112210" s="1"/>
    </row>
    <row r="112215" spans="17:17" x14ac:dyDescent="0.35">
      <c r="Q112215" s="1"/>
    </row>
    <row r="112221" spans="17:17" x14ac:dyDescent="0.35">
      <c r="Q112221" s="1"/>
    </row>
    <row r="112222" spans="17:17" x14ac:dyDescent="0.35">
      <c r="Q112222" s="1"/>
    </row>
    <row r="112223" spans="17:17" x14ac:dyDescent="0.35">
      <c r="Q112223" s="1"/>
    </row>
    <row r="112229" spans="17:17" x14ac:dyDescent="0.35">
      <c r="Q112229" s="1"/>
    </row>
    <row r="112232" spans="17:17" x14ac:dyDescent="0.35">
      <c r="Q112232" s="1"/>
    </row>
    <row r="112234" spans="17:17" x14ac:dyDescent="0.35">
      <c r="Q112234" s="1"/>
    </row>
    <row r="112236" spans="17:17" x14ac:dyDescent="0.35">
      <c r="Q112236" s="1"/>
    </row>
    <row r="112239" spans="17:17" x14ac:dyDescent="0.35">
      <c r="Q112239" s="1"/>
    </row>
    <row r="112241" spans="17:17" x14ac:dyDescent="0.35">
      <c r="Q112241" s="1"/>
    </row>
    <row r="112243" spans="17:17" x14ac:dyDescent="0.35">
      <c r="Q112243" s="1"/>
    </row>
    <row r="112252" spans="17:17" x14ac:dyDescent="0.35">
      <c r="Q112252" s="1"/>
    </row>
    <row r="112263" spans="17:17" x14ac:dyDescent="0.35">
      <c r="Q112263" s="1"/>
    </row>
    <row r="112272" spans="17:17" x14ac:dyDescent="0.35">
      <c r="Q112272" s="1"/>
    </row>
    <row r="112288" spans="17:17" x14ac:dyDescent="0.35">
      <c r="Q112288" s="1"/>
    </row>
    <row r="112295" spans="17:17" x14ac:dyDescent="0.35">
      <c r="Q112295" s="1"/>
    </row>
    <row r="112296" spans="17:17" x14ac:dyDescent="0.35">
      <c r="Q112296" s="1"/>
    </row>
    <row r="112299" spans="17:17" x14ac:dyDescent="0.35">
      <c r="Q112299" s="1"/>
    </row>
    <row r="112300" spans="17:17" x14ac:dyDescent="0.35">
      <c r="Q112300" s="1"/>
    </row>
    <row r="112310" spans="17:17" x14ac:dyDescent="0.35">
      <c r="Q112310" s="1"/>
    </row>
    <row r="112313" spans="17:17" x14ac:dyDescent="0.35">
      <c r="Q112313" s="1"/>
    </row>
    <row r="112314" spans="17:17" x14ac:dyDescent="0.35">
      <c r="Q112314" s="1"/>
    </row>
    <row r="112317" spans="17:17" x14ac:dyDescent="0.35">
      <c r="Q112317" s="1"/>
    </row>
    <row r="112319" spans="17:17" x14ac:dyDescent="0.35">
      <c r="Q112319" s="1"/>
    </row>
    <row r="112325" spans="17:17" x14ac:dyDescent="0.35">
      <c r="Q112325" s="1"/>
    </row>
    <row r="112326" spans="17:17" x14ac:dyDescent="0.35">
      <c r="Q112326" s="1"/>
    </row>
    <row r="112328" spans="17:17" x14ac:dyDescent="0.35">
      <c r="Q112328" s="1"/>
    </row>
    <row r="112335" spans="17:17" x14ac:dyDescent="0.35">
      <c r="Q112335" s="1"/>
    </row>
    <row r="112336" spans="17:17" x14ac:dyDescent="0.35">
      <c r="Q112336" s="1"/>
    </row>
    <row r="112345" spans="17:17" x14ac:dyDescent="0.35">
      <c r="Q112345" s="1"/>
    </row>
    <row r="112348" spans="17:17" x14ac:dyDescent="0.35">
      <c r="Q112348" s="1"/>
    </row>
    <row r="112354" spans="17:17" x14ac:dyDescent="0.35">
      <c r="Q112354" s="1"/>
    </row>
    <row r="112355" spans="17:17" x14ac:dyDescent="0.35">
      <c r="Q112355" s="1"/>
    </row>
    <row r="112357" spans="17:17" x14ac:dyDescent="0.35">
      <c r="Q112357" s="1"/>
    </row>
    <row r="112364" spans="17:17" x14ac:dyDescent="0.35">
      <c r="Q112364" s="1"/>
    </row>
    <row r="112367" spans="17:17" x14ac:dyDescent="0.35">
      <c r="Q112367" s="1"/>
    </row>
    <row r="112368" spans="17:17" x14ac:dyDescent="0.35">
      <c r="Q112368" s="1"/>
    </row>
    <row r="112370" spans="17:17" x14ac:dyDescent="0.35">
      <c r="Q112370" s="1"/>
    </row>
    <row r="112380" spans="17:17" x14ac:dyDescent="0.35">
      <c r="Q112380" s="1"/>
    </row>
    <row r="112381" spans="17:17" x14ac:dyDescent="0.35">
      <c r="Q112381" s="1"/>
    </row>
    <row r="112382" spans="17:17" x14ac:dyDescent="0.35">
      <c r="Q112382" s="1"/>
    </row>
    <row r="112390" spans="17:17" x14ac:dyDescent="0.35">
      <c r="Q112390" s="1"/>
    </row>
    <row r="112392" spans="17:17" x14ac:dyDescent="0.35">
      <c r="Q112392" s="1"/>
    </row>
    <row r="112399" spans="17:17" x14ac:dyDescent="0.35">
      <c r="Q112399" s="1"/>
    </row>
    <row r="112401" spans="17:17" x14ac:dyDescent="0.35">
      <c r="Q112401" s="1"/>
    </row>
    <row r="112412" spans="17:17" x14ac:dyDescent="0.35">
      <c r="Q112412" s="1"/>
    </row>
    <row r="112414" spans="17:17" x14ac:dyDescent="0.35">
      <c r="Q112414" s="1"/>
    </row>
    <row r="112422" spans="17:17" x14ac:dyDescent="0.35">
      <c r="Q112422" s="1"/>
    </row>
    <row r="112425" spans="17:17" x14ac:dyDescent="0.35">
      <c r="Q112425" s="1"/>
    </row>
    <row r="112427" spans="17:17" x14ac:dyDescent="0.35">
      <c r="Q112427" s="1"/>
    </row>
    <row r="112434" spans="17:17" x14ac:dyDescent="0.35">
      <c r="Q112434" s="1"/>
    </row>
    <row r="112441" spans="17:17" x14ac:dyDescent="0.35">
      <c r="Q112441" s="1"/>
    </row>
    <row r="112442" spans="17:17" x14ac:dyDescent="0.35">
      <c r="Q112442" s="1"/>
    </row>
    <row r="112449" spans="17:17" x14ac:dyDescent="0.35">
      <c r="Q112449" s="1"/>
    </row>
    <row r="112450" spans="17:17" x14ac:dyDescent="0.35">
      <c r="Q112450" s="1"/>
    </row>
    <row r="112451" spans="17:17" x14ac:dyDescent="0.35">
      <c r="Q112451" s="1"/>
    </row>
    <row r="112468" spans="17:17" x14ac:dyDescent="0.35">
      <c r="Q112468" s="1"/>
    </row>
    <row r="112469" spans="17:17" x14ac:dyDescent="0.35">
      <c r="Q112469" s="1"/>
    </row>
    <row r="112475" spans="17:17" x14ac:dyDescent="0.35">
      <c r="Q112475" s="1"/>
    </row>
    <row r="112478" spans="17:17" x14ac:dyDescent="0.35">
      <c r="Q112478" s="1"/>
    </row>
    <row r="112479" spans="17:17" x14ac:dyDescent="0.35">
      <c r="Q112479" s="1"/>
    </row>
    <row r="112487" spans="17:17" x14ac:dyDescent="0.35">
      <c r="Q112487" s="1"/>
    </row>
    <row r="112490" spans="17:17" x14ac:dyDescent="0.35">
      <c r="Q112490" s="1"/>
    </row>
    <row r="112492" spans="17:17" x14ac:dyDescent="0.35">
      <c r="Q112492" s="1"/>
    </row>
    <row r="112496" spans="17:17" x14ac:dyDescent="0.35">
      <c r="Q112496" s="1"/>
    </row>
    <row r="112500" spans="17:17" x14ac:dyDescent="0.35">
      <c r="Q112500" s="1"/>
    </row>
    <row r="112504" spans="17:17" x14ac:dyDescent="0.35">
      <c r="Q112504" s="1"/>
    </row>
    <row r="112516" spans="17:17" x14ac:dyDescent="0.35">
      <c r="Q112516" s="1"/>
    </row>
    <row r="112525" spans="17:17" x14ac:dyDescent="0.35">
      <c r="Q112525" s="1"/>
    </row>
    <row r="112528" spans="17:17" x14ac:dyDescent="0.35">
      <c r="Q112528" s="1"/>
    </row>
    <row r="112533" spans="5:17" x14ac:dyDescent="0.35">
      <c r="E112533" s="3"/>
    </row>
    <row r="112536" spans="5:17" x14ac:dyDescent="0.35">
      <c r="Q112536" s="1"/>
    </row>
    <row r="112537" spans="5:17" x14ac:dyDescent="0.35">
      <c r="Q112537" s="1"/>
    </row>
    <row r="112542" spans="5:17" x14ac:dyDescent="0.35">
      <c r="Q112542" s="1"/>
    </row>
    <row r="112546" spans="17:17" x14ac:dyDescent="0.35">
      <c r="Q112546" s="1"/>
    </row>
    <row r="112556" spans="17:17" x14ac:dyDescent="0.35">
      <c r="Q112556" s="1"/>
    </row>
    <row r="112557" spans="17:17" x14ac:dyDescent="0.35">
      <c r="Q112557" s="1"/>
    </row>
    <row r="112561" spans="17:17" x14ac:dyDescent="0.35">
      <c r="Q112561" s="1"/>
    </row>
    <row r="112566" spans="17:17" x14ac:dyDescent="0.35">
      <c r="Q112566" s="1"/>
    </row>
    <row r="112569" spans="17:17" x14ac:dyDescent="0.35">
      <c r="Q112569" s="1"/>
    </row>
    <row r="112581" spans="17:17" x14ac:dyDescent="0.35">
      <c r="Q112581" s="1"/>
    </row>
    <row r="112584" spans="17:17" x14ac:dyDescent="0.35">
      <c r="Q112584" s="1"/>
    </row>
    <row r="112585" spans="17:17" x14ac:dyDescent="0.35">
      <c r="Q112585" s="1"/>
    </row>
    <row r="112587" spans="17:17" x14ac:dyDescent="0.35">
      <c r="Q112587" s="1"/>
    </row>
    <row r="112588" spans="17:17" x14ac:dyDescent="0.35">
      <c r="Q112588" s="1"/>
    </row>
    <row r="112591" spans="17:17" x14ac:dyDescent="0.35">
      <c r="Q112591" s="1"/>
    </row>
    <row r="112598" spans="17:17" x14ac:dyDescent="0.35">
      <c r="Q112598" s="1"/>
    </row>
    <row r="112600" spans="17:17" x14ac:dyDescent="0.35">
      <c r="Q112600" s="1"/>
    </row>
    <row r="112604" spans="17:17" x14ac:dyDescent="0.35">
      <c r="Q112604" s="1"/>
    </row>
    <row r="112613" spans="17:17" x14ac:dyDescent="0.35">
      <c r="Q112613" s="1"/>
    </row>
    <row r="112616" spans="17:17" x14ac:dyDescent="0.35">
      <c r="Q112616" s="1"/>
    </row>
    <row r="112617" spans="17:17" x14ac:dyDescent="0.35">
      <c r="Q112617" s="1"/>
    </row>
    <row r="112619" spans="17:17" x14ac:dyDescent="0.35">
      <c r="Q112619" s="1"/>
    </row>
    <row r="112625" spans="5:17" x14ac:dyDescent="0.35">
      <c r="Q112625" s="1"/>
    </row>
    <row r="112636" spans="5:17" x14ac:dyDescent="0.35">
      <c r="E112636" s="3"/>
    </row>
    <row r="112639" spans="5:17" x14ac:dyDescent="0.35">
      <c r="Q112639" s="1"/>
    </row>
    <row r="112640" spans="5:17" x14ac:dyDescent="0.35">
      <c r="Q112640" s="1"/>
    </row>
    <row r="112641" spans="17:17" x14ac:dyDescent="0.35">
      <c r="Q112641" s="1"/>
    </row>
    <row r="112649" spans="17:17" x14ac:dyDescent="0.35">
      <c r="Q112649" s="1"/>
    </row>
    <row r="112652" spans="17:17" x14ac:dyDescent="0.35">
      <c r="Q112652" s="1"/>
    </row>
    <row r="112657" spans="17:17" x14ac:dyDescent="0.35">
      <c r="Q112657" s="1"/>
    </row>
    <row r="112662" spans="17:17" x14ac:dyDescent="0.35">
      <c r="Q112662" s="1"/>
    </row>
    <row r="112675" spans="17:17" x14ac:dyDescent="0.35">
      <c r="Q112675" s="1"/>
    </row>
    <row r="112676" spans="17:17" x14ac:dyDescent="0.35">
      <c r="Q112676" s="1"/>
    </row>
    <row r="112683" spans="17:17" x14ac:dyDescent="0.35">
      <c r="Q112683" s="1"/>
    </row>
    <row r="112687" spans="17:17" x14ac:dyDescent="0.35">
      <c r="Q112687" s="1"/>
    </row>
    <row r="112690" spans="17:17" x14ac:dyDescent="0.35">
      <c r="Q112690" s="1"/>
    </row>
    <row r="112691" spans="17:17" x14ac:dyDescent="0.35">
      <c r="Q112691" s="1"/>
    </row>
    <row r="112694" spans="17:17" x14ac:dyDescent="0.35">
      <c r="Q112694" s="1"/>
    </row>
    <row r="112696" spans="17:17" x14ac:dyDescent="0.35">
      <c r="Q112696" s="1"/>
    </row>
    <row r="112700" spans="17:17" x14ac:dyDescent="0.35">
      <c r="Q112700" s="1"/>
    </row>
    <row r="112705" spans="17:17" x14ac:dyDescent="0.35">
      <c r="Q112705" s="1"/>
    </row>
    <row r="112708" spans="17:17" x14ac:dyDescent="0.35">
      <c r="Q112708" s="1"/>
    </row>
    <row r="112711" spans="17:17" x14ac:dyDescent="0.35">
      <c r="Q112711" s="1"/>
    </row>
    <row r="112714" spans="17:17" x14ac:dyDescent="0.35">
      <c r="Q112714" s="1"/>
    </row>
    <row r="112719" spans="17:17" x14ac:dyDescent="0.35">
      <c r="Q112719" s="1"/>
    </row>
    <row r="112720" spans="17:17" x14ac:dyDescent="0.35">
      <c r="Q112720" s="1"/>
    </row>
    <row r="112722" spans="17:17" x14ac:dyDescent="0.35">
      <c r="Q112722" s="1"/>
    </row>
    <row r="112732" spans="17:17" x14ac:dyDescent="0.35">
      <c r="Q112732" s="1"/>
    </row>
    <row r="112735" spans="17:17" x14ac:dyDescent="0.35">
      <c r="Q112735" s="1"/>
    </row>
    <row r="112740" spans="16:17" x14ac:dyDescent="0.35">
      <c r="Q112740" s="1"/>
    </row>
    <row r="112743" spans="16:17" x14ac:dyDescent="0.35">
      <c r="P112743" s="1"/>
    </row>
    <row r="112746" spans="16:17" x14ac:dyDescent="0.35">
      <c r="Q112746" s="1"/>
    </row>
    <row r="112747" spans="16:17" x14ac:dyDescent="0.35">
      <c r="Q112747" s="1"/>
    </row>
    <row r="112748" spans="16:17" x14ac:dyDescent="0.35">
      <c r="Q112748" s="1"/>
    </row>
    <row r="112749" spans="16:17" x14ac:dyDescent="0.35">
      <c r="Q112749" s="1"/>
    </row>
    <row r="112750" spans="16:17" x14ac:dyDescent="0.35">
      <c r="Q112750" s="1"/>
    </row>
    <row r="112751" spans="16:17" x14ac:dyDescent="0.35">
      <c r="Q112751" s="1"/>
    </row>
    <row r="112758" spans="17:17" x14ac:dyDescent="0.35">
      <c r="Q112758" s="1"/>
    </row>
    <row r="112763" spans="17:17" x14ac:dyDescent="0.35">
      <c r="Q112763" s="1"/>
    </row>
    <row r="112765" spans="17:17" x14ac:dyDescent="0.35">
      <c r="Q112765" s="1"/>
    </row>
    <row r="112767" spans="17:17" x14ac:dyDescent="0.35">
      <c r="Q112767" s="1"/>
    </row>
    <row r="112773" spans="17:17" x14ac:dyDescent="0.35">
      <c r="Q112773" s="1"/>
    </row>
    <row r="112774" spans="17:17" x14ac:dyDescent="0.35">
      <c r="Q112774" s="1"/>
    </row>
    <row r="112777" spans="17:17" x14ac:dyDescent="0.35">
      <c r="Q112777" s="1"/>
    </row>
    <row r="112779" spans="17:17" x14ac:dyDescent="0.35">
      <c r="Q112779" s="1"/>
    </row>
    <row r="112781" spans="17:17" x14ac:dyDescent="0.35">
      <c r="Q112781" s="1"/>
    </row>
    <row r="112782" spans="17:17" x14ac:dyDescent="0.35">
      <c r="Q112782" s="1"/>
    </row>
    <row r="112795" spans="17:17" x14ac:dyDescent="0.35">
      <c r="Q112795" s="1"/>
    </row>
    <row r="112797" spans="17:17" x14ac:dyDescent="0.35">
      <c r="Q112797" s="1"/>
    </row>
    <row r="112805" spans="6:17" x14ac:dyDescent="0.35">
      <c r="F112805" s="2"/>
      <c r="Q112805" s="1"/>
    </row>
    <row r="112808" spans="6:17" x14ac:dyDescent="0.35">
      <c r="Q112808" s="1"/>
    </row>
    <row r="112811" spans="6:17" x14ac:dyDescent="0.35">
      <c r="Q112811" s="1"/>
    </row>
    <row r="112812" spans="6:17" x14ac:dyDescent="0.35">
      <c r="Q112812" s="1"/>
    </row>
    <row r="112817" spans="17:17" x14ac:dyDescent="0.35">
      <c r="Q112817" s="1"/>
    </row>
    <row r="112820" spans="17:17" x14ac:dyDescent="0.35">
      <c r="Q112820" s="1"/>
    </row>
    <row r="112829" spans="17:17" x14ac:dyDescent="0.35">
      <c r="Q112829" s="1"/>
    </row>
    <row r="112835" spans="17:17" x14ac:dyDescent="0.35">
      <c r="Q112835" s="1"/>
    </row>
    <row r="112839" spans="17:17" x14ac:dyDescent="0.35">
      <c r="Q112839" s="1"/>
    </row>
    <row r="112843" spans="17:17" x14ac:dyDescent="0.35">
      <c r="Q112843" s="1"/>
    </row>
    <row r="112844" spans="17:17" x14ac:dyDescent="0.35">
      <c r="Q112844" s="1"/>
    </row>
    <row r="112845" spans="17:17" x14ac:dyDescent="0.35">
      <c r="Q112845" s="1"/>
    </row>
    <row r="112846" spans="17:17" x14ac:dyDescent="0.35">
      <c r="Q112846" s="1"/>
    </row>
    <row r="112847" spans="17:17" x14ac:dyDescent="0.35">
      <c r="Q112847" s="1"/>
    </row>
    <row r="112856" spans="17:17" x14ac:dyDescent="0.35">
      <c r="Q112856" s="1"/>
    </row>
    <row r="112861" spans="17:17" x14ac:dyDescent="0.35">
      <c r="Q112861" s="1"/>
    </row>
    <row r="112862" spans="17:17" x14ac:dyDescent="0.35">
      <c r="Q112862" s="1"/>
    </row>
    <row r="112864" spans="17:17" x14ac:dyDescent="0.35">
      <c r="Q112864" s="1"/>
    </row>
    <row r="112866" spans="17:17" x14ac:dyDescent="0.35">
      <c r="Q112866" s="1"/>
    </row>
    <row r="112868" spans="17:17" x14ac:dyDescent="0.35">
      <c r="Q112868" s="1"/>
    </row>
    <row r="112871" spans="17:17" x14ac:dyDescent="0.35">
      <c r="Q112871" s="1"/>
    </row>
    <row r="112874" spans="17:17" x14ac:dyDescent="0.35">
      <c r="Q112874" s="1"/>
    </row>
    <row r="112876" spans="17:17" x14ac:dyDescent="0.35">
      <c r="Q112876" s="1"/>
    </row>
    <row r="112879" spans="17:17" x14ac:dyDescent="0.35">
      <c r="Q112879" s="1"/>
    </row>
    <row r="112880" spans="17:17" x14ac:dyDescent="0.35">
      <c r="Q112880" s="1"/>
    </row>
    <row r="112886" spans="17:17" x14ac:dyDescent="0.35">
      <c r="Q112886" s="1"/>
    </row>
    <row r="112888" spans="17:17" x14ac:dyDescent="0.35">
      <c r="Q112888" s="1"/>
    </row>
    <row r="112890" spans="17:17" x14ac:dyDescent="0.35">
      <c r="Q112890" s="1"/>
    </row>
    <row r="112893" spans="17:17" x14ac:dyDescent="0.35">
      <c r="Q112893" s="1"/>
    </row>
    <row r="112915" spans="17:17" x14ac:dyDescent="0.35">
      <c r="Q112915" s="1"/>
    </row>
    <row r="112918" spans="17:17" x14ac:dyDescent="0.35">
      <c r="Q112918" s="1"/>
    </row>
    <row r="112920" spans="17:17" x14ac:dyDescent="0.35">
      <c r="Q112920" s="1"/>
    </row>
    <row r="112925" spans="17:17" x14ac:dyDescent="0.35">
      <c r="Q112925" s="1"/>
    </row>
    <row r="112930" spans="17:17" x14ac:dyDescent="0.35">
      <c r="Q112930" s="1"/>
    </row>
    <row r="112933" spans="17:17" x14ac:dyDescent="0.35">
      <c r="Q112933" s="1"/>
    </row>
    <row r="112935" spans="17:17" x14ac:dyDescent="0.35">
      <c r="Q112935" s="1"/>
    </row>
    <row r="112937" spans="17:17" x14ac:dyDescent="0.35">
      <c r="Q112937" s="1"/>
    </row>
    <row r="112938" spans="17:17" x14ac:dyDescent="0.35">
      <c r="Q112938" s="1"/>
    </row>
    <row r="112940" spans="17:17" x14ac:dyDescent="0.35">
      <c r="Q112940" s="1"/>
    </row>
    <row r="112944" spans="17:17" x14ac:dyDescent="0.35">
      <c r="Q112944" s="1"/>
    </row>
    <row r="112945" spans="17:17" x14ac:dyDescent="0.35">
      <c r="Q112945" s="1"/>
    </row>
    <row r="112948" spans="17:17" x14ac:dyDescent="0.35">
      <c r="Q112948" s="1"/>
    </row>
    <row r="112950" spans="17:17" x14ac:dyDescent="0.35">
      <c r="Q112950" s="1"/>
    </row>
    <row r="112951" spans="17:17" x14ac:dyDescent="0.35">
      <c r="Q112951" s="1"/>
    </row>
    <row r="112955" spans="17:17" x14ac:dyDescent="0.35">
      <c r="Q112955" s="1"/>
    </row>
    <row r="112959" spans="17:17" x14ac:dyDescent="0.35">
      <c r="Q112959" s="1"/>
    </row>
    <row r="112966" spans="17:17" x14ac:dyDescent="0.35">
      <c r="Q112966" s="1"/>
    </row>
    <row r="112967" spans="17:17" x14ac:dyDescent="0.35">
      <c r="Q112967" s="1"/>
    </row>
    <row r="112970" spans="17:17" x14ac:dyDescent="0.35">
      <c r="Q112970" s="1"/>
    </row>
    <row r="112973" spans="17:17" x14ac:dyDescent="0.35">
      <c r="Q112973" s="1"/>
    </row>
    <row r="112976" spans="17:17" x14ac:dyDescent="0.35">
      <c r="Q112976" s="1"/>
    </row>
    <row r="112979" spans="17:17" x14ac:dyDescent="0.35">
      <c r="Q112979" s="1"/>
    </row>
    <row r="112980" spans="17:17" x14ac:dyDescent="0.35">
      <c r="Q112980" s="1"/>
    </row>
    <row r="112981" spans="17:17" x14ac:dyDescent="0.35">
      <c r="Q112981" s="1"/>
    </row>
    <row r="112982" spans="17:17" x14ac:dyDescent="0.35">
      <c r="Q112982" s="1"/>
    </row>
    <row r="112986" spans="17:17" x14ac:dyDescent="0.35">
      <c r="Q112986" s="1"/>
    </row>
    <row r="112989" spans="17:17" x14ac:dyDescent="0.35">
      <c r="Q112989" s="1"/>
    </row>
    <row r="112991" spans="17:17" x14ac:dyDescent="0.35">
      <c r="Q112991" s="1"/>
    </row>
    <row r="112993" spans="17:17" x14ac:dyDescent="0.35">
      <c r="Q112993" s="1"/>
    </row>
    <row r="112999" spans="17:17" x14ac:dyDescent="0.35">
      <c r="Q112999" s="1"/>
    </row>
    <row r="113000" spans="17:17" x14ac:dyDescent="0.35">
      <c r="Q113000" s="1"/>
    </row>
    <row r="113005" spans="17:17" x14ac:dyDescent="0.35">
      <c r="Q113005" s="1"/>
    </row>
    <row r="113008" spans="17:17" x14ac:dyDescent="0.35">
      <c r="Q113008" s="1"/>
    </row>
    <row r="113010" spans="17:17" x14ac:dyDescent="0.35">
      <c r="Q113010" s="1"/>
    </row>
    <row r="113011" spans="17:17" x14ac:dyDescent="0.35">
      <c r="Q113011" s="1"/>
    </row>
    <row r="113027" spans="17:17" x14ac:dyDescent="0.35">
      <c r="Q113027" s="1"/>
    </row>
    <row r="113037" spans="17:17" x14ac:dyDescent="0.35">
      <c r="Q113037" s="1"/>
    </row>
    <row r="113041" spans="17:17" x14ac:dyDescent="0.35">
      <c r="Q113041" s="1"/>
    </row>
    <row r="113043" spans="17:17" x14ac:dyDescent="0.35">
      <c r="Q113043" s="1"/>
    </row>
    <row r="113044" spans="17:17" x14ac:dyDescent="0.35">
      <c r="Q113044" s="1"/>
    </row>
    <row r="113045" spans="17:17" x14ac:dyDescent="0.35">
      <c r="Q113045" s="1"/>
    </row>
    <row r="113050" spans="17:17" x14ac:dyDescent="0.35">
      <c r="Q113050" s="1"/>
    </row>
    <row r="113055" spans="17:17" x14ac:dyDescent="0.35">
      <c r="Q113055" s="1"/>
    </row>
    <row r="113060" spans="17:17" x14ac:dyDescent="0.35">
      <c r="Q113060" s="1"/>
    </row>
    <row r="113062" spans="17:17" x14ac:dyDescent="0.35">
      <c r="Q113062" s="1"/>
    </row>
    <row r="113070" spans="17:17" x14ac:dyDescent="0.35">
      <c r="Q113070" s="1"/>
    </row>
    <row r="113072" spans="17:17" x14ac:dyDescent="0.35">
      <c r="Q113072" s="1"/>
    </row>
    <row r="113074" spans="17:17" x14ac:dyDescent="0.35">
      <c r="Q113074" s="1"/>
    </row>
    <row r="113082" spans="17:17" x14ac:dyDescent="0.35">
      <c r="Q113082" s="1"/>
    </row>
    <row r="113084" spans="17:17" x14ac:dyDescent="0.35">
      <c r="Q113084" s="1"/>
    </row>
    <row r="113091" spans="17:17" x14ac:dyDescent="0.35">
      <c r="Q113091" s="1"/>
    </row>
    <row r="113092" spans="17:17" x14ac:dyDescent="0.35">
      <c r="Q113092" s="1"/>
    </row>
    <row r="113096" spans="17:17" x14ac:dyDescent="0.35">
      <c r="Q113096" s="1"/>
    </row>
    <row r="113097" spans="17:17" x14ac:dyDescent="0.35">
      <c r="Q113097" s="1"/>
    </row>
    <row r="113103" spans="17:17" x14ac:dyDescent="0.35">
      <c r="Q113103" s="1"/>
    </row>
    <row r="113104" spans="17:17" x14ac:dyDescent="0.35">
      <c r="Q113104" s="1"/>
    </row>
    <row r="113105" spans="17:17" x14ac:dyDescent="0.35">
      <c r="Q113105" s="1"/>
    </row>
    <row r="113107" spans="17:17" x14ac:dyDescent="0.35">
      <c r="Q113107" s="1"/>
    </row>
    <row r="113108" spans="17:17" x14ac:dyDescent="0.35">
      <c r="Q113108" s="1"/>
    </row>
    <row r="113109" spans="17:17" x14ac:dyDescent="0.35">
      <c r="Q113109" s="1"/>
    </row>
    <row r="113111" spans="17:17" x14ac:dyDescent="0.35">
      <c r="Q113111" s="1"/>
    </row>
    <row r="113113" spans="17:17" x14ac:dyDescent="0.35">
      <c r="Q113113" s="1"/>
    </row>
    <row r="113115" spans="17:17" x14ac:dyDescent="0.35">
      <c r="Q113115" s="1"/>
    </row>
    <row r="113117" spans="17:17" x14ac:dyDescent="0.35">
      <c r="Q113117" s="1"/>
    </row>
    <row r="113125" spans="16:17" x14ac:dyDescent="0.35">
      <c r="Q113125" s="1"/>
    </row>
    <row r="113128" spans="16:17" x14ac:dyDescent="0.35">
      <c r="P113128" s="1"/>
    </row>
    <row r="113131" spans="16:17" x14ac:dyDescent="0.35">
      <c r="Q113131" s="1"/>
    </row>
    <row r="113132" spans="16:17" x14ac:dyDescent="0.35">
      <c r="Q113132" s="1"/>
    </row>
    <row r="113135" spans="16:17" x14ac:dyDescent="0.35">
      <c r="Q113135" s="1"/>
    </row>
    <row r="113137" spans="17:17" x14ac:dyDescent="0.35">
      <c r="Q113137" s="1"/>
    </row>
    <row r="113142" spans="17:17" x14ac:dyDescent="0.35">
      <c r="Q113142" s="1"/>
    </row>
    <row r="113143" spans="17:17" x14ac:dyDescent="0.35">
      <c r="Q113143" s="1"/>
    </row>
    <row r="113145" spans="17:17" x14ac:dyDescent="0.35">
      <c r="Q113145" s="1"/>
    </row>
    <row r="113147" spans="17:17" x14ac:dyDescent="0.35">
      <c r="Q113147" s="1"/>
    </row>
    <row r="113151" spans="17:17" x14ac:dyDescent="0.35">
      <c r="Q113151" s="1"/>
    </row>
    <row r="113155" spans="17:17" x14ac:dyDescent="0.35">
      <c r="Q113155" s="1"/>
    </row>
    <row r="113158" spans="17:17" x14ac:dyDescent="0.35">
      <c r="Q113158" s="1"/>
    </row>
    <row r="113166" spans="17:17" x14ac:dyDescent="0.35">
      <c r="Q113166" s="1"/>
    </row>
    <row r="113176" spans="17:17" x14ac:dyDescent="0.35">
      <c r="Q113176" s="1"/>
    </row>
    <row r="113185" spans="17:17" x14ac:dyDescent="0.35">
      <c r="Q113185" s="1"/>
    </row>
    <row r="113192" spans="17:17" x14ac:dyDescent="0.35">
      <c r="Q113192" s="1"/>
    </row>
    <row r="113193" spans="17:17" x14ac:dyDescent="0.35">
      <c r="Q113193" s="1"/>
    </row>
    <row r="113194" spans="17:17" x14ac:dyDescent="0.35">
      <c r="Q113194" s="1"/>
    </row>
    <row r="113199" spans="17:17" x14ac:dyDescent="0.35">
      <c r="Q113199" s="1"/>
    </row>
    <row r="113203" spans="17:17" x14ac:dyDescent="0.35">
      <c r="Q113203" s="1"/>
    </row>
    <row r="113207" spans="17:17" x14ac:dyDescent="0.35">
      <c r="Q113207" s="1"/>
    </row>
    <row r="113209" spans="17:17" x14ac:dyDescent="0.35">
      <c r="Q113209" s="1"/>
    </row>
    <row r="113213" spans="17:17" x14ac:dyDescent="0.35">
      <c r="Q113213" s="1"/>
    </row>
    <row r="113215" spans="17:17" x14ac:dyDescent="0.35">
      <c r="Q113215" s="1"/>
    </row>
    <row r="113217" spans="17:17" x14ac:dyDescent="0.35">
      <c r="Q113217" s="1"/>
    </row>
    <row r="113227" spans="17:17" x14ac:dyDescent="0.35">
      <c r="Q113227" s="1"/>
    </row>
    <row r="113230" spans="17:17" x14ac:dyDescent="0.35">
      <c r="Q113230" s="1"/>
    </row>
    <row r="113234" spans="17:17" x14ac:dyDescent="0.35">
      <c r="Q113234" s="1"/>
    </row>
    <row r="113236" spans="17:17" x14ac:dyDescent="0.35">
      <c r="Q113236" s="1"/>
    </row>
    <row r="113250" spans="17:17" x14ac:dyDescent="0.35">
      <c r="Q113250" s="1"/>
    </row>
    <row r="113253" spans="17:17" x14ac:dyDescent="0.35">
      <c r="Q113253" s="1"/>
    </row>
    <row r="113258" spans="17:17" x14ac:dyDescent="0.35">
      <c r="Q113258" s="1"/>
    </row>
    <row r="113259" spans="17:17" x14ac:dyDescent="0.35">
      <c r="Q113259" s="1"/>
    </row>
    <row r="113260" spans="17:17" x14ac:dyDescent="0.35">
      <c r="Q113260" s="1"/>
    </row>
    <row r="113263" spans="17:17" x14ac:dyDescent="0.35">
      <c r="Q113263" s="1"/>
    </row>
    <row r="113267" spans="17:17" x14ac:dyDescent="0.35">
      <c r="Q113267" s="1"/>
    </row>
    <row r="113270" spans="17:17" x14ac:dyDescent="0.35">
      <c r="Q113270" s="1"/>
    </row>
    <row r="113272" spans="17:17" x14ac:dyDescent="0.35">
      <c r="Q113272" s="1"/>
    </row>
    <row r="113276" spans="17:17" x14ac:dyDescent="0.35">
      <c r="Q113276" s="1"/>
    </row>
    <row r="113283" spans="17:17" x14ac:dyDescent="0.35">
      <c r="Q113283" s="1"/>
    </row>
    <row r="113288" spans="17:17" x14ac:dyDescent="0.35">
      <c r="Q113288" s="1"/>
    </row>
    <row r="113294" spans="17:17" x14ac:dyDescent="0.35">
      <c r="Q113294" s="1"/>
    </row>
    <row r="113304" spans="17:17" x14ac:dyDescent="0.35">
      <c r="Q113304" s="1"/>
    </row>
    <row r="113318" spans="17:17" x14ac:dyDescent="0.35">
      <c r="Q113318" s="1"/>
    </row>
    <row r="113322" spans="17:17" x14ac:dyDescent="0.35">
      <c r="Q113322" s="1"/>
    </row>
    <row r="113327" spans="17:17" x14ac:dyDescent="0.35">
      <c r="Q113327" s="1"/>
    </row>
    <row r="113335" spans="17:17" x14ac:dyDescent="0.35">
      <c r="Q113335" s="1"/>
    </row>
    <row r="113336" spans="17:17" x14ac:dyDescent="0.35">
      <c r="Q113336" s="1"/>
    </row>
    <row r="113338" spans="17:17" x14ac:dyDescent="0.35">
      <c r="Q113338" s="1"/>
    </row>
    <row r="113343" spans="17:17" x14ac:dyDescent="0.35">
      <c r="Q113343" s="1"/>
    </row>
    <row r="113346" spans="17:17" x14ac:dyDescent="0.35">
      <c r="Q113346" s="1"/>
    </row>
    <row r="113348" spans="17:17" x14ac:dyDescent="0.35">
      <c r="Q113348" s="1"/>
    </row>
    <row r="113349" spans="17:17" x14ac:dyDescent="0.35">
      <c r="Q113349" s="1"/>
    </row>
    <row r="113352" spans="17:17" x14ac:dyDescent="0.35">
      <c r="Q113352" s="1"/>
    </row>
    <row r="113354" spans="17:17" x14ac:dyDescent="0.35">
      <c r="Q113354" s="1"/>
    </row>
    <row r="113358" spans="17:17" x14ac:dyDescent="0.35">
      <c r="Q113358" s="1"/>
    </row>
    <row r="113369" spans="17:17" x14ac:dyDescent="0.35">
      <c r="Q113369" s="1"/>
    </row>
    <row r="113380" spans="16:17" x14ac:dyDescent="0.35">
      <c r="P113380" s="1"/>
    </row>
    <row r="113381" spans="16:17" x14ac:dyDescent="0.35">
      <c r="Q113381" s="1"/>
    </row>
    <row r="113384" spans="16:17" x14ac:dyDescent="0.35">
      <c r="Q113384" s="1"/>
    </row>
    <row r="113387" spans="16:17" x14ac:dyDescent="0.35">
      <c r="Q113387" s="1"/>
    </row>
    <row r="113389" spans="16:17" x14ac:dyDescent="0.35">
      <c r="Q113389" s="1"/>
    </row>
    <row r="113393" spans="17:17" x14ac:dyDescent="0.35">
      <c r="Q113393" s="1"/>
    </row>
    <row r="113396" spans="17:17" x14ac:dyDescent="0.35">
      <c r="Q113396" s="1"/>
    </row>
    <row r="113399" spans="17:17" x14ac:dyDescent="0.35">
      <c r="Q113399" s="1"/>
    </row>
    <row r="113400" spans="17:17" x14ac:dyDescent="0.35">
      <c r="Q113400" s="1"/>
    </row>
    <row r="113405" spans="17:17" x14ac:dyDescent="0.35">
      <c r="Q113405" s="1"/>
    </row>
    <row r="113411" spans="17:17" x14ac:dyDescent="0.35">
      <c r="Q113411" s="1"/>
    </row>
    <row r="113415" spans="17:17" x14ac:dyDescent="0.35">
      <c r="Q113415" s="1"/>
    </row>
    <row r="113418" spans="17:17" x14ac:dyDescent="0.35">
      <c r="Q113418" s="1"/>
    </row>
    <row r="113421" spans="17:17" x14ac:dyDescent="0.35">
      <c r="Q113421" s="1"/>
    </row>
    <row r="113422" spans="17:17" x14ac:dyDescent="0.35">
      <c r="Q113422" s="1"/>
    </row>
    <row r="113424" spans="17:17" x14ac:dyDescent="0.35">
      <c r="Q113424" s="1"/>
    </row>
    <row r="113428" spans="17:17" x14ac:dyDescent="0.35">
      <c r="Q113428" s="1"/>
    </row>
    <row r="113429" spans="17:17" x14ac:dyDescent="0.35">
      <c r="Q113429" s="1"/>
    </row>
    <row r="113432" spans="17:17" x14ac:dyDescent="0.35">
      <c r="Q113432" s="1"/>
    </row>
    <row r="113441" spans="17:17" x14ac:dyDescent="0.35">
      <c r="Q113441" s="1"/>
    </row>
    <row r="113444" spans="17:17" x14ac:dyDescent="0.35">
      <c r="Q113444" s="1"/>
    </row>
    <row r="113446" spans="17:17" x14ac:dyDescent="0.35">
      <c r="Q113446" s="1"/>
    </row>
    <row r="113451" spans="17:17" x14ac:dyDescent="0.35">
      <c r="Q113451" s="1"/>
    </row>
    <row r="113452" spans="17:17" x14ac:dyDescent="0.35">
      <c r="Q113452" s="1"/>
    </row>
    <row r="113457" spans="17:17" x14ac:dyDescent="0.35">
      <c r="Q113457" s="1"/>
    </row>
    <row r="113461" spans="17:17" x14ac:dyDescent="0.35">
      <c r="Q113461" s="1"/>
    </row>
    <row r="113467" spans="17:17" x14ac:dyDescent="0.35">
      <c r="Q113467" s="1"/>
    </row>
    <row r="113468" spans="17:17" x14ac:dyDescent="0.35">
      <c r="Q113468" s="1"/>
    </row>
    <row r="113471" spans="17:17" x14ac:dyDescent="0.35">
      <c r="Q113471" s="1"/>
    </row>
    <row r="113484" spans="17:17" x14ac:dyDescent="0.35">
      <c r="Q113484" s="1"/>
    </row>
    <row r="113485" spans="17:17" x14ac:dyDescent="0.35">
      <c r="Q113485" s="1"/>
    </row>
    <row r="113486" spans="17:17" x14ac:dyDescent="0.35">
      <c r="Q113486" s="1"/>
    </row>
    <row r="113488" spans="17:17" x14ac:dyDescent="0.35">
      <c r="Q113488" s="1"/>
    </row>
    <row r="113491" spans="17:17" x14ac:dyDescent="0.35">
      <c r="Q113491" s="1"/>
    </row>
    <row r="113497" spans="17:17" x14ac:dyDescent="0.35">
      <c r="Q113497" s="1"/>
    </row>
    <row r="113507" spans="17:17" x14ac:dyDescent="0.35">
      <c r="Q113507" s="1"/>
    </row>
    <row r="113511" spans="17:17" x14ac:dyDescent="0.35">
      <c r="Q113511" s="1"/>
    </row>
    <row r="113514" spans="17:17" x14ac:dyDescent="0.35">
      <c r="Q113514" s="1"/>
    </row>
    <row r="113518" spans="17:17" x14ac:dyDescent="0.35">
      <c r="Q113518" s="1"/>
    </row>
    <row r="113522" spans="16:16" x14ac:dyDescent="0.35">
      <c r="P113522" s="1"/>
    </row>
    <row r="113543" spans="17:17" x14ac:dyDescent="0.35">
      <c r="Q113543" s="1"/>
    </row>
    <row r="113555" spans="17:17" x14ac:dyDescent="0.35">
      <c r="Q113555" s="1"/>
    </row>
    <row r="113556" spans="17:17" x14ac:dyDescent="0.35">
      <c r="Q113556" s="1"/>
    </row>
    <row r="113563" spans="17:17" x14ac:dyDescent="0.35">
      <c r="Q113563" s="1"/>
    </row>
    <row r="113564" spans="17:17" x14ac:dyDescent="0.35">
      <c r="Q113564" s="1"/>
    </row>
    <row r="113568" spans="17:17" x14ac:dyDescent="0.35">
      <c r="Q113568" s="1"/>
    </row>
    <row r="113573" spans="17:17" x14ac:dyDescent="0.35">
      <c r="Q113573" s="1"/>
    </row>
    <row r="113574" spans="17:17" x14ac:dyDescent="0.35">
      <c r="Q113574" s="1"/>
    </row>
    <row r="113575" spans="17:17" x14ac:dyDescent="0.35">
      <c r="Q113575" s="1"/>
    </row>
    <row r="113579" spans="17:17" x14ac:dyDescent="0.35">
      <c r="Q113579" s="1"/>
    </row>
    <row r="113584" spans="17:17" x14ac:dyDescent="0.35">
      <c r="Q113584" s="1"/>
    </row>
    <row r="113585" spans="16:17" x14ac:dyDescent="0.35">
      <c r="Q113585" s="1"/>
    </row>
    <row r="113588" spans="16:17" x14ac:dyDescent="0.35">
      <c r="P113588" s="1"/>
    </row>
    <row r="113592" spans="16:17" x14ac:dyDescent="0.35">
      <c r="Q113592" s="1"/>
    </row>
    <row r="113605" spans="17:17" x14ac:dyDescent="0.35">
      <c r="Q113605" s="1"/>
    </row>
    <row r="113606" spans="17:17" x14ac:dyDescent="0.35">
      <c r="Q113606" s="1"/>
    </row>
    <row r="113609" spans="17:17" x14ac:dyDescent="0.35">
      <c r="Q113609" s="1"/>
    </row>
    <row r="113622" spans="17:17" x14ac:dyDescent="0.35">
      <c r="Q113622" s="1"/>
    </row>
    <row r="113623" spans="17:17" x14ac:dyDescent="0.35">
      <c r="Q113623" s="1"/>
    </row>
    <row r="113624" spans="17:17" x14ac:dyDescent="0.35">
      <c r="Q113624" s="1"/>
    </row>
    <row r="113625" spans="17:17" x14ac:dyDescent="0.35">
      <c r="Q113625" s="1"/>
    </row>
    <row r="113631" spans="17:17" x14ac:dyDescent="0.35">
      <c r="Q113631" s="1"/>
    </row>
    <row r="113649" spans="16:17" x14ac:dyDescent="0.35">
      <c r="Q113649" s="1"/>
    </row>
    <row r="113650" spans="16:17" x14ac:dyDescent="0.35">
      <c r="Q113650" s="1"/>
    </row>
    <row r="113651" spans="16:17" x14ac:dyDescent="0.35">
      <c r="Q113651" s="1"/>
    </row>
    <row r="113654" spans="16:17" x14ac:dyDescent="0.35">
      <c r="Q113654" s="1"/>
    </row>
    <row r="113655" spans="16:17" x14ac:dyDescent="0.35">
      <c r="Q113655" s="1"/>
    </row>
    <row r="113659" spans="16:17" x14ac:dyDescent="0.35">
      <c r="P113659" s="1"/>
      <c r="Q113659" s="1"/>
    </row>
    <row r="113667" spans="17:17" x14ac:dyDescent="0.35">
      <c r="Q113667" s="1"/>
    </row>
    <row r="113670" spans="17:17" x14ac:dyDescent="0.35">
      <c r="Q113670" s="1"/>
    </row>
    <row r="113675" spans="17:17" x14ac:dyDescent="0.35">
      <c r="Q113675" s="1"/>
    </row>
    <row r="113681" spans="11:17" x14ac:dyDescent="0.35">
      <c r="Q113681" s="1"/>
    </row>
    <row r="113683" spans="11:17" x14ac:dyDescent="0.35">
      <c r="Q113683" s="1"/>
    </row>
    <row r="113689" spans="11:17" x14ac:dyDescent="0.35">
      <c r="Q113689" s="1"/>
    </row>
    <row r="113690" spans="11:17" x14ac:dyDescent="0.35">
      <c r="K113690" s="1"/>
    </row>
    <row r="113693" spans="11:17" x14ac:dyDescent="0.35">
      <c r="Q113693" s="1"/>
    </row>
    <row r="113698" spans="17:17" x14ac:dyDescent="0.35">
      <c r="Q113698" s="1"/>
    </row>
    <row r="113701" spans="17:17" x14ac:dyDescent="0.35">
      <c r="Q113701" s="1"/>
    </row>
    <row r="113708" spans="17:17" x14ac:dyDescent="0.35">
      <c r="Q113708" s="1"/>
    </row>
    <row r="113713" spans="17:17" x14ac:dyDescent="0.35">
      <c r="Q113713" s="1"/>
    </row>
    <row r="113720" spans="17:17" x14ac:dyDescent="0.35">
      <c r="Q113720" s="1"/>
    </row>
    <row r="113724" spans="17:17" x14ac:dyDescent="0.35">
      <c r="Q113724" s="1"/>
    </row>
    <row r="113725" spans="17:17" x14ac:dyDescent="0.35">
      <c r="Q113725" s="1"/>
    </row>
    <row r="113726" spans="17:17" x14ac:dyDescent="0.35">
      <c r="Q113726" s="1"/>
    </row>
    <row r="113727" spans="17:17" x14ac:dyDescent="0.35">
      <c r="Q113727" s="1"/>
    </row>
    <row r="113735" spans="16:17" x14ac:dyDescent="0.35">
      <c r="Q113735" s="1"/>
    </row>
    <row r="113737" spans="16:17" x14ac:dyDescent="0.35">
      <c r="Q113737" s="1"/>
    </row>
    <row r="113739" spans="16:17" x14ac:dyDescent="0.35">
      <c r="Q113739" s="1"/>
    </row>
    <row r="113741" spans="16:17" x14ac:dyDescent="0.35">
      <c r="Q113741" s="1"/>
    </row>
    <row r="113742" spans="16:17" x14ac:dyDescent="0.35">
      <c r="P113742" s="1"/>
    </row>
    <row r="113743" spans="16:17" x14ac:dyDescent="0.35">
      <c r="Q113743" s="1"/>
    </row>
    <row r="113749" spans="17:17" x14ac:dyDescent="0.35">
      <c r="Q113749" s="1"/>
    </row>
    <row r="113754" spans="17:17" x14ac:dyDescent="0.35">
      <c r="Q113754" s="1"/>
    </row>
    <row r="113755" spans="17:17" x14ac:dyDescent="0.35">
      <c r="Q113755" s="1"/>
    </row>
    <row r="113764" spans="17:17" x14ac:dyDescent="0.35">
      <c r="Q113764" s="1"/>
    </row>
    <row r="113765" spans="17:17" x14ac:dyDescent="0.35">
      <c r="Q113765" s="1"/>
    </row>
    <row r="113767" spans="17:17" x14ac:dyDescent="0.35">
      <c r="Q113767" s="1"/>
    </row>
    <row r="113771" spans="17:17" x14ac:dyDescent="0.35">
      <c r="Q113771" s="1"/>
    </row>
    <row r="113772" spans="17:17" x14ac:dyDescent="0.35">
      <c r="Q113772" s="1"/>
    </row>
    <row r="113776" spans="17:17" x14ac:dyDescent="0.35">
      <c r="Q113776" s="1"/>
    </row>
    <row r="113777" spans="17:19" x14ac:dyDescent="0.35">
      <c r="Q113777" s="1"/>
    </row>
    <row r="113778" spans="17:19" x14ac:dyDescent="0.35">
      <c r="Q113778" s="1"/>
    </row>
    <row r="113783" spans="17:19" x14ac:dyDescent="0.35">
      <c r="Q113783" s="1"/>
    </row>
    <row r="113785" spans="17:19" x14ac:dyDescent="0.35">
      <c r="Q113785" s="1"/>
    </row>
    <row r="113789" spans="17:19" x14ac:dyDescent="0.35">
      <c r="Q113789" s="1"/>
    </row>
    <row r="113790" spans="17:19" x14ac:dyDescent="0.35">
      <c r="S113790" s="1"/>
    </row>
    <row r="113803" spans="17:17" x14ac:dyDescent="0.35">
      <c r="Q113803" s="1"/>
    </row>
    <row r="113815" spans="17:17" x14ac:dyDescent="0.35">
      <c r="Q113815" s="1"/>
    </row>
    <row r="113832" spans="17:17" x14ac:dyDescent="0.35">
      <c r="Q113832" s="1"/>
    </row>
    <row r="113848" spans="17:17" x14ac:dyDescent="0.35">
      <c r="Q113848" s="1"/>
    </row>
    <row r="113859" spans="17:17" x14ac:dyDescent="0.35">
      <c r="Q113859" s="1"/>
    </row>
    <row r="113860" spans="17:17" x14ac:dyDescent="0.35">
      <c r="Q113860" s="1"/>
    </row>
    <row r="113861" spans="17:17" x14ac:dyDescent="0.35">
      <c r="Q113861" s="1"/>
    </row>
    <row r="113865" spans="17:17" x14ac:dyDescent="0.35">
      <c r="Q113865" s="1"/>
    </row>
    <row r="113872" spans="17:17" x14ac:dyDescent="0.35">
      <c r="Q113872" s="1"/>
    </row>
    <row r="113875" spans="17:17" x14ac:dyDescent="0.35">
      <c r="Q113875" s="1"/>
    </row>
    <row r="113885" spans="17:17" x14ac:dyDescent="0.35">
      <c r="Q113885" s="1"/>
    </row>
    <row r="113891" spans="17:17" x14ac:dyDescent="0.35">
      <c r="Q113891" s="1"/>
    </row>
    <row r="113897" spans="17:17" x14ac:dyDescent="0.35">
      <c r="Q113897" s="1"/>
    </row>
    <row r="113903" spans="17:17" x14ac:dyDescent="0.35">
      <c r="Q113903" s="1"/>
    </row>
    <row r="113909" spans="17:17" x14ac:dyDescent="0.35">
      <c r="Q113909" s="1"/>
    </row>
    <row r="113913" spans="17:17" x14ac:dyDescent="0.35">
      <c r="Q113913" s="1"/>
    </row>
    <row r="113916" spans="17:17" x14ac:dyDescent="0.35">
      <c r="Q113916" s="1"/>
    </row>
    <row r="113921" spans="16:17" x14ac:dyDescent="0.35">
      <c r="Q113921" s="1"/>
    </row>
    <row r="113924" spans="16:17" x14ac:dyDescent="0.35">
      <c r="P113924" s="1"/>
    </row>
    <row r="113925" spans="16:17" x14ac:dyDescent="0.35">
      <c r="Q113925" s="1"/>
    </row>
    <row r="113926" spans="16:17" x14ac:dyDescent="0.35">
      <c r="Q113926" s="1"/>
    </row>
    <row r="113927" spans="16:17" x14ac:dyDescent="0.35">
      <c r="Q113927" s="1"/>
    </row>
    <row r="113929" spans="16:17" x14ac:dyDescent="0.35">
      <c r="Q113929" s="1"/>
    </row>
    <row r="113938" spans="17:17" x14ac:dyDescent="0.35">
      <c r="Q113938" s="1"/>
    </row>
    <row r="113940" spans="17:17" x14ac:dyDescent="0.35">
      <c r="Q113940" s="1"/>
    </row>
    <row r="113944" spans="17:17" x14ac:dyDescent="0.35">
      <c r="Q113944" s="1"/>
    </row>
    <row r="113950" spans="17:17" x14ac:dyDescent="0.35">
      <c r="Q113950" s="1"/>
    </row>
    <row r="113951" spans="17:17" x14ac:dyDescent="0.35">
      <c r="Q113951" s="1"/>
    </row>
    <row r="113957" spans="16:17" x14ac:dyDescent="0.35">
      <c r="Q113957" s="1"/>
    </row>
    <row r="113958" spans="16:17" x14ac:dyDescent="0.35">
      <c r="Q113958" s="1"/>
    </row>
    <row r="113962" spans="16:17" x14ac:dyDescent="0.35">
      <c r="Q113962" s="1"/>
    </row>
    <row r="113966" spans="16:17" x14ac:dyDescent="0.35">
      <c r="P113966" s="1"/>
      <c r="Q113966" s="1"/>
    </row>
    <row r="113982" spans="17:17" x14ac:dyDescent="0.35">
      <c r="Q113982" s="1"/>
    </row>
    <row r="113985" spans="17:17" x14ac:dyDescent="0.35">
      <c r="Q113985" s="1"/>
    </row>
    <row r="113987" spans="17:17" x14ac:dyDescent="0.35">
      <c r="Q113987" s="1"/>
    </row>
    <row r="113990" spans="17:17" x14ac:dyDescent="0.35">
      <c r="Q113990" s="1"/>
    </row>
    <row r="113994" spans="17:17" x14ac:dyDescent="0.35">
      <c r="Q11399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Dashboard</vt:lpstr>
      <vt:lpstr>Sheet4</vt:lpstr>
      <vt:lpstr>spotify-tracks-dataset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Pandey</dc:creator>
  <cp:lastModifiedBy>Anushka Pandey</cp:lastModifiedBy>
  <dcterms:created xsi:type="dcterms:W3CDTF">2026-09-18T13:28:43Z</dcterms:created>
  <dcterms:modified xsi:type="dcterms:W3CDTF">2026-09-18T17:49:04Z</dcterms:modified>
</cp:coreProperties>
</file>